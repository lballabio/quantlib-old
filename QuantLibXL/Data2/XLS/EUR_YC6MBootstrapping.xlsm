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85" windowHeight="8415" activeTab="6"/>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 name="Sheet1" sheetId="13" r:id="rId8"/>
  </sheets>
  <definedNames>
    <definedName name="_xlnm._FilterDatabase" localSheetId="6" hidden="1">Monitor!$B$4:$F$15377</definedName>
    <definedName name="Accuracy">'General Settings'!$D$23</definedName>
    <definedName name="BondBasisDayCounter">'General Settings'!$M$13</definedName>
    <definedName name="Calendar">'General Settings'!$D$18</definedName>
    <definedName name="ciao">25</definedName>
    <definedName name="Conventions" localSheetId="5">'6M_Swaps'!$P$6:$R$10</definedName>
    <definedName name="Currency">'General Settings'!$D$4</definedName>
    <definedName name="CurveTenor">Monitor!$B$2</definedName>
    <definedName name="DataTable">Monitor!$B$4:$F$15377</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ixingDays">Monitor!$I$2</definedName>
    <definedName name="FRADates">Monitor!$P$3:$P$20</definedName>
    <definedName name="FRAQuotes">Monitor!$Q$3:$Q$20</definedName>
    <definedName name="FrontFuturesRollingDays">Selected!$B$4</definedName>
    <definedName name="IborIndex">Monitor!$D$3</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RateHelpers!$J$2:$J$165</definedName>
    <definedName name="MktFRA">Monitor!$O$2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Monitor!$E$5:$E$349</definedName>
    <definedName name="ONValueDates">Monitor!$C$5:$C$349</definedName>
    <definedName name="OverNightIndex">Monitor!$E$3</definedName>
    <definedName name="Permanent">'General Settings'!$D$10</definedName>
    <definedName name="QuoteSuffix">'General Settings'!$M$12</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Monitor!$C$3</definedName>
    <definedName name="SamplingFrequency">Monitor!$B$3</definedName>
    <definedName name="SerializationPath">'General Settings'!$M$5</definedName>
    <definedName name="Serialize">'General Settings'!$M$4</definedName>
    <definedName name="SwapFixedFreq">'General Settings'!$D$8</definedName>
    <definedName name="SwapIndex">Monitor!$W$2</definedName>
    <definedName name="TraitsID">'General Settings'!$D$24</definedName>
    <definedName name="Trigger">'General Settings'!$D$11</definedName>
    <definedName name="XAxisMaximum10Y">Monitor!$Z$5</definedName>
    <definedName name="XAxisMaximum1Y">Monitor!$Z$4</definedName>
    <definedName name="XAxisMaximum60Y">Monitor!$Z$6</definedName>
    <definedName name="XAxisMaximumON">Monitor!$Z$7</definedName>
    <definedName name="XAxisMinimum">Monitor!$Y$4</definedName>
    <definedName name="XMajorUnit10Y">Monitor!$AA$5</definedName>
    <definedName name="XMajorUnit1Y">Monitor!$AA$4</definedName>
    <definedName name="XMajorUnit60Y">Monitor!$AA$6</definedName>
    <definedName name="XMajorUnitON">Monitor!$AA$7</definedName>
    <definedName name="YAxisMaximum10Y">Monitor!$AC$5</definedName>
    <definedName name="YAxisMaximum1Y">Monitor!$AC$4</definedName>
    <definedName name="YAxisMaximum60Y">Monitor!$AC$6</definedName>
    <definedName name="YAxisMaximumON">Monitor!$AC$7</definedName>
    <definedName name="YAxisMinimum10Y">Monitor!$AB$5</definedName>
    <definedName name="YAxisMinimum1Y">Monitor!$AB$4</definedName>
    <definedName name="YAxisMinimum60Y">Monitor!$AB$6</definedName>
    <definedName name="YAxisMinimumON">Monitor!$AB$7</definedName>
    <definedName name="YCInstance">'General Settings'!$D$16</definedName>
    <definedName name="YieldCurve">'General Settings'!$D$14</definedName>
    <definedName name="YMajorUnit10Y">Monitor!$AD$5</definedName>
    <definedName name="YMajorUnit1Y">Monitor!$AD$4</definedName>
    <definedName name="YMajorUnit60Y">Monitor!$AD$6</definedName>
    <definedName name="YMajorUnitON">Monitor!$AD$7</definedName>
  </definedNames>
  <calcPr calcId="145621"/>
</workbook>
</file>

<file path=xl/calcChain.xml><?xml version="1.0" encoding="utf-8"?>
<calcChain xmlns="http://schemas.openxmlformats.org/spreadsheetml/2006/main">
  <c r="A6" i="12" l="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A1001" i="12" s="1"/>
  <c r="A1002" i="12" s="1"/>
  <c r="A1003" i="12" s="1"/>
  <c r="A1004" i="12" s="1"/>
  <c r="A1005" i="12" s="1"/>
  <c r="A1006" i="12" s="1"/>
  <c r="A1007" i="12" s="1"/>
  <c r="A1008" i="12" s="1"/>
  <c r="A1009" i="12" s="1"/>
  <c r="A1010" i="12" s="1"/>
  <c r="A1011" i="12" s="1"/>
  <c r="A1012" i="12" s="1"/>
  <c r="A1013" i="12" s="1"/>
  <c r="A1014" i="12" s="1"/>
  <c r="A1015" i="12" s="1"/>
  <c r="A1016" i="12" s="1"/>
  <c r="A1017" i="12" s="1"/>
  <c r="A1018" i="12" s="1"/>
  <c r="A1019" i="12" s="1"/>
  <c r="A1020" i="12" s="1"/>
  <c r="A1021" i="12" s="1"/>
  <c r="A1022" i="12" s="1"/>
  <c r="A1023" i="12" s="1"/>
  <c r="A1024" i="12" s="1"/>
  <c r="A1025" i="12" s="1"/>
  <c r="A1026" i="12" s="1"/>
  <c r="A1027" i="12" s="1"/>
  <c r="A1028" i="12" s="1"/>
  <c r="A1029" i="12" s="1"/>
  <c r="A1030" i="12" s="1"/>
  <c r="A1031" i="12" s="1"/>
  <c r="A1032" i="12" s="1"/>
  <c r="A1033" i="12" s="1"/>
  <c r="A1034" i="12" s="1"/>
  <c r="A1035" i="12" s="1"/>
  <c r="A1036" i="12" s="1"/>
  <c r="A1037" i="12" s="1"/>
  <c r="A1038" i="12" s="1"/>
  <c r="A1039" i="12" s="1"/>
  <c r="A1040" i="12" s="1"/>
  <c r="A1041" i="12" s="1"/>
  <c r="A1042" i="12" s="1"/>
  <c r="A1043" i="12" s="1"/>
  <c r="A1044" i="12" s="1"/>
  <c r="A1045" i="12" s="1"/>
  <c r="A1046" i="12" s="1"/>
  <c r="A1047" i="12" s="1"/>
  <c r="A1048" i="12" s="1"/>
  <c r="A1049" i="12" s="1"/>
  <c r="A1050" i="12" s="1"/>
  <c r="A1051" i="12" s="1"/>
  <c r="A1052" i="12" s="1"/>
  <c r="A1053" i="12" s="1"/>
  <c r="A1054" i="12" s="1"/>
  <c r="A1055" i="12" s="1"/>
  <c r="A1056" i="12" s="1"/>
  <c r="A1057" i="12" s="1"/>
  <c r="A1058" i="12" s="1"/>
  <c r="A1059" i="12" s="1"/>
  <c r="A1060" i="12" s="1"/>
  <c r="A1061" i="12" s="1"/>
  <c r="A1062" i="12" s="1"/>
  <c r="A1063" i="12" s="1"/>
  <c r="A1064" i="12" s="1"/>
  <c r="A1065" i="12" s="1"/>
  <c r="A1066" i="12" s="1"/>
  <c r="A1067" i="12" s="1"/>
  <c r="A1068" i="12" s="1"/>
  <c r="A1069" i="12" s="1"/>
  <c r="A1070" i="12" s="1"/>
  <c r="A1071" i="12" s="1"/>
  <c r="A1072" i="12" s="1"/>
  <c r="A1073" i="12" s="1"/>
  <c r="A1074" i="12" s="1"/>
  <c r="A1075" i="12" s="1"/>
  <c r="A1076" i="12" s="1"/>
  <c r="A1077" i="12" s="1"/>
  <c r="A1078" i="12" s="1"/>
  <c r="A1079" i="12" s="1"/>
  <c r="A1080" i="12" s="1"/>
  <c r="A1081" i="12" s="1"/>
  <c r="A1082" i="12" s="1"/>
  <c r="A1083" i="12" s="1"/>
  <c r="A1084" i="12" s="1"/>
  <c r="A1085" i="12" s="1"/>
  <c r="A1086" i="12" s="1"/>
  <c r="A1087" i="12" s="1"/>
  <c r="A1088" i="12" s="1"/>
  <c r="A1089" i="12" s="1"/>
  <c r="A1090" i="12" s="1"/>
  <c r="A1091" i="12" s="1"/>
  <c r="A1092" i="12" s="1"/>
  <c r="A1093" i="12" s="1"/>
  <c r="A1094" i="12" s="1"/>
  <c r="A1095" i="12" s="1"/>
  <c r="A1096" i="12" s="1"/>
  <c r="A1097" i="12" s="1"/>
  <c r="A1098" i="12" s="1"/>
  <c r="A1099" i="12" s="1"/>
  <c r="A1100" i="12" s="1"/>
  <c r="A1101" i="12" s="1"/>
  <c r="A1102" i="12" s="1"/>
  <c r="A1103" i="12" s="1"/>
  <c r="A1104" i="12" s="1"/>
  <c r="A1105" i="12" s="1"/>
  <c r="A1106" i="12" s="1"/>
  <c r="A1107" i="12" s="1"/>
  <c r="A1108" i="12" s="1"/>
  <c r="A1109" i="12" s="1"/>
  <c r="A1110" i="12" s="1"/>
  <c r="A1111" i="12" s="1"/>
  <c r="A1112" i="12" s="1"/>
  <c r="A1113" i="12" s="1"/>
  <c r="A1114" i="12" s="1"/>
  <c r="A1115" i="12" s="1"/>
  <c r="A1116" i="12" s="1"/>
  <c r="A1117" i="12" s="1"/>
  <c r="A1118" i="12" s="1"/>
  <c r="A1119" i="12" s="1"/>
  <c r="A1120" i="12" s="1"/>
  <c r="A1121" i="12" s="1"/>
  <c r="A1122" i="12" s="1"/>
  <c r="A1123" i="12" s="1"/>
  <c r="A1124" i="12" s="1"/>
  <c r="A1125" i="12" s="1"/>
  <c r="A1126" i="12" s="1"/>
  <c r="A1127" i="12" s="1"/>
  <c r="A1128" i="12" s="1"/>
  <c r="A1129" i="12" s="1"/>
  <c r="A1130" i="12" s="1"/>
  <c r="A1131" i="12" s="1"/>
  <c r="A1132" i="12" s="1"/>
  <c r="A1133" i="12" s="1"/>
  <c r="A1134" i="12" s="1"/>
  <c r="A1135" i="12" s="1"/>
  <c r="A1136" i="12" s="1"/>
  <c r="A1137" i="12" s="1"/>
  <c r="A1138" i="12" s="1"/>
  <c r="A1139" i="12" s="1"/>
  <c r="A1140" i="12" s="1"/>
  <c r="A1141" i="12" s="1"/>
  <c r="A1142" i="12" s="1"/>
  <c r="A1143" i="12" s="1"/>
  <c r="A1144" i="12" s="1"/>
  <c r="A1145" i="12" s="1"/>
  <c r="A1146" i="12" s="1"/>
  <c r="A1147" i="12" s="1"/>
  <c r="A1148" i="12" s="1"/>
  <c r="A1149" i="12" s="1"/>
  <c r="A1150" i="12" s="1"/>
  <c r="A1151" i="12" s="1"/>
  <c r="A1152" i="12" s="1"/>
  <c r="A1153" i="12" s="1"/>
  <c r="A1154" i="12" s="1"/>
  <c r="A1155" i="12" s="1"/>
  <c r="A1156" i="12" s="1"/>
  <c r="A1157" i="12" s="1"/>
  <c r="A1158" i="12" s="1"/>
  <c r="A1159" i="12" s="1"/>
  <c r="A1160" i="12" s="1"/>
  <c r="A1161" i="12" s="1"/>
  <c r="A1162" i="12" s="1"/>
  <c r="A1163" i="12" s="1"/>
  <c r="A1164" i="12" s="1"/>
  <c r="A1165" i="12" s="1"/>
  <c r="A1166" i="12" s="1"/>
  <c r="A1167" i="12" s="1"/>
  <c r="A1168" i="12" s="1"/>
  <c r="A1169" i="12" s="1"/>
  <c r="A1170" i="12" s="1"/>
  <c r="A1171" i="12" s="1"/>
  <c r="A1172" i="12" s="1"/>
  <c r="A1173" i="12" s="1"/>
  <c r="A1174" i="12" s="1"/>
  <c r="A1175" i="12" s="1"/>
  <c r="A1176" i="12" s="1"/>
  <c r="A1177" i="12" s="1"/>
  <c r="A1178" i="12" s="1"/>
  <c r="A1179" i="12" s="1"/>
  <c r="A1180" i="12" s="1"/>
  <c r="A1181" i="12" s="1"/>
  <c r="A1182" i="12" s="1"/>
  <c r="A1183" i="12" s="1"/>
  <c r="A1184" i="12" s="1"/>
  <c r="A1185" i="12" s="1"/>
  <c r="A1186" i="12" s="1"/>
  <c r="A1187" i="12" s="1"/>
  <c r="A1188" i="12" s="1"/>
  <c r="A1189" i="12" s="1"/>
  <c r="A1190" i="12" s="1"/>
  <c r="A1191" i="12" s="1"/>
  <c r="A1192" i="12" s="1"/>
  <c r="A1193" i="12" s="1"/>
  <c r="A1194" i="12" s="1"/>
  <c r="A1195" i="12" s="1"/>
  <c r="A1196" i="12" s="1"/>
  <c r="A1197" i="12" s="1"/>
  <c r="A1198" i="12" s="1"/>
  <c r="A1199" i="12" s="1"/>
  <c r="A1200" i="12" s="1"/>
  <c r="A1201" i="12" s="1"/>
  <c r="A1202" i="12" s="1"/>
  <c r="A1203" i="12" s="1"/>
  <c r="A1204" i="12" s="1"/>
  <c r="A1205" i="12" s="1"/>
  <c r="A1206" i="12" s="1"/>
  <c r="A1207" i="12" s="1"/>
  <c r="A1208" i="12" s="1"/>
  <c r="A1209" i="12" s="1"/>
  <c r="A1210" i="12" s="1"/>
  <c r="A1211" i="12" s="1"/>
  <c r="A1212" i="12" s="1"/>
  <c r="A1213" i="12" s="1"/>
  <c r="A1214" i="12" s="1"/>
  <c r="A1215" i="12" s="1"/>
  <c r="A1216" i="12" s="1"/>
  <c r="A1217" i="12" s="1"/>
  <c r="A1218" i="12" s="1"/>
  <c r="A1219" i="12" s="1"/>
  <c r="A1220" i="12" s="1"/>
  <c r="A1221" i="12" s="1"/>
  <c r="A1222" i="12" s="1"/>
  <c r="A1223" i="12" s="1"/>
  <c r="A1224" i="12" s="1"/>
  <c r="A1225" i="12" s="1"/>
  <c r="A1226" i="12" s="1"/>
  <c r="A1227" i="12" s="1"/>
  <c r="A1228" i="12" s="1"/>
  <c r="A1229" i="12" s="1"/>
  <c r="A1230" i="12" s="1"/>
  <c r="A1231" i="12" s="1"/>
  <c r="A1232" i="12" s="1"/>
  <c r="A1233" i="12" s="1"/>
  <c r="A1234" i="12" s="1"/>
  <c r="A1235" i="12" s="1"/>
  <c r="A1236" i="12" s="1"/>
  <c r="A1237" i="12" s="1"/>
  <c r="A1238" i="12" s="1"/>
  <c r="A1239" i="12" s="1"/>
  <c r="A1240" i="12" s="1"/>
  <c r="A1241" i="12" s="1"/>
  <c r="A1242" i="12" s="1"/>
  <c r="A1243" i="12" s="1"/>
  <c r="A1244" i="12" s="1"/>
  <c r="A1245" i="12" s="1"/>
  <c r="A1246" i="12" s="1"/>
  <c r="A1247" i="12" s="1"/>
  <c r="A1248" i="12" s="1"/>
  <c r="A1249" i="12" s="1"/>
  <c r="A1250" i="12" s="1"/>
  <c r="A1251" i="12" s="1"/>
  <c r="A1252" i="12" s="1"/>
  <c r="A1253" i="12" s="1"/>
  <c r="A1254" i="12" s="1"/>
  <c r="A1255" i="12" s="1"/>
  <c r="A1256" i="12" s="1"/>
  <c r="A1257" i="12" s="1"/>
  <c r="A1258" i="12" s="1"/>
  <c r="A1259" i="12" s="1"/>
  <c r="A1260" i="12" s="1"/>
  <c r="A1261" i="12" s="1"/>
  <c r="A1262" i="12" s="1"/>
  <c r="A1263" i="12" s="1"/>
  <c r="A1264" i="12" s="1"/>
  <c r="A1265" i="12" s="1"/>
  <c r="A1266" i="12" s="1"/>
  <c r="A1267" i="12" s="1"/>
  <c r="A1268" i="12" s="1"/>
  <c r="A1269" i="12" s="1"/>
  <c r="A1270" i="12" s="1"/>
  <c r="A1271" i="12" s="1"/>
  <c r="A1272" i="12" s="1"/>
  <c r="A1273" i="12" s="1"/>
  <c r="A1274" i="12" s="1"/>
  <c r="A1275" i="12" s="1"/>
  <c r="A1276" i="12" s="1"/>
  <c r="A1277" i="12" s="1"/>
  <c r="A1278" i="12" s="1"/>
  <c r="A1279" i="12" s="1"/>
  <c r="A1280" i="12" s="1"/>
  <c r="A1281" i="12" s="1"/>
  <c r="A1282" i="12" s="1"/>
  <c r="A1283" i="12" s="1"/>
  <c r="A1284" i="12" s="1"/>
  <c r="A1285" i="12" s="1"/>
  <c r="A1286" i="12" s="1"/>
  <c r="A1287" i="12" s="1"/>
  <c r="A1288" i="12" s="1"/>
  <c r="A1289" i="12" s="1"/>
  <c r="A1290" i="12" s="1"/>
  <c r="A1291" i="12" s="1"/>
  <c r="A1292" i="12" s="1"/>
  <c r="A1293" i="12" s="1"/>
  <c r="A1294" i="12" s="1"/>
  <c r="A1295" i="12" s="1"/>
  <c r="A1296" i="12" s="1"/>
  <c r="A1297" i="12" s="1"/>
  <c r="A1298" i="12" s="1"/>
  <c r="A1299" i="12" s="1"/>
  <c r="A1300" i="12" s="1"/>
  <c r="A1301" i="12" s="1"/>
  <c r="A1302" i="12" s="1"/>
  <c r="A1303" i="12" s="1"/>
  <c r="A1304" i="12" s="1"/>
  <c r="A1305" i="12" s="1"/>
  <c r="A1306" i="12" s="1"/>
  <c r="A1307" i="12" s="1"/>
  <c r="A1308" i="12" s="1"/>
  <c r="A1309" i="12" s="1"/>
  <c r="A1310" i="12" s="1"/>
  <c r="A1311" i="12" s="1"/>
  <c r="A1312" i="12" s="1"/>
  <c r="A1313" i="12" s="1"/>
  <c r="A1314" i="12" s="1"/>
  <c r="A1315" i="12" s="1"/>
  <c r="A1316" i="12" s="1"/>
  <c r="A1317" i="12" s="1"/>
  <c r="A1318" i="12" s="1"/>
  <c r="A1319" i="12" s="1"/>
  <c r="A1320" i="12" s="1"/>
  <c r="A1321" i="12" s="1"/>
  <c r="A1322" i="12" s="1"/>
  <c r="A1323" i="12" s="1"/>
  <c r="A1324" i="12" s="1"/>
  <c r="A1325" i="12" s="1"/>
  <c r="A1326" i="12" s="1"/>
  <c r="A1327" i="12" s="1"/>
  <c r="A1328" i="12" s="1"/>
  <c r="A1329" i="12" s="1"/>
  <c r="A1330" i="12" s="1"/>
  <c r="A1331" i="12" s="1"/>
  <c r="A1332" i="12" s="1"/>
  <c r="A1333" i="12" s="1"/>
  <c r="A1334" i="12" s="1"/>
  <c r="A1335" i="12" s="1"/>
  <c r="A1336" i="12" s="1"/>
  <c r="A1337" i="12" s="1"/>
  <c r="A1338" i="12" s="1"/>
  <c r="A1339" i="12" s="1"/>
  <c r="A1340" i="12" s="1"/>
  <c r="A1341" i="12" s="1"/>
  <c r="A1342" i="12" s="1"/>
  <c r="A1343" i="12" s="1"/>
  <c r="A1344" i="12" s="1"/>
  <c r="A1345" i="12" s="1"/>
  <c r="A1346" i="12" s="1"/>
  <c r="A1347" i="12" s="1"/>
  <c r="A1348" i="12" s="1"/>
  <c r="A1349" i="12" s="1"/>
  <c r="A1350" i="12" s="1"/>
  <c r="A1351" i="12" s="1"/>
  <c r="A1352" i="12" s="1"/>
  <c r="A1353" i="12" s="1"/>
  <c r="A1354" i="12" s="1"/>
  <c r="A1355" i="12" s="1"/>
  <c r="A1356" i="12" s="1"/>
  <c r="A1357" i="12" s="1"/>
  <c r="A1358" i="12" s="1"/>
  <c r="A1359" i="12" s="1"/>
  <c r="A1360" i="12" s="1"/>
  <c r="A1361" i="12" s="1"/>
  <c r="A1362" i="12" s="1"/>
  <c r="A1363" i="12" s="1"/>
  <c r="A1364" i="12" s="1"/>
  <c r="A1365" i="12" s="1"/>
  <c r="A1366" i="12" s="1"/>
  <c r="A1367" i="12" s="1"/>
  <c r="A1368" i="12" s="1"/>
  <c r="A1369" i="12" s="1"/>
  <c r="A1370" i="12" s="1"/>
  <c r="A1371" i="12" s="1"/>
  <c r="A1372" i="12" s="1"/>
  <c r="A1373" i="12" s="1"/>
  <c r="A1374" i="12" s="1"/>
  <c r="A1375" i="12" s="1"/>
  <c r="A1376" i="12" s="1"/>
  <c r="A1377" i="12" s="1"/>
  <c r="A1378" i="12" s="1"/>
  <c r="A1379" i="12" s="1"/>
  <c r="A1380" i="12" s="1"/>
  <c r="A1381" i="12" s="1"/>
  <c r="A1382" i="12" s="1"/>
  <c r="A1383" i="12" s="1"/>
  <c r="A1384" i="12" s="1"/>
  <c r="A1385" i="12" s="1"/>
  <c r="A1386" i="12" s="1"/>
  <c r="A1387" i="12" s="1"/>
  <c r="A1388" i="12" s="1"/>
  <c r="A1389" i="12" s="1"/>
  <c r="A1390" i="12" s="1"/>
  <c r="A1391" i="12" s="1"/>
  <c r="A1392" i="12" s="1"/>
  <c r="A1393" i="12" s="1"/>
  <c r="A1394" i="12" s="1"/>
  <c r="A1395" i="12" s="1"/>
  <c r="A1396" i="12" s="1"/>
  <c r="A1397" i="12" s="1"/>
  <c r="A1398" i="12" s="1"/>
  <c r="A1399" i="12" s="1"/>
  <c r="A1400" i="12" s="1"/>
  <c r="A1401" i="12" s="1"/>
  <c r="A1402" i="12" s="1"/>
  <c r="A1403" i="12" s="1"/>
  <c r="A1404" i="12" s="1"/>
  <c r="A1405" i="12" s="1"/>
  <c r="A1406" i="12" s="1"/>
  <c r="A1407" i="12" s="1"/>
  <c r="A1408" i="12" s="1"/>
  <c r="A1409" i="12" s="1"/>
  <c r="A1410" i="12" s="1"/>
  <c r="A1411" i="12" s="1"/>
  <c r="A1412" i="12" s="1"/>
  <c r="A1413" i="12" s="1"/>
  <c r="A1414" i="12" s="1"/>
  <c r="A1415" i="12" s="1"/>
  <c r="A1416" i="12" s="1"/>
  <c r="A1417" i="12" s="1"/>
  <c r="A1418" i="12" s="1"/>
  <c r="A1419" i="12" s="1"/>
  <c r="A1420" i="12" s="1"/>
  <c r="A1421" i="12" s="1"/>
  <c r="A1422" i="12" s="1"/>
  <c r="A1423" i="12" s="1"/>
  <c r="A1424" i="12" s="1"/>
  <c r="A1425" i="12" s="1"/>
  <c r="A1426" i="12" s="1"/>
  <c r="A1427" i="12" s="1"/>
  <c r="A1428" i="12" s="1"/>
  <c r="A1429" i="12" s="1"/>
  <c r="A1430" i="12" s="1"/>
  <c r="A1431" i="12" s="1"/>
  <c r="A1432" i="12" s="1"/>
  <c r="A1433" i="12" s="1"/>
  <c r="A1434" i="12" s="1"/>
  <c r="A1435" i="12" s="1"/>
  <c r="A1436" i="12" s="1"/>
  <c r="A1437" i="12" s="1"/>
  <c r="A1438" i="12" s="1"/>
  <c r="A1439" i="12" s="1"/>
  <c r="A1440" i="12" s="1"/>
  <c r="A1441" i="12" s="1"/>
  <c r="A1442" i="12" s="1"/>
  <c r="A1443" i="12" s="1"/>
  <c r="A1444" i="12" s="1"/>
  <c r="A1445" i="12" s="1"/>
  <c r="A1446" i="12" s="1"/>
  <c r="A1447" i="12" s="1"/>
  <c r="A1448" i="12" s="1"/>
  <c r="A1449" i="12" s="1"/>
  <c r="A1450" i="12" s="1"/>
  <c r="A1451" i="12" s="1"/>
  <c r="A1452" i="12" s="1"/>
  <c r="A1453" i="12" s="1"/>
  <c r="A1454" i="12" s="1"/>
  <c r="A1455" i="12" s="1"/>
  <c r="A1456" i="12" s="1"/>
  <c r="A1457" i="12" s="1"/>
  <c r="A1458" i="12" s="1"/>
  <c r="A1459" i="12" s="1"/>
  <c r="A1460" i="12" s="1"/>
  <c r="A1461" i="12" s="1"/>
  <c r="A1462" i="12" s="1"/>
  <c r="A1463" i="12" s="1"/>
  <c r="A1464" i="12" s="1"/>
  <c r="A1465" i="12" s="1"/>
  <c r="A1466" i="12" s="1"/>
  <c r="A1467" i="12" s="1"/>
  <c r="A1468" i="12" s="1"/>
  <c r="A1469" i="12" s="1"/>
  <c r="A1470" i="12" s="1"/>
  <c r="A1471" i="12" s="1"/>
  <c r="A1472" i="12" s="1"/>
  <c r="A1473" i="12" s="1"/>
  <c r="A1474" i="12" s="1"/>
  <c r="A1475" i="12" s="1"/>
  <c r="A1476" i="12" s="1"/>
  <c r="A1477" i="12" s="1"/>
  <c r="A1478" i="12" s="1"/>
  <c r="A1479" i="12" s="1"/>
  <c r="A1480" i="12" s="1"/>
  <c r="A1481" i="12" s="1"/>
  <c r="A1482" i="12" s="1"/>
  <c r="A1483" i="12" s="1"/>
  <c r="A1484" i="12" s="1"/>
  <c r="A1485" i="12" s="1"/>
  <c r="A1486" i="12" s="1"/>
  <c r="A1487" i="12" s="1"/>
  <c r="A1488" i="12" s="1"/>
  <c r="A1489" i="12" s="1"/>
  <c r="A1490" i="12" s="1"/>
  <c r="A1491" i="12" s="1"/>
  <c r="A1492" i="12" s="1"/>
  <c r="A1493" i="12" s="1"/>
  <c r="A1494" i="12" s="1"/>
  <c r="A1495" i="12" s="1"/>
  <c r="A1496" i="12" s="1"/>
  <c r="A1497" i="12" s="1"/>
  <c r="A1498" i="12" s="1"/>
  <c r="A1499" i="12" s="1"/>
  <c r="A1500" i="12" s="1"/>
  <c r="A1501" i="12" s="1"/>
  <c r="A1502" i="12" s="1"/>
  <c r="A1503" i="12" s="1"/>
  <c r="A1504" i="12" s="1"/>
  <c r="A1505" i="12" s="1"/>
  <c r="A1506" i="12" s="1"/>
  <c r="A1507" i="12" s="1"/>
  <c r="A1508" i="12" s="1"/>
  <c r="A1509" i="12" s="1"/>
  <c r="A1510" i="12" s="1"/>
  <c r="A1511" i="12" s="1"/>
  <c r="A1512" i="12" s="1"/>
  <c r="A1513" i="12" s="1"/>
  <c r="A1514" i="12" s="1"/>
  <c r="A1515" i="12" s="1"/>
  <c r="A1516" i="12" s="1"/>
  <c r="A1517" i="12" s="1"/>
  <c r="A1518" i="12" s="1"/>
  <c r="A1519" i="12" s="1"/>
  <c r="A1520" i="12" s="1"/>
  <c r="A1521" i="12" s="1"/>
  <c r="A1522" i="12" s="1"/>
  <c r="A1523" i="12" s="1"/>
  <c r="A1524" i="12" s="1"/>
  <c r="A1525" i="12" s="1"/>
  <c r="A1526" i="12" s="1"/>
  <c r="A1527" i="12" s="1"/>
  <c r="A1528" i="12" s="1"/>
  <c r="A1529" i="12" s="1"/>
  <c r="A1530" i="12" s="1"/>
  <c r="A1531" i="12" s="1"/>
  <c r="A1532" i="12" s="1"/>
  <c r="A1533" i="12" s="1"/>
  <c r="A1534" i="12" s="1"/>
  <c r="A1535" i="12" s="1"/>
  <c r="A1536" i="12" s="1"/>
  <c r="A1537" i="12" s="1"/>
  <c r="A1538" i="12" s="1"/>
  <c r="A1539" i="12" s="1"/>
  <c r="A1540" i="12" s="1"/>
  <c r="A1541" i="12" s="1"/>
  <c r="A1542" i="12" s="1"/>
  <c r="A1543" i="12" s="1"/>
  <c r="A1544" i="12" s="1"/>
  <c r="A1545" i="12" s="1"/>
  <c r="A1546" i="12" s="1"/>
  <c r="A1547" i="12" s="1"/>
  <c r="A1548" i="12" s="1"/>
  <c r="A1549" i="12" s="1"/>
  <c r="A1550" i="12" s="1"/>
  <c r="A1551" i="12" s="1"/>
  <c r="A1552" i="12" s="1"/>
  <c r="A1553" i="12" s="1"/>
  <c r="A1554" i="12" s="1"/>
  <c r="A1555" i="12" s="1"/>
  <c r="A1556" i="12" s="1"/>
  <c r="A1557" i="12" s="1"/>
  <c r="A1558" i="12" s="1"/>
  <c r="A1559" i="12" s="1"/>
  <c r="A1560" i="12" s="1"/>
  <c r="A1561" i="12" s="1"/>
  <c r="A1562" i="12" s="1"/>
  <c r="A1563" i="12" s="1"/>
  <c r="A1564" i="12" s="1"/>
  <c r="A1565" i="12" s="1"/>
  <c r="A1566" i="12" s="1"/>
  <c r="A1567" i="12" s="1"/>
  <c r="A1568" i="12" s="1"/>
  <c r="A1569" i="12" s="1"/>
  <c r="A1570" i="12" s="1"/>
  <c r="A1571" i="12" s="1"/>
  <c r="A1572" i="12" s="1"/>
  <c r="A1573" i="12" s="1"/>
  <c r="A1574" i="12" s="1"/>
  <c r="A1575" i="12" s="1"/>
  <c r="A1576" i="12" s="1"/>
  <c r="A1577" i="12" s="1"/>
  <c r="A1578" i="12" s="1"/>
  <c r="A1579" i="12" s="1"/>
  <c r="A1580" i="12" s="1"/>
  <c r="A1581" i="12" s="1"/>
  <c r="A1582" i="12" s="1"/>
  <c r="A1583" i="12" s="1"/>
  <c r="A1584" i="12" s="1"/>
  <c r="A1585" i="12" s="1"/>
  <c r="A1586" i="12" s="1"/>
  <c r="A1587" i="12" s="1"/>
  <c r="A1588" i="12" s="1"/>
  <c r="A1589" i="12" s="1"/>
  <c r="A1590" i="12" s="1"/>
  <c r="A1591" i="12" s="1"/>
  <c r="A1592" i="12" s="1"/>
  <c r="A1593" i="12" s="1"/>
  <c r="A1594" i="12" s="1"/>
  <c r="A1595" i="12" s="1"/>
  <c r="A1596" i="12" s="1"/>
  <c r="A1597" i="12" s="1"/>
  <c r="A1598" i="12" s="1"/>
  <c r="A1599" i="12" s="1"/>
  <c r="A1600" i="12" s="1"/>
  <c r="A1601" i="12" s="1"/>
  <c r="A1602" i="12" s="1"/>
  <c r="A1603" i="12" s="1"/>
  <c r="A1604" i="12" s="1"/>
  <c r="A1605" i="12" s="1"/>
  <c r="A1606" i="12" s="1"/>
  <c r="A1607" i="12" s="1"/>
  <c r="A1608" i="12" s="1"/>
  <c r="A1609" i="12" s="1"/>
  <c r="A1610" i="12" s="1"/>
  <c r="A1611" i="12" s="1"/>
  <c r="A1612" i="12" s="1"/>
  <c r="A1613" i="12" s="1"/>
  <c r="A1614" i="12" s="1"/>
  <c r="A1615" i="12" s="1"/>
  <c r="A1616" i="12" s="1"/>
  <c r="A1617" i="12" s="1"/>
  <c r="A1618" i="12" s="1"/>
  <c r="A1619" i="12" s="1"/>
  <c r="A1620" i="12" s="1"/>
  <c r="A1621" i="12" s="1"/>
  <c r="A1622" i="12" s="1"/>
  <c r="A1623" i="12" s="1"/>
  <c r="A1624" i="12" s="1"/>
  <c r="A1625" i="12" s="1"/>
  <c r="A1626" i="12" s="1"/>
  <c r="A1627" i="12" s="1"/>
  <c r="A1628" i="12" s="1"/>
  <c r="A1629" i="12" s="1"/>
  <c r="A1630" i="12" s="1"/>
  <c r="A1631" i="12" s="1"/>
  <c r="A1632" i="12" s="1"/>
  <c r="A1633" i="12" s="1"/>
  <c r="A1634" i="12" s="1"/>
  <c r="A1635" i="12" s="1"/>
  <c r="A1636" i="12" s="1"/>
  <c r="A1637" i="12" s="1"/>
  <c r="A1638" i="12" s="1"/>
  <c r="A1639" i="12" s="1"/>
  <c r="A1640" i="12" s="1"/>
  <c r="A1641" i="12" s="1"/>
  <c r="A1642" i="12" s="1"/>
  <c r="A1643" i="12" s="1"/>
  <c r="A1644" i="12" s="1"/>
  <c r="A1645" i="12" s="1"/>
  <c r="A1646" i="12" s="1"/>
  <c r="A1647" i="12" s="1"/>
  <c r="A1648" i="12" s="1"/>
  <c r="A1649" i="12" s="1"/>
  <c r="A1650" i="12" s="1"/>
  <c r="A1651" i="12" s="1"/>
  <c r="A1652" i="12" s="1"/>
  <c r="A1653" i="12" s="1"/>
  <c r="A1654" i="12" s="1"/>
  <c r="A1655" i="12" s="1"/>
  <c r="A1656" i="12" s="1"/>
  <c r="A1657" i="12" s="1"/>
  <c r="A1658" i="12" s="1"/>
  <c r="A1659" i="12" s="1"/>
  <c r="A1660" i="12" s="1"/>
  <c r="A1661" i="12" s="1"/>
  <c r="A1662" i="12" s="1"/>
  <c r="A1663" i="12" s="1"/>
  <c r="A1664" i="12" s="1"/>
  <c r="A1665" i="12" s="1"/>
  <c r="A1666" i="12" s="1"/>
  <c r="A1667" i="12" s="1"/>
  <c r="A1668" i="12" s="1"/>
  <c r="A1669" i="12" s="1"/>
  <c r="A1670" i="12" s="1"/>
  <c r="A1671" i="12" s="1"/>
  <c r="A1672" i="12" s="1"/>
  <c r="A1673" i="12" s="1"/>
  <c r="A1674" i="12" s="1"/>
  <c r="A1675" i="12" s="1"/>
  <c r="A1676" i="12" s="1"/>
  <c r="A1677" i="12" s="1"/>
  <c r="A1678" i="12" s="1"/>
  <c r="A1679" i="12" s="1"/>
  <c r="A1680" i="12" s="1"/>
  <c r="A1681" i="12" s="1"/>
  <c r="A1682" i="12" s="1"/>
  <c r="A1683" i="12" s="1"/>
  <c r="A1684" i="12" s="1"/>
  <c r="A1685" i="12" s="1"/>
  <c r="A1686" i="12" s="1"/>
  <c r="A1687" i="12" s="1"/>
  <c r="A1688" i="12" s="1"/>
  <c r="A1689" i="12" s="1"/>
  <c r="A1690" i="12" s="1"/>
  <c r="A1691" i="12" s="1"/>
  <c r="A1692" i="12" s="1"/>
  <c r="A1693" i="12" s="1"/>
  <c r="A1694" i="12" s="1"/>
  <c r="A1695" i="12" s="1"/>
  <c r="A1696" i="12" s="1"/>
  <c r="A1697" i="12" s="1"/>
  <c r="A1698" i="12" s="1"/>
  <c r="A1699" i="12" s="1"/>
  <c r="A1700" i="12" s="1"/>
  <c r="A1701" i="12" s="1"/>
  <c r="A1702" i="12" s="1"/>
  <c r="A1703" i="12" s="1"/>
  <c r="A1704" i="12" s="1"/>
  <c r="A1705" i="12" s="1"/>
  <c r="A1706" i="12" s="1"/>
  <c r="A1707" i="12" s="1"/>
  <c r="A1708" i="12" s="1"/>
  <c r="A1709" i="12" s="1"/>
  <c r="A1710" i="12" s="1"/>
  <c r="A1711" i="12" s="1"/>
  <c r="A1712" i="12" s="1"/>
  <c r="A1713" i="12" s="1"/>
  <c r="A1714" i="12" s="1"/>
  <c r="A1715" i="12" s="1"/>
  <c r="A1716" i="12" s="1"/>
  <c r="A1717" i="12" s="1"/>
  <c r="A1718" i="12" s="1"/>
  <c r="A1719" i="12" s="1"/>
  <c r="A1720" i="12" s="1"/>
  <c r="A1721" i="12" s="1"/>
  <c r="A1722" i="12" s="1"/>
  <c r="A1723" i="12" s="1"/>
  <c r="A1724" i="12" s="1"/>
  <c r="A1725" i="12" s="1"/>
  <c r="A1726" i="12" s="1"/>
  <c r="A1727" i="12" s="1"/>
  <c r="A1728" i="12" s="1"/>
  <c r="A1729" i="12" s="1"/>
  <c r="A1730" i="12" s="1"/>
  <c r="A1731" i="12" s="1"/>
  <c r="A1732" i="12" s="1"/>
  <c r="A1733" i="12" s="1"/>
  <c r="A1734" i="12" s="1"/>
  <c r="A1735" i="12" s="1"/>
  <c r="A1736" i="12" s="1"/>
  <c r="A1737" i="12" s="1"/>
  <c r="A1738" i="12" s="1"/>
  <c r="A1739" i="12" s="1"/>
  <c r="A1740" i="12" s="1"/>
  <c r="A1741" i="12" s="1"/>
  <c r="A1742" i="12" s="1"/>
  <c r="A1743" i="12" s="1"/>
  <c r="A1744" i="12" s="1"/>
  <c r="A1745" i="12" s="1"/>
  <c r="A1746" i="12" s="1"/>
  <c r="A1747" i="12" s="1"/>
  <c r="A1748" i="12" s="1"/>
  <c r="A1749" i="12" s="1"/>
  <c r="A1750" i="12" s="1"/>
  <c r="A1751" i="12" s="1"/>
  <c r="A1752" i="12" s="1"/>
  <c r="A1753" i="12" s="1"/>
  <c r="A1754" i="12" s="1"/>
  <c r="A1755" i="12" s="1"/>
  <c r="A1756" i="12" s="1"/>
  <c r="A1757" i="12" s="1"/>
  <c r="A1758" i="12" s="1"/>
  <c r="A1759" i="12" s="1"/>
  <c r="A1760" i="12" s="1"/>
  <c r="A1761" i="12" s="1"/>
  <c r="A1762" i="12" s="1"/>
  <c r="A1763" i="12" s="1"/>
  <c r="A1764" i="12" s="1"/>
  <c r="A1765" i="12" s="1"/>
  <c r="A1766" i="12" s="1"/>
  <c r="A1767" i="12" s="1"/>
  <c r="A1768" i="12" s="1"/>
  <c r="A1769" i="12" s="1"/>
  <c r="A1770" i="12" s="1"/>
  <c r="A1771" i="12" s="1"/>
  <c r="A1772" i="12" s="1"/>
  <c r="A1773" i="12" s="1"/>
  <c r="A1774" i="12" s="1"/>
  <c r="A1775" i="12" s="1"/>
  <c r="A1776" i="12" s="1"/>
  <c r="A1777" i="12" s="1"/>
  <c r="A1778" i="12" s="1"/>
  <c r="A1779" i="12" s="1"/>
  <c r="A1780" i="12" s="1"/>
  <c r="A1781" i="12" s="1"/>
  <c r="A1782" i="12" s="1"/>
  <c r="A1783" i="12" s="1"/>
  <c r="A1784" i="12" s="1"/>
  <c r="A1785" i="12" s="1"/>
  <c r="A1786" i="12" s="1"/>
  <c r="A1787" i="12" s="1"/>
  <c r="A1788" i="12" s="1"/>
  <c r="A1789" i="12" s="1"/>
  <c r="A1790" i="12" s="1"/>
  <c r="A1791" i="12" s="1"/>
  <c r="A1792" i="12" s="1"/>
  <c r="A1793" i="12" s="1"/>
  <c r="A1794" i="12" s="1"/>
  <c r="A1795" i="12" s="1"/>
  <c r="A1796" i="12" s="1"/>
  <c r="A1797" i="12" s="1"/>
  <c r="A1798" i="12" s="1"/>
  <c r="A1799" i="12" s="1"/>
  <c r="A1800" i="12" s="1"/>
  <c r="A1801" i="12" s="1"/>
  <c r="A1802" i="12" s="1"/>
  <c r="A1803" i="12" s="1"/>
  <c r="A1804" i="12" s="1"/>
  <c r="A1805" i="12" s="1"/>
  <c r="A1806" i="12" s="1"/>
  <c r="A1807" i="12" s="1"/>
  <c r="A1808" i="12" s="1"/>
  <c r="A1809" i="12" s="1"/>
  <c r="A1810" i="12" s="1"/>
  <c r="A1811" i="12" s="1"/>
  <c r="A1812" i="12" s="1"/>
  <c r="A1813" i="12" s="1"/>
  <c r="A1814" i="12" s="1"/>
  <c r="A1815" i="12" s="1"/>
  <c r="A1816" i="12" s="1"/>
  <c r="A1817" i="12" s="1"/>
  <c r="A1818" i="12" s="1"/>
  <c r="A1819" i="12" s="1"/>
  <c r="A1820" i="12" s="1"/>
  <c r="A1821" i="12" s="1"/>
  <c r="A1822" i="12" s="1"/>
  <c r="A1823" i="12" s="1"/>
  <c r="A1824" i="12" s="1"/>
  <c r="A1825" i="12" s="1"/>
  <c r="A1826" i="12" s="1"/>
  <c r="A1827" i="12" s="1"/>
  <c r="A1828" i="12" s="1"/>
  <c r="A1829" i="12" s="1"/>
  <c r="A1830" i="12" s="1"/>
  <c r="A1831" i="12" s="1"/>
  <c r="A1832" i="12" s="1"/>
  <c r="A1833" i="12" s="1"/>
  <c r="A1834" i="12" s="1"/>
  <c r="A1835" i="12" s="1"/>
  <c r="A1836" i="12" s="1"/>
  <c r="A1837" i="12" s="1"/>
  <c r="A1838" i="12" s="1"/>
  <c r="A1839" i="12" s="1"/>
  <c r="A1840" i="12" s="1"/>
  <c r="A1841" i="12" s="1"/>
  <c r="A1842" i="12" s="1"/>
  <c r="A1843" i="12" s="1"/>
  <c r="A1844" i="12" s="1"/>
  <c r="A1845" i="12" s="1"/>
  <c r="A1846" i="12" s="1"/>
  <c r="A1847" i="12" s="1"/>
  <c r="A1848" i="12" s="1"/>
  <c r="A1849" i="12" s="1"/>
  <c r="A1850" i="12" s="1"/>
  <c r="A1851" i="12" s="1"/>
  <c r="A1852" i="12" s="1"/>
  <c r="A1853" i="12" s="1"/>
  <c r="A1854" i="12" s="1"/>
  <c r="A1855" i="12" s="1"/>
  <c r="A1856" i="12" s="1"/>
  <c r="A1857" i="12" s="1"/>
  <c r="A1858" i="12" s="1"/>
  <c r="A1859" i="12" s="1"/>
  <c r="A1860" i="12" s="1"/>
  <c r="A1861" i="12" s="1"/>
  <c r="A1862" i="12" s="1"/>
  <c r="A1863" i="12" s="1"/>
  <c r="A1864" i="12" s="1"/>
  <c r="A1865" i="12" s="1"/>
  <c r="A1866" i="12" s="1"/>
  <c r="A1867" i="12" s="1"/>
  <c r="A1868" i="12" s="1"/>
  <c r="A1869" i="12" s="1"/>
  <c r="A1870" i="12" s="1"/>
  <c r="A1871" i="12" s="1"/>
  <c r="A1872" i="12" s="1"/>
  <c r="A1873" i="12" s="1"/>
  <c r="A1874" i="12" s="1"/>
  <c r="A1875" i="12" s="1"/>
  <c r="A1876" i="12" s="1"/>
  <c r="A1877" i="12" s="1"/>
  <c r="A1878" i="12" s="1"/>
  <c r="A1879" i="12" s="1"/>
  <c r="A1880" i="12" s="1"/>
  <c r="A1881" i="12" s="1"/>
  <c r="A1882" i="12" s="1"/>
  <c r="A1883" i="12" s="1"/>
  <c r="A1884" i="12" s="1"/>
  <c r="A1885" i="12" s="1"/>
  <c r="A1886" i="12" s="1"/>
  <c r="A1887" i="12" s="1"/>
  <c r="A1888" i="12" s="1"/>
  <c r="A1889" i="12" s="1"/>
  <c r="A1890" i="12" s="1"/>
  <c r="A1891" i="12" s="1"/>
  <c r="A1892" i="12" s="1"/>
  <c r="A1893" i="12" s="1"/>
  <c r="A1894" i="12" s="1"/>
  <c r="A1895" i="12" s="1"/>
  <c r="A1896" i="12" s="1"/>
  <c r="A1897" i="12" s="1"/>
  <c r="A1898" i="12" s="1"/>
  <c r="A1899" i="12" s="1"/>
  <c r="A1900" i="12" s="1"/>
  <c r="A1901" i="12" s="1"/>
  <c r="A1902" i="12" s="1"/>
  <c r="A1903" i="12" s="1"/>
  <c r="A1904" i="12" s="1"/>
  <c r="A1905" i="12" s="1"/>
  <c r="A1906" i="12" s="1"/>
  <c r="A1907" i="12" s="1"/>
  <c r="A1908" i="12" s="1"/>
  <c r="A1909" i="12" s="1"/>
  <c r="A1910" i="12" s="1"/>
  <c r="A1911" i="12" s="1"/>
  <c r="A1912" i="12" s="1"/>
  <c r="A1913" i="12" s="1"/>
  <c r="A1914" i="12" s="1"/>
  <c r="A1915" i="12" s="1"/>
  <c r="A1916" i="12" s="1"/>
  <c r="A1917" i="12" s="1"/>
  <c r="A1918" i="12" s="1"/>
  <c r="A1919" i="12" s="1"/>
  <c r="A1920" i="12" s="1"/>
  <c r="A1921" i="12" s="1"/>
  <c r="A1922" i="12" s="1"/>
  <c r="A1923" i="12" s="1"/>
  <c r="A1924" i="12" s="1"/>
  <c r="A1925" i="12" s="1"/>
  <c r="A1926" i="12" s="1"/>
  <c r="A1927" i="12" s="1"/>
  <c r="A1928" i="12" s="1"/>
  <c r="A1929" i="12" s="1"/>
  <c r="A1930" i="12" s="1"/>
  <c r="A1931" i="12" s="1"/>
  <c r="A1932" i="12" s="1"/>
  <c r="A1933" i="12" s="1"/>
  <c r="A1934" i="12" s="1"/>
  <c r="A1935" i="12" s="1"/>
  <c r="A1936" i="12" s="1"/>
  <c r="A1937" i="12" s="1"/>
  <c r="A1938" i="12" s="1"/>
  <c r="A1939" i="12" s="1"/>
  <c r="A1940" i="12" s="1"/>
  <c r="A1941" i="12" s="1"/>
  <c r="A1942" i="12" s="1"/>
  <c r="A1943" i="12" s="1"/>
  <c r="A1944" i="12" s="1"/>
  <c r="A1945" i="12" s="1"/>
  <c r="A1946" i="12" s="1"/>
  <c r="A1947" i="12" s="1"/>
  <c r="A1948" i="12" s="1"/>
  <c r="A1949" i="12" s="1"/>
  <c r="A1950" i="12" s="1"/>
  <c r="A1951" i="12" s="1"/>
  <c r="A1952" i="12" s="1"/>
  <c r="A1953" i="12" s="1"/>
  <c r="A1954" i="12" s="1"/>
  <c r="A1955" i="12" s="1"/>
  <c r="A1956" i="12" s="1"/>
  <c r="A1957" i="12" s="1"/>
  <c r="A1958" i="12" s="1"/>
  <c r="A1959" i="12" s="1"/>
  <c r="A1960" i="12" s="1"/>
  <c r="A1961" i="12" s="1"/>
  <c r="A1962" i="12" s="1"/>
  <c r="A1963" i="12" s="1"/>
  <c r="A1964" i="12" s="1"/>
  <c r="A1965" i="12" s="1"/>
  <c r="A1966" i="12" s="1"/>
  <c r="A1967" i="12" s="1"/>
  <c r="A1968" i="12" s="1"/>
  <c r="A1969" i="12" s="1"/>
  <c r="A1970" i="12" s="1"/>
  <c r="A1971" i="12" s="1"/>
  <c r="A1972" i="12" s="1"/>
  <c r="A1973" i="12" s="1"/>
  <c r="A1974" i="12" s="1"/>
  <c r="A1975" i="12" s="1"/>
  <c r="A1976" i="12" s="1"/>
  <c r="A1977" i="12" s="1"/>
  <c r="A1978" i="12" s="1"/>
  <c r="A1979" i="12" s="1"/>
  <c r="A1980" i="12" s="1"/>
  <c r="A1981" i="12" s="1"/>
  <c r="A1982" i="12" s="1"/>
  <c r="A1983" i="12" s="1"/>
  <c r="A1984" i="12" s="1"/>
  <c r="A1985" i="12" s="1"/>
  <c r="A1986" i="12" s="1"/>
  <c r="A1987" i="12" s="1"/>
  <c r="A1988" i="12" s="1"/>
  <c r="A1989" i="12" s="1"/>
  <c r="A1990" i="12" s="1"/>
  <c r="A1991" i="12" s="1"/>
  <c r="A1992" i="12" s="1"/>
  <c r="A1993" i="12" s="1"/>
  <c r="A1994" i="12" s="1"/>
  <c r="A1995" i="12" s="1"/>
  <c r="A1996" i="12" s="1"/>
  <c r="A1997" i="12" s="1"/>
  <c r="A1998" i="12" s="1"/>
  <c r="A1999" i="12" s="1"/>
  <c r="A2000" i="12" s="1"/>
  <c r="A2001" i="12" s="1"/>
  <c r="A2002" i="12" s="1"/>
  <c r="A2003" i="12" s="1"/>
  <c r="A2004" i="12" s="1"/>
  <c r="A2005" i="12" s="1"/>
  <c r="A2006" i="12" s="1"/>
  <c r="A2007" i="12" s="1"/>
  <c r="A2008" i="12" s="1"/>
  <c r="A2009" i="12" s="1"/>
  <c r="A2010" i="12" s="1"/>
  <c r="A2011" i="12" s="1"/>
  <c r="A2012" i="12" s="1"/>
  <c r="A2013" i="12" s="1"/>
  <c r="A2014" i="12" s="1"/>
  <c r="A2015" i="12" s="1"/>
  <c r="A2016" i="12" s="1"/>
  <c r="A2017" i="12" s="1"/>
  <c r="A2018" i="12" s="1"/>
  <c r="A2019" i="12" s="1"/>
  <c r="A2020" i="12" s="1"/>
  <c r="A2021" i="12" s="1"/>
  <c r="A2022" i="12" s="1"/>
  <c r="A2023" i="12" s="1"/>
  <c r="A2024" i="12" s="1"/>
  <c r="A2025" i="12" s="1"/>
  <c r="A2026" i="12" s="1"/>
  <c r="A2027" i="12" s="1"/>
  <c r="A2028" i="12" s="1"/>
  <c r="A2029" i="12" s="1"/>
  <c r="A2030" i="12" s="1"/>
  <c r="A2031" i="12" s="1"/>
  <c r="A2032" i="12" s="1"/>
  <c r="A2033" i="12" s="1"/>
  <c r="A2034" i="12" s="1"/>
  <c r="A2035" i="12" s="1"/>
  <c r="A2036" i="12" s="1"/>
  <c r="A2037" i="12" s="1"/>
  <c r="A2038" i="12" s="1"/>
  <c r="A2039" i="12" s="1"/>
  <c r="A2040" i="12" s="1"/>
  <c r="A2041" i="12" s="1"/>
  <c r="A2042" i="12" s="1"/>
  <c r="A2043" i="12" s="1"/>
  <c r="A2044" i="12" s="1"/>
  <c r="A2045" i="12" s="1"/>
  <c r="A2046" i="12" s="1"/>
  <c r="A2047" i="12" s="1"/>
  <c r="A2048" i="12" s="1"/>
  <c r="A2049" i="12" s="1"/>
  <c r="A2050" i="12" s="1"/>
  <c r="A2051" i="12" s="1"/>
  <c r="A2052" i="12" s="1"/>
  <c r="A2053" i="12" s="1"/>
  <c r="A2054" i="12" s="1"/>
  <c r="A2055" i="12" s="1"/>
  <c r="A2056" i="12" s="1"/>
  <c r="A2057" i="12" s="1"/>
  <c r="A2058" i="12" s="1"/>
  <c r="A2059" i="12" s="1"/>
  <c r="A2060" i="12" s="1"/>
  <c r="A2061" i="12" s="1"/>
  <c r="A2062" i="12" s="1"/>
  <c r="A2063" i="12" s="1"/>
  <c r="A2064" i="12" s="1"/>
  <c r="A2065" i="12" s="1"/>
  <c r="A2066" i="12" s="1"/>
  <c r="A2067" i="12" s="1"/>
  <c r="A2068" i="12" s="1"/>
  <c r="A2069" i="12" s="1"/>
  <c r="A2070" i="12" s="1"/>
  <c r="A2071" i="12" s="1"/>
  <c r="A2072" i="12" s="1"/>
  <c r="A2073" i="12" s="1"/>
  <c r="A2074" i="12" s="1"/>
  <c r="A2075" i="12" s="1"/>
  <c r="A2076" i="12" s="1"/>
  <c r="A2077" i="12" s="1"/>
  <c r="A2078" i="12" s="1"/>
  <c r="A2079" i="12" s="1"/>
  <c r="A2080" i="12" s="1"/>
  <c r="A2081" i="12" s="1"/>
  <c r="A2082" i="12" s="1"/>
  <c r="A2083" i="12" s="1"/>
  <c r="A2084" i="12" s="1"/>
  <c r="A2085" i="12" s="1"/>
  <c r="A2086" i="12" s="1"/>
  <c r="A2087" i="12" s="1"/>
  <c r="A2088" i="12" s="1"/>
  <c r="A2089" i="12" s="1"/>
  <c r="A2090" i="12" s="1"/>
  <c r="A2091" i="12" s="1"/>
  <c r="A2092" i="12" s="1"/>
  <c r="A2093" i="12" s="1"/>
  <c r="A2094" i="12" s="1"/>
  <c r="A2095" i="12" s="1"/>
  <c r="A2096" i="12" s="1"/>
  <c r="A2097" i="12" s="1"/>
  <c r="A2098" i="12" s="1"/>
  <c r="A2099" i="12" s="1"/>
  <c r="A2100" i="12" s="1"/>
  <c r="A2101" i="12" s="1"/>
  <c r="A2102" i="12" s="1"/>
  <c r="A2103" i="12" s="1"/>
  <c r="A2104" i="12" s="1"/>
  <c r="A2105" i="12" s="1"/>
  <c r="A2106" i="12" s="1"/>
  <c r="A2107" i="12" s="1"/>
  <c r="A2108" i="12" s="1"/>
  <c r="A2109" i="12" s="1"/>
  <c r="A2110" i="12" s="1"/>
  <c r="A2111" i="12" s="1"/>
  <c r="A2112" i="12" s="1"/>
  <c r="A2113" i="12" s="1"/>
  <c r="A2114" i="12" s="1"/>
  <c r="A2115" i="12" s="1"/>
  <c r="A2116" i="12" s="1"/>
  <c r="A2117" i="12" s="1"/>
  <c r="A2118" i="12" s="1"/>
  <c r="A2119" i="12" s="1"/>
  <c r="A2120" i="12" s="1"/>
  <c r="A2121" i="12" s="1"/>
  <c r="A2122" i="12" s="1"/>
  <c r="A2123" i="12" s="1"/>
  <c r="A2124" i="12" s="1"/>
  <c r="A2125" i="12" s="1"/>
  <c r="A2126" i="12" s="1"/>
  <c r="A2127" i="12" s="1"/>
  <c r="A2128" i="12" s="1"/>
  <c r="A2129" i="12" s="1"/>
  <c r="A2130" i="12" s="1"/>
  <c r="A2131" i="12" s="1"/>
  <c r="A2132" i="12" s="1"/>
  <c r="A2133" i="12" s="1"/>
  <c r="A2134" i="12" s="1"/>
  <c r="A2135" i="12" s="1"/>
  <c r="A2136" i="12" s="1"/>
  <c r="A2137" i="12" s="1"/>
  <c r="A2138" i="12" s="1"/>
  <c r="A2139" i="12" s="1"/>
  <c r="A2140" i="12" s="1"/>
  <c r="A2141" i="12" s="1"/>
  <c r="A2142" i="12" s="1"/>
  <c r="A2143" i="12" s="1"/>
  <c r="A2144" i="12" s="1"/>
  <c r="A2145" i="12" s="1"/>
  <c r="A2146" i="12" s="1"/>
  <c r="A2147" i="12" s="1"/>
  <c r="A2148" i="12" s="1"/>
  <c r="A2149" i="12" s="1"/>
  <c r="A2150" i="12" s="1"/>
  <c r="A2151" i="12" s="1"/>
  <c r="A2152" i="12" s="1"/>
  <c r="A2153" i="12" s="1"/>
  <c r="A2154" i="12" s="1"/>
  <c r="A2155" i="12" s="1"/>
  <c r="A2156" i="12" s="1"/>
  <c r="A2157" i="12" s="1"/>
  <c r="A2158" i="12" s="1"/>
  <c r="A2159" i="12" s="1"/>
  <c r="A2160" i="12" s="1"/>
  <c r="A2161" i="12" s="1"/>
  <c r="A2162" i="12" s="1"/>
  <c r="A2163" i="12" s="1"/>
  <c r="A2164" i="12" s="1"/>
  <c r="A2165" i="12" s="1"/>
  <c r="A2166" i="12" s="1"/>
  <c r="A2167" i="12" s="1"/>
  <c r="A2168" i="12" s="1"/>
  <c r="A2169" i="12" s="1"/>
  <c r="A2170" i="12" s="1"/>
  <c r="A2171" i="12" s="1"/>
  <c r="A2172" i="12" s="1"/>
  <c r="A2173" i="12" s="1"/>
  <c r="A2174" i="12" s="1"/>
  <c r="A2175" i="12" s="1"/>
  <c r="A2176" i="12" s="1"/>
  <c r="A2177" i="12" s="1"/>
  <c r="A2178" i="12" s="1"/>
  <c r="A2179" i="12" s="1"/>
  <c r="A2180" i="12" s="1"/>
  <c r="A2181" i="12" s="1"/>
  <c r="A2182" i="12" s="1"/>
  <c r="A2183" i="12" s="1"/>
  <c r="A2184" i="12" s="1"/>
  <c r="A2185" i="12" s="1"/>
  <c r="A2186" i="12" s="1"/>
  <c r="A2187" i="12" s="1"/>
  <c r="A2188" i="12" s="1"/>
  <c r="A2189" i="12" s="1"/>
  <c r="A2190" i="12" s="1"/>
  <c r="A2191" i="12" s="1"/>
  <c r="A2192" i="12" s="1"/>
  <c r="A2193" i="12" s="1"/>
  <c r="A2194" i="12" s="1"/>
  <c r="A2195" i="12" s="1"/>
  <c r="A2196" i="12" s="1"/>
  <c r="A2197" i="12" s="1"/>
  <c r="A2198" i="12" s="1"/>
  <c r="A2199" i="12" s="1"/>
  <c r="A2200" i="12" s="1"/>
  <c r="A2201" i="12" s="1"/>
  <c r="A2202" i="12" s="1"/>
  <c r="A2203" i="12" s="1"/>
  <c r="A2204" i="12" s="1"/>
  <c r="A2205" i="12" s="1"/>
  <c r="A2206" i="12" s="1"/>
  <c r="A2207" i="12" s="1"/>
  <c r="A2208" i="12" s="1"/>
  <c r="A2209" i="12" s="1"/>
  <c r="A2210" i="12" s="1"/>
  <c r="A2211" i="12" s="1"/>
  <c r="A2212" i="12" s="1"/>
  <c r="A2213" i="12" s="1"/>
  <c r="A2214" i="12" s="1"/>
  <c r="A2215" i="12" s="1"/>
  <c r="A2216" i="12" s="1"/>
  <c r="A2217" i="12" s="1"/>
  <c r="A2218" i="12" s="1"/>
  <c r="A2219" i="12" s="1"/>
  <c r="A2220" i="12" s="1"/>
  <c r="A2221" i="12" s="1"/>
  <c r="A2222" i="12" s="1"/>
  <c r="A2223" i="12" s="1"/>
  <c r="A2224" i="12" s="1"/>
  <c r="A2225" i="12" s="1"/>
  <c r="A2226" i="12" s="1"/>
  <c r="A2227" i="12" s="1"/>
  <c r="A2228" i="12" s="1"/>
  <c r="A2229" i="12" s="1"/>
  <c r="A2230" i="12" s="1"/>
  <c r="A2231" i="12" s="1"/>
  <c r="A2232" i="12" s="1"/>
  <c r="A2233" i="12" s="1"/>
  <c r="A2234" i="12" s="1"/>
  <c r="A2235" i="12" s="1"/>
  <c r="A2236" i="12" s="1"/>
  <c r="A2237" i="12" s="1"/>
  <c r="A2238" i="12" s="1"/>
  <c r="A2239" i="12" s="1"/>
  <c r="A2240" i="12" s="1"/>
  <c r="A2241" i="12" s="1"/>
  <c r="A2242" i="12" s="1"/>
  <c r="A2243" i="12" s="1"/>
  <c r="A2244" i="12" s="1"/>
  <c r="A2245" i="12" s="1"/>
  <c r="A2246" i="12" s="1"/>
  <c r="A2247" i="12" s="1"/>
  <c r="A2248" i="12" s="1"/>
  <c r="A2249" i="12" s="1"/>
  <c r="A2250" i="12" s="1"/>
  <c r="A2251" i="12" s="1"/>
  <c r="A2252" i="12" s="1"/>
  <c r="A2253" i="12" s="1"/>
  <c r="A2254" i="12" s="1"/>
  <c r="A2255" i="12" s="1"/>
  <c r="A2256" i="12" s="1"/>
  <c r="A2257" i="12" s="1"/>
  <c r="A2258" i="12" s="1"/>
  <c r="A2259" i="12" s="1"/>
  <c r="A2260" i="12" s="1"/>
  <c r="A2261" i="12" s="1"/>
  <c r="A2262" i="12" s="1"/>
  <c r="A2263" i="12" s="1"/>
  <c r="A2264" i="12" s="1"/>
  <c r="A2265" i="12" s="1"/>
  <c r="A2266" i="12" s="1"/>
  <c r="A2267" i="12" s="1"/>
  <c r="A2268" i="12" s="1"/>
  <c r="A2269" i="12" s="1"/>
  <c r="A2270" i="12" s="1"/>
  <c r="A2271" i="12" s="1"/>
  <c r="A2272" i="12" s="1"/>
  <c r="A2273" i="12" s="1"/>
  <c r="A2274" i="12" s="1"/>
  <c r="A2275" i="12" s="1"/>
  <c r="A2276" i="12" s="1"/>
  <c r="A2277" i="12" s="1"/>
  <c r="A2278" i="12" s="1"/>
  <c r="A2279" i="12" s="1"/>
  <c r="A2280" i="12" s="1"/>
  <c r="A2281" i="12" s="1"/>
  <c r="A2282" i="12" s="1"/>
  <c r="A2283" i="12" s="1"/>
  <c r="A2284" i="12" s="1"/>
  <c r="A2285" i="12" s="1"/>
  <c r="A2286" i="12" s="1"/>
  <c r="A2287" i="12" s="1"/>
  <c r="A2288" i="12" s="1"/>
  <c r="A2289" i="12" s="1"/>
  <c r="A2290" i="12" s="1"/>
  <c r="A2291" i="12" s="1"/>
  <c r="A2292" i="12" s="1"/>
  <c r="A2293" i="12" s="1"/>
  <c r="A2294" i="12" s="1"/>
  <c r="A2295" i="12" s="1"/>
  <c r="A2296" i="12" s="1"/>
  <c r="A2297" i="12" s="1"/>
  <c r="A2298" i="12" s="1"/>
  <c r="A2299" i="12" s="1"/>
  <c r="A2300" i="12" s="1"/>
  <c r="A2301" i="12" s="1"/>
  <c r="A2302" i="12" s="1"/>
  <c r="A2303" i="12" s="1"/>
  <c r="A2304" i="12" s="1"/>
  <c r="A2305" i="12" s="1"/>
  <c r="A2306" i="12" s="1"/>
  <c r="A2307" i="12" s="1"/>
  <c r="A2308" i="12" s="1"/>
  <c r="A2309" i="12" s="1"/>
  <c r="A2310" i="12" s="1"/>
  <c r="A2311" i="12" s="1"/>
  <c r="A2312" i="12" s="1"/>
  <c r="A2313" i="12" s="1"/>
  <c r="A2314" i="12" s="1"/>
  <c r="A2315" i="12" s="1"/>
  <c r="A2316" i="12" s="1"/>
  <c r="A2317" i="12" s="1"/>
  <c r="A2318" i="12" s="1"/>
  <c r="A2319" i="12" s="1"/>
  <c r="A2320" i="12" s="1"/>
  <c r="A2321" i="12" s="1"/>
  <c r="A2322" i="12" s="1"/>
  <c r="A2323" i="12" s="1"/>
  <c r="A2324" i="12" s="1"/>
  <c r="A2325" i="12" s="1"/>
  <c r="A2326" i="12" s="1"/>
  <c r="A2327" i="12" s="1"/>
  <c r="A2328" i="12" s="1"/>
  <c r="A2329" i="12" s="1"/>
  <c r="A2330" i="12" s="1"/>
  <c r="A2331" i="12" s="1"/>
  <c r="A2332" i="12" s="1"/>
  <c r="A2333" i="12" s="1"/>
  <c r="A2334" i="12" s="1"/>
  <c r="A2335" i="12" s="1"/>
  <c r="A2336" i="12" s="1"/>
  <c r="A2337" i="12" s="1"/>
  <c r="A2338" i="12" s="1"/>
  <c r="A2339" i="12" s="1"/>
  <c r="A2340" i="12" s="1"/>
  <c r="A2341" i="12" s="1"/>
  <c r="A2342" i="12" s="1"/>
  <c r="A2343" i="12" s="1"/>
  <c r="A2344" i="12" s="1"/>
  <c r="A2345" i="12" s="1"/>
  <c r="A2346" i="12" s="1"/>
  <c r="A2347" i="12" s="1"/>
  <c r="A2348" i="12" s="1"/>
  <c r="A2349" i="12" s="1"/>
  <c r="A2350" i="12" s="1"/>
  <c r="A2351" i="12" s="1"/>
  <c r="A2352" i="12" s="1"/>
  <c r="A2353" i="12" s="1"/>
  <c r="A2354" i="12" s="1"/>
  <c r="A2355" i="12" s="1"/>
  <c r="A2356" i="12" s="1"/>
  <c r="A2357" i="12" s="1"/>
  <c r="A2358" i="12" s="1"/>
  <c r="A2359" i="12" s="1"/>
  <c r="A2360" i="12" s="1"/>
  <c r="A2361" i="12" s="1"/>
  <c r="A2362" i="12" s="1"/>
  <c r="A2363" i="12" s="1"/>
  <c r="A2364" i="12" s="1"/>
  <c r="A2365" i="12" s="1"/>
  <c r="A2366" i="12" s="1"/>
  <c r="A2367" i="12" s="1"/>
  <c r="A2368" i="12" s="1"/>
  <c r="A2369" i="12" s="1"/>
  <c r="A2370" i="12" s="1"/>
  <c r="A2371" i="12" s="1"/>
  <c r="A2372" i="12" s="1"/>
  <c r="A2373" i="12" s="1"/>
  <c r="A2374" i="12" s="1"/>
  <c r="A2375" i="12" s="1"/>
  <c r="A2376" i="12" s="1"/>
  <c r="A2377" i="12" s="1"/>
  <c r="A2378" i="12" s="1"/>
  <c r="A2379" i="12" s="1"/>
  <c r="A2380" i="12" s="1"/>
  <c r="A2381" i="12" s="1"/>
  <c r="A2382" i="12" s="1"/>
  <c r="A2383" i="12" s="1"/>
  <c r="A2384" i="12" s="1"/>
  <c r="A2385" i="12" s="1"/>
  <c r="A2386" i="12" s="1"/>
  <c r="A2387" i="12" s="1"/>
  <c r="A2388" i="12" s="1"/>
  <c r="A2389" i="12" s="1"/>
  <c r="A2390" i="12" s="1"/>
  <c r="A2391" i="12" s="1"/>
  <c r="A2392" i="12" s="1"/>
  <c r="A2393" i="12" s="1"/>
  <c r="A2394" i="12" s="1"/>
  <c r="A2395" i="12" s="1"/>
  <c r="A2396" i="12" s="1"/>
  <c r="A2397" i="12" s="1"/>
  <c r="A2398" i="12" s="1"/>
  <c r="A2399" i="12" s="1"/>
  <c r="A2400" i="12" s="1"/>
  <c r="A2401" i="12" s="1"/>
  <c r="A2402" i="12" s="1"/>
  <c r="A2403" i="12" s="1"/>
  <c r="A2404" i="12" s="1"/>
  <c r="A2405" i="12" s="1"/>
  <c r="A2406" i="12" s="1"/>
  <c r="A2407" i="12" s="1"/>
  <c r="A2408" i="12" s="1"/>
  <c r="A2409" i="12" s="1"/>
  <c r="A2410" i="12" s="1"/>
  <c r="A2411" i="12" s="1"/>
  <c r="A2412" i="12" s="1"/>
  <c r="A2413" i="12" s="1"/>
  <c r="A2414" i="12" s="1"/>
  <c r="A2415" i="12" s="1"/>
  <c r="A2416" i="12" s="1"/>
  <c r="A2417" i="12" s="1"/>
  <c r="A2418" i="12" s="1"/>
  <c r="A2419" i="12" s="1"/>
  <c r="A2420" i="12" s="1"/>
  <c r="A2421" i="12" s="1"/>
  <c r="A2422" i="12" s="1"/>
  <c r="A2423" i="12" s="1"/>
  <c r="A2424" i="12" s="1"/>
  <c r="A2425" i="12" s="1"/>
  <c r="A2426" i="12" s="1"/>
  <c r="A2427" i="12" s="1"/>
  <c r="A2428" i="12" s="1"/>
  <c r="A2429" i="12" s="1"/>
  <c r="A2430" i="12" s="1"/>
  <c r="A2431" i="12" s="1"/>
  <c r="A2432" i="12" s="1"/>
  <c r="A2433" i="12" s="1"/>
  <c r="A2434" i="12" s="1"/>
  <c r="A2435" i="12" s="1"/>
  <c r="A2436" i="12" s="1"/>
  <c r="A2437" i="12" s="1"/>
  <c r="A2438" i="12" s="1"/>
  <c r="A2439" i="12" s="1"/>
  <c r="A2440" i="12" s="1"/>
  <c r="A2441" i="12" s="1"/>
  <c r="A2442" i="12" s="1"/>
  <c r="A2443" i="12" s="1"/>
  <c r="A2444" i="12" s="1"/>
  <c r="A2445" i="12" s="1"/>
  <c r="A2446" i="12" s="1"/>
  <c r="A2447" i="12" s="1"/>
  <c r="A2448" i="12" s="1"/>
  <c r="A2449" i="12" s="1"/>
  <c r="A2450" i="12" s="1"/>
  <c r="A2451" i="12" s="1"/>
  <c r="A2452" i="12" s="1"/>
  <c r="A2453" i="12" s="1"/>
  <c r="A2454" i="12" s="1"/>
  <c r="A2455" i="12" s="1"/>
  <c r="A2456" i="12" s="1"/>
  <c r="A2457" i="12" s="1"/>
  <c r="A2458" i="12" s="1"/>
  <c r="A2459" i="12" s="1"/>
  <c r="A2460" i="12" s="1"/>
  <c r="A2461" i="12" s="1"/>
  <c r="A2462" i="12" s="1"/>
  <c r="A2463" i="12" s="1"/>
  <c r="A2464" i="12" s="1"/>
  <c r="A2465" i="12" s="1"/>
  <c r="A2466" i="12" s="1"/>
  <c r="A2467" i="12" s="1"/>
  <c r="A2468" i="12" s="1"/>
  <c r="A2469" i="12" s="1"/>
  <c r="A2470" i="12" s="1"/>
  <c r="A2471" i="12" s="1"/>
  <c r="A2472" i="12" s="1"/>
  <c r="A2473" i="12" s="1"/>
  <c r="A2474" i="12" s="1"/>
  <c r="A2475" i="12" s="1"/>
  <c r="A2476" i="12" s="1"/>
  <c r="A2477" i="12" s="1"/>
  <c r="A2478" i="12" s="1"/>
  <c r="A2479" i="12" s="1"/>
  <c r="A2480" i="12" s="1"/>
  <c r="A2481" i="12" s="1"/>
  <c r="A2482" i="12" s="1"/>
  <c r="A2483" i="12" s="1"/>
  <c r="A2484" i="12" s="1"/>
  <c r="A2485" i="12" s="1"/>
  <c r="A2486" i="12" s="1"/>
  <c r="A2487" i="12" s="1"/>
  <c r="A2488" i="12" s="1"/>
  <c r="A2489" i="12" s="1"/>
  <c r="A2490" i="12" s="1"/>
  <c r="A2491" i="12" s="1"/>
  <c r="A2492" i="12" s="1"/>
  <c r="A2493" i="12" s="1"/>
  <c r="A2494" i="12" s="1"/>
  <c r="A2495" i="12" s="1"/>
  <c r="A2496" i="12" s="1"/>
  <c r="A2497" i="12" s="1"/>
  <c r="A2498" i="12" s="1"/>
  <c r="A2499" i="12" s="1"/>
  <c r="A2500" i="12" s="1"/>
  <c r="A2501" i="12" s="1"/>
  <c r="A2502" i="12" s="1"/>
  <c r="A2503" i="12" s="1"/>
  <c r="A2504" i="12" s="1"/>
  <c r="A2505" i="12" s="1"/>
  <c r="A2506" i="12" s="1"/>
  <c r="A2507" i="12" s="1"/>
  <c r="A2508" i="12" s="1"/>
  <c r="A2509" i="12" s="1"/>
  <c r="A2510" i="12" s="1"/>
  <c r="A2511" i="12" s="1"/>
  <c r="A2512" i="12" s="1"/>
  <c r="A2513" i="12" s="1"/>
  <c r="A2514" i="12" s="1"/>
  <c r="A2515" i="12" s="1"/>
  <c r="A2516" i="12" s="1"/>
  <c r="A2517" i="12" s="1"/>
  <c r="A2518" i="12" s="1"/>
  <c r="A2519" i="12" s="1"/>
  <c r="A2520" i="12" s="1"/>
  <c r="A2521" i="12" s="1"/>
  <c r="A2522" i="12" s="1"/>
  <c r="A2523" i="12" s="1"/>
  <c r="A2524" i="12" s="1"/>
  <c r="A2525" i="12" s="1"/>
  <c r="A2526" i="12" s="1"/>
  <c r="A2527" i="12" s="1"/>
  <c r="A2528" i="12" s="1"/>
  <c r="A2529" i="12" s="1"/>
  <c r="A2530" i="12" s="1"/>
  <c r="A2531" i="12" s="1"/>
  <c r="A2532" i="12" s="1"/>
  <c r="A2533" i="12" s="1"/>
  <c r="A2534" i="12" s="1"/>
  <c r="A2535" i="12" s="1"/>
  <c r="A2536" i="12" s="1"/>
  <c r="A2537" i="12" s="1"/>
  <c r="A2538" i="12" s="1"/>
  <c r="A2539" i="12" s="1"/>
  <c r="A2540" i="12" s="1"/>
  <c r="A2541" i="12" s="1"/>
  <c r="A2542" i="12" s="1"/>
  <c r="A2543" i="12" s="1"/>
  <c r="A2544" i="12" s="1"/>
  <c r="A2545" i="12" s="1"/>
  <c r="A2546" i="12" s="1"/>
  <c r="A2547" i="12" s="1"/>
  <c r="A2548" i="12" s="1"/>
  <c r="A2549" i="12" s="1"/>
  <c r="A2550" i="12" s="1"/>
  <c r="A2551" i="12" s="1"/>
  <c r="A2552" i="12" s="1"/>
  <c r="A2553" i="12" s="1"/>
  <c r="A2554" i="12" s="1"/>
  <c r="A2555" i="12" s="1"/>
  <c r="A2556" i="12" s="1"/>
  <c r="A2557" i="12" s="1"/>
  <c r="A2558" i="12" s="1"/>
  <c r="A2559" i="12" s="1"/>
  <c r="A2560" i="12" s="1"/>
  <c r="A2561" i="12" s="1"/>
  <c r="A2562" i="12" s="1"/>
  <c r="A2563" i="12" s="1"/>
  <c r="A2564" i="12" s="1"/>
  <c r="A2565" i="12" s="1"/>
  <c r="A2566" i="12" s="1"/>
  <c r="A2567" i="12" s="1"/>
  <c r="A2568" i="12" s="1"/>
  <c r="A2569" i="12" s="1"/>
  <c r="A2570" i="12" s="1"/>
  <c r="A2571" i="12" s="1"/>
  <c r="A2572" i="12" s="1"/>
  <c r="A2573" i="12" s="1"/>
  <c r="A2574" i="12" s="1"/>
  <c r="A2575" i="12" s="1"/>
  <c r="A2576" i="12" s="1"/>
  <c r="A2577" i="12" s="1"/>
  <c r="A2578" i="12" s="1"/>
  <c r="A2579" i="12" s="1"/>
  <c r="A2580" i="12" s="1"/>
  <c r="A2581" i="12" s="1"/>
  <c r="A2582" i="12" s="1"/>
  <c r="A2583" i="12" s="1"/>
  <c r="A2584" i="12" s="1"/>
  <c r="A2585" i="12" s="1"/>
  <c r="A2586" i="12" s="1"/>
  <c r="A2587" i="12" s="1"/>
  <c r="A2588" i="12" s="1"/>
  <c r="A2589" i="12" s="1"/>
  <c r="A2590" i="12" s="1"/>
  <c r="A2591" i="12" s="1"/>
  <c r="A2592" i="12" s="1"/>
  <c r="A2593" i="12" s="1"/>
  <c r="A2594" i="12" s="1"/>
  <c r="A2595" i="12" s="1"/>
  <c r="A2596" i="12" s="1"/>
  <c r="A2597" i="12" s="1"/>
  <c r="A2598" i="12" s="1"/>
  <c r="A2599" i="12" s="1"/>
  <c r="A2600" i="12" s="1"/>
  <c r="A2601" i="12" s="1"/>
  <c r="A2602" i="12" s="1"/>
  <c r="A2603" i="12" s="1"/>
  <c r="A2604" i="12" s="1"/>
  <c r="A2605" i="12" s="1"/>
  <c r="A2606" i="12" s="1"/>
  <c r="A2607" i="12" s="1"/>
  <c r="A2608" i="12" s="1"/>
  <c r="A2609" i="12" s="1"/>
  <c r="A2610" i="12" s="1"/>
  <c r="A2611" i="12" s="1"/>
  <c r="A2612" i="12" s="1"/>
  <c r="A2613" i="12" s="1"/>
  <c r="A2614" i="12" s="1"/>
  <c r="A2615" i="12" s="1"/>
  <c r="A2616" i="12" s="1"/>
  <c r="A2617" i="12" s="1"/>
  <c r="A2618" i="12" s="1"/>
  <c r="A2619" i="12" s="1"/>
  <c r="A2620" i="12" s="1"/>
  <c r="A2621" i="12" s="1"/>
  <c r="A2622" i="12" s="1"/>
  <c r="A2623" i="12" s="1"/>
  <c r="A2624" i="12" s="1"/>
  <c r="A2625" i="12" s="1"/>
  <c r="A2626" i="12" s="1"/>
  <c r="A2627" i="12" s="1"/>
  <c r="A2628" i="12" s="1"/>
  <c r="A2629" i="12" s="1"/>
  <c r="A2630" i="12" s="1"/>
  <c r="A2631" i="12" s="1"/>
  <c r="A2632" i="12" s="1"/>
  <c r="A2633" i="12" s="1"/>
  <c r="A2634" i="12" s="1"/>
  <c r="A2635" i="12" s="1"/>
  <c r="A2636" i="12" s="1"/>
  <c r="A2637" i="12" s="1"/>
  <c r="A2638" i="12" s="1"/>
  <c r="A2639" i="12" s="1"/>
  <c r="A2640" i="12" s="1"/>
  <c r="A2641" i="12" s="1"/>
  <c r="A2642" i="12" s="1"/>
  <c r="A2643" i="12" s="1"/>
  <c r="A2644" i="12" s="1"/>
  <c r="A2645" i="12" s="1"/>
  <c r="A2646" i="12" s="1"/>
  <c r="A2647" i="12" s="1"/>
  <c r="A2648" i="12" s="1"/>
  <c r="A2649" i="12" s="1"/>
  <c r="A2650" i="12" s="1"/>
  <c r="A2651" i="12" s="1"/>
  <c r="A2652" i="12" s="1"/>
  <c r="A2653" i="12" s="1"/>
  <c r="A2654" i="12" s="1"/>
  <c r="A2655" i="12" s="1"/>
  <c r="A2656" i="12" s="1"/>
  <c r="A2657" i="12" s="1"/>
  <c r="A2658" i="12" s="1"/>
  <c r="A2659" i="12" s="1"/>
  <c r="A2660" i="12" s="1"/>
  <c r="A2661" i="12" s="1"/>
  <c r="A2662" i="12" s="1"/>
  <c r="A2663" i="12" s="1"/>
  <c r="A2664" i="12" s="1"/>
  <c r="A2665" i="12" s="1"/>
  <c r="A2666" i="12" s="1"/>
  <c r="A2667" i="12" s="1"/>
  <c r="A2668" i="12" s="1"/>
  <c r="A2669" i="12" s="1"/>
  <c r="A2670" i="12" s="1"/>
  <c r="A2671" i="12" s="1"/>
  <c r="A2672" i="12" s="1"/>
  <c r="A2673" i="12" s="1"/>
  <c r="A2674" i="12" s="1"/>
  <c r="A2675" i="12" s="1"/>
  <c r="A2676" i="12" s="1"/>
  <c r="A2677" i="12" s="1"/>
  <c r="A2678" i="12" s="1"/>
  <c r="A2679" i="12" s="1"/>
  <c r="A2680" i="12" s="1"/>
  <c r="A2681" i="12" s="1"/>
  <c r="A2682" i="12" s="1"/>
  <c r="A2683" i="12" s="1"/>
  <c r="A2684" i="12" s="1"/>
  <c r="A2685" i="12" s="1"/>
  <c r="A2686" i="12" s="1"/>
  <c r="A2687" i="12" s="1"/>
  <c r="A2688" i="12" s="1"/>
  <c r="A2689" i="12" s="1"/>
  <c r="A2690" i="12" s="1"/>
  <c r="A2691" i="12" s="1"/>
  <c r="A2692" i="12" s="1"/>
  <c r="A2693" i="12" s="1"/>
  <c r="A2694" i="12" s="1"/>
  <c r="A2695" i="12" s="1"/>
  <c r="A2696" i="12" s="1"/>
  <c r="A2697" i="12" s="1"/>
  <c r="A2698" i="12" s="1"/>
  <c r="A2699" i="12" s="1"/>
  <c r="A2700" i="12" s="1"/>
  <c r="A2701" i="12" s="1"/>
  <c r="A2702" i="12" s="1"/>
  <c r="A2703" i="12" s="1"/>
  <c r="A2704" i="12" s="1"/>
  <c r="A2705" i="12" s="1"/>
  <c r="A2706" i="12" s="1"/>
  <c r="A2707" i="12" s="1"/>
  <c r="A2708" i="12" s="1"/>
  <c r="A2709" i="12" s="1"/>
  <c r="A2710" i="12" s="1"/>
  <c r="A2711" i="12" s="1"/>
  <c r="A2712" i="12" s="1"/>
  <c r="A2713" i="12" s="1"/>
  <c r="A2714" i="12" s="1"/>
  <c r="A2715" i="12" s="1"/>
  <c r="A2716" i="12" s="1"/>
  <c r="A2717" i="12" s="1"/>
  <c r="A2718" i="12" s="1"/>
  <c r="A2719" i="12" s="1"/>
  <c r="A2720" i="12" s="1"/>
  <c r="A2721" i="12" s="1"/>
  <c r="A2722" i="12" s="1"/>
  <c r="A2723" i="12" s="1"/>
  <c r="A2724" i="12" s="1"/>
  <c r="A2725" i="12" s="1"/>
  <c r="A2726" i="12" s="1"/>
  <c r="A2727" i="12" s="1"/>
  <c r="A2728" i="12" s="1"/>
  <c r="A2729" i="12" s="1"/>
  <c r="A2730" i="12" s="1"/>
  <c r="A2731" i="12" s="1"/>
  <c r="A2732" i="12" s="1"/>
  <c r="A2733" i="12" s="1"/>
  <c r="A2734" i="12" s="1"/>
  <c r="A2735" i="12" s="1"/>
  <c r="A2736" i="12" s="1"/>
  <c r="A2737" i="12" s="1"/>
  <c r="A2738" i="12" s="1"/>
  <c r="A2739" i="12" s="1"/>
  <c r="A2740" i="12" s="1"/>
  <c r="A2741" i="12" s="1"/>
  <c r="A2742" i="12" s="1"/>
  <c r="A2743" i="12" s="1"/>
  <c r="A2744" i="12" s="1"/>
  <c r="A2745" i="12" s="1"/>
  <c r="A2746" i="12" s="1"/>
  <c r="A2747" i="12" s="1"/>
  <c r="A2748" i="12" s="1"/>
  <c r="A2749" i="12" s="1"/>
  <c r="A2750" i="12" s="1"/>
  <c r="A2751" i="12" s="1"/>
  <c r="A2752" i="12" s="1"/>
  <c r="A2753" i="12" s="1"/>
  <c r="A2754" i="12" s="1"/>
  <c r="A2755" i="12" s="1"/>
  <c r="A2756" i="12" s="1"/>
  <c r="A2757" i="12" s="1"/>
  <c r="A2758" i="12" s="1"/>
  <c r="A2759" i="12" s="1"/>
  <c r="A2760" i="12" s="1"/>
  <c r="A2761" i="12" s="1"/>
  <c r="A2762" i="12" s="1"/>
  <c r="A2763" i="12" s="1"/>
  <c r="A2764" i="12" s="1"/>
  <c r="A2765" i="12" s="1"/>
  <c r="A2766" i="12" s="1"/>
  <c r="A2767" i="12" s="1"/>
  <c r="A2768" i="12" s="1"/>
  <c r="A2769" i="12" s="1"/>
  <c r="A2770" i="12" s="1"/>
  <c r="A2771" i="12" s="1"/>
  <c r="A2772" i="12" s="1"/>
  <c r="A2773" i="12" s="1"/>
  <c r="A2774" i="12" s="1"/>
  <c r="A2775" i="12" s="1"/>
  <c r="A2776" i="12" s="1"/>
  <c r="A2777" i="12" s="1"/>
  <c r="A2778" i="12" s="1"/>
  <c r="A2779" i="12" s="1"/>
  <c r="A2780" i="12" s="1"/>
  <c r="A2781" i="12" s="1"/>
  <c r="A2782" i="12" s="1"/>
  <c r="A2783" i="12" s="1"/>
  <c r="A2784" i="12" s="1"/>
  <c r="A2785" i="12" s="1"/>
  <c r="A2786" i="12" s="1"/>
  <c r="A2787" i="12" s="1"/>
  <c r="A2788" i="12" s="1"/>
  <c r="A2789" i="12" s="1"/>
  <c r="A2790" i="12" s="1"/>
  <c r="A2791" i="12" s="1"/>
  <c r="A2792" i="12" s="1"/>
  <c r="A2793" i="12" s="1"/>
  <c r="A2794" i="12" s="1"/>
  <c r="A2795" i="12" s="1"/>
  <c r="A2796" i="12" s="1"/>
  <c r="A2797" i="12" s="1"/>
  <c r="A2798" i="12" s="1"/>
  <c r="A2799" i="12" s="1"/>
  <c r="A2800" i="12" s="1"/>
  <c r="A2801" i="12" s="1"/>
  <c r="A2802" i="12" s="1"/>
  <c r="A2803" i="12" s="1"/>
  <c r="A2804" i="12" s="1"/>
  <c r="A2805" i="12" s="1"/>
  <c r="A2806" i="12" s="1"/>
  <c r="A2807" i="12" s="1"/>
  <c r="A2808" i="12" s="1"/>
  <c r="A2809" i="12" s="1"/>
  <c r="A2810" i="12" s="1"/>
  <c r="A2811" i="12" s="1"/>
  <c r="A2812" i="12" s="1"/>
  <c r="A2813" i="12" s="1"/>
  <c r="A2814" i="12" s="1"/>
  <c r="A2815" i="12" s="1"/>
  <c r="A2816" i="12" s="1"/>
  <c r="A2817" i="12" s="1"/>
  <c r="A2818" i="12" s="1"/>
  <c r="A2819" i="12" s="1"/>
  <c r="A2820" i="12" s="1"/>
  <c r="A2821" i="12" s="1"/>
  <c r="A2822" i="12" s="1"/>
  <c r="A2823" i="12" s="1"/>
  <c r="A2824" i="12" s="1"/>
  <c r="A2825" i="12" s="1"/>
  <c r="A2826" i="12" s="1"/>
  <c r="A2827" i="12" s="1"/>
  <c r="A2828" i="12" s="1"/>
  <c r="A2829" i="12" s="1"/>
  <c r="A2830" i="12" s="1"/>
  <c r="A2831" i="12" s="1"/>
  <c r="A2832" i="12" s="1"/>
  <c r="A2833" i="12" s="1"/>
  <c r="A2834" i="12" s="1"/>
  <c r="A2835" i="12" s="1"/>
  <c r="A2836" i="12" s="1"/>
  <c r="A2837" i="12" s="1"/>
  <c r="A2838" i="12" s="1"/>
  <c r="A2839" i="12" s="1"/>
  <c r="A2840" i="12" s="1"/>
  <c r="A2841" i="12" s="1"/>
  <c r="A2842" i="12" s="1"/>
  <c r="A2843" i="12" s="1"/>
  <c r="A2844" i="12" s="1"/>
  <c r="A2845" i="12" s="1"/>
  <c r="A2846" i="12" s="1"/>
  <c r="A2847" i="12" s="1"/>
  <c r="A2848" i="12" s="1"/>
  <c r="A2849" i="12" s="1"/>
  <c r="A2850" i="12" s="1"/>
  <c r="A2851" i="12" s="1"/>
  <c r="A2852" i="12" s="1"/>
  <c r="A2853" i="12" s="1"/>
  <c r="A2854" i="12" s="1"/>
  <c r="A2855" i="12" s="1"/>
  <c r="A2856" i="12" s="1"/>
  <c r="A2857" i="12" s="1"/>
  <c r="A2858" i="12" s="1"/>
  <c r="A2859" i="12" s="1"/>
  <c r="A2860" i="12" s="1"/>
  <c r="A2861" i="12" s="1"/>
  <c r="A2862" i="12" s="1"/>
  <c r="A2863" i="12" s="1"/>
  <c r="A2864" i="12" s="1"/>
  <c r="A2865" i="12" s="1"/>
  <c r="A2866" i="12" s="1"/>
  <c r="A2867" i="12" s="1"/>
  <c r="A2868" i="12" s="1"/>
  <c r="A2869" i="12" s="1"/>
  <c r="A2870" i="12" s="1"/>
  <c r="A2871" i="12" s="1"/>
  <c r="A2872" i="12" s="1"/>
  <c r="A2873" i="12" s="1"/>
  <c r="A2874" i="12" s="1"/>
  <c r="A2875" i="12" s="1"/>
  <c r="A2876" i="12" s="1"/>
  <c r="A2877" i="12" s="1"/>
  <c r="A2878" i="12" s="1"/>
  <c r="A2879" i="12" s="1"/>
  <c r="A2880" i="12" s="1"/>
  <c r="A2881" i="12" s="1"/>
  <c r="A2882" i="12" s="1"/>
  <c r="A2883" i="12" s="1"/>
  <c r="A2884" i="12" s="1"/>
  <c r="A2885" i="12" s="1"/>
  <c r="A2886" i="12" s="1"/>
  <c r="A2887" i="12" s="1"/>
  <c r="A2888" i="12" s="1"/>
  <c r="A2889" i="12" s="1"/>
  <c r="A2890" i="12" s="1"/>
  <c r="A2891" i="12" s="1"/>
  <c r="A2892" i="12" s="1"/>
  <c r="A2893" i="12" s="1"/>
  <c r="A2894" i="12" s="1"/>
  <c r="A2895" i="12" s="1"/>
  <c r="A2896" i="12" s="1"/>
  <c r="A2897" i="12" s="1"/>
  <c r="A2898" i="12" s="1"/>
  <c r="A2899" i="12" s="1"/>
  <c r="A2900" i="12" s="1"/>
  <c r="A2901" i="12" s="1"/>
  <c r="A2902" i="12" s="1"/>
  <c r="A2903" i="12" s="1"/>
  <c r="A2904" i="12" s="1"/>
  <c r="A2905" i="12" s="1"/>
  <c r="A2906" i="12" s="1"/>
  <c r="A2907" i="12" s="1"/>
  <c r="A2908" i="12" s="1"/>
  <c r="A2909" i="12" s="1"/>
  <c r="A2910" i="12" s="1"/>
  <c r="A2911" i="12" s="1"/>
  <c r="A2912" i="12" s="1"/>
  <c r="A2913" i="12" s="1"/>
  <c r="A2914" i="12" s="1"/>
  <c r="A2915" i="12" s="1"/>
  <c r="A2916" i="12" s="1"/>
  <c r="A2917" i="12" s="1"/>
  <c r="A2918" i="12" s="1"/>
  <c r="A2919" i="12" s="1"/>
  <c r="A2920" i="12" s="1"/>
  <c r="A2921" i="12" s="1"/>
  <c r="A2922" i="12" s="1"/>
  <c r="A2923" i="12" s="1"/>
  <c r="A2924" i="12" s="1"/>
  <c r="A2925" i="12" s="1"/>
  <c r="A2926" i="12" s="1"/>
  <c r="A2927" i="12" s="1"/>
  <c r="A2928" i="12" s="1"/>
  <c r="A2929" i="12" s="1"/>
  <c r="A2930" i="12" s="1"/>
  <c r="A2931" i="12" s="1"/>
  <c r="A2932" i="12" s="1"/>
  <c r="A2933" i="12" s="1"/>
  <c r="A2934" i="12" s="1"/>
  <c r="A2935" i="12" s="1"/>
  <c r="A2936" i="12" s="1"/>
  <c r="A2937" i="12" s="1"/>
  <c r="A2938" i="12" s="1"/>
  <c r="A2939" i="12" s="1"/>
  <c r="A2940" i="12" s="1"/>
  <c r="A2941" i="12" s="1"/>
  <c r="A2942" i="12" s="1"/>
  <c r="A2943" i="12" s="1"/>
  <c r="A2944" i="12" s="1"/>
  <c r="A2945" i="12" s="1"/>
  <c r="A2946" i="12" s="1"/>
  <c r="A2947" i="12" s="1"/>
  <c r="A2948" i="12" s="1"/>
  <c r="A2949" i="12" s="1"/>
  <c r="A2950" i="12" s="1"/>
  <c r="A2951" i="12" s="1"/>
  <c r="A2952" i="12" s="1"/>
  <c r="A2953" i="12" s="1"/>
  <c r="A2954" i="12" s="1"/>
  <c r="A2955" i="12" s="1"/>
  <c r="A2956" i="12" s="1"/>
  <c r="A2957" i="12" s="1"/>
  <c r="A2958" i="12" s="1"/>
  <c r="A2959" i="12" s="1"/>
  <c r="A2960" i="12" s="1"/>
  <c r="A2961" i="12" s="1"/>
  <c r="A2962" i="12" s="1"/>
  <c r="A2963" i="12" s="1"/>
  <c r="A2964" i="12" s="1"/>
  <c r="A2965" i="12" s="1"/>
  <c r="A2966" i="12" s="1"/>
  <c r="A2967" i="12" s="1"/>
  <c r="A2968" i="12" s="1"/>
  <c r="A2969" i="12" s="1"/>
  <c r="A2970" i="12" s="1"/>
  <c r="A2971" i="12" s="1"/>
  <c r="A2972" i="12" s="1"/>
  <c r="A2973" i="12" s="1"/>
  <c r="A2974" i="12" s="1"/>
  <c r="A2975" i="12" s="1"/>
  <c r="A2976" i="12" s="1"/>
  <c r="A2977" i="12" s="1"/>
  <c r="A2978" i="12" s="1"/>
  <c r="A2979" i="12" s="1"/>
  <c r="A2980" i="12" s="1"/>
  <c r="A2981" i="12" s="1"/>
  <c r="A2982" i="12" s="1"/>
  <c r="A2983" i="12" s="1"/>
  <c r="A2984" i="12" s="1"/>
  <c r="A2985" i="12" s="1"/>
  <c r="A2986" i="12" s="1"/>
  <c r="A2987" i="12" s="1"/>
  <c r="A2988" i="12" s="1"/>
  <c r="A2989" i="12" s="1"/>
  <c r="A2990" i="12" s="1"/>
  <c r="A2991" i="12" s="1"/>
  <c r="A2992" i="12" s="1"/>
  <c r="A2993" i="12" s="1"/>
  <c r="A2994" i="12" s="1"/>
  <c r="A2995" i="12" s="1"/>
  <c r="A2996" i="12" s="1"/>
  <c r="A2997" i="12" s="1"/>
  <c r="A2998" i="12" s="1"/>
  <c r="A2999" i="12" s="1"/>
  <c r="A3000" i="12" s="1"/>
  <c r="A3001" i="12" s="1"/>
  <c r="A3002" i="12" s="1"/>
  <c r="A3003" i="12" s="1"/>
  <c r="A3004" i="12" s="1"/>
  <c r="A3005" i="12" s="1"/>
  <c r="A3006" i="12" s="1"/>
  <c r="A3007" i="12" s="1"/>
  <c r="A3008" i="12" s="1"/>
  <c r="A3009" i="12" s="1"/>
  <c r="A3010" i="12" s="1"/>
  <c r="A3011" i="12" s="1"/>
  <c r="A3012" i="12" s="1"/>
  <c r="A3013" i="12" s="1"/>
  <c r="A3014" i="12" s="1"/>
  <c r="A3015" i="12" s="1"/>
  <c r="A3016" i="12" s="1"/>
  <c r="A3017" i="12" s="1"/>
  <c r="A3018" i="12" s="1"/>
  <c r="A3019" i="12" s="1"/>
  <c r="A3020" i="12" s="1"/>
  <c r="A3021" i="12" s="1"/>
  <c r="A3022" i="12" s="1"/>
  <c r="A3023" i="12" s="1"/>
  <c r="A3024" i="12" s="1"/>
  <c r="A3025" i="12" s="1"/>
  <c r="A3026" i="12" s="1"/>
  <c r="A3027" i="12" s="1"/>
  <c r="A3028" i="12" s="1"/>
  <c r="A3029" i="12" s="1"/>
  <c r="A3030" i="12" s="1"/>
  <c r="A3031" i="12" s="1"/>
  <c r="A3032" i="12" s="1"/>
  <c r="A3033" i="12" s="1"/>
  <c r="A3034" i="12" s="1"/>
  <c r="A3035" i="12" s="1"/>
  <c r="A3036" i="12" s="1"/>
  <c r="A3037" i="12" s="1"/>
  <c r="A3038" i="12" s="1"/>
  <c r="A3039" i="12" s="1"/>
  <c r="A3040" i="12" s="1"/>
  <c r="A3041" i="12" s="1"/>
  <c r="A3042" i="12" s="1"/>
  <c r="A3043" i="12" s="1"/>
  <c r="A3044" i="12" s="1"/>
  <c r="A3045" i="12" s="1"/>
  <c r="A3046" i="12" s="1"/>
  <c r="A3047" i="12" s="1"/>
  <c r="A3048" i="12" s="1"/>
  <c r="A3049" i="12" s="1"/>
  <c r="A3050" i="12" s="1"/>
  <c r="A3051" i="12" s="1"/>
  <c r="A3052" i="12" s="1"/>
  <c r="A3053" i="12" s="1"/>
  <c r="A3054" i="12" s="1"/>
  <c r="A3055" i="12" s="1"/>
  <c r="A3056" i="12" s="1"/>
  <c r="A3057" i="12" s="1"/>
  <c r="A3058" i="12" s="1"/>
  <c r="A3059" i="12" s="1"/>
  <c r="A3060" i="12" s="1"/>
  <c r="A3061" i="12" s="1"/>
  <c r="A3062" i="12" s="1"/>
  <c r="A3063" i="12" s="1"/>
  <c r="A3064" i="12" s="1"/>
  <c r="A3065" i="12" s="1"/>
  <c r="A3066" i="12" s="1"/>
  <c r="A3067" i="12" s="1"/>
  <c r="A3068" i="12" s="1"/>
  <c r="A3069" i="12" s="1"/>
  <c r="A3070" i="12" s="1"/>
  <c r="A3071" i="12" s="1"/>
  <c r="A3072" i="12" s="1"/>
  <c r="A3073" i="12" s="1"/>
  <c r="A3074" i="12" s="1"/>
  <c r="A3075" i="12" s="1"/>
  <c r="A3076" i="12" s="1"/>
  <c r="A3077" i="12" s="1"/>
  <c r="A3078" i="12" s="1"/>
  <c r="A3079" i="12" s="1"/>
  <c r="A3080" i="12" s="1"/>
  <c r="A3081" i="12" s="1"/>
  <c r="A3082" i="12" s="1"/>
  <c r="A3083" i="12" s="1"/>
  <c r="A3084" i="12" s="1"/>
  <c r="A3085" i="12" s="1"/>
  <c r="A3086" i="12" s="1"/>
  <c r="A3087" i="12" s="1"/>
  <c r="A3088" i="12" s="1"/>
  <c r="A3089" i="12" s="1"/>
  <c r="A3090" i="12" s="1"/>
  <c r="A3091" i="12" s="1"/>
  <c r="A3092" i="12" s="1"/>
  <c r="A3093" i="12" s="1"/>
  <c r="A3094" i="12" s="1"/>
  <c r="A3095" i="12" s="1"/>
  <c r="A3096" i="12" s="1"/>
  <c r="A3097" i="12" s="1"/>
  <c r="A3098" i="12" s="1"/>
  <c r="A3099" i="12" s="1"/>
  <c r="A3100" i="12" s="1"/>
  <c r="A3101" i="12" s="1"/>
  <c r="A3102" i="12" s="1"/>
  <c r="A3103" i="12" s="1"/>
  <c r="A3104" i="12" s="1"/>
  <c r="A3105" i="12" s="1"/>
  <c r="A3106" i="12" s="1"/>
  <c r="A3107" i="12" s="1"/>
  <c r="A3108" i="12" s="1"/>
  <c r="A3109" i="12" s="1"/>
  <c r="A3110" i="12" s="1"/>
  <c r="A3111" i="12" s="1"/>
  <c r="A3112" i="12" s="1"/>
  <c r="A3113" i="12" s="1"/>
  <c r="A3114" i="12" s="1"/>
  <c r="A3115" i="12" s="1"/>
  <c r="A3116" i="12" s="1"/>
  <c r="A3117" i="12" s="1"/>
  <c r="A3118" i="12" s="1"/>
  <c r="A3119" i="12" s="1"/>
  <c r="A3120" i="12" s="1"/>
  <c r="A3121" i="12" s="1"/>
  <c r="A3122" i="12" s="1"/>
  <c r="A3123" i="12" s="1"/>
  <c r="A3124" i="12" s="1"/>
  <c r="A3125" i="12" s="1"/>
  <c r="A3126" i="12" s="1"/>
  <c r="A3127" i="12" s="1"/>
  <c r="A3128" i="12" s="1"/>
  <c r="A3129" i="12" s="1"/>
  <c r="A3130" i="12" s="1"/>
  <c r="A3131" i="12" s="1"/>
  <c r="A3132" i="12" s="1"/>
  <c r="A3133" i="12" s="1"/>
  <c r="A3134" i="12" s="1"/>
  <c r="A3135" i="12" s="1"/>
  <c r="A3136" i="12" s="1"/>
  <c r="A3137" i="12" s="1"/>
  <c r="A3138" i="12" s="1"/>
  <c r="A3139" i="12" s="1"/>
  <c r="A3140" i="12" s="1"/>
  <c r="A3141" i="12" s="1"/>
  <c r="A3142" i="12" s="1"/>
  <c r="A3143" i="12" s="1"/>
  <c r="A3144" i="12" s="1"/>
  <c r="A3145" i="12" s="1"/>
  <c r="A3146" i="12" s="1"/>
  <c r="A3147" i="12" s="1"/>
  <c r="A3148" i="12" s="1"/>
  <c r="A3149" i="12" s="1"/>
  <c r="A3150" i="12" s="1"/>
  <c r="A3151" i="12" s="1"/>
  <c r="A3152" i="12" s="1"/>
  <c r="A3153" i="12" s="1"/>
  <c r="A3154" i="12" s="1"/>
  <c r="A3155" i="12" s="1"/>
  <c r="A3156" i="12" s="1"/>
  <c r="A3157" i="12" s="1"/>
  <c r="A3158" i="12" s="1"/>
  <c r="A3159" i="12" s="1"/>
  <c r="A3160" i="12" s="1"/>
  <c r="A3161" i="12" s="1"/>
  <c r="A3162" i="12" s="1"/>
  <c r="A3163" i="12" s="1"/>
  <c r="A3164" i="12" s="1"/>
  <c r="A3165" i="12" s="1"/>
  <c r="A3166" i="12" s="1"/>
  <c r="A3167" i="12" s="1"/>
  <c r="A3168" i="12" s="1"/>
  <c r="A3169" i="12" s="1"/>
  <c r="A3170" i="12" s="1"/>
  <c r="A3171" i="12" s="1"/>
  <c r="A3172" i="12" s="1"/>
  <c r="A3173" i="12" s="1"/>
  <c r="A3174" i="12" s="1"/>
  <c r="A3175" i="12" s="1"/>
  <c r="A3176" i="12" s="1"/>
  <c r="A3177" i="12" s="1"/>
  <c r="A3178" i="12" s="1"/>
  <c r="A3179" i="12" s="1"/>
  <c r="A3180" i="12" s="1"/>
  <c r="A3181" i="12" s="1"/>
  <c r="A3182" i="12" s="1"/>
  <c r="A3183" i="12" s="1"/>
  <c r="A3184" i="12" s="1"/>
  <c r="A3185" i="12" s="1"/>
  <c r="A3186" i="12" s="1"/>
  <c r="A3187" i="12" s="1"/>
  <c r="A3188" i="12" s="1"/>
  <c r="A3189" i="12" s="1"/>
  <c r="A3190" i="12" s="1"/>
  <c r="A3191" i="12" s="1"/>
  <c r="A3192" i="12" s="1"/>
  <c r="A3193" i="12" s="1"/>
  <c r="A3194" i="12" s="1"/>
  <c r="A3195" i="12" s="1"/>
  <c r="A3196" i="12" s="1"/>
  <c r="A3197" i="12" s="1"/>
  <c r="A3198" i="12" s="1"/>
  <c r="A3199" i="12" s="1"/>
  <c r="A3200" i="12" s="1"/>
  <c r="A3201" i="12" s="1"/>
  <c r="A3202" i="12" s="1"/>
  <c r="A3203" i="12" s="1"/>
  <c r="A3204" i="12" s="1"/>
  <c r="A3205" i="12" s="1"/>
  <c r="A3206" i="12" s="1"/>
  <c r="A3207" i="12" s="1"/>
  <c r="A3208" i="12" s="1"/>
  <c r="A3209" i="12" s="1"/>
  <c r="A3210" i="12" s="1"/>
  <c r="A3211" i="12" s="1"/>
  <c r="A3212" i="12" s="1"/>
  <c r="A3213" i="12" s="1"/>
  <c r="A3214" i="12" s="1"/>
  <c r="A3215" i="12" s="1"/>
  <c r="A3216" i="12" s="1"/>
  <c r="A3217" i="12" s="1"/>
  <c r="A3218" i="12" s="1"/>
  <c r="A3219" i="12" s="1"/>
  <c r="A3220" i="12" s="1"/>
  <c r="A3221" i="12" s="1"/>
  <c r="A3222" i="12" s="1"/>
  <c r="A3223" i="12" s="1"/>
  <c r="A3224" i="12" s="1"/>
  <c r="A3225" i="12" s="1"/>
  <c r="A3226" i="12" s="1"/>
  <c r="A3227" i="12" s="1"/>
  <c r="A3228" i="12" s="1"/>
  <c r="A3229" i="12" s="1"/>
  <c r="A3230" i="12" s="1"/>
  <c r="A3231" i="12" s="1"/>
  <c r="A3232" i="12" s="1"/>
  <c r="A3233" i="12" s="1"/>
  <c r="A3234" i="12" s="1"/>
  <c r="A3235" i="12" s="1"/>
  <c r="A3236" i="12" s="1"/>
  <c r="A3237" i="12" s="1"/>
  <c r="A3238" i="12" s="1"/>
  <c r="A3239" i="12" s="1"/>
  <c r="A3240" i="12" s="1"/>
  <c r="A3241" i="12" s="1"/>
  <c r="A3242" i="12" s="1"/>
  <c r="A3243" i="12" s="1"/>
  <c r="A3244" i="12" s="1"/>
  <c r="A3245" i="12" s="1"/>
  <c r="A3246" i="12" s="1"/>
  <c r="A3247" i="12" s="1"/>
  <c r="A3248" i="12" s="1"/>
  <c r="A3249" i="12" s="1"/>
  <c r="A3250" i="12" s="1"/>
  <c r="A3251" i="12" s="1"/>
  <c r="A3252" i="12" s="1"/>
  <c r="A3253" i="12" s="1"/>
  <c r="A3254" i="12" s="1"/>
  <c r="A3255" i="12" s="1"/>
  <c r="A3256" i="12" s="1"/>
  <c r="A3257" i="12" s="1"/>
  <c r="A3258" i="12" s="1"/>
  <c r="A3259" i="12" s="1"/>
  <c r="A3260" i="12" s="1"/>
  <c r="A3261" i="12" s="1"/>
  <c r="A3262" i="12" s="1"/>
  <c r="A3263" i="12" s="1"/>
  <c r="A3264" i="12" s="1"/>
  <c r="A3265" i="12" s="1"/>
  <c r="A3266" i="12" s="1"/>
  <c r="A3267" i="12" s="1"/>
  <c r="A3268" i="12" s="1"/>
  <c r="A3269" i="12" s="1"/>
  <c r="A3270" i="12" s="1"/>
  <c r="A3271" i="12" s="1"/>
  <c r="A3272" i="12" s="1"/>
  <c r="A3273" i="12" s="1"/>
  <c r="A3274" i="12" s="1"/>
  <c r="A3275" i="12" s="1"/>
  <c r="A3276" i="12" s="1"/>
  <c r="A3277" i="12" s="1"/>
  <c r="A3278" i="12" s="1"/>
  <c r="A3279" i="12" s="1"/>
  <c r="A3280" i="12" s="1"/>
  <c r="A3281" i="12" s="1"/>
  <c r="A3282" i="12" s="1"/>
  <c r="A3283" i="12" s="1"/>
  <c r="A3284" i="12" s="1"/>
  <c r="A3285" i="12" s="1"/>
  <c r="A3286" i="12" s="1"/>
  <c r="A3287" i="12" s="1"/>
  <c r="A3288" i="12" s="1"/>
  <c r="A3289" i="12" s="1"/>
  <c r="A3290" i="12" s="1"/>
  <c r="A3291" i="12" s="1"/>
  <c r="A3292" i="12" s="1"/>
  <c r="A3293" i="12" s="1"/>
  <c r="A3294" i="12" s="1"/>
  <c r="A3295" i="12" s="1"/>
  <c r="A3296" i="12" s="1"/>
  <c r="A3297" i="12" s="1"/>
  <c r="A3298" i="12" s="1"/>
  <c r="A3299" i="12" s="1"/>
  <c r="A3300" i="12" s="1"/>
  <c r="A3301" i="12" s="1"/>
  <c r="A3302" i="12" s="1"/>
  <c r="A3303" i="12" s="1"/>
  <c r="A3304" i="12" s="1"/>
  <c r="A3305" i="12" s="1"/>
  <c r="A3306" i="12" s="1"/>
  <c r="A3307" i="12" s="1"/>
  <c r="A3308" i="12" s="1"/>
  <c r="A3309" i="12" s="1"/>
  <c r="A3310" i="12" s="1"/>
  <c r="A3311" i="12" s="1"/>
  <c r="A3312" i="12" s="1"/>
  <c r="A3313" i="12" s="1"/>
  <c r="A3314" i="12" s="1"/>
  <c r="A3315" i="12" s="1"/>
  <c r="A3316" i="12" s="1"/>
  <c r="A3317" i="12" s="1"/>
  <c r="A3318" i="12" s="1"/>
  <c r="A3319" i="12" s="1"/>
  <c r="A3320" i="12" s="1"/>
  <c r="A3321" i="12" s="1"/>
  <c r="A3322" i="12" s="1"/>
  <c r="A3323" i="12" s="1"/>
  <c r="A3324" i="12" s="1"/>
  <c r="A3325" i="12" s="1"/>
  <c r="A3326" i="12" s="1"/>
  <c r="A3327" i="12" s="1"/>
  <c r="A3328" i="12" s="1"/>
  <c r="A3329" i="12" s="1"/>
  <c r="A3330" i="12" s="1"/>
  <c r="A3331" i="12" s="1"/>
  <c r="A3332" i="12" s="1"/>
  <c r="A3333" i="12" s="1"/>
  <c r="A3334" i="12" s="1"/>
  <c r="A3335" i="12" s="1"/>
  <c r="A3336" i="12" s="1"/>
  <c r="A3337" i="12" s="1"/>
  <c r="A3338" i="12" s="1"/>
  <c r="A3339" i="12" s="1"/>
  <c r="A3340" i="12" s="1"/>
  <c r="A3341" i="12" s="1"/>
  <c r="A3342" i="12" s="1"/>
  <c r="A3343" i="12" s="1"/>
  <c r="A3344" i="12" s="1"/>
  <c r="A3345" i="12" s="1"/>
  <c r="A3346" i="12" s="1"/>
  <c r="A3347" i="12" s="1"/>
  <c r="A3348" i="12" s="1"/>
  <c r="A3349" i="12" s="1"/>
  <c r="A3350" i="12" s="1"/>
  <c r="A3351" i="12" s="1"/>
  <c r="A3352" i="12" s="1"/>
  <c r="A3353" i="12" s="1"/>
  <c r="A3354" i="12" s="1"/>
  <c r="A3355" i="12" s="1"/>
  <c r="A3356" i="12" s="1"/>
  <c r="A3357" i="12" s="1"/>
  <c r="A3358" i="12" s="1"/>
  <c r="A3359" i="12" s="1"/>
  <c r="A3360" i="12" s="1"/>
  <c r="A3361" i="12" s="1"/>
  <c r="A3362" i="12" s="1"/>
  <c r="A3363" i="12" s="1"/>
  <c r="A3364" i="12" s="1"/>
  <c r="A3365" i="12" s="1"/>
  <c r="A3366" i="12" s="1"/>
  <c r="A3367" i="12" s="1"/>
  <c r="A3368" i="12" s="1"/>
  <c r="A3369" i="12" s="1"/>
  <c r="A3370" i="12" s="1"/>
  <c r="A3371" i="12" s="1"/>
  <c r="A3372" i="12" s="1"/>
  <c r="A3373" i="12" s="1"/>
  <c r="A3374" i="12" s="1"/>
  <c r="A3375" i="12" s="1"/>
  <c r="A3376" i="12" s="1"/>
  <c r="A3377" i="12" s="1"/>
  <c r="A3378" i="12" s="1"/>
  <c r="A3379" i="12" s="1"/>
  <c r="A3380" i="12" s="1"/>
  <c r="A3381" i="12" s="1"/>
  <c r="A3382" i="12" s="1"/>
  <c r="A3383" i="12" s="1"/>
  <c r="A3384" i="12" s="1"/>
  <c r="A3385" i="12" s="1"/>
  <c r="A3386" i="12" s="1"/>
  <c r="A3387" i="12" s="1"/>
  <c r="A3388" i="12" s="1"/>
  <c r="A3389" i="12" s="1"/>
  <c r="A3390" i="12" s="1"/>
  <c r="A3391" i="12" s="1"/>
  <c r="A3392" i="12" s="1"/>
  <c r="A3393" i="12" s="1"/>
  <c r="A3394" i="12" s="1"/>
  <c r="A3395" i="12" s="1"/>
  <c r="A3396" i="12" s="1"/>
  <c r="A3397" i="12" s="1"/>
  <c r="A3398" i="12" s="1"/>
  <c r="A3399" i="12" s="1"/>
  <c r="A3400" i="12" s="1"/>
  <c r="A3401" i="12" s="1"/>
  <c r="A3402" i="12" s="1"/>
  <c r="A3403" i="12" s="1"/>
  <c r="A3404" i="12" s="1"/>
  <c r="A3405" i="12" s="1"/>
  <c r="A3406" i="12" s="1"/>
  <c r="A3407" i="12" s="1"/>
  <c r="A3408" i="12" s="1"/>
  <c r="A3409" i="12" s="1"/>
  <c r="A3410" i="12" s="1"/>
  <c r="A3411" i="12" s="1"/>
  <c r="A3412" i="12" s="1"/>
  <c r="A3413" i="12" s="1"/>
  <c r="A3414" i="12" s="1"/>
  <c r="A3415" i="12" s="1"/>
  <c r="A3416" i="12" s="1"/>
  <c r="A3417" i="12" s="1"/>
  <c r="A3418" i="12" s="1"/>
  <c r="A3419" i="12" s="1"/>
  <c r="A3420" i="12" s="1"/>
  <c r="A3421" i="12" s="1"/>
  <c r="A3422" i="12" s="1"/>
  <c r="A3423" i="12" s="1"/>
  <c r="A3424" i="12" s="1"/>
  <c r="A3425" i="12" s="1"/>
  <c r="A3426" i="12" s="1"/>
  <c r="A3427" i="12" s="1"/>
  <c r="A3428" i="12" s="1"/>
  <c r="A3429" i="12" s="1"/>
  <c r="A3430" i="12" s="1"/>
  <c r="A3431" i="12" s="1"/>
  <c r="A3432" i="12" s="1"/>
  <c r="A3433" i="12" s="1"/>
  <c r="A3434" i="12" s="1"/>
  <c r="A3435" i="12" s="1"/>
  <c r="A3436" i="12" s="1"/>
  <c r="A3437" i="12" s="1"/>
  <c r="A3438" i="12" s="1"/>
  <c r="A3439" i="12" s="1"/>
  <c r="A3440" i="12" s="1"/>
  <c r="A3441" i="12" s="1"/>
  <c r="A3442" i="12" s="1"/>
  <c r="A3443" i="12" s="1"/>
  <c r="A3444" i="12" s="1"/>
  <c r="A3445" i="12" s="1"/>
  <c r="A3446" i="12" s="1"/>
  <c r="A3447" i="12" s="1"/>
  <c r="A3448" i="12" s="1"/>
  <c r="A3449" i="12" s="1"/>
  <c r="A3450" i="12" s="1"/>
  <c r="A3451" i="12" s="1"/>
  <c r="A3452" i="12" s="1"/>
  <c r="A3453" i="12" s="1"/>
  <c r="A3454" i="12" s="1"/>
  <c r="A3455" i="12" s="1"/>
  <c r="A3456" i="12" s="1"/>
  <c r="A3457" i="12" s="1"/>
  <c r="A3458" i="12" s="1"/>
  <c r="A3459" i="12" s="1"/>
  <c r="A3460" i="12" s="1"/>
  <c r="A3461" i="12" s="1"/>
  <c r="A3462" i="12" s="1"/>
  <c r="A3463" i="12" s="1"/>
  <c r="A3464" i="12" s="1"/>
  <c r="A3465" i="12" s="1"/>
  <c r="A3466" i="12" s="1"/>
  <c r="A3467" i="12" s="1"/>
  <c r="A3468" i="12" s="1"/>
  <c r="A3469" i="12" s="1"/>
  <c r="A3470" i="12" s="1"/>
  <c r="A3471" i="12" s="1"/>
  <c r="A3472" i="12" s="1"/>
  <c r="A3473" i="12" s="1"/>
  <c r="A3474" i="12" s="1"/>
  <c r="A3475" i="12" s="1"/>
  <c r="A3476" i="12" s="1"/>
  <c r="A3477" i="12" s="1"/>
  <c r="A3478" i="12" s="1"/>
  <c r="A3479" i="12" s="1"/>
  <c r="A3480" i="12" s="1"/>
  <c r="A3481" i="12" s="1"/>
  <c r="A3482" i="12" s="1"/>
  <c r="A3483" i="12" s="1"/>
  <c r="A3484" i="12" s="1"/>
  <c r="A3485" i="12" s="1"/>
  <c r="A3486" i="12" s="1"/>
  <c r="A3487" i="12" s="1"/>
  <c r="A3488" i="12" s="1"/>
  <c r="A3489" i="12" s="1"/>
  <c r="A3490" i="12" s="1"/>
  <c r="A3491" i="12" s="1"/>
  <c r="A3492" i="12" s="1"/>
  <c r="A3493" i="12" s="1"/>
  <c r="A3494" i="12" s="1"/>
  <c r="A3495" i="12" s="1"/>
  <c r="A3496" i="12" s="1"/>
  <c r="A3497" i="12" s="1"/>
  <c r="A3498" i="12" s="1"/>
  <c r="A3499" i="12" s="1"/>
  <c r="A3500" i="12" s="1"/>
  <c r="A3501" i="12" s="1"/>
  <c r="A3502" i="12" s="1"/>
  <c r="A3503" i="12" s="1"/>
  <c r="A3504" i="12" s="1"/>
  <c r="A3505" i="12" s="1"/>
  <c r="A3506" i="12" s="1"/>
  <c r="A3507" i="12" s="1"/>
  <c r="A3508" i="12" s="1"/>
  <c r="A3509" i="12" s="1"/>
  <c r="A3510" i="12" s="1"/>
  <c r="A3511" i="12" s="1"/>
  <c r="A3512" i="12" s="1"/>
  <c r="A3513" i="12" s="1"/>
  <c r="A3514" i="12" s="1"/>
  <c r="A3515" i="12" s="1"/>
  <c r="A3516" i="12" s="1"/>
  <c r="A3517" i="12" s="1"/>
  <c r="A3518" i="12" s="1"/>
  <c r="A3519" i="12" s="1"/>
  <c r="A3520" i="12" s="1"/>
  <c r="A3521" i="12" s="1"/>
  <c r="A3522" i="12" s="1"/>
  <c r="A3523" i="12" s="1"/>
  <c r="A3524" i="12" s="1"/>
  <c r="A3525" i="12" s="1"/>
  <c r="A3526" i="12" s="1"/>
  <c r="A3527" i="12" s="1"/>
  <c r="A3528" i="12" s="1"/>
  <c r="A3529" i="12" s="1"/>
  <c r="A3530" i="12" s="1"/>
  <c r="A3531" i="12" s="1"/>
  <c r="A3532" i="12" s="1"/>
  <c r="A3533" i="12" s="1"/>
  <c r="A3534" i="12" s="1"/>
  <c r="A3535" i="12" s="1"/>
  <c r="A3536" i="12" s="1"/>
  <c r="A3537" i="12" s="1"/>
  <c r="A3538" i="12" s="1"/>
  <c r="X6" i="12"/>
  <c r="M15" i="6" l="1"/>
  <c r="Y4" i="12"/>
  <c r="Z6" i="12" l="1"/>
  <c r="Z7" i="12"/>
  <c r="Z4" i="12"/>
  <c r="Z5" i="12"/>
  <c r="K2" i="1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G7" i="7"/>
  <c r="H4" i="7"/>
  <c r="E7" i="7"/>
  <c r="D11" i="7"/>
  <c r="D8" i="7"/>
  <c r="E9" i="7"/>
  <c r="E12" i="7"/>
  <c r="D5" i="7"/>
  <c r="F11" i="7"/>
  <c r="G11" i="7"/>
  <c r="F10" i="7"/>
  <c r="H9" i="7"/>
  <c r="F8" i="7"/>
  <c r="G10" i="7"/>
  <c r="E11" i="7"/>
  <c r="G8" i="7"/>
  <c r="D10" i="7"/>
  <c r="H12" i="7"/>
  <c r="E4" i="7"/>
  <c r="H7" i="7"/>
  <c r="D9" i="7"/>
  <c r="E8" i="7"/>
  <c r="D7" i="7"/>
  <c r="H8" i="7"/>
  <c r="H3" i="7"/>
  <c r="H5" i="7"/>
  <c r="D3" i="7"/>
  <c r="D12" i="7"/>
  <c r="H11" i="7"/>
  <c r="F9" i="7"/>
  <c r="E3" i="7"/>
  <c r="F12" i="7"/>
  <c r="E10" i="7"/>
  <c r="G12" i="7"/>
  <c r="D6" i="7"/>
  <c r="B5" i="12"/>
  <c r="F7" i="7"/>
  <c r="E5" i="7"/>
  <c r="H6" i="7"/>
  <c r="D4" i="7"/>
  <c r="E6" i="7"/>
  <c r="H10" i="7"/>
  <c r="G9" i="7"/>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K4" i="7"/>
  <c r="I12" i="9"/>
  <c r="I17" i="9"/>
  <c r="K11" i="7"/>
  <c r="K3" i="7"/>
  <c r="K5" i="7"/>
  <c r="K7" i="7"/>
  <c r="I10" i="9"/>
  <c r="K10" i="7"/>
  <c r="K8" i="7"/>
  <c r="I22" i="9"/>
  <c r="K6" i="7"/>
  <c r="I15" i="9"/>
  <c r="I13" i="9"/>
  <c r="I9" i="9"/>
  <c r="I8" i="9"/>
  <c r="I5" i="9"/>
  <c r="I3" i="9"/>
  <c r="L4" i="11"/>
  <c r="L34" i="11"/>
  <c r="C5" i="12"/>
  <c r="K9" i="7"/>
  <c r="B6" i="12"/>
  <c r="I21" i="9"/>
  <c r="L6" i="11"/>
  <c r="L16" i="11"/>
  <c r="I18" i="9"/>
  <c r="I6" i="9"/>
  <c r="L25" i="11"/>
  <c r="L8" i="11"/>
  <c r="L10" i="11"/>
  <c r="I20" i="9"/>
  <c r="I11" i="9"/>
  <c r="C6" i="12"/>
  <c r="L12" i="11"/>
  <c r="L39" i="11"/>
  <c r="I16" i="9"/>
  <c r="I14" i="9"/>
  <c r="B7" i="12"/>
  <c r="L32" i="11"/>
  <c r="C7" i="12"/>
  <c r="I4" i="9"/>
  <c r="I19" i="9"/>
  <c r="L23" i="11"/>
  <c r="M4" i="11"/>
  <c r="L40" i="11"/>
  <c r="K12" i="7"/>
  <c r="L27" i="11"/>
  <c r="I7" i="9"/>
  <c r="L19" i="11"/>
  <c r="L15" i="11"/>
  <c r="L35" i="11"/>
  <c r="L31" i="11"/>
  <c r="L28" i="11"/>
  <c r="L21" i="11"/>
  <c r="L33" i="11"/>
  <c r="L20" i="11"/>
  <c r="L17" i="11"/>
  <c r="L42" i="11"/>
  <c r="L36" i="11"/>
  <c r="L24" i="11"/>
  <c r="L13" i="11"/>
  <c r="L9" i="11"/>
  <c r="L37" i="11"/>
  <c r="L18" i="11"/>
  <c r="L11" i="11"/>
  <c r="L29" i="11"/>
  <c r="L7" i="11"/>
  <c r="L30" i="11"/>
  <c r="L38" i="11"/>
  <c r="L41" i="11"/>
  <c r="L26" i="11"/>
  <c r="L14" i="11"/>
  <c r="L22" i="11"/>
  <c r="L3" i="11" l="1"/>
  <c r="D7" i="6"/>
  <c r="C92" i="4" s="1"/>
  <c r="D8" i="6"/>
  <c r="B92" i="4" s="1"/>
  <c r="D23" i="6"/>
  <c r="C12" i="4"/>
  <c r="C13" i="4"/>
  <c r="D14" i="4"/>
  <c r="D15" i="4"/>
  <c r="D16" i="4"/>
  <c r="D17" i="4"/>
  <c r="D18" i="4"/>
  <c r="D19" i="4"/>
  <c r="D20" i="4"/>
  <c r="D21" i="4"/>
  <c r="D22" i="4"/>
  <c r="D23" i="4"/>
  <c r="D24" i="4"/>
  <c r="D25" i="4"/>
  <c r="D26" i="4"/>
  <c r="D27" i="4"/>
  <c r="D28" i="4"/>
  <c r="D29" i="4"/>
  <c r="D30" i="4"/>
  <c r="D31" i="4"/>
  <c r="D6" i="6"/>
  <c r="M3" i="11"/>
  <c r="M40" i="11"/>
  <c r="J19" i="9"/>
  <c r="M11" i="11"/>
  <c r="M29" i="11"/>
  <c r="M22" i="11"/>
  <c r="J20" i="9"/>
  <c r="L6" i="7"/>
  <c r="D21" i="6"/>
  <c r="M14" i="11"/>
  <c r="M28" i="11"/>
  <c r="J10" i="9"/>
  <c r="M31" i="11"/>
  <c r="J14" i="9"/>
  <c r="M38" i="11"/>
  <c r="J11" i="9"/>
  <c r="J3" i="9"/>
  <c r="M23" i="11"/>
  <c r="M8" i="11"/>
  <c r="M7" i="11"/>
  <c r="M19" i="11"/>
  <c r="J16" i="9"/>
  <c r="M18" i="11"/>
  <c r="J17" i="9"/>
  <c r="J4" i="9"/>
  <c r="M42" i="11"/>
  <c r="M15" i="11"/>
  <c r="M21" i="11"/>
  <c r="L12" i="7"/>
  <c r="J13" i="9"/>
  <c r="M16" i="11"/>
  <c r="M10" i="11"/>
  <c r="L10" i="7"/>
  <c r="B1" i="6"/>
  <c r="J12" i="9"/>
  <c r="J22" i="9"/>
  <c r="J21" i="9"/>
  <c r="M32" i="11"/>
  <c r="J5" i="9"/>
  <c r="M6" i="11"/>
  <c r="J7" i="9"/>
  <c r="M39" i="11"/>
  <c r="L3" i="7"/>
  <c r="B8" i="12"/>
  <c r="L2" i="7"/>
  <c r="D32" i="4" a="1"/>
  <c r="J2" i="9"/>
  <c r="M34" i="11"/>
  <c r="M37" i="11"/>
  <c r="L11" i="7"/>
  <c r="M30" i="11"/>
  <c r="L8" i="7"/>
  <c r="M17" i="11"/>
  <c r="M13" i="11"/>
  <c r="J6" i="9"/>
  <c r="J18" i="9"/>
  <c r="J15" i="9"/>
  <c r="M33" i="11"/>
  <c r="M24" i="11"/>
  <c r="M12" i="11"/>
  <c r="L9" i="7"/>
  <c r="M36" i="11"/>
  <c r="J8" i="9"/>
  <c r="M25" i="11"/>
  <c r="M26" i="11"/>
  <c r="M20" i="11"/>
  <c r="L7" i="7"/>
  <c r="L5" i="7"/>
  <c r="M41" i="11"/>
  <c r="M27" i="11"/>
  <c r="M35" i="11"/>
  <c r="J9" i="9"/>
  <c r="L4" i="7"/>
  <c r="M9" i="11"/>
  <c r="B9" i="12"/>
  <c r="C8" i="12"/>
  <c r="C9" i="12"/>
  <c r="B10" i="12"/>
  <c r="C37" i="4" l="1"/>
  <c r="C45" i="4"/>
  <c r="C53" i="4"/>
  <c r="C61" i="4"/>
  <c r="C69" i="4"/>
  <c r="C32" i="4"/>
  <c r="C40" i="4"/>
  <c r="C48" i="4"/>
  <c r="C56" i="4"/>
  <c r="C64" i="4"/>
  <c r="C72" i="4"/>
  <c r="C33" i="4"/>
  <c r="C57" i="4"/>
  <c r="C73" i="4"/>
  <c r="C38" i="4"/>
  <c r="C46" i="4"/>
  <c r="C54" i="4"/>
  <c r="C62" i="4"/>
  <c r="C70" i="4"/>
  <c r="C34" i="4"/>
  <c r="C50" i="4"/>
  <c r="C66" i="4"/>
  <c r="D9" i="6"/>
  <c r="E31" i="4" s="1"/>
  <c r="O20" i="12"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C10" i="12"/>
  <c r="B11" i="12"/>
  <c r="C11" i="12"/>
  <c r="B12" i="12"/>
  <c r="E13" i="4" l="1"/>
  <c r="E23" i="4"/>
  <c r="O12" i="12" s="1"/>
  <c r="E35" i="4"/>
  <c r="E41" i="4"/>
  <c r="E7" i="4"/>
  <c r="E21" i="4"/>
  <c r="O10" i="12" s="1"/>
  <c r="E89" i="4"/>
  <c r="E30" i="4"/>
  <c r="O19" i="12" s="1"/>
  <c r="E10" i="4"/>
  <c r="E77" i="4"/>
  <c r="E12" i="4"/>
  <c r="E91" i="4"/>
  <c r="E90" i="4"/>
  <c r="E11" i="4"/>
  <c r="E8" i="4"/>
  <c r="E25" i="4"/>
  <c r="O14" i="12" s="1"/>
  <c r="E36" i="4"/>
  <c r="E27" i="4"/>
  <c r="O16" i="12" s="1"/>
  <c r="E19" i="4"/>
  <c r="O8" i="12" s="1"/>
  <c r="E60" i="4"/>
  <c r="E43" i="4"/>
  <c r="E54" i="4"/>
  <c r="E44" i="4"/>
  <c r="E45" i="4"/>
  <c r="E20" i="4"/>
  <c r="O9" i="12" s="1"/>
  <c r="E79" i="4"/>
  <c r="E87" i="4"/>
  <c r="E56" i="4"/>
  <c r="E46" i="4"/>
  <c r="E37" i="4"/>
  <c r="E28" i="4"/>
  <c r="O17" i="12" s="1"/>
  <c r="E18" i="4"/>
  <c r="O7" i="12" s="1"/>
  <c r="E3" i="4"/>
  <c r="E6" i="4"/>
  <c r="E24" i="4"/>
  <c r="O13" i="12" s="1"/>
  <c r="E81" i="4"/>
  <c r="E92" i="4"/>
  <c r="O23" i="12" s="1"/>
  <c r="E48" i="4"/>
  <c r="E33" i="4"/>
  <c r="E76" i="4"/>
  <c r="E78" i="4"/>
  <c r="E5" i="4"/>
  <c r="E83" i="4"/>
  <c r="E85" i="4"/>
  <c r="E65" i="4"/>
  <c r="E61" i="4"/>
  <c r="E70" i="4"/>
  <c r="E68" i="4"/>
  <c r="E42" i="4"/>
  <c r="E26" i="4"/>
  <c r="O15" i="12" s="1"/>
  <c r="E51" i="4"/>
  <c r="E71" i="4"/>
  <c r="E38" i="4"/>
  <c r="E62" i="4"/>
  <c r="E84" i="4"/>
  <c r="E74" i="4"/>
  <c r="E88" i="4"/>
  <c r="E15" i="4"/>
  <c r="O4" i="12" s="1"/>
  <c r="E16" i="4"/>
  <c r="O5" i="12" s="1"/>
  <c r="E55" i="4"/>
  <c r="E2" i="4"/>
  <c r="E82" i="4"/>
  <c r="E4" i="4"/>
  <c r="E22" i="4"/>
  <c r="O11" i="12" s="1"/>
  <c r="E17" i="4"/>
  <c r="O6" i="12" s="1"/>
  <c r="E75" i="4"/>
  <c r="E72" i="4"/>
  <c r="E64" i="4"/>
  <c r="E40" i="4"/>
  <c r="E49" i="4"/>
  <c r="E9" i="4"/>
  <c r="E14" i="4"/>
  <c r="O3" i="12" s="1"/>
  <c r="E29" i="4"/>
  <c r="O18" i="12" s="1"/>
  <c r="E80" i="4"/>
  <c r="E86" i="4"/>
  <c r="E47" i="4"/>
  <c r="E69" i="4"/>
  <c r="E50" i="4"/>
  <c r="E32" i="4"/>
  <c r="E66" i="4"/>
  <c r="E67" i="4"/>
  <c r="E34" i="4"/>
  <c r="E58" i="4"/>
  <c r="E57" i="4"/>
  <c r="E39" i="4"/>
  <c r="E63" i="4"/>
  <c r="E52" i="4"/>
  <c r="E53" i="4"/>
  <c r="E73" i="4"/>
  <c r="E59" i="4"/>
  <c r="E94" i="4"/>
  <c r="O25" i="12" s="1"/>
  <c r="E96" i="4"/>
  <c r="O27" i="12" s="1"/>
  <c r="E97" i="4"/>
  <c r="O28" i="12" s="1"/>
  <c r="E93" i="4"/>
  <c r="O24" i="12" s="1"/>
  <c r="E95" i="4"/>
  <c r="O26" i="12" s="1"/>
  <c r="E98" i="4"/>
  <c r="O29" i="12" s="1"/>
  <c r="B99" i="4"/>
  <c r="C99" i="4"/>
  <c r="B100" i="4"/>
  <c r="C100" i="4"/>
  <c r="B101" i="4"/>
  <c r="C101" i="4"/>
  <c r="B102" i="4"/>
  <c r="C102" i="4"/>
  <c r="B103" i="4"/>
  <c r="C103" i="4"/>
  <c r="C12" i="12"/>
  <c r="E100" i="4" l="1"/>
  <c r="O31" i="12" s="1"/>
  <c r="E99" i="4"/>
  <c r="O30" i="12" s="1"/>
  <c r="E101" i="4"/>
  <c r="O32" i="12" s="1"/>
  <c r="E102" i="4"/>
  <c r="O33" i="12" s="1"/>
  <c r="E103" i="4"/>
  <c r="O34" i="12" s="1"/>
  <c r="B104" i="4"/>
  <c r="C104" i="4"/>
  <c r="B105" i="4"/>
  <c r="C105" i="4"/>
  <c r="E104" i="4" l="1"/>
  <c r="O35" i="12" s="1"/>
  <c r="E105" i="4"/>
  <c r="O36" i="12" s="1"/>
  <c r="B106" i="4"/>
  <c r="C106" i="4"/>
  <c r="B107" i="4"/>
  <c r="C107" i="4"/>
  <c r="B108" i="4"/>
  <c r="C108" i="4"/>
  <c r="E106" i="4" l="1"/>
  <c r="O37" i="12" s="1"/>
  <c r="E107" i="4"/>
  <c r="O38" i="12" s="1"/>
  <c r="E108" i="4"/>
  <c r="O39" i="12" s="1"/>
  <c r="B109" i="4"/>
  <c r="C109" i="4"/>
  <c r="E109" i="4" l="1"/>
  <c r="O40" i="12" s="1"/>
  <c r="B110" i="4"/>
  <c r="C110" i="4"/>
  <c r="K60" i="4"/>
  <c r="G47" i="4"/>
  <c r="L101" i="4"/>
  <c r="F35" i="4"/>
  <c r="K45" i="4"/>
  <c r="G97" i="4"/>
  <c r="K37" i="4"/>
  <c r="K26" i="4"/>
  <c r="F89" i="4"/>
  <c r="G105" i="4"/>
  <c r="G67" i="4"/>
  <c r="F18" i="4"/>
  <c r="F102" i="4"/>
  <c r="P24" i="12"/>
  <c r="L77" i="4"/>
  <c r="K8" i="4"/>
  <c r="K20" i="4"/>
  <c r="G42" i="4"/>
  <c r="K68" i="4"/>
  <c r="F38" i="4"/>
  <c r="G64" i="4"/>
  <c r="G84" i="4"/>
  <c r="F106" i="4"/>
  <c r="K48" i="4"/>
  <c r="L102" i="4"/>
  <c r="S43" i="12"/>
  <c r="L8" i="4"/>
  <c r="K75" i="4"/>
  <c r="F47" i="4"/>
  <c r="P32" i="12"/>
  <c r="L9" i="4"/>
  <c r="K87" i="4"/>
  <c r="S58" i="12"/>
  <c r="K25" i="4"/>
  <c r="K29" i="4"/>
  <c r="S48" i="12"/>
  <c r="G78" i="4"/>
  <c r="S46" i="12"/>
  <c r="L23" i="4"/>
  <c r="K40" i="4"/>
  <c r="Q29" i="12"/>
  <c r="P18" i="12"/>
  <c r="G96" i="4"/>
  <c r="K84" i="4"/>
  <c r="L38" i="4"/>
  <c r="L44" i="4"/>
  <c r="L17" i="4"/>
  <c r="K22" i="4"/>
  <c r="F49" i="4"/>
  <c r="K52" i="4"/>
  <c r="L20" i="4"/>
  <c r="S45" i="12"/>
  <c r="K41" i="4"/>
  <c r="G100" i="4"/>
  <c r="L27" i="4"/>
  <c r="P31" i="12"/>
  <c r="F54" i="4"/>
  <c r="L64" i="4"/>
  <c r="G35" i="4"/>
  <c r="L63" i="4"/>
  <c r="L104" i="4"/>
  <c r="L54" i="4"/>
  <c r="S33" i="12"/>
  <c r="S54" i="12"/>
  <c r="Q38" i="12"/>
  <c r="P27" i="12"/>
  <c r="L71" i="4"/>
  <c r="L72" i="4"/>
  <c r="S39" i="12"/>
  <c r="G101" i="4"/>
  <c r="F94" i="4"/>
  <c r="G102" i="4"/>
  <c r="K106" i="4"/>
  <c r="F19" i="4"/>
  <c r="G89" i="4"/>
  <c r="L68" i="4"/>
  <c r="Q3" i="12"/>
  <c r="G48" i="4"/>
  <c r="F53" i="4"/>
  <c r="K57" i="4"/>
  <c r="K80" i="4"/>
  <c r="K6" i="4"/>
  <c r="L10" i="4"/>
  <c r="F72" i="4"/>
  <c r="F75" i="4"/>
  <c r="F45" i="4"/>
  <c r="Q14" i="12"/>
  <c r="G82" i="4"/>
  <c r="K61" i="4"/>
  <c r="L79" i="4"/>
  <c r="K92" i="4"/>
  <c r="K30" i="4"/>
  <c r="K14" i="4"/>
  <c r="F62" i="4"/>
  <c r="G69" i="4"/>
  <c r="F77" i="4"/>
  <c r="F55" i="4"/>
  <c r="P11" i="12"/>
  <c r="K69" i="4"/>
  <c r="G40" i="4"/>
  <c r="L65" i="4"/>
  <c r="G61" i="4"/>
  <c r="L85" i="4"/>
  <c r="G37" i="4"/>
  <c r="Q5" i="12"/>
  <c r="S35" i="12"/>
  <c r="F42" i="4"/>
  <c r="K9" i="4"/>
  <c r="L73" i="4"/>
  <c r="Q18" i="12"/>
  <c r="K31" i="4"/>
  <c r="L75" i="4"/>
  <c r="L76" i="4"/>
  <c r="G90" i="4"/>
  <c r="B13" i="12"/>
  <c r="K79" i="4"/>
  <c r="L22" i="4"/>
  <c r="G107" i="4"/>
  <c r="P7" i="12"/>
  <c r="L86" i="4"/>
  <c r="S25" i="12"/>
  <c r="Q8" i="12"/>
  <c r="G92" i="4"/>
  <c r="K3" i="4"/>
  <c r="K77" i="4"/>
  <c r="S31" i="12"/>
  <c r="K42" i="4"/>
  <c r="F68" i="4"/>
  <c r="K89" i="4"/>
  <c r="F5" i="4"/>
  <c r="L87" i="4"/>
  <c r="G91" i="4"/>
  <c r="K47" i="4"/>
  <c r="L97" i="4"/>
  <c r="F64" i="4"/>
  <c r="K86" i="4"/>
  <c r="L70" i="4"/>
  <c r="L96" i="4"/>
  <c r="F88" i="4"/>
  <c r="K98" i="4"/>
  <c r="K76" i="4"/>
  <c r="S40" i="12"/>
  <c r="Q39" i="12"/>
  <c r="K5" i="4"/>
  <c r="G55" i="4"/>
  <c r="K72" i="4"/>
  <c r="P34" i="12"/>
  <c r="G104" i="4"/>
  <c r="K78" i="4"/>
  <c r="K16" i="4"/>
  <c r="L98" i="4"/>
  <c r="P6" i="12"/>
  <c r="G95" i="4"/>
  <c r="L90" i="4"/>
  <c r="G86" i="4"/>
  <c r="F63" i="4"/>
  <c r="L37" i="4"/>
  <c r="Q7" i="12"/>
  <c r="K21" i="4"/>
  <c r="L32" i="4"/>
  <c r="P23" i="12"/>
  <c r="S38" i="12"/>
  <c r="F44" i="4"/>
  <c r="L49" i="4"/>
  <c r="S28" i="12"/>
  <c r="G71" i="4"/>
  <c r="F37" i="4"/>
  <c r="P36" i="12"/>
  <c r="K85" i="4"/>
  <c r="L15" i="4"/>
  <c r="F11" i="4"/>
  <c r="P19" i="12"/>
  <c r="K39" i="4"/>
  <c r="K10" i="4"/>
  <c r="G75" i="4"/>
  <c r="S52" i="12"/>
  <c r="G38" i="4"/>
  <c r="S49" i="12"/>
  <c r="F9" i="4"/>
  <c r="L14" i="4"/>
  <c r="L30" i="4"/>
  <c r="G65" i="4"/>
  <c r="K12" i="4"/>
  <c r="K64" i="4"/>
  <c r="G103" i="4"/>
  <c r="K82" i="4"/>
  <c r="G60" i="4"/>
  <c r="K102" i="4"/>
  <c r="G108" i="4"/>
  <c r="K4" i="4"/>
  <c r="G70" i="4"/>
  <c r="G52" i="4"/>
  <c r="K81" i="4"/>
  <c r="F21" i="4"/>
  <c r="G33" i="4"/>
  <c r="F70" i="4"/>
  <c r="K62" i="4"/>
  <c r="Q27" i="12"/>
  <c r="L82" i="4"/>
  <c r="S59" i="12"/>
  <c r="K66" i="4"/>
  <c r="K2" i="4"/>
  <c r="L80" i="4"/>
  <c r="K108" i="4"/>
  <c r="B14" i="12"/>
  <c r="B15" i="12" s="1"/>
  <c r="S56" i="12"/>
  <c r="F27" i="4"/>
  <c r="F107" i="4"/>
  <c r="L24" i="4"/>
  <c r="F41" i="4"/>
  <c r="C14" i="12"/>
  <c r="L92" i="4"/>
  <c r="L95" i="4"/>
  <c r="T28" i="12"/>
  <c r="P12" i="12"/>
  <c r="P33" i="12"/>
  <c r="P25" i="12"/>
  <c r="F58" i="4"/>
  <c r="L34" i="4"/>
  <c r="K49" i="4"/>
  <c r="Q34" i="12"/>
  <c r="Q20" i="12"/>
  <c r="L41" i="4"/>
  <c r="L47" i="4"/>
  <c r="F7" i="4"/>
  <c r="L84" i="4"/>
  <c r="L31" i="4"/>
  <c r="F48" i="4"/>
  <c r="K28" i="4"/>
  <c r="F40" i="4"/>
  <c r="P39" i="12"/>
  <c r="L53" i="4"/>
  <c r="P4" i="12"/>
  <c r="G58" i="4"/>
  <c r="G83" i="4"/>
  <c r="L56" i="4"/>
  <c r="P26" i="12"/>
  <c r="F100" i="4"/>
  <c r="F65" i="4"/>
  <c r="G99" i="4"/>
  <c r="L25" i="4"/>
  <c r="F28" i="4"/>
  <c r="K88" i="4"/>
  <c r="K44" i="4"/>
  <c r="K93" i="4"/>
  <c r="L50" i="4"/>
  <c r="K65" i="4"/>
  <c r="L3" i="4"/>
  <c r="Q16" i="12"/>
  <c r="S36" i="12"/>
  <c r="L105" i="4"/>
  <c r="K15" i="4"/>
  <c r="G87" i="4"/>
  <c r="Q9" i="12"/>
  <c r="Q24" i="12"/>
  <c r="L58" i="4"/>
  <c r="F22" i="4"/>
  <c r="S44" i="12"/>
  <c r="T44" i="12" s="1"/>
  <c r="F29" i="4"/>
  <c r="K99" i="4"/>
  <c r="G93" i="4"/>
  <c r="S32" i="12"/>
  <c r="K54" i="4"/>
  <c r="G106" i="4"/>
  <c r="S37" i="12"/>
  <c r="L21" i="4"/>
  <c r="F108" i="4"/>
  <c r="K35" i="4"/>
  <c r="K50" i="4"/>
  <c r="L66" i="4"/>
  <c r="L36" i="4"/>
  <c r="K91" i="4"/>
  <c r="F25" i="4"/>
  <c r="S30" i="12"/>
  <c r="F84" i="4"/>
  <c r="F23" i="4"/>
  <c r="L67" i="4"/>
  <c r="F57" i="4"/>
  <c r="G39" i="4"/>
  <c r="F26" i="4"/>
  <c r="S57" i="12"/>
  <c r="L4" i="4"/>
  <c r="F2" i="4"/>
  <c r="S53" i="12"/>
  <c r="S27" i="12"/>
  <c r="L103" i="4"/>
  <c r="L93" i="4"/>
  <c r="L26" i="4"/>
  <c r="G57" i="4"/>
  <c r="S55" i="12"/>
  <c r="K17" i="4"/>
  <c r="L74" i="4"/>
  <c r="Q28" i="12"/>
  <c r="L19" i="4"/>
  <c r="P5" i="12"/>
  <c r="P38" i="12"/>
  <c r="Q11" i="12"/>
  <c r="P28" i="12"/>
  <c r="F8" i="4"/>
  <c r="G51" i="4"/>
  <c r="F6" i="4"/>
  <c r="F30" i="4"/>
  <c r="L108" i="4"/>
  <c r="F90" i="4"/>
  <c r="K36" i="4"/>
  <c r="G34" i="4"/>
  <c r="K95" i="4"/>
  <c r="L62" i="4"/>
  <c r="Q12" i="12"/>
  <c r="F20" i="4"/>
  <c r="P16" i="12"/>
  <c r="L42" i="4"/>
  <c r="P35" i="12"/>
  <c r="F15" i="4"/>
  <c r="G76" i="4"/>
  <c r="F56" i="4"/>
  <c r="G45" i="4"/>
  <c r="L83" i="4"/>
  <c r="K105" i="4"/>
  <c r="G44" i="4"/>
  <c r="Q30" i="12"/>
  <c r="Q31" i="12"/>
  <c r="L35" i="4"/>
  <c r="L2" i="4"/>
  <c r="L78" i="4"/>
  <c r="F17" i="4"/>
  <c r="S50" i="12"/>
  <c r="T50" i="12" s="1"/>
  <c r="F16" i="4"/>
  <c r="K55" i="4"/>
  <c r="F73" i="4"/>
  <c r="S47" i="12"/>
  <c r="F59" i="4"/>
  <c r="L107" i="4"/>
  <c r="K23" i="4"/>
  <c r="L88" i="4"/>
  <c r="F32" i="4"/>
  <c r="G43" i="4"/>
  <c r="F31" i="4"/>
  <c r="G98" i="4"/>
  <c r="G32" i="4"/>
  <c r="F51" i="4"/>
  <c r="Q17" i="12"/>
  <c r="K100" i="4"/>
  <c r="G62" i="4"/>
  <c r="G66" i="4"/>
  <c r="L91" i="4"/>
  <c r="L60" i="4"/>
  <c r="G77" i="4"/>
  <c r="F87" i="4"/>
  <c r="P37" i="12"/>
  <c r="L18" i="4"/>
  <c r="Q6" i="12"/>
  <c r="F67" i="4"/>
  <c r="G68" i="4"/>
  <c r="P30" i="12"/>
  <c r="K7" i="4"/>
  <c r="Q23" i="12"/>
  <c r="K32" i="4"/>
  <c r="G41" i="4"/>
  <c r="F60" i="4"/>
  <c r="F12" i="4"/>
  <c r="Q35" i="12"/>
  <c r="K70" i="4"/>
  <c r="S51" i="12"/>
  <c r="K59" i="4"/>
  <c r="T55" i="12"/>
  <c r="G59" i="4"/>
  <c r="L29" i="4"/>
  <c r="Q25" i="12"/>
  <c r="L40" i="4"/>
  <c r="F99" i="4"/>
  <c r="G53" i="4"/>
  <c r="G54" i="4"/>
  <c r="F4" i="4"/>
  <c r="F69" i="4"/>
  <c r="P9" i="12"/>
  <c r="F24" i="4"/>
  <c r="F82" i="4"/>
  <c r="F95" i="4"/>
  <c r="L61" i="4"/>
  <c r="L94" i="4"/>
  <c r="Q4" i="12"/>
  <c r="F96" i="4"/>
  <c r="G63" i="4"/>
  <c r="P14" i="12"/>
  <c r="P8" i="12"/>
  <c r="K96" i="4"/>
  <c r="K43" i="4"/>
  <c r="K67" i="4"/>
  <c r="S42" i="12"/>
  <c r="T42" i="12" s="1"/>
  <c r="P3" i="12"/>
  <c r="L5" i="4"/>
  <c r="Q26" i="12"/>
  <c r="K58" i="4"/>
  <c r="L6" i="4"/>
  <c r="L106" i="4"/>
  <c r="L12" i="4"/>
  <c r="F13" i="4"/>
  <c r="F81" i="4"/>
  <c r="K38" i="4"/>
  <c r="K51" i="4"/>
  <c r="G36" i="4"/>
  <c r="F39" i="4"/>
  <c r="F34" i="4"/>
  <c r="F61" i="4"/>
  <c r="L43" i="4"/>
  <c r="F33" i="4"/>
  <c r="F74" i="4"/>
  <c r="Q19" i="12"/>
  <c r="L55" i="4"/>
  <c r="L81" i="4"/>
  <c r="S29" i="12"/>
  <c r="C15" i="12"/>
  <c r="P20" i="12"/>
  <c r="S41" i="12"/>
  <c r="L100" i="4"/>
  <c r="Q10" i="12"/>
  <c r="P15" i="12"/>
  <c r="F46" i="4"/>
  <c r="F43" i="4"/>
  <c r="G56" i="4"/>
  <c r="S23" i="12"/>
  <c r="L45" i="4"/>
  <c r="F50" i="4"/>
  <c r="L51" i="4"/>
  <c r="L11" i="4"/>
  <c r="F76" i="4"/>
  <c r="Q15" i="12"/>
  <c r="L7" i="4"/>
  <c r="G49" i="4"/>
  <c r="L59" i="4"/>
  <c r="L52" i="4"/>
  <c r="S34" i="12"/>
  <c r="K18" i="4"/>
  <c r="K104" i="4"/>
  <c r="K83" i="4"/>
  <c r="S26" i="12"/>
  <c r="K74" i="4"/>
  <c r="F14" i="4"/>
  <c r="Q36" i="12"/>
  <c r="Q13" i="12"/>
  <c r="L48" i="4"/>
  <c r="K103" i="4"/>
  <c r="L99" i="4"/>
  <c r="K27" i="4"/>
  <c r="B16" i="12"/>
  <c r="C16" i="12" s="1"/>
  <c r="F85" i="4"/>
  <c r="G81" i="4"/>
  <c r="G80" i="4"/>
  <c r="G94" i="4"/>
  <c r="P13" i="12"/>
  <c r="K73" i="4"/>
  <c r="K71" i="4"/>
  <c r="G79" i="4"/>
  <c r="F3" i="4"/>
  <c r="F86" i="4"/>
  <c r="F101" i="4"/>
  <c r="K53" i="4"/>
  <c r="F97" i="4"/>
  <c r="F71" i="4"/>
  <c r="K24" i="4"/>
  <c r="Q37" i="12"/>
  <c r="Q33" i="12"/>
  <c r="L33" i="4"/>
  <c r="G46" i="4"/>
  <c r="F105" i="4"/>
  <c r="B17" i="12"/>
  <c r="Q32" i="12"/>
  <c r="G88" i="4"/>
  <c r="L46" i="4"/>
  <c r="K97" i="4"/>
  <c r="L57" i="4"/>
  <c r="G85" i="4"/>
  <c r="L89" i="4"/>
  <c r="F103" i="4"/>
  <c r="P10" i="12"/>
  <c r="F79" i="4"/>
  <c r="F10" i="4"/>
  <c r="K56" i="4"/>
  <c r="K63" i="4"/>
  <c r="K13" i="4"/>
  <c r="L69" i="4"/>
  <c r="K33" i="4"/>
  <c r="F92" i="4"/>
  <c r="F52" i="4"/>
  <c r="F80" i="4"/>
  <c r="K101" i="4"/>
  <c r="P29" i="12"/>
  <c r="L16" i="4"/>
  <c r="G73" i="4"/>
  <c r="L39" i="4"/>
  <c r="F66" i="4"/>
  <c r="K107" i="4"/>
  <c r="S24" i="12"/>
  <c r="F91" i="4"/>
  <c r="F93" i="4"/>
  <c r="G74" i="4"/>
  <c r="K94" i="4"/>
  <c r="G50" i="4"/>
  <c r="P17" i="12"/>
  <c r="K34" i="4"/>
  <c r="L13" i="4"/>
  <c r="K11" i="4"/>
  <c r="F36" i="4"/>
  <c r="F78" i="4"/>
  <c r="G72" i="4"/>
  <c r="F83" i="4"/>
  <c r="K19" i="4"/>
  <c r="F104" i="4"/>
  <c r="K90" i="4"/>
  <c r="F98" i="4"/>
  <c r="K46" i="4"/>
  <c r="L28" i="4"/>
  <c r="T54" i="12"/>
  <c r="P40" i="12"/>
  <c r="T24" i="12"/>
  <c r="T58" i="12"/>
  <c r="T26" i="12"/>
  <c r="T47" i="12"/>
  <c r="T46" i="12"/>
  <c r="T45" i="12"/>
  <c r="T48" i="12"/>
  <c r="B18" i="12"/>
  <c r="T41" i="12"/>
  <c r="T51" i="12"/>
  <c r="C18" i="12"/>
  <c r="T33" i="12"/>
  <c r="T38" i="12"/>
  <c r="T32" i="12"/>
  <c r="F109" i="4"/>
  <c r="T34" i="12"/>
  <c r="T53" i="12"/>
  <c r="T30" i="12"/>
  <c r="Q40" i="12"/>
  <c r="T23" i="12"/>
  <c r="C13" i="12"/>
  <c r="L109" i="4"/>
  <c r="T27" i="12"/>
  <c r="T40" i="12"/>
  <c r="T57" i="12"/>
  <c r="T36" i="12"/>
  <c r="T59" i="12"/>
  <c r="T37" i="12"/>
  <c r="T49" i="12"/>
  <c r="K109" i="4"/>
  <c r="G109" i="4"/>
  <c r="T43" i="12"/>
  <c r="U28" i="12" l="1"/>
  <c r="U30" i="12"/>
  <c r="U36" i="12"/>
  <c r="U23" i="12"/>
  <c r="U24" i="12"/>
  <c r="U33" i="12"/>
  <c r="U37" i="12"/>
  <c r="U34" i="12"/>
  <c r="U32" i="12"/>
  <c r="U38" i="12"/>
  <c r="U26" i="12"/>
  <c r="U27" i="12"/>
  <c r="U40" i="12"/>
  <c r="E110" i="4"/>
  <c r="O41" i="12" s="1"/>
  <c r="B111" i="4"/>
  <c r="C111" i="4"/>
  <c r="F110" i="4"/>
  <c r="T52" i="12"/>
  <c r="T25" i="12"/>
  <c r="T35" i="12"/>
  <c r="T39" i="12"/>
  <c r="Q41" i="12"/>
  <c r="G110" i="4"/>
  <c r="K110" i="4"/>
  <c r="B19" i="12"/>
  <c r="L110" i="4"/>
  <c r="C17" i="12"/>
  <c r="T29" i="12"/>
  <c r="P41" i="12"/>
  <c r="T56" i="12"/>
  <c r="T31" i="12"/>
  <c r="C19" i="12"/>
  <c r="B20" i="12"/>
  <c r="B21" i="12"/>
  <c r="C21" i="12" s="1"/>
  <c r="C20" i="12"/>
  <c r="U31" i="12" l="1"/>
  <c r="U29" i="12"/>
  <c r="U39" i="12"/>
  <c r="U35" i="12"/>
  <c r="U25" i="12"/>
  <c r="U41" i="12"/>
  <c r="E111" i="4"/>
  <c r="O42" i="12" s="1"/>
  <c r="B112" i="4"/>
  <c r="C112" i="4"/>
  <c r="K111" i="4"/>
  <c r="F111" i="4"/>
  <c r="G111" i="4"/>
  <c r="B22" i="12"/>
  <c r="L111" i="4"/>
  <c r="P42" i="12"/>
  <c r="Q42" i="12"/>
  <c r="U42" i="12" l="1"/>
  <c r="E112" i="4"/>
  <c r="O43" i="12" s="1"/>
  <c r="B113" i="4"/>
  <c r="C113" i="4"/>
  <c r="L112" i="4"/>
  <c r="B23" i="12"/>
  <c r="F112" i="4"/>
  <c r="Q43" i="12"/>
  <c r="K112" i="4"/>
  <c r="G112" i="4"/>
  <c r="P43" i="12"/>
  <c r="C22" i="12"/>
  <c r="U43" i="12" l="1"/>
  <c r="E113" i="4"/>
  <c r="O44" i="12" s="1"/>
  <c r="B114" i="4"/>
  <c r="C114" i="4"/>
  <c r="B115" i="4"/>
  <c r="C115" i="4"/>
  <c r="B24" i="12"/>
  <c r="Q44" i="12"/>
  <c r="L113" i="4"/>
  <c r="C24" i="12"/>
  <c r="P44" i="12"/>
  <c r="K113" i="4"/>
  <c r="F113" i="4"/>
  <c r="C23" i="12"/>
  <c r="G113" i="4"/>
  <c r="U44" i="12" l="1"/>
  <c r="E114" i="4"/>
  <c r="O45" i="12" s="1"/>
  <c r="E115" i="4"/>
  <c r="O46" i="12" s="1"/>
  <c r="B116" i="4"/>
  <c r="C116" i="4"/>
  <c r="K115" i="4"/>
  <c r="P45" i="12"/>
  <c r="L115" i="4"/>
  <c r="Q46" i="12"/>
  <c r="Q45" i="12"/>
  <c r="K114" i="4"/>
  <c r="P46" i="12"/>
  <c r="G114" i="4"/>
  <c r="F115" i="4"/>
  <c r="G115" i="4"/>
  <c r="L114" i="4"/>
  <c r="F114" i="4"/>
  <c r="B25" i="12"/>
  <c r="C25" i="12" s="1"/>
  <c r="U46" i="12" l="1"/>
  <c r="U45" i="12"/>
  <c r="E116" i="4"/>
  <c r="O47" i="12" s="1"/>
  <c r="B117" i="4"/>
  <c r="C117" i="4"/>
  <c r="K116" i="4"/>
  <c r="L116" i="4"/>
  <c r="F116" i="4"/>
  <c r="B26" i="12"/>
  <c r="G116" i="4"/>
  <c r="Q47" i="12"/>
  <c r="P47" i="12"/>
  <c r="U47" i="12" l="1"/>
  <c r="E117" i="4"/>
  <c r="O48" i="12" s="1"/>
  <c r="B118" i="4"/>
  <c r="C118" i="4"/>
  <c r="B119" i="4"/>
  <c r="C119" i="4"/>
  <c r="K117" i="4"/>
  <c r="P48" i="12"/>
  <c r="L117" i="4"/>
  <c r="F117" i="4"/>
  <c r="B27" i="12"/>
  <c r="Q48" i="12"/>
  <c r="G117" i="4"/>
  <c r="C26" i="12"/>
  <c r="U48" i="12" l="1"/>
  <c r="E118" i="4"/>
  <c r="O49" i="12" s="1"/>
  <c r="E119" i="4"/>
  <c r="O50" i="12" s="1"/>
  <c r="B120" i="4"/>
  <c r="C120" i="4"/>
  <c r="F118" i="4"/>
  <c r="G119" i="4"/>
  <c r="Q50" i="12"/>
  <c r="C27" i="12"/>
  <c r="G118" i="4"/>
  <c r="B28" i="12"/>
  <c r="Q49" i="12"/>
  <c r="K118" i="4"/>
  <c r="K119" i="4"/>
  <c r="P50" i="12"/>
  <c r="L118" i="4"/>
  <c r="L119" i="4"/>
  <c r="P49" i="12"/>
  <c r="F119" i="4"/>
  <c r="U50" i="12" l="1"/>
  <c r="U49" i="12"/>
  <c r="E120" i="4"/>
  <c r="O51" i="12" s="1"/>
  <c r="B121" i="4"/>
  <c r="C121" i="4"/>
  <c r="Q51" i="12"/>
  <c r="F120" i="4"/>
  <c r="C28" i="12"/>
  <c r="L120" i="4"/>
  <c r="K120" i="4"/>
  <c r="G120" i="4"/>
  <c r="B29" i="12"/>
  <c r="P51" i="12"/>
  <c r="U51" i="12" l="1"/>
  <c r="E121" i="4"/>
  <c r="O52" i="12" s="1"/>
  <c r="B122" i="4"/>
  <c r="C122" i="4"/>
  <c r="B123" i="4"/>
  <c r="C123" i="4"/>
  <c r="Q52" i="12"/>
  <c r="L121" i="4"/>
  <c r="P52" i="12"/>
  <c r="C29" i="12"/>
  <c r="F121" i="4"/>
  <c r="G121" i="4"/>
  <c r="B30" i="12"/>
  <c r="K121" i="4"/>
  <c r="U52" i="12" l="1"/>
  <c r="E122" i="4"/>
  <c r="O53" i="12" s="1"/>
  <c r="E123" i="4"/>
  <c r="O54" i="12" s="1"/>
  <c r="B124" i="4"/>
  <c r="C124" i="4"/>
  <c r="B31" i="12"/>
  <c r="K122" i="4"/>
  <c r="F123" i="4"/>
  <c r="P54" i="12"/>
  <c r="F122" i="4"/>
  <c r="C30" i="12"/>
  <c r="K123" i="4"/>
  <c r="L122" i="4"/>
  <c r="Q54" i="12"/>
  <c r="G122" i="4"/>
  <c r="G123" i="4"/>
  <c r="L123" i="4"/>
  <c r="P53" i="12"/>
  <c r="Q53" i="12"/>
  <c r="U54" i="12" l="1"/>
  <c r="U53" i="12"/>
  <c r="E124" i="4"/>
  <c r="O55" i="12" s="1"/>
  <c r="B125" i="4"/>
  <c r="C125" i="4"/>
  <c r="C31" i="12"/>
  <c r="L124" i="4"/>
  <c r="F124" i="4"/>
  <c r="B32" i="12"/>
  <c r="P55" i="12"/>
  <c r="K124" i="4"/>
  <c r="Q55" i="12"/>
  <c r="G124" i="4"/>
  <c r="U55" i="12" l="1"/>
  <c r="E125" i="4"/>
  <c r="O56" i="12" s="1"/>
  <c r="B126" i="4"/>
  <c r="C126" i="4"/>
  <c r="B127" i="4"/>
  <c r="C127" i="4"/>
  <c r="C32" i="12"/>
  <c r="Q56" i="12"/>
  <c r="G125" i="4"/>
  <c r="K125" i="4"/>
  <c r="P56" i="12"/>
  <c r="F125" i="4"/>
  <c r="B33" i="12"/>
  <c r="L125" i="4"/>
  <c r="U56" i="12" l="1"/>
  <c r="E126" i="4"/>
  <c r="O57" i="12" s="1"/>
  <c r="E127" i="4"/>
  <c r="O58" i="12" s="1"/>
  <c r="B128" i="4"/>
  <c r="C128" i="4"/>
  <c r="L126" i="4"/>
  <c r="Q58" i="12"/>
  <c r="G126" i="4"/>
  <c r="F127" i="4"/>
  <c r="K127" i="4"/>
  <c r="Q57" i="12"/>
  <c r="C33" i="12"/>
  <c r="B34" i="12"/>
  <c r="P57" i="12"/>
  <c r="P58" i="12"/>
  <c r="L127" i="4"/>
  <c r="G127" i="4"/>
  <c r="F126" i="4"/>
  <c r="K126" i="4"/>
  <c r="C34" i="12"/>
  <c r="U57" i="12" l="1"/>
  <c r="U58" i="12"/>
  <c r="E128" i="4"/>
  <c r="O59" i="12" s="1"/>
  <c r="B129" i="4"/>
  <c r="C129" i="4"/>
  <c r="Q59" i="12"/>
  <c r="G128" i="4"/>
  <c r="F128" i="4"/>
  <c r="B35" i="12"/>
  <c r="P59" i="12"/>
  <c r="L128" i="4"/>
  <c r="K128" i="4"/>
  <c r="U59" i="12" l="1"/>
  <c r="E129" i="4"/>
  <c r="B130" i="4"/>
  <c r="C130" i="4"/>
  <c r="C35" i="12"/>
  <c r="G129" i="4"/>
  <c r="B36" i="12"/>
  <c r="L129" i="4"/>
  <c r="F129" i="4"/>
  <c r="K129" i="4"/>
  <c r="C36" i="12"/>
  <c r="N92" i="4" l="1"/>
  <c r="E130" i="4"/>
  <c r="B131" i="4"/>
  <c r="C131" i="4"/>
  <c r="F130" i="4"/>
  <c r="K130" i="4"/>
  <c r="B37" i="12"/>
  <c r="B38" i="12"/>
  <c r="B39" i="12"/>
  <c r="C38" i="12"/>
  <c r="L130" i="4"/>
  <c r="G130" i="4"/>
  <c r="E131" i="4" l="1"/>
  <c r="N93" i="4"/>
  <c r="B132" i="4"/>
  <c r="C132" i="4"/>
  <c r="G131" i="4"/>
  <c r="B40" i="12"/>
  <c r="C37" i="12"/>
  <c r="C39" i="12"/>
  <c r="K131" i="4"/>
  <c r="F131" i="4"/>
  <c r="L131" i="4"/>
  <c r="N94" i="4" l="1"/>
  <c r="E132" i="4"/>
  <c r="B133" i="4"/>
  <c r="C133" i="4"/>
  <c r="G132" i="4"/>
  <c r="C40" i="12"/>
  <c r="L132" i="4"/>
  <c r="B41" i="12"/>
  <c r="F132" i="4"/>
  <c r="K132" i="4"/>
  <c r="N95" i="4" l="1"/>
  <c r="E133" i="4"/>
  <c r="B134" i="4"/>
  <c r="C134" i="4"/>
  <c r="K133" i="4"/>
  <c r="B42" i="12"/>
  <c r="F133" i="4"/>
  <c r="G133" i="4"/>
  <c r="C41" i="12"/>
  <c r="L133" i="4"/>
  <c r="N96" i="4" l="1"/>
  <c r="E134" i="4"/>
  <c r="B135" i="4"/>
  <c r="C135" i="4"/>
  <c r="K134" i="4"/>
  <c r="F134" i="4"/>
  <c r="G134" i="4"/>
  <c r="L134" i="4"/>
  <c r="B43" i="12"/>
  <c r="C42" i="12"/>
  <c r="E135" i="4" l="1"/>
  <c r="N97" i="4"/>
  <c r="B136" i="4"/>
  <c r="C136" i="4"/>
  <c r="K135" i="4"/>
  <c r="B44" i="12"/>
  <c r="C43" i="12"/>
  <c r="F135" i="4"/>
  <c r="G135" i="4"/>
  <c r="L135" i="4"/>
  <c r="E136" i="4" l="1"/>
  <c r="N98" i="4"/>
  <c r="B137" i="4"/>
  <c r="C137" i="4"/>
  <c r="G136" i="4"/>
  <c r="L136" i="4"/>
  <c r="K136" i="4"/>
  <c r="F136" i="4"/>
  <c r="B45" i="12"/>
  <c r="C44" i="12"/>
  <c r="N99" i="4" l="1"/>
  <c r="E137" i="4"/>
  <c r="B138" i="4"/>
  <c r="C138" i="4"/>
  <c r="B46" i="12"/>
  <c r="K137" i="4"/>
  <c r="F137" i="4"/>
  <c r="C45" i="12"/>
  <c r="L137" i="4"/>
  <c r="C46" i="12"/>
  <c r="G137" i="4"/>
  <c r="N100" i="4" l="1"/>
  <c r="E138" i="4"/>
  <c r="B139" i="4"/>
  <c r="C139" i="4"/>
  <c r="F138" i="4"/>
  <c r="B47" i="12"/>
  <c r="L138" i="4"/>
  <c r="K138" i="4"/>
  <c r="G138" i="4"/>
  <c r="E139" i="4" l="1"/>
  <c r="N101" i="4"/>
  <c r="B140" i="4"/>
  <c r="C140" i="4"/>
  <c r="G139" i="4"/>
  <c r="L139" i="4"/>
  <c r="K139" i="4"/>
  <c r="F139" i="4"/>
  <c r="B48" i="12"/>
  <c r="C48" i="12" s="1"/>
  <c r="C47" i="12"/>
  <c r="N102" i="4" l="1"/>
  <c r="E140" i="4"/>
  <c r="B141" i="4"/>
  <c r="C141" i="4"/>
  <c r="B49" i="12"/>
  <c r="L140" i="4"/>
  <c r="B50" i="12"/>
  <c r="G140" i="4"/>
  <c r="F140" i="4"/>
  <c r="K140" i="4"/>
  <c r="C49" i="12"/>
  <c r="B51" i="12"/>
  <c r="N103" i="4" l="1"/>
  <c r="E141" i="4"/>
  <c r="B142" i="4"/>
  <c r="C142" i="4"/>
  <c r="C51" i="12"/>
  <c r="C50" i="12"/>
  <c r="K141" i="4"/>
  <c r="F141" i="4"/>
  <c r="B52" i="12"/>
  <c r="B53" i="12" s="1"/>
  <c r="B54" i="12" s="1"/>
  <c r="L141" i="4"/>
  <c r="G141" i="4"/>
  <c r="C53" i="12"/>
  <c r="E142" i="4" l="1"/>
  <c r="N104" i="4"/>
  <c r="B143" i="4"/>
  <c r="C143" i="4"/>
  <c r="G142" i="4"/>
  <c r="L142" i="4"/>
  <c r="K142" i="4"/>
  <c r="C52" i="12"/>
  <c r="B55" i="12"/>
  <c r="F142" i="4"/>
  <c r="C54" i="12"/>
  <c r="N105" i="4" l="1"/>
  <c r="E143" i="4"/>
  <c r="B144" i="4"/>
  <c r="C144" i="4"/>
  <c r="B56" i="12"/>
  <c r="K143" i="4"/>
  <c r="G143" i="4"/>
  <c r="F143" i="4"/>
  <c r="L143" i="4"/>
  <c r="C55" i="12"/>
  <c r="E144" i="4" l="1"/>
  <c r="N106" i="4"/>
  <c r="B145" i="4"/>
  <c r="C145" i="4"/>
  <c r="L144" i="4"/>
  <c r="F144" i="4"/>
  <c r="G144" i="4"/>
  <c r="K144" i="4"/>
  <c r="C56" i="12"/>
  <c r="B57" i="12"/>
  <c r="N107" i="4" l="1"/>
  <c r="E145" i="4"/>
  <c r="B146" i="4"/>
  <c r="C146" i="4"/>
  <c r="B58" i="12"/>
  <c r="G145" i="4"/>
  <c r="F145" i="4"/>
  <c r="C57" i="12"/>
  <c r="L145" i="4"/>
  <c r="K145" i="4"/>
  <c r="E146" i="4" l="1"/>
  <c r="N108" i="4"/>
  <c r="B147" i="4"/>
  <c r="C147" i="4"/>
  <c r="C58" i="12"/>
  <c r="L146" i="4"/>
  <c r="G146" i="4"/>
  <c r="K146" i="4"/>
  <c r="F146" i="4"/>
  <c r="B59" i="12"/>
  <c r="E147" i="4" l="1"/>
  <c r="N109" i="4"/>
  <c r="B148" i="4"/>
  <c r="C148" i="4"/>
  <c r="F147" i="4"/>
  <c r="L147" i="4"/>
  <c r="K147" i="4"/>
  <c r="B60" i="12"/>
  <c r="G147" i="4"/>
  <c r="C59" i="12"/>
  <c r="N110" i="4" l="1"/>
  <c r="E148" i="4"/>
  <c r="B149" i="4"/>
  <c r="C149" i="4"/>
  <c r="C60" i="12"/>
  <c r="G148" i="4"/>
  <c r="B61" i="12"/>
  <c r="F148" i="4"/>
  <c r="L148" i="4"/>
  <c r="K148" i="4"/>
  <c r="N111" i="4" l="1"/>
  <c r="E149" i="4"/>
  <c r="B150" i="4"/>
  <c r="C150" i="4"/>
  <c r="K149" i="4"/>
  <c r="C61" i="12"/>
  <c r="B62" i="12"/>
  <c r="G149" i="4"/>
  <c r="F149" i="4"/>
  <c r="L149" i="4"/>
  <c r="E150" i="4" l="1"/>
  <c r="N112" i="4"/>
  <c r="B151" i="4"/>
  <c r="C151" i="4"/>
  <c r="C62" i="12"/>
  <c r="B63" i="12"/>
  <c r="K150" i="4"/>
  <c r="L150" i="4"/>
  <c r="F150" i="4"/>
  <c r="G150" i="4"/>
  <c r="E151" i="4" l="1"/>
  <c r="N113" i="4"/>
  <c r="B152" i="4"/>
  <c r="C152" i="4"/>
  <c r="B64" i="12"/>
  <c r="G151" i="4"/>
  <c r="F151" i="4"/>
  <c r="K151" i="4"/>
  <c r="C63" i="12"/>
  <c r="L151" i="4"/>
  <c r="B65" i="12"/>
  <c r="E152" i="4" l="1"/>
  <c r="N114" i="4"/>
  <c r="B153" i="4"/>
  <c r="C153" i="4"/>
  <c r="L152" i="4"/>
  <c r="B66" i="12"/>
  <c r="C65" i="12"/>
  <c r="K152" i="4"/>
  <c r="F152" i="4"/>
  <c r="G152" i="4"/>
  <c r="C64" i="12"/>
  <c r="E153" i="4" l="1"/>
  <c r="N115" i="4"/>
  <c r="B154" i="4"/>
  <c r="C154" i="4"/>
  <c r="F153" i="4"/>
  <c r="K153" i="4"/>
  <c r="C66" i="12"/>
  <c r="G153" i="4"/>
  <c r="B67" i="12"/>
  <c r="L153" i="4"/>
  <c r="N116" i="4" l="1"/>
  <c r="E154" i="4"/>
  <c r="B155" i="4"/>
  <c r="C155" i="4"/>
  <c r="B68" i="12"/>
  <c r="L154" i="4"/>
  <c r="G154" i="4"/>
  <c r="K154" i="4"/>
  <c r="F154" i="4"/>
  <c r="C67" i="12"/>
  <c r="E155" i="4" l="1"/>
  <c r="N117" i="4"/>
  <c r="B156" i="4"/>
  <c r="C156" i="4"/>
  <c r="K155" i="4"/>
  <c r="G155" i="4"/>
  <c r="B69" i="12"/>
  <c r="L155" i="4"/>
  <c r="C68" i="12"/>
  <c r="F155" i="4"/>
  <c r="C69" i="12"/>
  <c r="E156" i="4" l="1"/>
  <c r="N118" i="4"/>
  <c r="B157" i="4"/>
  <c r="C157" i="4"/>
  <c r="F156" i="4"/>
  <c r="L156" i="4"/>
  <c r="B70" i="12"/>
  <c r="G156" i="4"/>
  <c r="K156" i="4"/>
  <c r="N119" i="4" l="1"/>
  <c r="E157" i="4"/>
  <c r="B158" i="4"/>
  <c r="C158" i="4"/>
  <c r="K157" i="4"/>
  <c r="C70" i="12"/>
  <c r="B71" i="12"/>
  <c r="G157" i="4"/>
  <c r="F157" i="4"/>
  <c r="L157" i="4"/>
  <c r="N120" i="4" l="1"/>
  <c r="E158" i="4"/>
  <c r="B159" i="4"/>
  <c r="C159" i="4"/>
  <c r="F158" i="4"/>
  <c r="K158" i="4"/>
  <c r="B72" i="12"/>
  <c r="G158" i="4"/>
  <c r="C71" i="12"/>
  <c r="L158" i="4"/>
  <c r="C72" i="12"/>
  <c r="E159" i="4" l="1"/>
  <c r="N121" i="4"/>
  <c r="B160" i="4"/>
  <c r="C160" i="4"/>
  <c r="G159" i="4"/>
  <c r="L159" i="4"/>
  <c r="K159" i="4"/>
  <c r="B73" i="12"/>
  <c r="F159" i="4"/>
  <c r="N122" i="4" l="1"/>
  <c r="E160" i="4"/>
  <c r="B161" i="4"/>
  <c r="C161" i="4"/>
  <c r="B74" i="12"/>
  <c r="F160" i="4"/>
  <c r="K160" i="4"/>
  <c r="G160" i="4"/>
  <c r="L160" i="4"/>
  <c r="C74" i="12"/>
  <c r="C73" i="12"/>
  <c r="E161" i="4" l="1"/>
  <c r="N123" i="4"/>
  <c r="B162" i="4"/>
  <c r="C162" i="4"/>
  <c r="F161" i="4"/>
  <c r="K161" i="4"/>
  <c r="L161" i="4"/>
  <c r="G161" i="4"/>
  <c r="B75" i="12"/>
  <c r="E162" i="4" l="1"/>
  <c r="N124" i="4"/>
  <c r="B163" i="4"/>
  <c r="C163" i="4"/>
  <c r="F162" i="4"/>
  <c r="L162" i="4"/>
  <c r="K162" i="4"/>
  <c r="B76" i="12"/>
  <c r="G162" i="4"/>
  <c r="C75" i="12"/>
  <c r="N125" i="4" l="1"/>
  <c r="E163" i="4"/>
  <c r="B164" i="4"/>
  <c r="C164" i="4"/>
  <c r="C76" i="12"/>
  <c r="L163" i="4"/>
  <c r="F163" i="4"/>
  <c r="B77" i="12"/>
  <c r="K163" i="4"/>
  <c r="G163" i="4"/>
  <c r="E164" i="4" l="1"/>
  <c r="N126" i="4"/>
  <c r="B165" i="4"/>
  <c r="C165" i="4"/>
  <c r="C77" i="12"/>
  <c r="F164" i="4"/>
  <c r="K164" i="4"/>
  <c r="G164" i="4"/>
  <c r="B78" i="12"/>
  <c r="L164" i="4"/>
  <c r="E165" i="4" l="1"/>
  <c r="N127" i="4"/>
  <c r="C78" i="12"/>
  <c r="D2" i="5" a="1"/>
  <c r="L165" i="4"/>
  <c r="B79" i="12"/>
  <c r="G165" i="4"/>
  <c r="B80" i="12"/>
  <c r="F165" i="4"/>
  <c r="K165" i="4"/>
  <c r="C79" i="12"/>
  <c r="N128" i="4" l="1"/>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H123" i="5" l="1"/>
  <c r="H62" i="5"/>
  <c r="H42" i="5"/>
  <c r="G51" i="5"/>
  <c r="G89" i="5"/>
  <c r="F37" i="5"/>
  <c r="F10" i="5"/>
  <c r="H67" i="5"/>
  <c r="F24" i="5"/>
  <c r="F18" i="5"/>
  <c r="H117" i="5"/>
  <c r="G32" i="5"/>
  <c r="A7" i="5"/>
  <c r="F30" i="5"/>
  <c r="E109" i="5"/>
  <c r="F70" i="5"/>
  <c r="G94" i="5"/>
  <c r="E106" i="5"/>
  <c r="G52" i="5"/>
  <c r="F46" i="5"/>
  <c r="F19" i="5"/>
  <c r="H115" i="5"/>
  <c r="E111" i="5"/>
  <c r="H77" i="5"/>
  <c r="E57" i="5"/>
  <c r="F9" i="5"/>
  <c r="E103" i="5"/>
  <c r="F103" i="5"/>
  <c r="E68" i="5"/>
  <c r="F113" i="5"/>
  <c r="E125" i="5"/>
  <c r="E82" i="5"/>
  <c r="F40" i="5"/>
  <c r="F68" i="5"/>
  <c r="F2" i="5"/>
  <c r="H58" i="5"/>
  <c r="G93" i="5"/>
  <c r="F12" i="5"/>
  <c r="G41" i="5"/>
  <c r="H5" i="5"/>
  <c r="H70" i="5"/>
  <c r="G67" i="5"/>
  <c r="H68" i="5"/>
  <c r="F72" i="5"/>
  <c r="E4" i="5"/>
  <c r="G117" i="5"/>
  <c r="G116" i="5"/>
  <c r="E61" i="5"/>
  <c r="E44" i="5"/>
  <c r="G95" i="5"/>
  <c r="H13" i="5"/>
  <c r="H65" i="5"/>
  <c r="F88" i="5"/>
  <c r="H35" i="5"/>
  <c r="F120" i="5"/>
  <c r="H52" i="5"/>
  <c r="F63" i="5"/>
  <c r="F71" i="5"/>
  <c r="F90" i="5"/>
  <c r="E114" i="5"/>
  <c r="G64" i="5"/>
  <c r="F94" i="5"/>
  <c r="G18" i="5"/>
  <c r="E104" i="5"/>
  <c r="H31" i="5"/>
  <c r="G97" i="5"/>
  <c r="E118" i="5"/>
  <c r="G81" i="5"/>
  <c r="H20" i="5"/>
  <c r="E46" i="5"/>
  <c r="E85" i="5"/>
  <c r="F53" i="5"/>
  <c r="F39" i="5"/>
  <c r="F112" i="5"/>
  <c r="G98" i="5"/>
  <c r="E119" i="5"/>
  <c r="F96" i="5"/>
  <c r="H2" i="5"/>
  <c r="E110" i="5"/>
  <c r="F97" i="5"/>
  <c r="H39" i="5"/>
  <c r="G43" i="5"/>
  <c r="E108" i="5"/>
  <c r="E24" i="5"/>
  <c r="H49" i="5"/>
  <c r="E88" i="5"/>
  <c r="F50" i="5"/>
  <c r="F67" i="5"/>
  <c r="G53" i="5"/>
  <c r="H53" i="5"/>
  <c r="H75" i="5"/>
  <c r="H91" i="5"/>
  <c r="E102" i="5"/>
  <c r="E27" i="5"/>
  <c r="H7" i="5"/>
  <c r="E63" i="5"/>
  <c r="H95" i="5"/>
  <c r="H44" i="5"/>
  <c r="E121" i="5"/>
  <c r="F101" i="5"/>
  <c r="G114" i="5"/>
  <c r="G96" i="5"/>
  <c r="G106" i="5"/>
  <c r="H29" i="5"/>
  <c r="H121" i="5"/>
  <c r="G44" i="5"/>
  <c r="G3" i="5"/>
  <c r="H104" i="5"/>
  <c r="E69" i="5"/>
  <c r="F77" i="5"/>
  <c r="H89" i="5"/>
  <c r="F32" i="5"/>
  <c r="E53" i="5"/>
  <c r="H108" i="5"/>
  <c r="H48" i="5"/>
  <c r="E13" i="5"/>
  <c r="F29" i="5"/>
  <c r="E75" i="5"/>
  <c r="H81" i="5"/>
  <c r="F80" i="5"/>
  <c r="F44" i="5"/>
  <c r="E96" i="5"/>
  <c r="H71" i="5"/>
  <c r="E81" i="5"/>
  <c r="H18" i="5"/>
  <c r="G60" i="5"/>
  <c r="E36" i="5"/>
  <c r="F107" i="5"/>
  <c r="G105" i="5"/>
  <c r="H80" i="5"/>
  <c r="F8" i="5"/>
  <c r="F56" i="5"/>
  <c r="F82" i="5"/>
  <c r="E74" i="5"/>
  <c r="H101" i="5"/>
  <c r="E56" i="5"/>
  <c r="G45" i="5"/>
  <c r="E73" i="5"/>
  <c r="G87" i="5"/>
  <c r="H116" i="5"/>
  <c r="E115" i="5"/>
  <c r="E89" i="5"/>
  <c r="G59" i="5"/>
  <c r="G22" i="5"/>
  <c r="G62" i="5"/>
  <c r="G46" i="5"/>
  <c r="G24" i="5"/>
  <c r="E32" i="5"/>
  <c r="E58" i="5"/>
  <c r="E70" i="5"/>
  <c r="B6" i="5"/>
  <c r="G104" i="5"/>
  <c r="F114" i="5"/>
  <c r="G76" i="5"/>
  <c r="G72" i="5"/>
  <c r="H50" i="5"/>
  <c r="E71" i="5"/>
  <c r="H8" i="5"/>
  <c r="C80" i="12"/>
  <c r="G49" i="5"/>
  <c r="E77" i="5"/>
  <c r="E65" i="5"/>
  <c r="G112" i="5"/>
  <c r="E8" i="5"/>
  <c r="H118" i="5"/>
  <c r="G79" i="5"/>
  <c r="F7" i="5"/>
  <c r="H47" i="5"/>
  <c r="F78" i="5"/>
  <c r="H9" i="5"/>
  <c r="G39" i="5"/>
  <c r="G74" i="5"/>
  <c r="E72" i="5"/>
  <c r="G107" i="5"/>
  <c r="F87" i="5"/>
  <c r="F121" i="5"/>
  <c r="E107" i="5"/>
  <c r="F104" i="5"/>
  <c r="F57" i="5"/>
  <c r="G58" i="5"/>
  <c r="G91" i="5"/>
  <c r="E86" i="5"/>
  <c r="F126" i="5"/>
  <c r="F36" i="5"/>
  <c r="H79" i="5"/>
  <c r="H57" i="5"/>
  <c r="E37" i="5"/>
  <c r="G65" i="5"/>
  <c r="H34" i="5"/>
  <c r="E124" i="5"/>
  <c r="E64" i="5"/>
  <c r="H54" i="5"/>
  <c r="H82" i="5"/>
  <c r="G63" i="5"/>
  <c r="E19" i="5"/>
  <c r="H78" i="5"/>
  <c r="G30" i="5"/>
  <c r="B81" i="12"/>
  <c r="H87" i="5"/>
  <c r="G42" i="5"/>
  <c r="G2" i="5"/>
  <c r="H97" i="5"/>
  <c r="H61" i="5"/>
  <c r="F54" i="5"/>
  <c r="H15" i="5"/>
  <c r="E67" i="5"/>
  <c r="H94" i="5"/>
  <c r="H92" i="5"/>
  <c r="E31" i="5"/>
  <c r="H93" i="5"/>
  <c r="G7" i="5"/>
  <c r="F86" i="5"/>
  <c r="H99" i="5"/>
  <c r="F11" i="5"/>
  <c r="H112" i="5"/>
  <c r="F91" i="5"/>
  <c r="E105" i="5"/>
  <c r="G28" i="5"/>
  <c r="F69" i="5"/>
  <c r="E34" i="5"/>
  <c r="F123" i="5"/>
  <c r="H85" i="5"/>
  <c r="F105" i="5"/>
  <c r="G50" i="5"/>
  <c r="E40" i="5"/>
  <c r="F45" i="5"/>
  <c r="H90" i="5"/>
  <c r="E22" i="5"/>
  <c r="G115" i="5"/>
  <c r="H66" i="5"/>
  <c r="G5" i="5"/>
  <c r="E59" i="5"/>
  <c r="G69" i="5"/>
  <c r="F117" i="5"/>
  <c r="H23" i="5"/>
  <c r="H125" i="5"/>
  <c r="G31" i="5"/>
  <c r="F22" i="5"/>
  <c r="H21" i="5"/>
  <c r="E78" i="5"/>
  <c r="F33" i="5"/>
  <c r="G83" i="5"/>
  <c r="E26" i="5"/>
  <c r="E93" i="5"/>
  <c r="G126" i="5"/>
  <c r="G125" i="5"/>
  <c r="G33" i="5"/>
  <c r="F14" i="5"/>
  <c r="E20" i="5"/>
  <c r="H43" i="5"/>
  <c r="G82" i="5"/>
  <c r="H86" i="5"/>
  <c r="G110" i="5"/>
  <c r="G119" i="5"/>
  <c r="E47" i="5"/>
  <c r="E90" i="5"/>
  <c r="E28" i="5"/>
  <c r="E41" i="5"/>
  <c r="F100" i="5"/>
  <c r="F5" i="5"/>
  <c r="H10" i="5"/>
  <c r="E54" i="5"/>
  <c r="H110" i="5"/>
  <c r="G48" i="5"/>
  <c r="E120" i="5"/>
  <c r="E97" i="5"/>
  <c r="H84" i="5"/>
  <c r="F99" i="5"/>
  <c r="E18" i="5"/>
  <c r="G19" i="5"/>
  <c r="F4" i="5"/>
  <c r="F42" i="5"/>
  <c r="E80" i="5"/>
  <c r="E99" i="5"/>
  <c r="F66" i="5"/>
  <c r="E2" i="5"/>
  <c r="F119" i="5"/>
  <c r="E55" i="5"/>
  <c r="F73" i="5"/>
  <c r="H3" i="5"/>
  <c r="E100" i="5"/>
  <c r="H107" i="5"/>
  <c r="H33" i="5"/>
  <c r="F74" i="5"/>
  <c r="E92" i="5"/>
  <c r="G123" i="5"/>
  <c r="F102" i="5"/>
  <c r="E50" i="5"/>
  <c r="E38" i="5"/>
  <c r="E49" i="5"/>
  <c r="F38" i="5"/>
  <c r="G26" i="5"/>
  <c r="H103" i="5"/>
  <c r="F58" i="5"/>
  <c r="G85" i="5"/>
  <c r="G84" i="5"/>
  <c r="F76" i="5"/>
  <c r="H83" i="5"/>
  <c r="G8" i="5"/>
  <c r="H37" i="5"/>
  <c r="E126" i="5"/>
  <c r="G108" i="5"/>
  <c r="F61" i="5"/>
  <c r="H56" i="5"/>
  <c r="F125" i="5"/>
  <c r="H100" i="5"/>
  <c r="G29" i="5"/>
  <c r="G27" i="5"/>
  <c r="H76" i="5"/>
  <c r="H38" i="5"/>
  <c r="H72" i="5"/>
  <c r="F27" i="5"/>
  <c r="G90" i="5"/>
  <c r="F122" i="5"/>
  <c r="H98" i="5"/>
  <c r="F79" i="5"/>
  <c r="G14" i="5"/>
  <c r="G92" i="5"/>
  <c r="G118" i="5"/>
  <c r="G56" i="5"/>
  <c r="E91" i="5"/>
  <c r="H111" i="5"/>
  <c r="F83" i="5"/>
  <c r="F23" i="5"/>
  <c r="F34" i="5"/>
  <c r="H36" i="5"/>
  <c r="H4" i="5"/>
  <c r="H19" i="5"/>
  <c r="H51" i="5"/>
  <c r="G61" i="5"/>
  <c r="G47" i="5"/>
  <c r="H63" i="5"/>
  <c r="E3" i="5"/>
  <c r="F115" i="5"/>
  <c r="G100" i="5"/>
  <c r="E60" i="5"/>
  <c r="E76" i="5"/>
  <c r="G88" i="5"/>
  <c r="F81" i="5"/>
  <c r="E112" i="5"/>
  <c r="G77" i="5"/>
  <c r="G71" i="5"/>
  <c r="G21" i="5"/>
  <c r="G101" i="5"/>
  <c r="F111" i="5"/>
  <c r="H119" i="5"/>
  <c r="F98" i="5"/>
  <c r="H6" i="5"/>
  <c r="E9" i="5"/>
  <c r="F110" i="5"/>
  <c r="E12" i="5"/>
  <c r="H28" i="5"/>
  <c r="H30" i="5"/>
  <c r="E35" i="5"/>
  <c r="E7" i="5"/>
  <c r="G109" i="5"/>
  <c r="G57" i="5"/>
  <c r="H14" i="5"/>
  <c r="F51" i="5"/>
  <c r="G124" i="5"/>
  <c r="F15" i="5"/>
  <c r="H22" i="5"/>
  <c r="E116" i="5"/>
  <c r="F17" i="5"/>
  <c r="G6" i="5"/>
  <c r="G70" i="5"/>
  <c r="G66" i="5"/>
  <c r="E98" i="5"/>
  <c r="G78" i="5"/>
  <c r="E14" i="5"/>
  <c r="H96" i="5"/>
  <c r="G99" i="5"/>
  <c r="E25" i="5"/>
  <c r="H105" i="5"/>
  <c r="G11" i="5"/>
  <c r="H45" i="5"/>
  <c r="G37" i="5"/>
  <c r="F92" i="5"/>
  <c r="G34" i="5"/>
  <c r="F109" i="5"/>
  <c r="F59" i="5"/>
  <c r="E101" i="5"/>
  <c r="H32" i="5"/>
  <c r="E39" i="5"/>
  <c r="H16" i="5"/>
  <c r="F43" i="5"/>
  <c r="F13" i="5"/>
  <c r="H27" i="5"/>
  <c r="H120" i="5"/>
  <c r="H59" i="5"/>
  <c r="H40" i="5"/>
  <c r="G36" i="5"/>
  <c r="G121" i="5"/>
  <c r="H88" i="5"/>
  <c r="G35" i="5"/>
  <c r="G17" i="5"/>
  <c r="F106" i="5"/>
  <c r="H11" i="5"/>
  <c r="B82" i="12"/>
  <c r="E117" i="5"/>
  <c r="H126" i="5"/>
  <c r="E33" i="5"/>
  <c r="G73" i="5"/>
  <c r="G13" i="5"/>
  <c r="H25" i="5"/>
  <c r="F31" i="5"/>
  <c r="G122" i="5"/>
  <c r="E42" i="5"/>
  <c r="H124" i="5"/>
  <c r="C81" i="12"/>
  <c r="F48" i="5"/>
  <c r="G16" i="5"/>
  <c r="E29" i="5"/>
  <c r="E52" i="5"/>
  <c r="F41" i="5"/>
  <c r="G111" i="5"/>
  <c r="E16" i="5"/>
  <c r="E15" i="5"/>
  <c r="G15" i="5"/>
  <c r="F116" i="5"/>
  <c r="E45" i="5"/>
  <c r="F25" i="5"/>
  <c r="G103" i="5"/>
  <c r="E83" i="5"/>
  <c r="E87" i="5"/>
  <c r="E5" i="5"/>
  <c r="E6" i="5"/>
  <c r="G25" i="5"/>
  <c r="G9" i="5"/>
  <c r="E23" i="5"/>
  <c r="E48" i="5"/>
  <c r="G40" i="5"/>
  <c r="H122" i="5"/>
  <c r="E17" i="5"/>
  <c r="H12" i="5"/>
  <c r="F55" i="5"/>
  <c r="F49" i="5"/>
  <c r="F26" i="5"/>
  <c r="F95" i="5"/>
  <c r="H74" i="5"/>
  <c r="H69" i="5"/>
  <c r="H109" i="5"/>
  <c r="F20" i="5"/>
  <c r="G113" i="5"/>
  <c r="H46" i="5"/>
  <c r="F85" i="5"/>
  <c r="F64" i="5"/>
  <c r="F118" i="5"/>
  <c r="F89" i="5"/>
  <c r="F65" i="5"/>
  <c r="E84" i="5"/>
  <c r="F108" i="5"/>
  <c r="G86" i="5"/>
  <c r="G12" i="5"/>
  <c r="E62" i="5"/>
  <c r="F60" i="5"/>
  <c r="E113" i="5"/>
  <c r="H24" i="5"/>
  <c r="H60" i="5"/>
  <c r="F6" i="5"/>
  <c r="G120" i="5"/>
  <c r="E94" i="5"/>
  <c r="E11" i="5"/>
  <c r="E95" i="5"/>
  <c r="G23" i="5"/>
  <c r="G55" i="5"/>
  <c r="H113" i="5"/>
  <c r="H73" i="5"/>
  <c r="E10" i="5"/>
  <c r="E30" i="5"/>
  <c r="F21" i="5"/>
  <c r="F93" i="5"/>
  <c r="H26" i="5"/>
  <c r="G38" i="5"/>
  <c r="E51" i="5"/>
  <c r="H41" i="5"/>
  <c r="F35" i="5"/>
  <c r="H55" i="5"/>
  <c r="F3" i="5"/>
  <c r="F84" i="5"/>
  <c r="F62" i="5"/>
  <c r="G80" i="5"/>
  <c r="E21" i="5"/>
  <c r="G75" i="5"/>
  <c r="F52" i="5"/>
  <c r="G68" i="5"/>
  <c r="G20" i="5"/>
  <c r="E123" i="5"/>
  <c r="G10" i="5"/>
  <c r="E79" i="5"/>
  <c r="H114" i="5"/>
  <c r="E43" i="5"/>
  <c r="H106" i="5"/>
  <c r="F16" i="5"/>
  <c r="F75" i="5"/>
  <c r="F28" i="5"/>
  <c r="G4" i="5"/>
  <c r="H17" i="5"/>
  <c r="E66" i="5"/>
  <c r="F47" i="5"/>
  <c r="G54" i="5"/>
  <c r="H64" i="5"/>
  <c r="G102" i="5"/>
  <c r="F124" i="5"/>
  <c r="H102" i="5"/>
  <c r="C28" i="6" s="1"/>
  <c r="E122" i="5"/>
  <c r="C82" i="12"/>
  <c r="B83" i="12"/>
  <c r="B84" i="12"/>
  <c r="B85" i="12"/>
  <c r="B86" i="12" s="1"/>
  <c r="B87" i="12" s="1"/>
  <c r="D14" i="6"/>
  <c r="B7" i="5"/>
  <c r="C86" i="12"/>
  <c r="C85" i="12"/>
  <c r="C87" i="12"/>
  <c r="B88" i="12"/>
  <c r="E3" i="12"/>
  <c r="I1" i="5" a="1"/>
  <c r="D15" i="6"/>
  <c r="D3" i="12"/>
  <c r="D31" i="6"/>
  <c r="C27" i="6"/>
  <c r="D30" i="6"/>
  <c r="B89" i="12"/>
  <c r="C88" i="12"/>
  <c r="B90" i="12"/>
  <c r="C89" i="12"/>
  <c r="C90" i="12"/>
  <c r="B91" i="12"/>
  <c r="B92" i="12"/>
  <c r="C91" i="12"/>
  <c r="C92" i="12"/>
  <c r="B93" i="12"/>
  <c r="C93" i="12"/>
  <c r="B94" i="12"/>
  <c r="B95" i="12"/>
  <c r="C94" i="12"/>
  <c r="B96" i="12"/>
  <c r="C95" i="12"/>
  <c r="B97" i="12"/>
  <c r="C96" i="12"/>
  <c r="B98" i="12"/>
  <c r="C97" i="12"/>
  <c r="B99" i="12"/>
  <c r="C98" i="12"/>
  <c r="B100" i="12"/>
  <c r="C99" i="12"/>
  <c r="C100" i="12"/>
  <c r="B101" i="12"/>
  <c r="B102" i="12"/>
  <c r="C101" i="12"/>
  <c r="B103" i="12"/>
  <c r="C102" i="12"/>
  <c r="B104" i="12"/>
  <c r="C103" i="12"/>
  <c r="C104" i="12"/>
  <c r="B105" i="12"/>
  <c r="B106" i="12"/>
  <c r="C105" i="12"/>
  <c r="C106" i="12"/>
  <c r="B107" i="12"/>
  <c r="B108" i="12"/>
  <c r="C107" i="12"/>
  <c r="B109" i="12"/>
  <c r="C108" i="12"/>
  <c r="B110" i="12"/>
  <c r="C109" i="12"/>
  <c r="B111" i="12"/>
  <c r="C110" i="12"/>
  <c r="B112" i="12"/>
  <c r="C111" i="12"/>
  <c r="C112" i="12"/>
  <c r="B113" i="12"/>
  <c r="C113" i="12"/>
  <c r="B114" i="12"/>
  <c r="C114" i="12"/>
  <c r="B115" i="12"/>
  <c r="C115" i="12"/>
  <c r="B116" i="12"/>
  <c r="C116" i="12"/>
  <c r="B117" i="12"/>
  <c r="C117" i="12"/>
  <c r="B118" i="12"/>
  <c r="C118" i="12"/>
  <c r="B119" i="12"/>
  <c r="B120" i="12"/>
  <c r="C119" i="12"/>
  <c r="C120" i="12"/>
  <c r="B121" i="12"/>
  <c r="B122" i="12"/>
  <c r="C121" i="12"/>
  <c r="B123" i="12"/>
  <c r="C122" i="12"/>
  <c r="C123" i="12"/>
  <c r="B124" i="12"/>
  <c r="C124" i="12"/>
  <c r="B125" i="12"/>
  <c r="C125" i="12"/>
  <c r="B126" i="12"/>
  <c r="C126" i="12"/>
  <c r="B127" i="12"/>
  <c r="B128" i="12"/>
  <c r="C127" i="12"/>
  <c r="C128" i="12"/>
  <c r="B129" i="12"/>
  <c r="C129" i="12"/>
  <c r="B130" i="12"/>
  <c r="B131" i="12"/>
  <c r="C130" i="12"/>
  <c r="B132" i="12"/>
  <c r="C131" i="12"/>
  <c r="C132" i="12"/>
  <c r="B133" i="12"/>
  <c r="C133" i="12"/>
  <c r="B134" i="12"/>
  <c r="C134" i="12"/>
  <c r="B135" i="12"/>
  <c r="B136" i="12"/>
  <c r="C135" i="12"/>
  <c r="C136" i="12"/>
  <c r="B137" i="12"/>
  <c r="B138" i="12"/>
  <c r="C137" i="12"/>
  <c r="B139" i="12"/>
  <c r="C138" i="12"/>
  <c r="C139" i="12"/>
  <c r="B140" i="12"/>
  <c r="C140" i="12"/>
  <c r="B141" i="12"/>
  <c r="B142" i="12"/>
  <c r="C141" i="12"/>
  <c r="B143" i="12"/>
  <c r="C142" i="12"/>
  <c r="C143" i="12"/>
  <c r="B144" i="12"/>
  <c r="C144" i="12"/>
  <c r="B145" i="12"/>
  <c r="C145" i="12"/>
  <c r="B146" i="12"/>
  <c r="B147" i="12"/>
  <c r="C146" i="12"/>
  <c r="B148" i="12"/>
  <c r="C147" i="12"/>
  <c r="C148" i="12"/>
  <c r="B149" i="12"/>
  <c r="B150" i="12"/>
  <c r="C149" i="12"/>
  <c r="C150" i="12"/>
  <c r="B151" i="12"/>
  <c r="C151" i="12"/>
  <c r="B152" i="12"/>
  <c r="C152" i="12"/>
  <c r="B153" i="12"/>
  <c r="B154" i="12"/>
  <c r="C153" i="12"/>
  <c r="B155" i="12"/>
  <c r="C154" i="12"/>
  <c r="C155" i="12"/>
  <c r="B156" i="12"/>
  <c r="C156" i="12"/>
  <c r="B157" i="12"/>
  <c r="B158" i="12"/>
  <c r="C157" i="12"/>
  <c r="C158" i="12"/>
  <c r="B159" i="12"/>
  <c r="B160" i="12"/>
  <c r="C159" i="12"/>
  <c r="C160" i="12"/>
  <c r="B161" i="12"/>
  <c r="C161" i="12"/>
  <c r="B162" i="12"/>
  <c r="B163" i="12"/>
  <c r="C162" i="12"/>
  <c r="B164" i="12"/>
  <c r="C163" i="12"/>
  <c r="C164" i="12"/>
  <c r="B165" i="12"/>
  <c r="C165" i="12"/>
  <c r="B166" i="12"/>
  <c r="C166" i="12"/>
  <c r="B167" i="12"/>
  <c r="B168" i="12"/>
  <c r="C167" i="12"/>
  <c r="C168" i="12"/>
  <c r="B169" i="12"/>
  <c r="C169" i="12"/>
  <c r="B170" i="12"/>
  <c r="B171" i="12"/>
  <c r="C170" i="12"/>
  <c r="C171" i="12"/>
  <c r="B172" i="12"/>
  <c r="C172" i="12"/>
  <c r="B173" i="12"/>
  <c r="C173" i="12"/>
  <c r="B174" i="12"/>
  <c r="C174" i="12"/>
  <c r="B175" i="12"/>
  <c r="B176" i="12"/>
  <c r="C175" i="12"/>
  <c r="C176" i="12"/>
  <c r="B177" i="12"/>
  <c r="B178" i="12"/>
  <c r="C177" i="12"/>
  <c r="C178" i="12"/>
  <c r="B179" i="12"/>
  <c r="C179" i="12"/>
  <c r="B180" i="12"/>
  <c r="B181" i="12"/>
  <c r="C180" i="12"/>
  <c r="C181" i="12"/>
  <c r="B182" i="12"/>
  <c r="C182" i="12"/>
  <c r="B183" i="12"/>
  <c r="B184" i="12"/>
  <c r="C183" i="12"/>
  <c r="C184" i="12"/>
  <c r="B185" i="12"/>
  <c r="C185" i="12"/>
  <c r="B186" i="12"/>
  <c r="B187" i="12"/>
  <c r="C186" i="12"/>
  <c r="C187" i="12"/>
  <c r="B188" i="12"/>
  <c r="B189" i="12"/>
  <c r="C188" i="12"/>
  <c r="B190" i="12"/>
  <c r="C189" i="12"/>
  <c r="C190" i="12"/>
  <c r="B191" i="12"/>
  <c r="B192" i="12"/>
  <c r="C191" i="12"/>
  <c r="C192" i="12"/>
  <c r="B193" i="12"/>
  <c r="C193" i="12"/>
  <c r="B194" i="12"/>
  <c r="B195" i="12"/>
  <c r="C194" i="12"/>
  <c r="B196" i="12"/>
  <c r="C195" i="12"/>
  <c r="B197" i="12"/>
  <c r="C196" i="12"/>
  <c r="C197" i="12"/>
  <c r="B198" i="12"/>
  <c r="C198" i="12"/>
  <c r="B199" i="12"/>
  <c r="B200" i="12"/>
  <c r="C199" i="12"/>
  <c r="B201" i="12"/>
  <c r="C200" i="12"/>
  <c r="C201" i="12"/>
  <c r="B202" i="12"/>
  <c r="B203" i="12"/>
  <c r="C202" i="12"/>
  <c r="C203" i="12"/>
  <c r="B204" i="12"/>
  <c r="C204" i="12"/>
  <c r="B205" i="12"/>
  <c r="C205" i="12"/>
  <c r="B206" i="12"/>
  <c r="B207" i="12"/>
  <c r="C206" i="12"/>
  <c r="C207" i="12"/>
  <c r="B208" i="12"/>
  <c r="B209" i="12"/>
  <c r="C208" i="12"/>
  <c r="C209" i="12"/>
  <c r="B210" i="12"/>
  <c r="C210" i="12"/>
  <c r="B211" i="12"/>
  <c r="B212" i="12"/>
  <c r="C211" i="12"/>
  <c r="C212" i="12"/>
  <c r="B213" i="12"/>
  <c r="C213" i="12"/>
  <c r="B214" i="12"/>
  <c r="C214" i="12"/>
  <c r="B215" i="12"/>
  <c r="B216" i="12"/>
  <c r="C215" i="12"/>
  <c r="B217" i="12"/>
  <c r="C216" i="12"/>
  <c r="C217" i="12"/>
  <c r="B218" i="12"/>
  <c r="B219" i="12"/>
  <c r="C218" i="12"/>
  <c r="C219" i="12"/>
  <c r="B220" i="12"/>
  <c r="C220" i="12"/>
  <c r="B221" i="12"/>
  <c r="B222" i="12"/>
  <c r="C221" i="12"/>
  <c r="C222" i="12"/>
  <c r="B223" i="12"/>
  <c r="B224" i="12"/>
  <c r="C223" i="12"/>
  <c r="B225" i="12"/>
  <c r="C224" i="12"/>
  <c r="C225" i="12"/>
  <c r="B226" i="12"/>
  <c r="B227" i="12"/>
  <c r="C226" i="12"/>
  <c r="B228" i="12"/>
  <c r="C227" i="12"/>
  <c r="B229" i="12"/>
  <c r="C228" i="12"/>
  <c r="C229" i="12"/>
  <c r="B230" i="12"/>
  <c r="C230" i="12"/>
  <c r="B231" i="12"/>
  <c r="B232" i="12"/>
  <c r="C231" i="12"/>
  <c r="B233" i="12"/>
  <c r="C232" i="12"/>
  <c r="C233" i="12"/>
  <c r="B234" i="12"/>
  <c r="B235" i="12"/>
  <c r="C234" i="12"/>
  <c r="C235" i="12"/>
  <c r="B236" i="12"/>
  <c r="C236" i="12"/>
  <c r="B237" i="12"/>
  <c r="B238" i="12"/>
  <c r="C237" i="12"/>
  <c r="C238" i="12"/>
  <c r="B239" i="12"/>
  <c r="B240" i="12"/>
  <c r="C239" i="12"/>
  <c r="B241" i="12"/>
  <c r="C240" i="12"/>
  <c r="C241" i="12"/>
  <c r="B242" i="12"/>
  <c r="B243" i="12"/>
  <c r="C242" i="12"/>
  <c r="C243" i="12"/>
  <c r="B244" i="12"/>
  <c r="C244" i="12"/>
  <c r="B245" i="12"/>
  <c r="C245" i="12"/>
  <c r="B246" i="12"/>
  <c r="B247" i="12"/>
  <c r="C246" i="12"/>
  <c r="B248" i="12"/>
  <c r="C247" i="12"/>
  <c r="B249" i="12"/>
  <c r="C248" i="12"/>
  <c r="C249" i="12"/>
  <c r="B250" i="12"/>
  <c r="B251" i="12"/>
  <c r="C250" i="12"/>
  <c r="C251" i="12"/>
  <c r="B252" i="12"/>
  <c r="B253" i="12"/>
  <c r="C252" i="12"/>
  <c r="B254" i="12"/>
  <c r="C253" i="12"/>
  <c r="B255" i="12"/>
  <c r="C254" i="12"/>
  <c r="B256" i="12"/>
  <c r="C255" i="12"/>
  <c r="B257" i="12"/>
  <c r="C256" i="12"/>
  <c r="C257" i="12"/>
  <c r="B258" i="12"/>
  <c r="B259" i="12"/>
  <c r="C258" i="12"/>
  <c r="C259" i="12"/>
  <c r="B260" i="12"/>
  <c r="B261" i="12"/>
  <c r="C260" i="12"/>
  <c r="B262" i="12"/>
  <c r="C261" i="12"/>
  <c r="C262" i="12"/>
  <c r="B263" i="12"/>
  <c r="B264" i="12"/>
  <c r="C263" i="12"/>
  <c r="B265" i="12"/>
  <c r="C264" i="12"/>
  <c r="C265" i="12"/>
  <c r="B266" i="12"/>
  <c r="B267" i="12"/>
  <c r="C266" i="12"/>
  <c r="B268" i="12"/>
  <c r="C267" i="12"/>
  <c r="C268" i="12"/>
  <c r="B269" i="12"/>
  <c r="C269" i="12"/>
  <c r="B270" i="12"/>
  <c r="C270" i="12"/>
  <c r="B271" i="12"/>
  <c r="B272" i="12"/>
  <c r="C271" i="12"/>
  <c r="B273" i="12"/>
  <c r="C272" i="12"/>
  <c r="B274" i="12"/>
  <c r="C273" i="12"/>
  <c r="C274" i="12"/>
  <c r="B275" i="12"/>
  <c r="B276" i="12"/>
  <c r="C275" i="12"/>
  <c r="B277" i="12"/>
  <c r="C276" i="12"/>
  <c r="B278" i="12"/>
  <c r="C277" i="12"/>
  <c r="C278" i="12"/>
  <c r="B279" i="12"/>
  <c r="B280" i="12"/>
  <c r="C279" i="12"/>
  <c r="B281" i="12"/>
  <c r="C280" i="12"/>
  <c r="C281" i="12"/>
  <c r="B282" i="12"/>
  <c r="C282" i="12"/>
  <c r="B283" i="12"/>
  <c r="C283" i="12"/>
  <c r="B284" i="12"/>
  <c r="C284" i="12"/>
  <c r="B285" i="12"/>
  <c r="C285" i="12"/>
  <c r="B286" i="12"/>
  <c r="C286" i="12"/>
  <c r="B287" i="12"/>
  <c r="C287" i="12"/>
  <c r="B288" i="12"/>
  <c r="B289" i="12"/>
  <c r="C288" i="12"/>
  <c r="C289" i="12"/>
  <c r="B290" i="12"/>
  <c r="B291" i="12"/>
  <c r="C290" i="12"/>
  <c r="C291" i="12"/>
  <c r="B292" i="12"/>
  <c r="B293" i="12"/>
  <c r="C292" i="12"/>
  <c r="C293" i="12"/>
  <c r="B294" i="12"/>
  <c r="C294" i="12"/>
  <c r="B295" i="12"/>
  <c r="B296" i="12"/>
  <c r="C295" i="12"/>
  <c r="B297" i="12"/>
  <c r="C296" i="12"/>
  <c r="C297" i="12"/>
  <c r="B298" i="12"/>
  <c r="B299" i="12"/>
  <c r="C298" i="12"/>
  <c r="B300" i="12"/>
  <c r="C299" i="12"/>
  <c r="C300" i="12"/>
  <c r="B301" i="12"/>
  <c r="C301" i="12"/>
  <c r="B302" i="12"/>
  <c r="C302" i="12"/>
  <c r="B303" i="12"/>
  <c r="B304" i="12"/>
  <c r="C303" i="12"/>
  <c r="C304" i="12"/>
  <c r="B305" i="12"/>
  <c r="C305" i="12"/>
  <c r="B306" i="12"/>
  <c r="B307" i="12"/>
  <c r="C306" i="12"/>
  <c r="C307" i="12"/>
  <c r="B308" i="12"/>
  <c r="C308" i="12"/>
  <c r="B309" i="12"/>
  <c r="C309" i="12"/>
  <c r="B310" i="12"/>
  <c r="C310" i="12"/>
  <c r="B311" i="12"/>
  <c r="B312" i="12"/>
  <c r="C311" i="12"/>
  <c r="C312" i="12"/>
  <c r="B313" i="12"/>
  <c r="B314" i="12"/>
  <c r="C313" i="12"/>
  <c r="B315" i="12"/>
  <c r="C314" i="12"/>
  <c r="B316" i="12"/>
  <c r="C315" i="12"/>
  <c r="B317" i="12"/>
  <c r="C316" i="12"/>
  <c r="B318" i="12"/>
  <c r="C317" i="12"/>
  <c r="C318" i="12"/>
  <c r="B319" i="12"/>
  <c r="C319" i="12"/>
  <c r="B320" i="12"/>
  <c r="C320" i="12"/>
  <c r="B321" i="12"/>
  <c r="C321" i="12"/>
  <c r="B322" i="12"/>
  <c r="B323" i="12"/>
  <c r="C322" i="12"/>
  <c r="B324" i="12"/>
  <c r="C323" i="12"/>
  <c r="B325" i="12"/>
  <c r="C324" i="12"/>
  <c r="B326" i="12"/>
  <c r="C325" i="12"/>
  <c r="C326" i="12"/>
  <c r="B327" i="12"/>
  <c r="B328" i="12"/>
  <c r="C327" i="12"/>
  <c r="C328" i="12"/>
  <c r="B329" i="12"/>
  <c r="C329" i="12"/>
  <c r="B330" i="12"/>
  <c r="B331" i="12"/>
  <c r="C330" i="12"/>
  <c r="B332" i="12"/>
  <c r="C331" i="12"/>
  <c r="C332" i="12"/>
  <c r="B333" i="12"/>
  <c r="B334" i="12"/>
  <c r="C333" i="12"/>
  <c r="C334" i="12"/>
  <c r="B335" i="12"/>
  <c r="C335" i="12"/>
  <c r="B336" i="12"/>
  <c r="C336" i="12"/>
  <c r="B337" i="12"/>
  <c r="B338" i="12"/>
  <c r="C337" i="12"/>
  <c r="B339" i="12"/>
  <c r="C338" i="12"/>
  <c r="B340" i="12"/>
  <c r="C339" i="12"/>
  <c r="C340" i="12"/>
  <c r="B341" i="12"/>
  <c r="B342" i="12"/>
  <c r="C341" i="12"/>
  <c r="C342" i="12"/>
  <c r="B343" i="12"/>
  <c r="B344" i="12"/>
  <c r="C343" i="12"/>
  <c r="C344" i="12"/>
  <c r="B345" i="12"/>
  <c r="B346" i="12"/>
  <c r="C345" i="12"/>
  <c r="B347" i="12"/>
  <c r="C346" i="12"/>
  <c r="B348" i="12"/>
  <c r="C347" i="12"/>
  <c r="C348" i="12"/>
  <c r="B349" i="12"/>
  <c r="B350" i="12"/>
  <c r="C349" i="12"/>
  <c r="B351" i="12"/>
  <c r="C350" i="12"/>
  <c r="C351" i="12"/>
  <c r="B352" i="12"/>
  <c r="B353" i="12"/>
  <c r="C352" i="12"/>
  <c r="C353" i="12"/>
  <c r="B354" i="12"/>
  <c r="B355" i="12"/>
  <c r="C354" i="12"/>
  <c r="B356" i="12"/>
  <c r="C355" i="12"/>
  <c r="C356" i="12"/>
  <c r="B357" i="12"/>
  <c r="B358" i="12"/>
  <c r="C357" i="12"/>
  <c r="C358" i="12"/>
  <c r="B359" i="12"/>
  <c r="B360" i="12"/>
  <c r="C359" i="12"/>
  <c r="C360" i="12"/>
  <c r="B361" i="12"/>
  <c r="C361" i="12"/>
  <c r="B362" i="12"/>
  <c r="C362" i="12"/>
  <c r="B363" i="12"/>
  <c r="B364" i="12"/>
  <c r="C363" i="12"/>
  <c r="C364" i="12"/>
  <c r="B365" i="12"/>
  <c r="C365" i="12"/>
  <c r="B366" i="12"/>
  <c r="C366" i="12"/>
  <c r="B367" i="12"/>
  <c r="B368" i="12"/>
  <c r="C367" i="12"/>
  <c r="C368" i="12"/>
  <c r="B369" i="12"/>
  <c r="C369" i="12"/>
  <c r="B370" i="12"/>
  <c r="B371" i="12"/>
  <c r="C370" i="12"/>
  <c r="C371" i="12"/>
  <c r="B372" i="12"/>
  <c r="C372" i="12"/>
  <c r="B373" i="12"/>
  <c r="B374" i="12"/>
  <c r="C373" i="12"/>
  <c r="C374" i="12"/>
  <c r="B375" i="12"/>
  <c r="B376" i="12"/>
  <c r="C375" i="12"/>
  <c r="C376" i="12"/>
  <c r="B377" i="12"/>
  <c r="C377" i="12"/>
  <c r="B378" i="12"/>
  <c r="B379" i="12"/>
  <c r="C378" i="12"/>
  <c r="B380" i="12"/>
  <c r="C379" i="12"/>
  <c r="B381" i="12"/>
  <c r="C380" i="12"/>
  <c r="B382" i="12"/>
  <c r="C381" i="12"/>
  <c r="C382" i="12"/>
  <c r="B383" i="12"/>
  <c r="C383" i="12"/>
  <c r="B384" i="12"/>
  <c r="B385" i="12"/>
  <c r="C384" i="12"/>
  <c r="C385" i="12"/>
  <c r="B386" i="12"/>
  <c r="B387" i="12"/>
  <c r="C386" i="12"/>
  <c r="B388" i="12"/>
  <c r="C387" i="12"/>
  <c r="C388" i="12"/>
  <c r="B389" i="12"/>
  <c r="B390" i="12"/>
  <c r="C389" i="12"/>
  <c r="C390" i="12"/>
  <c r="B391" i="12"/>
  <c r="B392" i="12"/>
  <c r="C391" i="12"/>
  <c r="B393" i="12"/>
  <c r="C392" i="12"/>
  <c r="C393" i="12"/>
  <c r="B394" i="12"/>
  <c r="C394" i="12"/>
  <c r="B395" i="12"/>
  <c r="B396" i="12"/>
  <c r="C395" i="12"/>
  <c r="B397" i="12"/>
  <c r="C396" i="12"/>
  <c r="B398" i="12"/>
  <c r="C397" i="12"/>
  <c r="B399" i="12"/>
  <c r="C398" i="12"/>
  <c r="B400" i="12"/>
  <c r="C399" i="12"/>
  <c r="C400" i="12"/>
  <c r="B401" i="12"/>
  <c r="C401" i="12"/>
  <c r="B402" i="12"/>
  <c r="C402" i="12"/>
  <c r="B403" i="12"/>
  <c r="B404" i="12"/>
  <c r="C403" i="12"/>
  <c r="B405" i="12"/>
  <c r="C404" i="12"/>
  <c r="C405" i="12"/>
  <c r="B406" i="12"/>
  <c r="C406" i="12"/>
  <c r="B407" i="12"/>
  <c r="B408" i="12"/>
  <c r="C407" i="12"/>
  <c r="C408" i="12"/>
  <c r="B409" i="12"/>
  <c r="B410" i="12"/>
  <c r="C409" i="12"/>
  <c r="C410" i="12"/>
  <c r="B411" i="12"/>
  <c r="B412" i="12"/>
  <c r="C411" i="12"/>
  <c r="C412" i="12"/>
  <c r="B413" i="12"/>
  <c r="B414" i="12"/>
  <c r="C413" i="12"/>
  <c r="C414" i="12"/>
  <c r="B415" i="12"/>
  <c r="C415" i="12"/>
  <c r="B416" i="12"/>
  <c r="C416" i="12"/>
  <c r="B417" i="12"/>
  <c r="C417" i="12"/>
  <c r="B418" i="12"/>
  <c r="B419" i="12"/>
  <c r="C418" i="12"/>
  <c r="B420" i="12"/>
  <c r="C419" i="12"/>
  <c r="B421" i="12"/>
  <c r="C420" i="12"/>
  <c r="B422" i="12"/>
  <c r="C421" i="12"/>
  <c r="C422" i="12"/>
  <c r="B423" i="12"/>
  <c r="C423" i="12"/>
  <c r="B424" i="12"/>
  <c r="C424" i="12"/>
  <c r="B425" i="12"/>
  <c r="C425" i="12"/>
  <c r="B426" i="12"/>
  <c r="C426" i="12"/>
  <c r="B427" i="12"/>
  <c r="B428" i="12"/>
  <c r="C427" i="12"/>
  <c r="B429" i="12"/>
  <c r="C428" i="12"/>
  <c r="C429" i="12"/>
  <c r="B430" i="12"/>
  <c r="B431" i="12"/>
  <c r="C430" i="12"/>
  <c r="B432" i="12"/>
  <c r="C431" i="12"/>
  <c r="B433" i="12"/>
  <c r="C432" i="12"/>
  <c r="B434" i="12"/>
  <c r="C433" i="12"/>
  <c r="C434" i="12"/>
  <c r="B435" i="12"/>
  <c r="B436" i="12"/>
  <c r="C435" i="12"/>
  <c r="B437" i="12"/>
  <c r="C436" i="12"/>
  <c r="C437" i="12"/>
  <c r="B438" i="12"/>
  <c r="C438" i="12"/>
  <c r="B439" i="12"/>
  <c r="C439" i="12"/>
  <c r="B440" i="12"/>
  <c r="C440" i="12"/>
  <c r="B441" i="12"/>
  <c r="B442" i="12"/>
  <c r="C441" i="12"/>
  <c r="B443" i="12"/>
  <c r="C442" i="12"/>
  <c r="B444" i="12"/>
  <c r="C443" i="12"/>
  <c r="C444" i="12"/>
  <c r="B445" i="12"/>
  <c r="B446" i="12"/>
  <c r="C445" i="12"/>
  <c r="C446" i="12"/>
  <c r="B447" i="12"/>
  <c r="C447" i="12"/>
  <c r="B448" i="12"/>
  <c r="C448" i="12"/>
  <c r="B449" i="12"/>
  <c r="C449" i="12"/>
  <c r="B450" i="12"/>
  <c r="C450" i="12"/>
  <c r="B451" i="12"/>
  <c r="B452" i="12"/>
  <c r="C451" i="12"/>
  <c r="C452" i="12"/>
  <c r="B453" i="12"/>
  <c r="B454" i="12"/>
  <c r="C453" i="12"/>
  <c r="C454" i="12"/>
  <c r="B455" i="12"/>
  <c r="B456" i="12"/>
  <c r="C455" i="12"/>
  <c r="C456" i="12"/>
  <c r="B457" i="12"/>
  <c r="C457" i="12"/>
  <c r="B458" i="12"/>
  <c r="C458" i="12"/>
  <c r="B459" i="12"/>
  <c r="C459" i="12"/>
  <c r="B460" i="12"/>
  <c r="B461" i="12"/>
  <c r="C460" i="12"/>
  <c r="B462" i="12"/>
  <c r="C461" i="12"/>
  <c r="B463" i="12"/>
  <c r="C462" i="12"/>
  <c r="B464" i="12"/>
  <c r="C463" i="12"/>
  <c r="C464" i="12"/>
  <c r="B465" i="12"/>
  <c r="C465" i="12"/>
  <c r="B466" i="12"/>
  <c r="B467" i="12"/>
  <c r="C466" i="12"/>
  <c r="B468" i="12"/>
  <c r="C467" i="12"/>
  <c r="C468" i="12"/>
  <c r="B469" i="12"/>
  <c r="B470" i="12"/>
  <c r="C469" i="12"/>
  <c r="C470" i="12"/>
  <c r="B471" i="12"/>
  <c r="B472" i="12"/>
  <c r="C471" i="12"/>
  <c r="C472" i="12"/>
  <c r="B473" i="12"/>
  <c r="B474" i="12"/>
  <c r="C473" i="12"/>
  <c r="B475" i="12"/>
  <c r="C474" i="12"/>
  <c r="B476" i="12"/>
  <c r="C475" i="12"/>
  <c r="C476" i="12"/>
  <c r="B477" i="12"/>
  <c r="B478" i="12"/>
  <c r="C477" i="12"/>
  <c r="B479" i="12"/>
  <c r="C478" i="12"/>
  <c r="C479" i="12"/>
  <c r="B480" i="12"/>
  <c r="C480" i="12"/>
  <c r="B481" i="12"/>
  <c r="C481" i="12"/>
  <c r="B482" i="12"/>
  <c r="B483" i="12"/>
  <c r="C482" i="12"/>
  <c r="B484" i="12"/>
  <c r="C483" i="12"/>
  <c r="B485" i="12"/>
  <c r="C484" i="12"/>
  <c r="B486" i="12"/>
  <c r="C485" i="12"/>
  <c r="C486" i="12"/>
  <c r="B487" i="12"/>
  <c r="C487" i="12"/>
  <c r="B488" i="12"/>
  <c r="C488" i="12"/>
  <c r="B489" i="12"/>
  <c r="C489" i="12"/>
  <c r="B490" i="12"/>
  <c r="C490" i="12"/>
  <c r="B491" i="12"/>
  <c r="C491" i="12"/>
  <c r="B492" i="12"/>
  <c r="B493" i="12"/>
  <c r="C492" i="12"/>
  <c r="C493" i="12"/>
  <c r="B494" i="12"/>
  <c r="B495" i="12"/>
  <c r="C494" i="12"/>
  <c r="B496" i="12"/>
  <c r="C495" i="12"/>
  <c r="B497" i="12"/>
  <c r="C496" i="12"/>
  <c r="C497" i="12"/>
  <c r="B498" i="12"/>
  <c r="C498" i="12"/>
  <c r="B499" i="12"/>
  <c r="C499" i="12"/>
  <c r="B500" i="12"/>
  <c r="C500" i="12"/>
  <c r="B501" i="12"/>
  <c r="B502" i="12"/>
  <c r="C501" i="12"/>
  <c r="C502" i="12"/>
  <c r="B503" i="12"/>
  <c r="B504" i="12"/>
  <c r="C503" i="12"/>
  <c r="C504" i="12"/>
  <c r="B505" i="12"/>
  <c r="B506" i="12"/>
  <c r="C505" i="12"/>
  <c r="B507" i="12"/>
  <c r="C506" i="12"/>
  <c r="C507" i="12"/>
  <c r="B508" i="12"/>
  <c r="C508" i="12"/>
  <c r="B509" i="12"/>
  <c r="B510" i="12"/>
  <c r="C509" i="12"/>
  <c r="C510" i="12"/>
  <c r="B511" i="12"/>
  <c r="C511" i="12"/>
  <c r="B512" i="12"/>
  <c r="C512" i="12"/>
  <c r="B513" i="12"/>
  <c r="B514" i="12"/>
  <c r="C513" i="12"/>
  <c r="B515" i="12"/>
  <c r="C514" i="12"/>
  <c r="B516" i="12"/>
  <c r="C515" i="12"/>
  <c r="B517" i="12"/>
  <c r="C516" i="12"/>
  <c r="C517" i="12"/>
  <c r="B518" i="12"/>
  <c r="C518" i="12"/>
  <c r="B519" i="12"/>
  <c r="B520" i="12"/>
  <c r="C519" i="12"/>
  <c r="C520" i="12"/>
  <c r="B521" i="12"/>
  <c r="C521" i="12"/>
  <c r="B522" i="12"/>
  <c r="C522" i="12"/>
  <c r="B523" i="12"/>
  <c r="C523" i="12"/>
  <c r="B524" i="12"/>
  <c r="B525" i="12"/>
  <c r="C524" i="12"/>
  <c r="C525" i="12"/>
  <c r="B526" i="12"/>
  <c r="B527" i="12"/>
  <c r="C526" i="12"/>
  <c r="B528" i="12"/>
  <c r="C527" i="12"/>
  <c r="B529" i="12"/>
  <c r="C528" i="12"/>
  <c r="B530" i="12"/>
  <c r="C529" i="12"/>
  <c r="C530" i="12"/>
  <c r="B531" i="12"/>
  <c r="C531" i="12"/>
  <c r="B532" i="12"/>
  <c r="C532" i="12"/>
  <c r="B533" i="12"/>
  <c r="B534" i="12"/>
  <c r="C533" i="12"/>
  <c r="B535" i="12"/>
  <c r="C534" i="12"/>
  <c r="B536" i="12"/>
  <c r="C535" i="12"/>
  <c r="B537" i="12"/>
  <c r="C536" i="12"/>
  <c r="B538" i="12"/>
  <c r="C537" i="12"/>
  <c r="C538" i="12"/>
  <c r="B539" i="12"/>
  <c r="C539" i="12"/>
  <c r="B540" i="12"/>
  <c r="C540" i="12"/>
  <c r="B541" i="12"/>
  <c r="B542" i="12"/>
  <c r="C541" i="12"/>
  <c r="C542" i="12"/>
  <c r="B543" i="12"/>
  <c r="C543" i="12"/>
  <c r="B544" i="12"/>
  <c r="B545" i="12"/>
  <c r="C544" i="12"/>
  <c r="B546" i="12"/>
  <c r="C545" i="12"/>
  <c r="B547" i="12"/>
  <c r="C546" i="12"/>
  <c r="C547" i="12"/>
  <c r="B548" i="12"/>
  <c r="B549" i="12"/>
  <c r="C548" i="12"/>
  <c r="C549" i="12"/>
  <c r="B550" i="12"/>
  <c r="C550" i="12"/>
  <c r="B551" i="12"/>
  <c r="B552" i="12"/>
  <c r="C551" i="12"/>
  <c r="C552" i="12"/>
  <c r="B553" i="12"/>
  <c r="C553" i="12"/>
  <c r="B554" i="12"/>
  <c r="C554" i="12"/>
  <c r="B555" i="12"/>
  <c r="B556" i="12"/>
  <c r="C555" i="12"/>
  <c r="B557" i="12"/>
  <c r="C556" i="12"/>
  <c r="B558" i="12"/>
  <c r="C557" i="12"/>
  <c r="B559" i="12"/>
  <c r="C558" i="12"/>
  <c r="B560" i="12"/>
  <c r="C559" i="12"/>
  <c r="C560" i="12"/>
  <c r="B561" i="12"/>
  <c r="C561" i="12"/>
  <c r="B562" i="12"/>
  <c r="C562" i="12"/>
  <c r="B563" i="12"/>
  <c r="C563" i="12"/>
  <c r="B564" i="12"/>
  <c r="B565" i="12"/>
  <c r="C564" i="12"/>
  <c r="B566" i="12"/>
  <c r="C565" i="12"/>
  <c r="B567" i="12"/>
  <c r="C566" i="12"/>
  <c r="C567" i="12"/>
  <c r="B568" i="12"/>
  <c r="C568" i="12"/>
  <c r="B569" i="12"/>
  <c r="B570" i="12"/>
  <c r="C569" i="12"/>
  <c r="B571" i="12"/>
  <c r="C570" i="12"/>
  <c r="B572" i="12"/>
  <c r="C571" i="12"/>
  <c r="C572" i="12"/>
  <c r="B573" i="12"/>
  <c r="C573" i="12"/>
  <c r="B574" i="12"/>
  <c r="C574" i="12"/>
  <c r="B575" i="12"/>
  <c r="C575" i="12"/>
  <c r="B576" i="12"/>
  <c r="B577" i="12"/>
  <c r="C576" i="12"/>
  <c r="C577" i="12"/>
  <c r="B578" i="12"/>
  <c r="C578" i="12"/>
  <c r="B579" i="12"/>
  <c r="B580" i="12"/>
  <c r="C579" i="12"/>
  <c r="C580" i="12"/>
  <c r="B581" i="12"/>
  <c r="C581" i="12"/>
  <c r="B582" i="12"/>
  <c r="B583" i="12"/>
  <c r="C582" i="12"/>
  <c r="C583" i="12"/>
  <c r="B584" i="12"/>
  <c r="C584" i="12"/>
  <c r="B585" i="12"/>
  <c r="B586" i="12"/>
  <c r="C585" i="12"/>
  <c r="C586" i="12"/>
  <c r="B587" i="12"/>
  <c r="C587" i="12"/>
  <c r="B588" i="12"/>
  <c r="B589" i="12"/>
  <c r="C588" i="12"/>
  <c r="C589" i="12"/>
  <c r="B590" i="12"/>
  <c r="B591" i="12"/>
  <c r="C590" i="12"/>
  <c r="B592" i="12"/>
  <c r="C591" i="12"/>
  <c r="B593" i="12"/>
  <c r="C592" i="12"/>
  <c r="B594" i="12"/>
  <c r="C593" i="12"/>
  <c r="C594" i="12"/>
  <c r="B595" i="12"/>
  <c r="B596" i="12"/>
  <c r="C595" i="12"/>
  <c r="C596" i="12"/>
  <c r="B597" i="12"/>
  <c r="B598" i="12"/>
  <c r="C597" i="12"/>
  <c r="C598" i="12"/>
  <c r="B599" i="12"/>
  <c r="C599" i="12"/>
  <c r="B600" i="12"/>
  <c r="B601" i="12"/>
  <c r="C600" i="12"/>
  <c r="C601" i="12"/>
  <c r="B602" i="12"/>
  <c r="B603" i="12"/>
  <c r="C602" i="12"/>
  <c r="C603" i="12"/>
  <c r="B604" i="12"/>
  <c r="B605" i="12"/>
  <c r="C604" i="12"/>
  <c r="B606" i="12"/>
  <c r="C605" i="12"/>
  <c r="B607" i="12"/>
  <c r="C606" i="12"/>
  <c r="B608" i="12"/>
  <c r="C607" i="12"/>
  <c r="C608" i="12"/>
  <c r="B609" i="12"/>
  <c r="C609" i="12"/>
  <c r="B610" i="12"/>
  <c r="B611" i="12"/>
  <c r="C610" i="12"/>
  <c r="B612" i="12"/>
  <c r="C611" i="12"/>
  <c r="B613" i="12"/>
  <c r="C612" i="12"/>
  <c r="B614" i="12"/>
  <c r="C613" i="12"/>
  <c r="B615" i="12"/>
  <c r="C614" i="12"/>
  <c r="B616" i="12"/>
  <c r="C615" i="12"/>
  <c r="C616" i="12"/>
  <c r="B617" i="12"/>
  <c r="B618" i="12"/>
  <c r="C617" i="12"/>
  <c r="B619" i="12"/>
  <c r="C618" i="12"/>
  <c r="B620" i="12"/>
  <c r="C619" i="12"/>
  <c r="C620" i="12"/>
  <c r="B621" i="12"/>
  <c r="C621" i="12"/>
  <c r="B622" i="12"/>
  <c r="C622" i="12"/>
  <c r="B623" i="12"/>
  <c r="C623" i="12"/>
  <c r="B624" i="12"/>
  <c r="B625" i="12"/>
  <c r="C624" i="12"/>
  <c r="B626" i="12"/>
  <c r="C625" i="12"/>
  <c r="C626" i="12"/>
  <c r="B627" i="12"/>
  <c r="B628" i="12"/>
  <c r="C627" i="12"/>
  <c r="C628" i="12"/>
  <c r="B629" i="12"/>
  <c r="B630" i="12"/>
  <c r="C629" i="12"/>
  <c r="B631" i="12"/>
  <c r="C630" i="12"/>
  <c r="C631" i="12"/>
  <c r="B632" i="12"/>
  <c r="B633" i="12"/>
  <c r="C632" i="12"/>
  <c r="B634" i="12"/>
  <c r="C633" i="12"/>
  <c r="C634" i="12"/>
  <c r="B635" i="12"/>
  <c r="C635" i="12"/>
  <c r="B636" i="12"/>
  <c r="B637" i="12"/>
  <c r="C636" i="12"/>
  <c r="B638" i="12"/>
  <c r="C637" i="12"/>
  <c r="C638" i="12"/>
  <c r="B639" i="12"/>
  <c r="C639" i="12"/>
  <c r="B640" i="12"/>
  <c r="B641" i="12"/>
  <c r="C640" i="12"/>
  <c r="C641" i="12"/>
  <c r="B642" i="12"/>
  <c r="B643" i="12"/>
  <c r="C642" i="12"/>
  <c r="C643" i="12"/>
  <c r="B644" i="12"/>
  <c r="C644" i="12"/>
  <c r="B645" i="12"/>
  <c r="C645" i="12"/>
  <c r="B646" i="12"/>
  <c r="C646" i="12"/>
  <c r="B647" i="12"/>
  <c r="C647" i="12"/>
  <c r="B648" i="12"/>
  <c r="C648" i="12"/>
  <c r="B649" i="12"/>
  <c r="C649" i="12"/>
  <c r="B650" i="12"/>
  <c r="B651" i="12"/>
  <c r="C650" i="12"/>
  <c r="C651" i="12"/>
  <c r="B652" i="12"/>
  <c r="C652" i="12"/>
  <c r="B653" i="12"/>
  <c r="C653" i="12"/>
  <c r="B654" i="12"/>
  <c r="B655" i="12"/>
  <c r="C654" i="12"/>
  <c r="C655" i="12"/>
  <c r="B656" i="12"/>
  <c r="C656" i="12"/>
  <c r="B657" i="12"/>
  <c r="B658" i="12"/>
  <c r="C657" i="12"/>
  <c r="C658" i="12"/>
  <c r="B659" i="12"/>
  <c r="C659" i="12"/>
  <c r="B660" i="12"/>
  <c r="C660" i="12"/>
  <c r="B661" i="12"/>
  <c r="B662" i="12"/>
  <c r="C661" i="12"/>
  <c r="B663" i="12"/>
  <c r="C662" i="12"/>
  <c r="B664" i="12"/>
  <c r="C663" i="12"/>
  <c r="B665" i="12"/>
  <c r="C664" i="12"/>
  <c r="C665" i="12"/>
  <c r="B666" i="12"/>
  <c r="B667" i="12"/>
  <c r="C666" i="12"/>
  <c r="C667" i="12"/>
  <c r="B668" i="12"/>
  <c r="B669" i="12"/>
  <c r="C668" i="12"/>
  <c r="C669" i="12"/>
  <c r="B670" i="12"/>
  <c r="C670" i="12"/>
  <c r="B671" i="12"/>
  <c r="C671" i="12"/>
  <c r="B672" i="12"/>
  <c r="C672" i="12"/>
  <c r="B673" i="12"/>
  <c r="C673" i="12"/>
  <c r="B674" i="12"/>
  <c r="B675" i="12"/>
  <c r="C674" i="12"/>
  <c r="B676" i="12"/>
  <c r="C675" i="12"/>
  <c r="B677" i="12"/>
  <c r="C676" i="12"/>
  <c r="C677" i="12"/>
  <c r="B678" i="12"/>
  <c r="B679" i="12"/>
  <c r="C678" i="12"/>
  <c r="C679" i="12"/>
  <c r="B680" i="12"/>
  <c r="B681" i="12"/>
  <c r="C680" i="12"/>
  <c r="C681" i="12"/>
  <c r="B682" i="12"/>
  <c r="B683" i="12"/>
  <c r="C682" i="12"/>
  <c r="B684" i="12"/>
  <c r="C683" i="12"/>
  <c r="B685" i="12"/>
  <c r="C684" i="12"/>
  <c r="C685" i="12"/>
  <c r="B686" i="12"/>
  <c r="B687" i="12"/>
  <c r="C686" i="12"/>
  <c r="C687" i="12"/>
  <c r="B688" i="12"/>
  <c r="B689" i="12"/>
  <c r="C688" i="12"/>
  <c r="B690" i="12"/>
  <c r="C689" i="12"/>
  <c r="B691" i="12"/>
  <c r="C690" i="12"/>
  <c r="B692" i="12"/>
  <c r="C691" i="12"/>
  <c r="C692" i="12"/>
  <c r="B693" i="12"/>
  <c r="C693" i="12"/>
  <c r="B694" i="12"/>
  <c r="C694" i="12"/>
  <c r="B695" i="12"/>
  <c r="C695" i="12"/>
  <c r="B696" i="12"/>
  <c r="C696" i="12"/>
  <c r="B697" i="12"/>
  <c r="B698" i="12"/>
  <c r="C697" i="12"/>
  <c r="C698" i="12"/>
  <c r="B699" i="12"/>
  <c r="C699" i="12"/>
  <c r="B700" i="12"/>
  <c r="B701" i="12"/>
  <c r="C700" i="12"/>
  <c r="B702" i="12"/>
  <c r="C701" i="12"/>
  <c r="C702" i="12"/>
  <c r="B703" i="12"/>
  <c r="C703" i="12"/>
  <c r="B704" i="12"/>
  <c r="C704" i="12"/>
  <c r="B705" i="12"/>
  <c r="C705" i="12"/>
  <c r="B706" i="12"/>
  <c r="B707" i="12"/>
  <c r="C706" i="12"/>
  <c r="C707" i="12"/>
  <c r="B708" i="12"/>
  <c r="C708" i="12"/>
  <c r="B709" i="12"/>
  <c r="C709" i="12"/>
  <c r="B710" i="12"/>
  <c r="C710" i="12"/>
  <c r="B711" i="12"/>
  <c r="B712" i="12"/>
  <c r="C711" i="12"/>
  <c r="B713" i="12"/>
  <c r="C712" i="12"/>
  <c r="C713" i="12"/>
  <c r="B714" i="12"/>
  <c r="C714" i="12"/>
  <c r="B715" i="12"/>
  <c r="C715" i="12"/>
  <c r="B716" i="12"/>
  <c r="B717" i="12"/>
  <c r="C716" i="12"/>
  <c r="C717" i="12"/>
  <c r="B718" i="12"/>
  <c r="C718" i="12"/>
  <c r="B719" i="12"/>
  <c r="C719" i="12"/>
  <c r="B720" i="12"/>
  <c r="C720" i="12"/>
  <c r="B721" i="12"/>
  <c r="C721" i="12"/>
  <c r="B722" i="12"/>
  <c r="C722" i="12"/>
  <c r="B723" i="12"/>
  <c r="C723" i="12"/>
  <c r="B724" i="12"/>
  <c r="C724" i="12"/>
  <c r="B725" i="12"/>
  <c r="C725" i="12"/>
  <c r="B726" i="12"/>
  <c r="C726" i="12"/>
  <c r="B727" i="12"/>
  <c r="C727" i="12"/>
  <c r="B728" i="12"/>
  <c r="B729" i="12"/>
  <c r="C728" i="12"/>
  <c r="B730" i="12"/>
  <c r="C729" i="12"/>
  <c r="B731" i="12"/>
  <c r="C730" i="12"/>
  <c r="C731" i="12"/>
  <c r="B732" i="12"/>
  <c r="B733" i="12"/>
  <c r="C732" i="12"/>
  <c r="C733" i="12"/>
  <c r="B734" i="12"/>
  <c r="B735" i="12"/>
  <c r="C734" i="12"/>
  <c r="C735" i="12"/>
  <c r="B736" i="12"/>
  <c r="C736" i="12"/>
  <c r="B737" i="12"/>
  <c r="B738" i="12"/>
  <c r="C737" i="12"/>
  <c r="B739" i="12"/>
  <c r="C738" i="12"/>
  <c r="B740" i="12"/>
  <c r="C739" i="12"/>
  <c r="B741" i="12"/>
  <c r="C740" i="12"/>
  <c r="B742" i="12"/>
  <c r="C741" i="12"/>
  <c r="B743" i="12"/>
  <c r="C742" i="12"/>
  <c r="B744" i="12"/>
  <c r="C743" i="12"/>
  <c r="C744" i="12"/>
  <c r="B745" i="12"/>
  <c r="C745" i="12"/>
  <c r="B746" i="12"/>
  <c r="C746" i="12"/>
  <c r="B747" i="12"/>
  <c r="C747" i="12"/>
  <c r="B748" i="12"/>
  <c r="B749" i="12"/>
  <c r="C748" i="12"/>
  <c r="B750" i="12"/>
  <c r="C749" i="12"/>
  <c r="C750" i="12"/>
  <c r="B751" i="12"/>
  <c r="C751" i="12"/>
  <c r="B752" i="12"/>
  <c r="C752" i="12"/>
  <c r="B753" i="12"/>
  <c r="B754" i="12"/>
  <c r="C753" i="12"/>
  <c r="C754" i="12"/>
  <c r="B755" i="12"/>
  <c r="B756" i="12"/>
  <c r="C755" i="12"/>
  <c r="B757" i="12"/>
  <c r="C756" i="12"/>
  <c r="B758" i="12"/>
  <c r="C757" i="12"/>
  <c r="B759" i="12"/>
  <c r="C758" i="12"/>
  <c r="C759" i="12"/>
  <c r="B760" i="12"/>
  <c r="C760" i="12"/>
  <c r="B761" i="12"/>
  <c r="C761" i="12"/>
  <c r="B762" i="12"/>
  <c r="B763" i="12"/>
  <c r="C762" i="12"/>
  <c r="B764" i="12"/>
  <c r="C763" i="12"/>
  <c r="C764" i="12"/>
  <c r="B765" i="12"/>
  <c r="C765" i="12"/>
  <c r="B766" i="12"/>
  <c r="B767" i="12"/>
  <c r="C766" i="12"/>
  <c r="B768" i="12"/>
  <c r="C767" i="12"/>
  <c r="C768" i="12"/>
  <c r="B769" i="12"/>
  <c r="B770" i="12"/>
  <c r="C769" i="12"/>
  <c r="B771" i="12"/>
  <c r="C770" i="12"/>
  <c r="C771" i="12"/>
  <c r="B772" i="12"/>
  <c r="B773" i="12"/>
  <c r="C772" i="12"/>
  <c r="B774" i="12"/>
  <c r="C773" i="12"/>
  <c r="C774" i="12"/>
  <c r="B775" i="12"/>
  <c r="C775" i="12"/>
  <c r="B776" i="12"/>
  <c r="C776" i="12"/>
  <c r="B777" i="12"/>
  <c r="C777" i="12"/>
  <c r="B778" i="12"/>
  <c r="B779" i="12"/>
  <c r="C778" i="12"/>
  <c r="C779" i="12"/>
  <c r="B780" i="12"/>
  <c r="C780" i="12"/>
  <c r="B781" i="12"/>
  <c r="B782" i="12"/>
  <c r="C781" i="12"/>
  <c r="C782" i="12"/>
  <c r="B783" i="12"/>
  <c r="B784" i="12"/>
  <c r="C783" i="12"/>
  <c r="B785" i="12"/>
  <c r="C784" i="12"/>
  <c r="B786" i="12"/>
  <c r="C785" i="12"/>
  <c r="C786" i="12"/>
  <c r="B787" i="12"/>
  <c r="C787" i="12"/>
  <c r="B788" i="12"/>
  <c r="B789" i="12"/>
  <c r="C788" i="12"/>
  <c r="C789" i="12"/>
  <c r="B790" i="12"/>
  <c r="B791" i="12"/>
  <c r="C790" i="12"/>
  <c r="C791" i="12"/>
  <c r="B792" i="12"/>
  <c r="C792" i="12"/>
  <c r="B793" i="12"/>
  <c r="C793" i="12"/>
  <c r="B794" i="12"/>
  <c r="C794" i="12"/>
  <c r="B795" i="12"/>
  <c r="C795" i="12"/>
  <c r="B796" i="12"/>
  <c r="B797" i="12"/>
  <c r="C796" i="12"/>
  <c r="B798" i="12"/>
  <c r="C797" i="12"/>
  <c r="C798" i="12"/>
  <c r="B799" i="12"/>
  <c r="B800" i="12"/>
  <c r="C799" i="12"/>
  <c r="B801" i="12"/>
  <c r="C800" i="12"/>
  <c r="C801" i="12"/>
  <c r="B802" i="12"/>
  <c r="B803" i="12"/>
  <c r="C802" i="12"/>
  <c r="C803" i="12"/>
  <c r="B804" i="12"/>
  <c r="C804" i="12"/>
  <c r="B805" i="12"/>
  <c r="C805" i="12"/>
  <c r="B806" i="12"/>
  <c r="C806" i="12"/>
  <c r="B807" i="12"/>
  <c r="C807" i="12"/>
  <c r="B808" i="12"/>
  <c r="C808" i="12"/>
  <c r="B809" i="12"/>
  <c r="C809" i="12"/>
  <c r="B810" i="12"/>
  <c r="C810" i="12"/>
  <c r="B811" i="12"/>
  <c r="C811" i="12"/>
  <c r="B812" i="12"/>
  <c r="C812" i="12"/>
  <c r="B813" i="12"/>
  <c r="B814" i="12"/>
  <c r="C813" i="12"/>
  <c r="C814" i="12"/>
  <c r="B815" i="12"/>
  <c r="B816" i="12"/>
  <c r="C815" i="12"/>
  <c r="C816" i="12"/>
  <c r="B817" i="12"/>
  <c r="B818" i="12"/>
  <c r="C817" i="12"/>
  <c r="B819" i="12"/>
  <c r="C818" i="12"/>
  <c r="C819" i="12"/>
  <c r="B820" i="12"/>
  <c r="B821" i="12"/>
  <c r="C820" i="12"/>
  <c r="B822" i="12"/>
  <c r="C821" i="12"/>
  <c r="C822" i="12"/>
  <c r="B823" i="12"/>
  <c r="B824" i="12"/>
  <c r="C823" i="12"/>
  <c r="C824" i="12"/>
  <c r="B825" i="12"/>
  <c r="C825" i="12"/>
  <c r="B826" i="12"/>
  <c r="B827" i="12"/>
  <c r="C826" i="12"/>
  <c r="C827" i="12"/>
  <c r="B828" i="12"/>
  <c r="C828" i="12"/>
  <c r="B829" i="12"/>
  <c r="C829" i="12"/>
  <c r="B830" i="12"/>
  <c r="C830" i="12"/>
  <c r="B831" i="12"/>
  <c r="B832" i="12"/>
  <c r="C831" i="12"/>
  <c r="C832" i="12"/>
  <c r="B833" i="12"/>
  <c r="C833" i="12"/>
  <c r="B834" i="12"/>
  <c r="B835" i="12"/>
  <c r="C834" i="12"/>
  <c r="B836" i="12"/>
  <c r="C835" i="12"/>
  <c r="C836" i="12"/>
  <c r="B837" i="12"/>
  <c r="C837" i="12"/>
  <c r="B838" i="12"/>
  <c r="C838" i="12"/>
  <c r="B839" i="12"/>
  <c r="C839" i="12"/>
  <c r="B840" i="12"/>
  <c r="B841" i="12"/>
  <c r="C840" i="12"/>
  <c r="C841" i="12"/>
  <c r="B842" i="12"/>
  <c r="C842" i="12"/>
  <c r="B843" i="12"/>
  <c r="B844" i="12"/>
  <c r="C843" i="12"/>
  <c r="C844" i="12"/>
  <c r="B845" i="12"/>
  <c r="C845" i="12"/>
  <c r="B846" i="12"/>
  <c r="B847" i="12"/>
  <c r="C846" i="12"/>
  <c r="C847" i="12"/>
  <c r="B848" i="12"/>
  <c r="C848" i="12"/>
  <c r="B849" i="12"/>
  <c r="B850" i="12"/>
  <c r="C849" i="12"/>
  <c r="C850" i="12"/>
  <c r="B851" i="12"/>
  <c r="C851" i="12"/>
  <c r="B852" i="12"/>
  <c r="C852" i="12"/>
  <c r="B853" i="12"/>
  <c r="C853" i="12"/>
  <c r="B854" i="12"/>
  <c r="C854" i="12"/>
  <c r="B855" i="12"/>
  <c r="B856" i="12"/>
  <c r="C855" i="12"/>
  <c r="C856" i="12"/>
  <c r="B857" i="12"/>
  <c r="B858" i="12"/>
  <c r="C857" i="12"/>
  <c r="C858" i="12"/>
  <c r="B859" i="12"/>
  <c r="C859" i="12"/>
  <c r="B860" i="12"/>
  <c r="B861" i="12"/>
  <c r="C860" i="12"/>
  <c r="B862" i="12"/>
  <c r="C861" i="12"/>
  <c r="C862" i="12"/>
  <c r="B863" i="12"/>
  <c r="C863" i="12"/>
  <c r="B864" i="12"/>
  <c r="B865" i="12"/>
  <c r="C864" i="12"/>
  <c r="C865" i="12"/>
  <c r="B866" i="12"/>
  <c r="B867" i="12"/>
  <c r="C866" i="12"/>
  <c r="B868" i="12"/>
  <c r="C867" i="12"/>
  <c r="B869" i="12"/>
  <c r="C868" i="12"/>
  <c r="C869" i="12"/>
  <c r="B870" i="12"/>
  <c r="C870" i="12"/>
  <c r="B871" i="12"/>
  <c r="C871" i="12"/>
  <c r="B872" i="12"/>
  <c r="C872" i="12"/>
  <c r="B873" i="12"/>
  <c r="C873" i="12"/>
  <c r="B874" i="12"/>
  <c r="C874" i="12"/>
  <c r="B875" i="12"/>
  <c r="B876" i="12"/>
  <c r="C875" i="12"/>
  <c r="B877" i="12"/>
  <c r="C876" i="12"/>
  <c r="B878" i="12"/>
  <c r="C877" i="12"/>
  <c r="B879" i="12"/>
  <c r="C878" i="12"/>
  <c r="C879" i="12"/>
  <c r="B880" i="12"/>
  <c r="B881" i="12"/>
  <c r="C880" i="12"/>
  <c r="B882" i="12"/>
  <c r="C881" i="12"/>
  <c r="C882" i="12"/>
  <c r="B883" i="12"/>
  <c r="B884" i="12"/>
  <c r="C883" i="12"/>
  <c r="B885" i="12"/>
  <c r="C884" i="12"/>
  <c r="C885" i="12"/>
  <c r="B886" i="12"/>
  <c r="C886" i="12"/>
  <c r="B887" i="12"/>
  <c r="C887" i="12"/>
  <c r="B888" i="12"/>
  <c r="B889" i="12"/>
  <c r="C888" i="12"/>
  <c r="C889" i="12"/>
  <c r="B890" i="12"/>
  <c r="C890" i="12"/>
  <c r="B891" i="12"/>
  <c r="C891" i="12"/>
  <c r="B892" i="12"/>
  <c r="B893" i="12"/>
  <c r="C892" i="12"/>
  <c r="B894" i="12"/>
  <c r="C893" i="12"/>
  <c r="C894" i="12"/>
  <c r="B895" i="12"/>
  <c r="C895" i="12"/>
  <c r="B896" i="12"/>
  <c r="C896" i="12"/>
  <c r="B897" i="12"/>
  <c r="C897" i="12"/>
  <c r="B898" i="12"/>
  <c r="C898" i="12"/>
  <c r="B899" i="12"/>
  <c r="B900" i="12"/>
  <c r="C899" i="12"/>
  <c r="C900" i="12"/>
  <c r="B901" i="12"/>
  <c r="B902" i="12"/>
  <c r="C901" i="12"/>
  <c r="C902" i="12"/>
  <c r="B903" i="12"/>
  <c r="C903" i="12"/>
  <c r="B904" i="12"/>
  <c r="B905" i="12"/>
  <c r="C904" i="12"/>
  <c r="B906" i="12"/>
  <c r="C905" i="12"/>
  <c r="C906" i="12"/>
  <c r="B907" i="12"/>
  <c r="C907" i="12"/>
  <c r="B908" i="12"/>
  <c r="B909" i="12"/>
  <c r="C908" i="12"/>
  <c r="B910" i="12"/>
  <c r="C909" i="12"/>
  <c r="C910" i="12"/>
  <c r="B911" i="12"/>
  <c r="B912" i="12"/>
  <c r="C911" i="12"/>
  <c r="C912" i="12"/>
  <c r="B913" i="12"/>
  <c r="C913" i="12"/>
  <c r="B914" i="12"/>
  <c r="B915" i="12"/>
  <c r="C914" i="12"/>
  <c r="C915" i="12"/>
  <c r="B916" i="12"/>
  <c r="B917" i="12"/>
  <c r="C916" i="12"/>
  <c r="C917" i="12"/>
  <c r="B918" i="12"/>
  <c r="B919" i="12"/>
  <c r="C918" i="12"/>
  <c r="C919" i="12"/>
  <c r="B920" i="12"/>
  <c r="C920" i="12"/>
  <c r="B921" i="12"/>
  <c r="B922" i="12"/>
  <c r="C921" i="12"/>
  <c r="B923" i="12"/>
  <c r="C922" i="12"/>
  <c r="B924" i="12"/>
  <c r="C923" i="12"/>
  <c r="B925" i="12"/>
  <c r="C924" i="12"/>
  <c r="B926" i="12"/>
  <c r="C925" i="12"/>
  <c r="C926" i="12"/>
  <c r="B927" i="12"/>
  <c r="C927" i="12"/>
  <c r="B928" i="12"/>
  <c r="B929" i="12"/>
  <c r="C928" i="12"/>
  <c r="B930" i="12"/>
  <c r="C929" i="12"/>
  <c r="B931" i="12"/>
  <c r="C930" i="12"/>
  <c r="B932" i="12"/>
  <c r="C931" i="12"/>
  <c r="B933" i="12"/>
  <c r="C932" i="12"/>
  <c r="B934" i="12"/>
  <c r="C933" i="12"/>
  <c r="C934" i="12"/>
  <c r="B935" i="12"/>
  <c r="B936" i="12"/>
  <c r="C935" i="12"/>
  <c r="C936" i="12"/>
  <c r="B937" i="12"/>
  <c r="B938" i="12"/>
  <c r="C937" i="12"/>
  <c r="C938" i="12"/>
  <c r="B939" i="12"/>
  <c r="B940" i="12"/>
  <c r="C939" i="12"/>
  <c r="B941" i="12"/>
  <c r="C940" i="12"/>
  <c r="B942" i="12"/>
  <c r="C941" i="12"/>
  <c r="B943" i="12"/>
  <c r="C942" i="12"/>
  <c r="B944" i="12"/>
  <c r="C943" i="12"/>
  <c r="B945" i="12"/>
  <c r="C944" i="12"/>
  <c r="C945" i="12"/>
  <c r="B946" i="12"/>
  <c r="B947" i="12"/>
  <c r="C946" i="12"/>
  <c r="B948" i="12"/>
  <c r="C947" i="12"/>
  <c r="B949" i="12"/>
  <c r="C948" i="12"/>
  <c r="B950" i="12"/>
  <c r="C949" i="12"/>
  <c r="C950" i="12"/>
  <c r="B951" i="12"/>
  <c r="C951" i="12"/>
  <c r="B952" i="12"/>
  <c r="C952" i="12"/>
  <c r="B953" i="12"/>
  <c r="C953" i="12"/>
  <c r="B954" i="12"/>
  <c r="C954" i="12"/>
  <c r="B955" i="12"/>
  <c r="C955" i="12"/>
  <c r="B956" i="12"/>
  <c r="C956" i="12"/>
  <c r="B957" i="12"/>
  <c r="C957" i="12"/>
  <c r="B958" i="12"/>
  <c r="C958" i="12"/>
  <c r="B959" i="12"/>
  <c r="B960" i="12"/>
  <c r="C959" i="12"/>
  <c r="B961" i="12"/>
  <c r="C960" i="12"/>
  <c r="C961" i="12"/>
  <c r="B962" i="12"/>
  <c r="C962" i="12"/>
  <c r="B963" i="12"/>
  <c r="B964" i="12"/>
  <c r="C963" i="12"/>
  <c r="B965" i="12"/>
  <c r="C964" i="12"/>
  <c r="C965" i="12"/>
  <c r="B966" i="12"/>
  <c r="C966" i="12"/>
  <c r="B967" i="12"/>
  <c r="B968" i="12"/>
  <c r="C967" i="12"/>
  <c r="C968" i="12"/>
  <c r="B969" i="12"/>
  <c r="C969" i="12"/>
  <c r="B970" i="12"/>
  <c r="C970" i="12"/>
  <c r="B971" i="12"/>
  <c r="C971" i="12"/>
  <c r="B972" i="12"/>
  <c r="C972" i="12"/>
  <c r="B973" i="12"/>
  <c r="B974" i="12"/>
  <c r="C973" i="12"/>
  <c r="C974" i="12"/>
  <c r="B975" i="12"/>
  <c r="B976" i="12"/>
  <c r="C975" i="12"/>
  <c r="B977" i="12"/>
  <c r="C976" i="12"/>
  <c r="C977" i="12"/>
  <c r="B978" i="12"/>
  <c r="B979" i="12"/>
  <c r="C978" i="12"/>
  <c r="C979" i="12"/>
  <c r="B980" i="12"/>
  <c r="C980" i="12"/>
  <c r="B981" i="12"/>
  <c r="B982" i="12"/>
  <c r="C981" i="12"/>
  <c r="C982" i="12"/>
  <c r="B983" i="12"/>
  <c r="B984" i="12"/>
  <c r="C983" i="12"/>
  <c r="B985" i="12"/>
  <c r="C984" i="12"/>
  <c r="C985" i="12"/>
  <c r="B986" i="12"/>
  <c r="B987" i="12"/>
  <c r="C986" i="12"/>
  <c r="C987" i="12"/>
  <c r="B988" i="12"/>
  <c r="B989" i="12"/>
  <c r="C988" i="12"/>
  <c r="B990" i="12"/>
  <c r="C989" i="12"/>
  <c r="B991" i="12"/>
  <c r="C990" i="12"/>
  <c r="C991" i="12"/>
  <c r="B992" i="12"/>
  <c r="B993" i="12"/>
  <c r="C992" i="12"/>
  <c r="B994" i="12"/>
  <c r="C993" i="12"/>
  <c r="B995" i="12"/>
  <c r="C994" i="12"/>
  <c r="C995" i="12"/>
  <c r="B996" i="12"/>
  <c r="C996" i="12"/>
  <c r="B997" i="12"/>
  <c r="B998" i="12"/>
  <c r="C997" i="12"/>
  <c r="C998" i="12"/>
  <c r="B999" i="12"/>
  <c r="B1000" i="12"/>
  <c r="C999" i="12"/>
  <c r="C1000" i="12"/>
  <c r="B1001" i="12"/>
  <c r="B1002" i="12"/>
  <c r="C1001" i="12"/>
  <c r="B1003" i="12"/>
  <c r="C1002" i="12"/>
  <c r="B1004" i="12"/>
  <c r="C1003" i="12"/>
  <c r="C1004" i="12"/>
  <c r="B1005" i="12"/>
  <c r="C1005" i="12"/>
  <c r="B1006" i="12"/>
  <c r="C1006" i="12"/>
  <c r="B1007" i="12"/>
  <c r="C1007" i="12"/>
  <c r="B1008" i="12"/>
  <c r="B1009" i="12"/>
  <c r="C1008" i="12"/>
  <c r="C1009" i="12"/>
  <c r="B1010" i="12"/>
  <c r="C1010" i="12"/>
  <c r="B1011" i="12"/>
  <c r="B1012" i="12"/>
  <c r="C1011" i="12"/>
  <c r="B1013" i="12"/>
  <c r="C1012" i="12"/>
  <c r="B1014" i="12"/>
  <c r="C1013" i="12"/>
  <c r="B1015" i="12"/>
  <c r="C1014" i="12"/>
  <c r="C1015" i="12"/>
  <c r="B1016" i="12"/>
  <c r="B1017" i="12"/>
  <c r="C1016" i="12"/>
  <c r="B1018" i="12"/>
  <c r="C1017" i="12"/>
  <c r="B1019" i="12"/>
  <c r="C1018" i="12"/>
  <c r="C1019" i="12"/>
  <c r="B1020" i="12"/>
  <c r="C1020" i="12"/>
  <c r="B1021" i="12"/>
  <c r="C1021" i="12"/>
  <c r="B1022" i="12"/>
  <c r="B1023" i="12"/>
  <c r="C1022" i="12"/>
  <c r="C1023" i="12"/>
  <c r="B1024" i="12"/>
  <c r="B1025" i="12"/>
  <c r="C1024" i="12"/>
  <c r="C1025" i="12"/>
  <c r="B1026" i="12"/>
  <c r="C1026" i="12"/>
  <c r="B1027" i="12"/>
  <c r="C1027" i="12"/>
  <c r="B1028" i="12"/>
  <c r="C1028" i="12"/>
  <c r="B1029" i="12"/>
  <c r="B1030" i="12"/>
  <c r="C1029" i="12"/>
  <c r="C1030" i="12"/>
  <c r="B1031" i="12"/>
  <c r="B1032" i="12"/>
  <c r="C1031" i="12"/>
  <c r="C1032" i="12"/>
  <c r="B1033" i="12"/>
  <c r="B1034" i="12"/>
  <c r="C1033" i="12"/>
  <c r="C1034" i="12"/>
  <c r="B1035" i="12"/>
  <c r="B1036" i="12"/>
  <c r="C1035" i="12"/>
  <c r="B1037" i="12"/>
  <c r="C1036" i="12"/>
  <c r="B1038" i="12"/>
  <c r="C1037" i="12"/>
  <c r="B1039" i="12"/>
  <c r="C1038" i="12"/>
  <c r="B1040" i="12"/>
  <c r="C1039" i="12"/>
  <c r="B1041" i="12"/>
  <c r="C1040" i="12"/>
  <c r="C1041" i="12"/>
  <c r="B1042" i="12"/>
  <c r="B1043" i="12"/>
  <c r="C1042" i="12"/>
  <c r="C1043" i="12"/>
  <c r="B1044" i="12"/>
  <c r="B1045" i="12"/>
  <c r="C1044" i="12"/>
  <c r="C1045" i="12"/>
  <c r="B1046" i="12"/>
  <c r="B1047" i="12"/>
  <c r="C1046" i="12"/>
  <c r="B1048" i="12"/>
  <c r="C1047" i="12"/>
  <c r="B1049" i="12"/>
  <c r="C1048" i="12"/>
  <c r="B1050" i="12"/>
  <c r="C1049" i="12"/>
  <c r="C1050" i="12"/>
  <c r="B1051" i="12"/>
  <c r="C1051" i="12"/>
  <c r="B1052" i="12"/>
  <c r="C1052" i="12"/>
  <c r="B1053" i="12"/>
  <c r="C1053" i="12"/>
  <c r="B1054" i="12"/>
  <c r="C1054" i="12"/>
  <c r="B1055" i="12"/>
  <c r="B1056" i="12"/>
  <c r="C1055" i="12"/>
  <c r="C1056" i="12"/>
  <c r="B1057" i="12"/>
  <c r="C1057" i="12"/>
  <c r="B1058" i="12"/>
  <c r="C1058" i="12"/>
  <c r="B1059" i="12"/>
  <c r="C1059" i="12"/>
  <c r="B1060" i="12"/>
  <c r="C1060" i="12"/>
  <c r="B1061" i="12"/>
  <c r="B1062" i="12"/>
  <c r="C1061" i="12"/>
  <c r="B1063" i="12"/>
  <c r="C1062" i="12"/>
  <c r="B1064" i="12"/>
  <c r="C1063" i="12"/>
  <c r="B1065" i="12"/>
  <c r="C1064" i="12"/>
  <c r="C1065" i="12"/>
  <c r="B1066" i="12"/>
  <c r="C1066" i="12"/>
  <c r="B1067" i="12"/>
  <c r="B1068" i="12"/>
  <c r="C1067" i="12"/>
  <c r="B1069" i="12"/>
  <c r="C1068" i="12"/>
  <c r="C1069" i="12"/>
  <c r="B1070" i="12"/>
  <c r="B1071" i="12"/>
  <c r="C1070" i="12"/>
  <c r="C1071" i="12"/>
  <c r="B1072" i="12"/>
  <c r="B1073" i="12"/>
  <c r="C1072" i="12"/>
  <c r="C1073" i="12"/>
  <c r="B1074" i="12"/>
  <c r="B1075" i="12"/>
  <c r="C1074" i="12"/>
  <c r="C1075" i="12"/>
  <c r="B1076" i="12"/>
  <c r="B1077" i="12"/>
  <c r="C1076" i="12"/>
  <c r="B1078" i="12"/>
  <c r="C1077" i="12"/>
  <c r="B1079" i="12"/>
  <c r="C1078" i="12"/>
  <c r="B1080" i="12"/>
  <c r="C1079" i="12"/>
  <c r="B1081" i="12"/>
  <c r="C1080" i="12"/>
  <c r="C1081" i="12"/>
  <c r="B1082" i="12"/>
  <c r="B1083" i="12"/>
  <c r="C1082" i="12"/>
  <c r="C1083" i="12"/>
  <c r="B1084" i="12"/>
  <c r="C1084" i="12"/>
  <c r="B1085" i="12"/>
  <c r="C1085" i="12"/>
  <c r="B1086" i="12"/>
  <c r="C1086" i="12"/>
  <c r="B1087" i="12"/>
  <c r="B1088" i="12"/>
  <c r="C1087" i="12"/>
  <c r="B1089" i="12"/>
  <c r="C1088" i="12"/>
  <c r="C1089" i="12"/>
  <c r="B1090" i="12"/>
  <c r="B1091" i="12"/>
  <c r="C1090" i="12"/>
  <c r="B1092" i="12"/>
  <c r="C1091" i="12"/>
  <c r="C1092" i="12"/>
  <c r="B1093" i="12"/>
  <c r="C1093" i="12"/>
  <c r="B1094" i="12"/>
  <c r="B1095" i="12"/>
  <c r="C1094" i="12"/>
  <c r="B1096" i="12"/>
  <c r="C1095" i="12"/>
  <c r="C1096" i="12"/>
  <c r="B1097" i="12"/>
  <c r="B1098" i="12"/>
  <c r="C1097" i="12"/>
  <c r="C1098" i="12"/>
  <c r="B1099" i="12"/>
  <c r="B1100" i="12"/>
  <c r="C1099" i="12"/>
  <c r="C1100" i="12"/>
  <c r="B1101" i="12"/>
  <c r="B1102" i="12"/>
  <c r="C1101" i="12"/>
  <c r="B1103" i="12"/>
  <c r="C1102" i="12"/>
  <c r="B1104" i="12"/>
  <c r="C1103" i="12"/>
  <c r="C1104" i="12"/>
  <c r="B1105" i="12"/>
  <c r="B1106" i="12"/>
  <c r="C1105" i="12"/>
  <c r="C1106" i="12"/>
  <c r="B1107" i="12"/>
  <c r="C1107" i="12"/>
  <c r="B1108" i="12"/>
  <c r="B1109" i="12"/>
  <c r="C1108" i="12"/>
  <c r="C1109" i="12"/>
  <c r="B1110" i="12"/>
  <c r="B1111" i="12"/>
  <c r="C1110" i="12"/>
  <c r="C1111" i="12"/>
  <c r="B1112" i="12"/>
  <c r="C1112" i="12"/>
  <c r="B1113" i="12"/>
  <c r="C1113" i="12"/>
  <c r="B1114" i="12"/>
  <c r="C1114" i="12"/>
  <c r="B1115" i="12"/>
  <c r="C1115" i="12"/>
  <c r="B1116" i="12"/>
  <c r="B1117" i="12"/>
  <c r="C1116" i="12"/>
  <c r="C1117" i="12"/>
  <c r="B1118" i="12"/>
  <c r="C1118" i="12"/>
  <c r="B1119" i="12"/>
  <c r="C1119" i="12"/>
  <c r="B1120" i="12"/>
  <c r="B1121" i="12"/>
  <c r="C1120" i="12"/>
  <c r="C1121" i="12"/>
  <c r="B1122" i="12"/>
  <c r="C1122" i="12"/>
  <c r="B1123" i="12"/>
  <c r="C1123" i="12"/>
  <c r="B1124" i="12"/>
  <c r="C1124" i="12"/>
  <c r="B1125" i="12"/>
  <c r="C1125" i="12"/>
  <c r="B1126" i="12"/>
  <c r="B1127" i="12"/>
  <c r="C1126" i="12"/>
  <c r="C1127" i="12"/>
  <c r="B1128" i="12"/>
  <c r="B1129" i="12"/>
  <c r="C1128" i="12"/>
  <c r="B1130" i="12"/>
  <c r="C1129" i="12"/>
  <c r="C1130" i="12"/>
  <c r="B1131" i="12"/>
  <c r="C1131" i="12"/>
  <c r="B1132" i="12"/>
  <c r="B1133" i="12"/>
  <c r="C1132" i="12"/>
  <c r="C1133" i="12"/>
  <c r="B1134" i="12"/>
  <c r="C1134" i="12"/>
  <c r="B1135" i="12"/>
  <c r="C1135" i="12"/>
  <c r="B1136" i="12"/>
  <c r="C1136" i="12"/>
  <c r="B1137" i="12"/>
  <c r="B1138" i="12"/>
  <c r="C1137" i="12"/>
  <c r="C1138" i="12"/>
  <c r="B1139" i="12"/>
  <c r="C1139" i="12"/>
  <c r="B1140" i="12"/>
  <c r="C1140" i="12"/>
  <c r="B1141" i="12"/>
  <c r="B1142" i="12"/>
  <c r="C1141" i="12"/>
  <c r="C1142" i="12"/>
  <c r="B1143" i="12"/>
  <c r="B1144" i="12"/>
  <c r="C1143" i="12"/>
  <c r="C1144" i="12"/>
  <c r="B1145" i="12"/>
  <c r="C1145" i="12"/>
  <c r="B1146" i="12"/>
  <c r="C1146" i="12"/>
  <c r="B1147" i="12"/>
  <c r="B1148" i="12"/>
  <c r="C1147" i="12"/>
  <c r="C1148" i="12"/>
  <c r="B1149" i="12"/>
  <c r="C1149" i="12"/>
  <c r="B1150" i="12"/>
  <c r="B1151" i="12"/>
  <c r="C1150" i="12"/>
  <c r="C1151" i="12"/>
  <c r="B1152" i="12"/>
  <c r="C1152" i="12"/>
  <c r="B1153" i="12"/>
  <c r="C1153" i="12"/>
  <c r="B1154" i="12"/>
  <c r="B1155" i="12"/>
  <c r="C1154" i="12"/>
  <c r="C1155" i="12"/>
  <c r="B1156" i="12"/>
  <c r="C1156" i="12"/>
  <c r="B1157" i="12"/>
  <c r="C1157" i="12"/>
  <c r="B1158" i="12"/>
  <c r="C1158" i="12"/>
  <c r="B1159" i="12"/>
  <c r="B1160" i="12"/>
  <c r="C1159" i="12"/>
  <c r="B1161" i="12"/>
  <c r="C1160" i="12"/>
  <c r="C1161" i="12"/>
  <c r="B1162" i="12"/>
  <c r="B1163" i="12"/>
  <c r="C1162" i="12"/>
  <c r="C1163" i="12"/>
  <c r="B1164" i="12"/>
  <c r="B1165" i="12"/>
  <c r="C1164" i="12"/>
  <c r="C1165" i="12"/>
  <c r="B1166" i="12"/>
  <c r="B1167" i="12"/>
  <c r="C1166" i="12"/>
  <c r="B1168" i="12"/>
  <c r="C1167" i="12"/>
  <c r="B1169" i="12"/>
  <c r="C1168" i="12"/>
  <c r="C1169" i="12"/>
  <c r="B1170" i="12"/>
  <c r="B1171" i="12"/>
  <c r="C1170" i="12"/>
  <c r="C1171" i="12"/>
  <c r="B1172" i="12"/>
  <c r="B1173" i="12"/>
  <c r="C1172" i="12"/>
  <c r="B1174" i="12"/>
  <c r="C1173" i="12"/>
  <c r="C1174" i="12"/>
  <c r="B1175" i="12"/>
  <c r="C1175" i="12"/>
  <c r="B1176" i="12"/>
  <c r="C1176" i="12"/>
  <c r="B1177" i="12"/>
  <c r="B1178" i="12"/>
  <c r="C1177" i="12"/>
  <c r="B1179" i="12"/>
  <c r="C1178" i="12"/>
  <c r="B1180" i="12"/>
  <c r="C1179" i="12"/>
  <c r="B1181" i="12"/>
  <c r="C1180" i="12"/>
  <c r="B1182" i="12"/>
  <c r="C1181" i="12"/>
  <c r="B1183" i="12"/>
  <c r="C1182" i="12"/>
  <c r="C1183" i="12"/>
  <c r="B1184" i="12"/>
  <c r="B1185" i="12"/>
  <c r="C1184" i="12"/>
  <c r="B1186" i="12"/>
  <c r="C1185" i="12"/>
  <c r="B1187" i="12"/>
  <c r="C1186" i="12"/>
  <c r="C1187" i="12"/>
  <c r="B1188" i="12"/>
  <c r="C1188" i="12"/>
  <c r="B1189" i="12"/>
  <c r="C1189" i="12"/>
  <c r="B1190" i="12"/>
  <c r="C1190" i="12"/>
  <c r="B1191" i="12"/>
  <c r="B1192" i="12"/>
  <c r="C1191" i="12"/>
  <c r="B1193" i="12"/>
  <c r="C1192" i="12"/>
  <c r="B1194" i="12"/>
  <c r="C1193" i="12"/>
  <c r="C1194" i="12"/>
  <c r="B1195" i="12"/>
  <c r="C1195" i="12"/>
  <c r="B1196" i="12"/>
  <c r="C1196" i="12"/>
  <c r="B1197" i="12"/>
  <c r="C1197" i="12"/>
  <c r="B1198" i="12"/>
  <c r="B1199" i="12"/>
  <c r="C1198" i="12"/>
  <c r="C1199" i="12"/>
  <c r="B1200" i="12"/>
  <c r="C1200" i="12"/>
  <c r="B1201" i="12"/>
  <c r="C1201" i="12"/>
  <c r="B1202" i="12"/>
  <c r="B1203" i="12"/>
  <c r="C1202" i="12"/>
  <c r="B1204" i="12"/>
  <c r="C1203" i="12"/>
  <c r="C1204" i="12"/>
  <c r="B1205" i="12"/>
  <c r="C1205" i="12"/>
  <c r="B1206" i="12"/>
  <c r="C1206" i="12"/>
  <c r="B1207" i="12"/>
  <c r="C1207" i="12"/>
  <c r="B1208" i="12"/>
  <c r="C1208" i="12"/>
  <c r="B1209" i="12"/>
  <c r="B1210" i="12"/>
  <c r="C1209" i="12"/>
  <c r="C1210" i="12"/>
  <c r="B1211" i="12"/>
  <c r="C1211" i="12"/>
  <c r="B1212" i="12"/>
  <c r="B1213" i="12"/>
  <c r="C1212" i="12"/>
  <c r="B1214" i="12"/>
  <c r="C1213" i="12"/>
  <c r="C1214" i="12"/>
  <c r="B1215" i="12"/>
  <c r="B1216" i="12"/>
  <c r="C1215" i="12"/>
  <c r="B1217" i="12"/>
  <c r="C1216" i="12"/>
  <c r="C1217" i="12"/>
  <c r="B1218" i="12"/>
  <c r="C1218" i="12"/>
  <c r="B1219" i="12"/>
  <c r="C1219" i="12"/>
  <c r="B1220" i="12"/>
  <c r="C1220" i="12"/>
  <c r="B1221" i="12"/>
  <c r="C1221" i="12"/>
  <c r="B1222" i="12"/>
  <c r="C1222" i="12"/>
  <c r="B1223" i="12"/>
  <c r="C1223" i="12"/>
  <c r="B1224" i="12"/>
  <c r="B1225" i="12"/>
  <c r="C1224" i="12"/>
  <c r="B1226" i="12"/>
  <c r="C1225" i="12"/>
  <c r="C1226" i="12"/>
  <c r="B1227" i="12"/>
  <c r="C1227" i="12"/>
  <c r="B1228" i="12"/>
  <c r="B1229" i="12"/>
  <c r="C1228" i="12"/>
  <c r="B1230" i="12"/>
  <c r="C1229" i="12"/>
  <c r="B1231" i="12"/>
  <c r="C1230" i="12"/>
  <c r="C1231" i="12"/>
  <c r="B1232" i="12"/>
  <c r="B1233" i="12"/>
  <c r="C1232" i="12"/>
  <c r="B1234" i="12"/>
  <c r="C1233" i="12"/>
  <c r="B1235" i="12"/>
  <c r="C1234" i="12"/>
  <c r="C1235" i="12"/>
  <c r="B1236" i="12"/>
  <c r="B1237" i="12"/>
  <c r="C1236" i="12"/>
  <c r="C1237" i="12"/>
  <c r="B1238" i="12"/>
  <c r="B1239" i="12"/>
  <c r="C1238" i="12"/>
  <c r="C1239" i="12"/>
  <c r="B1240" i="12"/>
  <c r="B1241" i="12"/>
  <c r="C1240" i="12"/>
  <c r="B1242" i="12"/>
  <c r="C1241" i="12"/>
  <c r="B1243" i="12"/>
  <c r="C1242" i="12"/>
  <c r="B1244" i="12"/>
  <c r="C1243" i="12"/>
  <c r="B1245" i="12"/>
  <c r="C1244" i="12"/>
  <c r="C1245" i="12"/>
  <c r="B1246" i="12"/>
  <c r="C1246" i="12"/>
  <c r="B1247" i="12"/>
  <c r="B1248" i="12"/>
  <c r="C1247" i="12"/>
  <c r="C1248" i="12"/>
  <c r="B1249" i="12"/>
  <c r="B1250" i="12"/>
  <c r="C1249" i="12"/>
  <c r="C1250" i="12"/>
  <c r="B1251" i="12"/>
  <c r="B1252" i="12"/>
  <c r="C1251" i="12"/>
  <c r="B1253" i="12"/>
  <c r="C1252" i="12"/>
  <c r="B1254" i="12"/>
  <c r="C1253" i="12"/>
  <c r="B1255" i="12"/>
  <c r="C1254" i="12"/>
  <c r="B1256" i="12"/>
  <c r="C1255" i="12"/>
  <c r="B1257" i="12"/>
  <c r="C1256" i="12"/>
  <c r="B1258" i="12"/>
  <c r="C1257" i="12"/>
  <c r="C1258" i="12"/>
  <c r="B1259" i="12"/>
  <c r="C1259" i="12"/>
  <c r="B1260" i="12"/>
  <c r="B1261" i="12"/>
  <c r="C1260" i="12"/>
  <c r="C1261" i="12"/>
  <c r="B1262" i="12"/>
  <c r="B1263" i="12"/>
  <c r="C1262" i="12"/>
  <c r="B1264" i="12"/>
  <c r="C1263" i="12"/>
  <c r="C1264" i="12"/>
  <c r="B1265" i="12"/>
  <c r="C1265" i="12"/>
  <c r="B1266" i="12"/>
  <c r="C1266" i="12"/>
  <c r="B1267" i="12"/>
  <c r="C1267" i="12"/>
  <c r="B1268" i="12"/>
  <c r="C1268" i="12"/>
  <c r="B1269" i="12"/>
  <c r="C1269" i="12"/>
  <c r="B1270" i="12"/>
  <c r="C1270" i="12"/>
  <c r="B1271" i="12"/>
  <c r="C1271" i="12"/>
  <c r="B1272" i="12"/>
  <c r="B1273" i="12"/>
  <c r="C1272" i="12"/>
  <c r="C1273" i="12"/>
  <c r="B1274" i="12"/>
  <c r="B1275" i="12"/>
  <c r="C1274" i="12"/>
  <c r="B1276" i="12"/>
  <c r="C1275" i="12"/>
  <c r="C1276" i="12"/>
  <c r="B1277" i="12"/>
  <c r="C1277" i="12"/>
  <c r="B1278" i="12"/>
  <c r="C1278" i="12"/>
  <c r="B1279" i="12"/>
  <c r="C1279" i="12"/>
  <c r="B1280" i="12"/>
  <c r="B1281" i="12"/>
  <c r="C1280" i="12"/>
  <c r="B1282" i="12"/>
  <c r="C1281" i="12"/>
  <c r="C1282" i="12"/>
  <c r="B1283" i="12"/>
  <c r="C1283" i="12"/>
  <c r="B1284" i="12"/>
  <c r="B1285" i="12"/>
  <c r="C1284" i="12"/>
  <c r="B1286" i="12"/>
  <c r="C1285" i="12"/>
  <c r="C1286" i="12"/>
  <c r="B1287" i="12"/>
  <c r="B1288" i="12"/>
  <c r="C1287" i="12"/>
  <c r="C1288" i="12"/>
  <c r="B1289" i="12"/>
  <c r="C1289" i="12"/>
  <c r="B1290" i="12"/>
  <c r="C1290" i="12"/>
  <c r="B1291" i="12"/>
  <c r="C1291" i="12"/>
  <c r="B1292" i="12"/>
  <c r="B1293" i="12"/>
  <c r="C1292" i="12"/>
  <c r="C1293" i="12"/>
  <c r="B1294" i="12"/>
  <c r="C1294" i="12"/>
  <c r="B1295" i="12"/>
  <c r="B1296" i="12"/>
  <c r="C1295" i="12"/>
  <c r="B1297" i="12"/>
  <c r="C1296" i="12"/>
  <c r="B1298" i="12"/>
  <c r="C1297" i="12"/>
  <c r="C1298" i="12"/>
  <c r="B1299" i="12"/>
  <c r="B1300" i="12"/>
  <c r="C1299" i="12"/>
  <c r="B1301" i="12"/>
  <c r="C1300" i="12"/>
  <c r="C1301" i="12"/>
  <c r="B1302" i="12"/>
  <c r="B1303" i="12"/>
  <c r="C1302" i="12"/>
  <c r="B1304" i="12"/>
  <c r="C1303" i="12"/>
  <c r="B1305" i="12"/>
  <c r="C1304" i="12"/>
  <c r="C1305" i="12"/>
  <c r="B1306" i="12"/>
  <c r="C1306" i="12"/>
  <c r="B1307" i="12"/>
  <c r="C1307" i="12"/>
  <c r="B1308" i="12"/>
  <c r="C1308" i="12"/>
  <c r="B1309" i="12"/>
  <c r="C1309" i="12"/>
  <c r="B1310" i="12"/>
  <c r="B1311" i="12"/>
  <c r="C1310" i="12"/>
  <c r="B1312" i="12"/>
  <c r="C1311" i="12"/>
  <c r="B1313" i="12"/>
  <c r="C1312" i="12"/>
  <c r="C1313" i="12"/>
  <c r="B1314" i="12"/>
  <c r="C1314" i="12"/>
  <c r="B1315" i="12"/>
  <c r="B1316" i="12"/>
  <c r="C1315" i="12"/>
  <c r="C1316" i="12"/>
  <c r="B1317" i="12"/>
  <c r="C1317" i="12"/>
  <c r="B1318" i="12"/>
  <c r="B1319" i="12"/>
  <c r="C1318" i="12"/>
  <c r="B1320" i="12"/>
  <c r="C1319" i="12"/>
  <c r="B1321" i="12"/>
  <c r="C1320" i="12"/>
  <c r="C1321" i="12"/>
  <c r="B1322" i="12"/>
  <c r="B1323" i="12"/>
  <c r="C1322" i="12"/>
  <c r="C1323" i="12"/>
  <c r="B1324" i="12"/>
  <c r="B1325" i="12"/>
  <c r="C1324" i="12"/>
  <c r="B1326" i="12"/>
  <c r="C1325" i="12"/>
  <c r="B1327" i="12"/>
  <c r="C1326" i="12"/>
  <c r="C1327" i="12"/>
  <c r="B1328" i="12"/>
  <c r="B1329" i="12"/>
  <c r="C1328" i="12"/>
  <c r="C1329" i="12"/>
  <c r="B1330" i="12"/>
  <c r="C1330" i="12"/>
  <c r="B1331" i="12"/>
  <c r="C1331" i="12"/>
  <c r="B1332" i="12"/>
  <c r="B1333" i="12"/>
  <c r="C1332" i="12"/>
  <c r="B1334" i="12"/>
  <c r="C1333" i="12"/>
  <c r="B1335" i="12"/>
  <c r="C1334" i="12"/>
  <c r="B1336" i="12"/>
  <c r="C1335" i="12"/>
  <c r="B1337" i="12"/>
  <c r="C1336" i="12"/>
  <c r="C1337" i="12"/>
  <c r="B1338" i="12"/>
  <c r="B1339" i="12"/>
  <c r="C1338" i="12"/>
  <c r="C1339" i="12"/>
  <c r="B1340" i="12"/>
  <c r="C1340" i="12"/>
  <c r="B1341" i="12"/>
  <c r="C1341" i="12"/>
  <c r="B1342" i="12"/>
  <c r="C1342" i="12"/>
  <c r="B1343" i="12"/>
  <c r="C1343" i="12"/>
  <c r="B1344" i="12"/>
  <c r="B1345" i="12"/>
  <c r="C1344" i="12"/>
  <c r="C1345" i="12"/>
  <c r="B1346" i="12"/>
  <c r="C1346" i="12"/>
  <c r="B1347" i="12"/>
  <c r="C1347" i="12"/>
  <c r="B1348" i="12"/>
  <c r="C1348" i="12"/>
  <c r="B1349" i="12"/>
  <c r="B1350" i="12"/>
  <c r="C1349" i="12"/>
  <c r="B1351" i="12"/>
  <c r="C1350" i="12"/>
  <c r="B1352" i="12"/>
  <c r="C1351" i="12"/>
  <c r="B1353" i="12"/>
  <c r="C1352" i="12"/>
  <c r="B1354" i="12"/>
  <c r="C1353" i="12"/>
  <c r="C1354" i="12"/>
  <c r="B1355" i="12"/>
  <c r="C1355" i="12"/>
  <c r="B1356" i="12"/>
  <c r="B1357" i="12"/>
  <c r="C1356" i="12"/>
  <c r="B1358" i="12"/>
  <c r="C1357" i="12"/>
  <c r="B1359" i="12"/>
  <c r="C1358" i="12"/>
  <c r="C1359" i="12"/>
  <c r="B1360" i="12"/>
  <c r="C1360" i="12"/>
  <c r="B1361" i="12"/>
  <c r="B1362" i="12"/>
  <c r="C1361" i="12"/>
  <c r="C1362" i="12"/>
  <c r="B1363" i="12"/>
  <c r="C1363" i="12"/>
  <c r="B1364" i="12"/>
  <c r="B1365" i="12"/>
  <c r="C1364" i="12"/>
  <c r="B1366" i="12"/>
  <c r="C1365" i="12"/>
  <c r="B1367" i="12"/>
  <c r="C1366" i="12"/>
  <c r="B1368" i="12"/>
  <c r="C1367" i="12"/>
  <c r="C1368" i="12"/>
  <c r="B1369" i="12"/>
  <c r="C1369" i="12"/>
  <c r="B1370" i="12"/>
  <c r="C1370" i="12"/>
  <c r="B1371" i="12"/>
  <c r="B1372" i="12"/>
  <c r="C1371" i="12"/>
  <c r="C1372" i="12"/>
  <c r="B1373" i="12"/>
  <c r="C1373" i="12"/>
  <c r="B1374" i="12"/>
  <c r="B1375" i="12"/>
  <c r="C1374" i="12"/>
  <c r="B1376" i="12"/>
  <c r="C1375" i="12"/>
  <c r="C1376" i="12"/>
  <c r="B1377" i="12"/>
  <c r="C1377" i="12"/>
  <c r="B1378" i="12"/>
  <c r="C1378" i="12"/>
  <c r="B1379" i="12"/>
  <c r="B1380" i="12"/>
  <c r="C1379" i="12"/>
  <c r="C1380" i="12"/>
  <c r="B1381" i="12"/>
  <c r="B1382" i="12"/>
  <c r="C1381" i="12"/>
  <c r="B1383" i="12"/>
  <c r="C1382" i="12"/>
  <c r="C1383" i="12"/>
  <c r="B1384" i="12"/>
  <c r="C1384" i="12"/>
  <c r="B1385" i="12"/>
  <c r="B1386" i="12"/>
  <c r="C1385" i="12"/>
  <c r="B1387" i="12"/>
  <c r="C1386" i="12"/>
  <c r="C1387" i="12"/>
  <c r="B1388" i="12"/>
  <c r="B1389" i="12"/>
  <c r="C1388" i="12"/>
  <c r="B1390" i="12"/>
  <c r="C1389" i="12"/>
  <c r="C1390" i="12"/>
  <c r="B1391" i="12"/>
  <c r="C1391" i="12"/>
  <c r="B1392" i="12"/>
  <c r="C1392" i="12"/>
  <c r="B1393" i="12"/>
  <c r="B1394" i="12"/>
  <c r="C1393" i="12"/>
  <c r="B1395" i="12"/>
  <c r="C1394" i="12"/>
  <c r="C1395" i="12"/>
  <c r="B1396" i="12"/>
  <c r="C1396" i="12"/>
  <c r="B1397" i="12"/>
  <c r="C1397" i="12"/>
  <c r="B1398" i="12"/>
  <c r="B1399" i="12"/>
  <c r="C1398" i="12"/>
  <c r="B1400" i="12"/>
  <c r="C1399" i="12"/>
  <c r="B1401" i="12"/>
  <c r="C1400" i="12"/>
  <c r="B1402" i="12"/>
  <c r="C1401" i="12"/>
  <c r="C1402" i="12"/>
  <c r="B1403" i="12"/>
  <c r="B1404" i="12"/>
  <c r="C1403" i="12"/>
  <c r="C1404" i="12"/>
  <c r="B1405" i="12"/>
  <c r="C1405" i="12"/>
  <c r="B1406" i="12"/>
  <c r="C1406" i="12"/>
  <c r="B1407" i="12"/>
  <c r="B1408" i="12"/>
  <c r="C1407" i="12"/>
  <c r="B1409" i="12"/>
  <c r="C1408" i="12"/>
  <c r="C1409" i="12"/>
  <c r="B1410" i="12"/>
  <c r="C1410" i="12"/>
  <c r="B1411" i="12"/>
  <c r="B1412" i="12"/>
  <c r="C1411" i="12"/>
  <c r="C1412" i="12"/>
  <c r="B1413" i="12"/>
  <c r="B1414" i="12"/>
  <c r="C1413" i="12"/>
  <c r="B1415" i="12"/>
  <c r="C1414" i="12"/>
  <c r="B1416" i="12"/>
  <c r="C1415" i="12"/>
  <c r="C1416" i="12"/>
  <c r="B1417" i="12"/>
  <c r="B1418" i="12"/>
  <c r="C1417" i="12"/>
  <c r="C1418" i="12"/>
  <c r="B1419" i="12"/>
  <c r="C1419" i="12"/>
  <c r="B1420" i="12"/>
  <c r="C1420" i="12"/>
  <c r="B1421" i="12"/>
  <c r="C1421" i="12"/>
  <c r="B1422" i="12"/>
  <c r="C1422" i="12"/>
  <c r="B1423" i="12"/>
  <c r="C1423" i="12"/>
  <c r="B1424" i="12"/>
  <c r="B1425" i="12"/>
  <c r="C1424" i="12"/>
  <c r="B1426" i="12"/>
  <c r="C1425" i="12"/>
  <c r="B1427" i="12"/>
  <c r="C1426" i="12"/>
  <c r="C1427" i="12"/>
  <c r="B1428" i="12"/>
  <c r="C1428" i="12"/>
  <c r="B1429" i="12"/>
  <c r="B1430" i="12"/>
  <c r="C1429" i="12"/>
  <c r="C1430" i="12"/>
  <c r="B1431" i="12"/>
  <c r="B1432" i="12"/>
  <c r="C1431" i="12"/>
  <c r="B1433" i="12"/>
  <c r="C1432" i="12"/>
  <c r="C1433" i="12"/>
  <c r="B1434" i="12"/>
  <c r="C1434" i="12"/>
  <c r="B1435" i="12"/>
  <c r="B1436" i="12"/>
  <c r="C1435" i="12"/>
  <c r="B1437" i="12"/>
  <c r="C1436" i="12"/>
  <c r="C1437" i="12"/>
  <c r="B1438" i="12"/>
  <c r="B1439" i="12"/>
  <c r="C1438" i="12"/>
  <c r="B1440" i="12"/>
  <c r="C1439" i="12"/>
  <c r="C1440" i="12"/>
  <c r="B1441" i="12"/>
  <c r="B1442" i="12"/>
  <c r="C1441" i="12"/>
  <c r="C1442" i="12"/>
  <c r="B1443" i="12"/>
  <c r="C1443" i="12"/>
  <c r="B1444" i="12"/>
  <c r="C1444" i="12"/>
  <c r="B1445" i="12"/>
  <c r="B1446" i="12"/>
  <c r="C1445" i="12"/>
  <c r="C1446" i="12"/>
  <c r="B1447" i="12"/>
  <c r="C1447" i="12"/>
  <c r="B1448" i="12"/>
  <c r="B1449" i="12"/>
  <c r="C1448" i="12"/>
  <c r="B1450" i="12"/>
  <c r="C1449" i="12"/>
  <c r="B1451" i="12"/>
  <c r="C1450" i="12"/>
  <c r="B1452" i="12"/>
  <c r="C1451" i="12"/>
  <c r="C1452" i="12"/>
  <c r="B1453" i="12"/>
  <c r="C1453" i="12"/>
  <c r="B1454" i="12"/>
  <c r="B1455" i="12"/>
  <c r="C1454" i="12"/>
  <c r="B1456" i="12"/>
  <c r="C1455" i="12"/>
  <c r="C1456" i="12"/>
  <c r="B1457" i="12"/>
  <c r="C1457" i="12"/>
  <c r="B1458" i="12"/>
  <c r="C1458" i="12"/>
  <c r="B1459" i="12"/>
  <c r="B1460" i="12"/>
  <c r="C1459" i="12"/>
  <c r="C1460" i="12"/>
  <c r="B1461" i="12"/>
  <c r="C1461" i="12"/>
  <c r="B1462" i="12"/>
  <c r="C1462" i="12"/>
  <c r="B1463" i="12"/>
  <c r="C1463" i="12"/>
  <c r="B1464" i="12"/>
  <c r="B1465" i="12"/>
  <c r="C1464" i="12"/>
  <c r="C1465" i="12"/>
  <c r="B1466" i="12"/>
  <c r="B1467" i="12"/>
  <c r="C1466" i="12"/>
  <c r="B1468" i="12"/>
  <c r="C1467" i="12"/>
  <c r="C1468" i="12"/>
  <c r="B1469" i="12"/>
  <c r="C1469" i="12"/>
  <c r="B1470" i="12"/>
  <c r="B1471" i="12"/>
  <c r="C1470" i="12"/>
  <c r="C1471" i="12"/>
  <c r="B1472" i="12"/>
  <c r="C1472" i="12"/>
  <c r="B1473" i="12"/>
  <c r="C1473" i="12"/>
  <c r="B1474" i="12"/>
  <c r="B1475" i="12"/>
  <c r="C1474" i="12"/>
  <c r="B1476" i="12"/>
  <c r="C1475" i="12"/>
  <c r="C1476" i="12"/>
  <c r="B1477" i="12"/>
  <c r="B1478" i="12"/>
  <c r="C1477" i="12"/>
  <c r="C1478" i="12"/>
  <c r="B1479" i="12"/>
  <c r="C1479" i="12"/>
  <c r="B1480" i="12"/>
  <c r="B1481" i="12"/>
  <c r="C1480" i="12"/>
  <c r="B1482" i="12"/>
  <c r="C1481" i="12"/>
  <c r="B1483" i="12"/>
  <c r="C1482" i="12"/>
  <c r="C1483" i="12"/>
  <c r="B1484" i="12"/>
  <c r="B1485" i="12"/>
  <c r="C1484" i="12"/>
  <c r="B1486" i="12"/>
  <c r="C1485" i="12"/>
  <c r="C1486" i="12"/>
  <c r="B1487" i="12"/>
  <c r="C1487" i="12"/>
  <c r="B1488" i="12"/>
  <c r="C1488" i="12"/>
  <c r="B1489" i="12"/>
  <c r="B1490" i="12"/>
  <c r="C1489" i="12"/>
  <c r="C1490" i="12"/>
  <c r="B1491" i="12"/>
  <c r="B1492" i="12"/>
  <c r="C1491" i="12"/>
  <c r="B1493" i="12"/>
  <c r="C1492" i="12"/>
  <c r="B1494" i="12"/>
  <c r="C1493" i="12"/>
  <c r="B1495" i="12"/>
  <c r="C1494" i="12"/>
  <c r="B1496" i="12"/>
  <c r="C1495" i="12"/>
  <c r="B1497" i="12"/>
  <c r="C1496" i="12"/>
  <c r="C1497" i="12"/>
  <c r="B1498" i="12"/>
  <c r="B1499" i="12"/>
  <c r="C1498" i="12"/>
  <c r="B1500" i="12"/>
  <c r="C1499" i="12"/>
  <c r="B1501" i="12"/>
  <c r="C1500" i="12"/>
  <c r="C1501" i="12"/>
  <c r="B1502" i="12"/>
  <c r="B1503" i="12"/>
  <c r="C1502" i="12"/>
  <c r="C1503" i="12"/>
  <c r="B1504" i="12"/>
  <c r="B1505" i="12"/>
  <c r="C1504" i="12"/>
  <c r="C1505" i="12"/>
  <c r="B1506" i="12"/>
  <c r="B1507" i="12"/>
  <c r="C1506" i="12"/>
  <c r="B1508" i="12"/>
  <c r="C1507" i="12"/>
  <c r="C1508" i="12"/>
  <c r="B1509" i="12"/>
  <c r="C1509" i="12"/>
  <c r="B1510" i="12"/>
  <c r="B1511" i="12"/>
  <c r="C1510" i="12"/>
  <c r="B1512" i="12"/>
  <c r="C1511" i="12"/>
  <c r="B1513" i="12"/>
  <c r="C1512" i="12"/>
  <c r="B1514" i="12"/>
  <c r="C1513" i="12"/>
  <c r="C1514" i="12"/>
  <c r="B1515" i="12"/>
  <c r="B1516" i="12"/>
  <c r="C1515" i="12"/>
  <c r="B1517" i="12"/>
  <c r="C1516" i="12"/>
  <c r="B1518" i="12"/>
  <c r="C1517" i="12"/>
  <c r="C1518" i="12"/>
  <c r="B1519" i="12"/>
  <c r="B1520" i="12"/>
  <c r="C1519" i="12"/>
  <c r="C1520" i="12"/>
  <c r="B1521" i="12"/>
  <c r="C1521" i="12"/>
  <c r="B1522" i="12"/>
  <c r="B1523" i="12"/>
  <c r="C1522" i="12"/>
  <c r="C1523" i="12"/>
  <c r="B1524" i="12"/>
  <c r="B1525" i="12"/>
  <c r="C1524" i="12"/>
  <c r="B1526" i="12"/>
  <c r="C1525" i="12"/>
  <c r="B1527" i="12"/>
  <c r="C1526" i="12"/>
  <c r="C1527" i="12"/>
  <c r="B1528" i="12"/>
  <c r="B1529" i="12"/>
  <c r="C1528" i="12"/>
  <c r="B1530" i="12"/>
  <c r="C1529" i="12"/>
  <c r="C1530" i="12"/>
  <c r="B1531" i="12"/>
  <c r="C1531" i="12"/>
  <c r="B1532" i="12"/>
  <c r="C1532" i="12"/>
  <c r="B1533" i="12"/>
  <c r="C1533" i="12"/>
  <c r="B1534" i="12"/>
  <c r="C1534" i="12"/>
  <c r="B1535" i="12"/>
  <c r="B1536" i="12"/>
  <c r="C1535" i="12"/>
  <c r="B1537" i="12"/>
  <c r="C1536" i="12"/>
  <c r="C1537" i="12"/>
  <c r="B1538" i="12"/>
  <c r="C1538" i="12"/>
  <c r="B1539" i="12"/>
  <c r="C1539" i="12"/>
  <c r="B1540" i="12"/>
  <c r="B1541" i="12"/>
  <c r="C1540" i="12"/>
  <c r="B1542" i="12"/>
  <c r="C1541" i="12"/>
  <c r="C1542" i="12"/>
  <c r="B1543" i="12"/>
  <c r="C1543" i="12"/>
  <c r="B1544" i="12"/>
  <c r="B1545" i="12"/>
  <c r="C1544" i="12"/>
  <c r="B1546" i="12"/>
  <c r="C1545" i="12"/>
  <c r="B1547" i="12"/>
  <c r="C1546" i="12"/>
  <c r="B1548" i="12"/>
  <c r="C1547" i="12"/>
  <c r="B1549" i="12"/>
  <c r="C1548" i="12"/>
  <c r="B1550" i="12"/>
  <c r="C1549" i="12"/>
  <c r="C1550" i="12"/>
  <c r="B1551" i="12"/>
  <c r="B1552" i="12"/>
  <c r="C1551" i="12"/>
  <c r="C1552" i="12"/>
  <c r="B1553" i="12"/>
  <c r="B1554" i="12"/>
  <c r="C1553" i="12"/>
  <c r="B1555" i="12"/>
  <c r="C1554" i="12"/>
  <c r="C1555" i="12"/>
  <c r="B1556" i="12"/>
  <c r="B1557" i="12"/>
  <c r="C1556" i="12"/>
  <c r="B1558" i="12"/>
  <c r="C1557" i="12"/>
  <c r="B1559" i="12"/>
  <c r="C1558" i="12"/>
  <c r="B1560" i="12"/>
  <c r="C1559" i="12"/>
  <c r="B1561" i="12"/>
  <c r="C1560" i="12"/>
  <c r="C1561" i="12"/>
  <c r="B1562" i="12"/>
  <c r="B1563" i="12"/>
  <c r="C1562" i="12"/>
  <c r="C1563" i="12"/>
  <c r="B1564" i="12"/>
  <c r="C1564" i="12"/>
  <c r="B1565" i="12"/>
  <c r="C1565" i="12"/>
  <c r="B1566" i="12"/>
  <c r="C1566" i="12"/>
  <c r="B1567" i="12"/>
  <c r="C1567" i="12"/>
  <c r="B1568" i="12"/>
  <c r="B1569" i="12"/>
  <c r="C1568" i="12"/>
  <c r="B1570" i="12"/>
  <c r="C1569" i="12"/>
  <c r="C1570" i="12"/>
  <c r="B1571" i="12"/>
  <c r="C1571" i="12"/>
  <c r="B1572" i="12"/>
  <c r="C1572" i="12"/>
  <c r="B1573" i="12"/>
  <c r="B1574" i="12"/>
  <c r="C1573" i="12"/>
  <c r="B1575" i="12"/>
  <c r="C1574" i="12"/>
  <c r="B1576" i="12"/>
  <c r="C1575" i="12"/>
  <c r="B1577" i="12"/>
  <c r="C1576" i="12"/>
  <c r="C1577" i="12"/>
  <c r="B1578" i="12"/>
  <c r="C1578" i="12"/>
  <c r="B1579" i="12"/>
  <c r="B1580" i="12"/>
  <c r="C1579" i="12"/>
  <c r="B1581" i="12"/>
  <c r="C1580" i="12"/>
  <c r="C1581" i="12"/>
  <c r="B1582" i="12"/>
  <c r="C1582" i="12"/>
  <c r="B1583" i="12"/>
  <c r="B1584" i="12"/>
  <c r="C1583" i="12"/>
  <c r="B1585" i="12"/>
  <c r="C1584" i="12"/>
  <c r="B1586" i="12"/>
  <c r="C1585" i="12"/>
  <c r="C1586" i="12"/>
  <c r="B1587" i="12"/>
  <c r="C1587" i="12"/>
  <c r="B1588" i="12"/>
  <c r="B1589" i="12"/>
  <c r="C1588" i="12"/>
  <c r="B1590" i="12"/>
  <c r="C1589" i="12"/>
  <c r="B1591" i="12"/>
  <c r="C1590" i="12"/>
  <c r="C1591" i="12"/>
  <c r="B1592" i="12"/>
  <c r="B1593" i="12"/>
  <c r="C1592" i="12"/>
  <c r="B1594" i="12"/>
  <c r="C1593" i="12"/>
  <c r="B1595" i="12"/>
  <c r="C1594" i="12"/>
  <c r="B1596" i="12"/>
  <c r="C1595" i="12"/>
  <c r="C1596" i="12"/>
  <c r="B1597" i="12"/>
  <c r="C1597" i="12"/>
  <c r="B1598" i="12"/>
  <c r="B1599" i="12"/>
  <c r="C1598" i="12"/>
  <c r="C1599" i="12"/>
  <c r="B1600" i="12"/>
  <c r="B1601" i="12"/>
  <c r="C1600" i="12"/>
  <c r="B1602" i="12"/>
  <c r="C1601" i="12"/>
  <c r="B1603" i="12"/>
  <c r="C1602" i="12"/>
  <c r="C1603" i="12"/>
  <c r="B1604" i="12"/>
  <c r="B1605" i="12"/>
  <c r="C1604" i="12"/>
  <c r="B1606" i="12"/>
  <c r="C1605" i="12"/>
  <c r="C1606" i="12"/>
  <c r="B1607" i="12"/>
  <c r="B1608" i="12"/>
  <c r="C1607" i="12"/>
  <c r="B1609" i="12"/>
  <c r="C1608" i="12"/>
  <c r="B1610" i="12"/>
  <c r="C1609" i="12"/>
  <c r="C1610" i="12"/>
  <c r="B1611" i="12"/>
  <c r="B1612" i="12"/>
  <c r="C1611" i="12"/>
  <c r="B1613" i="12"/>
  <c r="C1612" i="12"/>
  <c r="C1613" i="12"/>
  <c r="B1614" i="12"/>
  <c r="C1614" i="12"/>
  <c r="B1615" i="12"/>
  <c r="B1616" i="12"/>
  <c r="C1615" i="12"/>
  <c r="C1616" i="12"/>
  <c r="B1617" i="12"/>
  <c r="B1618" i="12"/>
  <c r="C1617" i="12"/>
  <c r="C1618" i="12"/>
  <c r="B1619" i="12"/>
  <c r="B1620" i="12"/>
  <c r="C1619" i="12"/>
  <c r="B1621" i="12"/>
  <c r="C1620" i="12"/>
  <c r="C1621" i="12"/>
  <c r="B1622" i="12"/>
  <c r="B1623" i="12"/>
  <c r="C1622" i="12"/>
  <c r="B1624" i="12"/>
  <c r="C1623" i="12"/>
  <c r="C1624" i="12"/>
  <c r="B1625" i="12"/>
  <c r="B1626" i="12"/>
  <c r="C1625" i="12"/>
  <c r="C1626" i="12"/>
  <c r="B1627" i="12"/>
  <c r="C1627" i="12"/>
  <c r="B1628" i="12"/>
  <c r="B1629" i="12"/>
  <c r="C1628" i="12"/>
  <c r="C1629" i="12"/>
  <c r="B1630" i="12"/>
  <c r="C1630" i="12"/>
  <c r="B1631" i="12"/>
  <c r="B1632" i="12"/>
  <c r="C1631" i="12"/>
  <c r="B1633" i="12"/>
  <c r="C1632" i="12"/>
  <c r="C1633" i="12"/>
  <c r="B1634" i="12"/>
  <c r="B1635" i="12"/>
  <c r="C1634" i="12"/>
  <c r="C1635" i="12"/>
  <c r="B1636" i="12"/>
  <c r="C1636" i="12"/>
  <c r="B1637" i="12"/>
  <c r="C1637" i="12"/>
  <c r="B1638" i="12"/>
  <c r="B1639" i="12"/>
  <c r="C1638" i="12"/>
  <c r="C1639" i="12"/>
  <c r="B1640" i="12"/>
  <c r="B1641" i="12"/>
  <c r="C1640" i="12"/>
  <c r="C1641" i="12"/>
  <c r="B1642" i="12"/>
  <c r="C1642" i="12"/>
  <c r="B1643" i="12"/>
  <c r="C1643" i="12"/>
  <c r="B1644" i="12"/>
  <c r="B1645" i="12"/>
  <c r="C1644" i="12"/>
  <c r="B1646" i="12"/>
  <c r="C1645" i="12"/>
  <c r="B1647" i="12"/>
  <c r="C1646" i="12"/>
  <c r="B1648" i="12"/>
  <c r="C1647" i="12"/>
  <c r="C1648" i="12"/>
  <c r="B1649" i="12"/>
  <c r="B1650" i="12"/>
  <c r="C1649" i="12"/>
  <c r="C1650" i="12"/>
  <c r="B1651" i="12"/>
  <c r="C1651" i="12"/>
  <c r="B1652" i="12"/>
  <c r="B1653" i="12"/>
  <c r="C1652" i="12"/>
  <c r="B1654" i="12"/>
  <c r="C1653" i="12"/>
  <c r="C1654" i="12"/>
  <c r="B1655" i="12"/>
  <c r="C1655" i="12"/>
  <c r="B1656" i="12"/>
  <c r="C1656" i="12"/>
  <c r="B1657" i="12"/>
  <c r="B1658" i="12"/>
  <c r="C1657" i="12"/>
  <c r="B1659" i="12"/>
  <c r="C1658" i="12"/>
  <c r="B1660" i="12"/>
  <c r="C1659" i="12"/>
  <c r="B1661" i="12"/>
  <c r="C1660" i="12"/>
  <c r="C1661" i="12"/>
  <c r="B1662" i="12"/>
  <c r="C1662" i="12"/>
  <c r="B1663" i="12"/>
  <c r="B1664" i="12"/>
  <c r="C1663" i="12"/>
  <c r="C1664" i="12"/>
  <c r="B1665" i="12"/>
  <c r="C1665" i="12"/>
  <c r="B1666" i="12"/>
  <c r="C1666" i="12"/>
  <c r="B1667" i="12"/>
  <c r="C1667" i="12"/>
  <c r="B1668" i="12"/>
  <c r="B1669" i="12"/>
  <c r="C1668" i="12"/>
  <c r="B1670" i="12"/>
  <c r="C1669" i="12"/>
  <c r="C1670" i="12"/>
  <c r="B1671" i="12"/>
  <c r="B1672" i="12"/>
  <c r="C1671" i="12"/>
  <c r="B1673" i="12"/>
  <c r="C1672" i="12"/>
  <c r="B1674" i="12"/>
  <c r="C1673" i="12"/>
  <c r="C1674" i="12"/>
  <c r="B1675" i="12"/>
  <c r="C1675" i="12"/>
  <c r="B1676" i="12"/>
  <c r="B1677" i="12"/>
  <c r="C1676" i="12"/>
  <c r="C1677" i="12"/>
  <c r="B1678" i="12"/>
  <c r="C1678" i="12"/>
  <c r="B1679" i="12"/>
  <c r="C1679" i="12"/>
  <c r="B1680" i="12"/>
  <c r="B1681" i="12"/>
  <c r="C1680" i="12"/>
  <c r="C1681" i="12"/>
  <c r="B1682" i="12"/>
  <c r="B1683" i="12"/>
  <c r="C1682" i="12"/>
  <c r="C1683" i="12"/>
  <c r="B1684" i="12"/>
  <c r="C1684" i="12"/>
  <c r="B1685" i="12"/>
  <c r="B1686" i="12"/>
  <c r="C1685" i="12"/>
  <c r="C1686" i="12"/>
  <c r="B1687" i="12"/>
  <c r="C1687" i="12"/>
  <c r="B1688" i="12"/>
  <c r="B1689" i="12"/>
  <c r="C1688" i="12"/>
  <c r="B1690" i="12"/>
  <c r="C1689" i="12"/>
  <c r="C1690" i="12"/>
  <c r="B1691" i="12"/>
  <c r="B1692" i="12"/>
  <c r="C1691" i="12"/>
  <c r="C1692" i="12"/>
  <c r="B1693" i="12"/>
  <c r="C1693" i="12"/>
  <c r="B1694" i="12"/>
  <c r="B1695" i="12"/>
  <c r="C1694" i="12"/>
  <c r="C1695" i="12"/>
  <c r="B1696" i="12"/>
  <c r="C1696" i="12"/>
  <c r="B1697" i="12"/>
  <c r="C1697" i="12"/>
  <c r="B1698" i="12"/>
  <c r="B1699" i="12"/>
  <c r="C1698" i="12"/>
  <c r="C1699" i="12"/>
  <c r="B1700" i="12"/>
  <c r="C1700" i="12"/>
  <c r="B1701" i="12"/>
  <c r="B1702" i="12"/>
  <c r="C1701" i="12"/>
  <c r="B1703" i="12"/>
  <c r="C1702" i="12"/>
  <c r="C1703" i="12"/>
  <c r="B1704" i="12"/>
  <c r="C1704" i="12"/>
  <c r="B1705" i="12"/>
  <c r="B1706" i="12"/>
  <c r="C1705" i="12"/>
  <c r="B1707" i="12"/>
  <c r="C1706" i="12"/>
  <c r="B1708" i="12"/>
  <c r="C1707" i="12"/>
  <c r="C1708" i="12"/>
  <c r="B1709" i="12"/>
  <c r="C1709" i="12"/>
  <c r="B1710" i="12"/>
  <c r="C1710" i="12"/>
  <c r="B1711" i="12"/>
  <c r="B1712" i="12"/>
  <c r="C1711" i="12"/>
  <c r="B1713" i="12"/>
  <c r="C1712" i="12"/>
  <c r="B1714" i="12"/>
  <c r="C1713" i="12"/>
  <c r="C1714" i="12"/>
  <c r="B1715" i="12"/>
  <c r="C1715" i="12"/>
  <c r="B1716" i="12"/>
  <c r="C1716" i="12"/>
  <c r="B1717" i="12"/>
  <c r="B1718" i="12"/>
  <c r="C1717" i="12"/>
  <c r="B1719" i="12"/>
  <c r="C1718" i="12"/>
  <c r="C1719" i="12"/>
  <c r="B1720" i="12"/>
  <c r="C1720" i="12"/>
  <c r="B1721" i="12"/>
  <c r="B1722" i="12"/>
  <c r="C1721" i="12"/>
  <c r="B1723" i="12"/>
  <c r="C1722" i="12"/>
  <c r="C1723" i="12"/>
  <c r="B1724" i="12"/>
  <c r="B1725" i="12"/>
  <c r="C1724" i="12"/>
  <c r="B1726" i="12"/>
  <c r="C1725" i="12"/>
  <c r="C1726" i="12"/>
  <c r="B1727" i="12"/>
  <c r="C1727" i="12"/>
  <c r="B1728" i="12"/>
  <c r="B1729" i="12"/>
  <c r="C1728" i="12"/>
  <c r="B1730" i="12"/>
  <c r="C1729" i="12"/>
  <c r="B1731" i="12"/>
  <c r="C1730" i="12"/>
  <c r="B1732" i="12"/>
  <c r="C1731" i="12"/>
  <c r="B1733" i="12"/>
  <c r="C1732" i="12"/>
  <c r="C1733" i="12"/>
  <c r="B1734" i="12"/>
  <c r="C1734" i="12"/>
  <c r="B1735" i="12"/>
  <c r="C1735" i="12"/>
  <c r="B1736" i="12"/>
  <c r="B1737" i="12"/>
  <c r="C1736" i="12"/>
  <c r="B1738" i="12"/>
  <c r="C1737" i="12"/>
  <c r="B1739" i="12"/>
  <c r="C1738" i="12"/>
  <c r="B1740" i="12"/>
  <c r="C1739" i="12"/>
  <c r="C1740" i="12"/>
  <c r="B1741" i="12"/>
  <c r="C1741" i="12"/>
  <c r="B1742" i="12"/>
  <c r="B1743" i="12"/>
  <c r="C1742" i="12"/>
  <c r="C1743" i="12"/>
  <c r="B1744" i="12"/>
  <c r="C1744" i="12"/>
  <c r="B1745" i="12"/>
  <c r="C1745" i="12"/>
  <c r="B1746" i="12"/>
  <c r="C1746" i="12"/>
  <c r="B1747" i="12"/>
  <c r="C1747" i="12"/>
  <c r="B1748" i="12"/>
  <c r="C1748" i="12"/>
  <c r="B1749" i="12"/>
  <c r="C1749" i="12"/>
  <c r="B1750" i="12"/>
  <c r="B1751" i="12"/>
  <c r="C1750" i="12"/>
  <c r="C1751" i="12"/>
  <c r="B1752" i="12"/>
  <c r="B1753" i="12"/>
  <c r="C1752" i="12"/>
  <c r="C1753" i="12"/>
  <c r="B1754" i="12"/>
  <c r="C1754" i="12"/>
  <c r="B1755" i="12"/>
  <c r="C1755" i="12"/>
  <c r="B1756" i="12"/>
  <c r="C1756" i="12"/>
  <c r="B1757" i="12"/>
  <c r="C1757" i="12"/>
  <c r="B1758" i="12"/>
  <c r="C1758" i="12"/>
  <c r="B1759" i="12"/>
  <c r="C1759" i="12"/>
  <c r="B1760" i="12"/>
  <c r="B1761" i="12"/>
  <c r="C1760" i="12"/>
  <c r="B1762" i="12"/>
  <c r="C1761" i="12"/>
  <c r="C1762" i="12"/>
  <c r="B1763" i="12"/>
  <c r="C1763" i="12"/>
  <c r="B1764" i="12"/>
  <c r="B1765" i="12"/>
  <c r="C1764" i="12"/>
  <c r="C1765" i="12"/>
  <c r="B1766" i="12"/>
  <c r="B1767" i="12"/>
  <c r="C1766" i="12"/>
  <c r="C1767" i="12"/>
  <c r="B1768" i="12"/>
  <c r="C1768" i="12"/>
  <c r="B1769" i="12"/>
  <c r="C1769" i="12"/>
  <c r="B1770" i="12"/>
  <c r="C1770" i="12"/>
  <c r="B1771" i="12"/>
  <c r="B1772" i="12"/>
  <c r="C1771" i="12"/>
  <c r="C1772" i="12"/>
  <c r="B1773" i="12"/>
  <c r="C1773" i="12"/>
  <c r="B1774" i="12"/>
  <c r="B1775" i="12"/>
  <c r="C1774" i="12"/>
  <c r="C1775" i="12"/>
  <c r="B1776" i="12"/>
  <c r="B1777" i="12"/>
  <c r="C1776" i="12"/>
  <c r="B1778" i="12"/>
  <c r="C1777" i="12"/>
  <c r="C1778" i="12"/>
  <c r="B1779" i="12"/>
  <c r="B1780" i="12"/>
  <c r="C1779" i="12"/>
  <c r="B1781" i="12"/>
  <c r="C1780" i="12"/>
  <c r="B1782" i="12"/>
  <c r="C1781" i="12"/>
  <c r="B1783" i="12"/>
  <c r="C1782" i="12"/>
  <c r="C1783" i="12"/>
  <c r="B1784" i="12"/>
  <c r="B1785" i="12"/>
  <c r="C1784" i="12"/>
  <c r="B1786" i="12"/>
  <c r="C1785" i="12"/>
  <c r="C1786" i="12"/>
  <c r="B1787" i="12"/>
  <c r="C1787" i="12"/>
  <c r="B1788" i="12"/>
  <c r="C1788" i="12"/>
  <c r="B1789" i="12"/>
  <c r="C1789" i="12"/>
  <c r="B1790" i="12"/>
  <c r="C1790" i="12"/>
  <c r="B1791" i="12"/>
  <c r="B1792" i="12"/>
  <c r="C1791" i="12"/>
  <c r="C1792" i="12"/>
  <c r="B1793" i="12"/>
  <c r="B1794" i="12"/>
  <c r="C1793" i="12"/>
  <c r="B1795" i="12"/>
  <c r="C1794" i="12"/>
  <c r="B1796" i="12"/>
  <c r="C1795" i="12"/>
  <c r="B1797" i="12"/>
  <c r="C1796" i="12"/>
  <c r="B1798" i="12"/>
  <c r="C1797" i="12"/>
  <c r="B1799" i="12"/>
  <c r="C1798" i="12"/>
  <c r="C1799" i="12"/>
  <c r="B1800" i="12"/>
  <c r="C1800" i="12"/>
  <c r="B1801" i="12"/>
  <c r="C1801" i="12"/>
  <c r="B1802" i="12"/>
  <c r="B1803" i="12"/>
  <c r="C1802" i="12"/>
  <c r="C1803" i="12"/>
  <c r="B1804" i="12"/>
  <c r="C1804" i="12"/>
  <c r="B1805" i="12"/>
  <c r="B1806" i="12"/>
  <c r="C1805" i="12"/>
  <c r="B1807" i="12"/>
  <c r="C1806" i="12"/>
  <c r="B1808" i="12"/>
  <c r="C1807" i="12"/>
  <c r="C1808" i="12"/>
  <c r="B1809" i="12"/>
  <c r="C1809" i="12"/>
  <c r="B1810" i="12"/>
  <c r="C1810" i="12"/>
  <c r="B1811" i="12"/>
  <c r="C1811" i="12"/>
  <c r="B1812" i="12"/>
  <c r="C1812" i="12"/>
  <c r="B1813" i="12"/>
  <c r="C1813" i="12"/>
  <c r="B1814" i="12"/>
  <c r="C1814" i="12"/>
  <c r="B1815" i="12"/>
  <c r="B1816" i="12"/>
  <c r="C1815" i="12"/>
  <c r="B1817" i="12"/>
  <c r="C1816" i="12"/>
  <c r="C1817" i="12"/>
  <c r="B1818" i="12"/>
  <c r="B1819" i="12"/>
  <c r="C1818" i="12"/>
  <c r="C1819" i="12"/>
  <c r="B1820" i="12"/>
  <c r="B1821" i="12"/>
  <c r="C1820" i="12"/>
  <c r="B1822" i="12"/>
  <c r="C1821" i="12"/>
  <c r="C1822" i="12"/>
  <c r="B1823" i="12"/>
  <c r="B1824" i="12"/>
  <c r="C1823" i="12"/>
  <c r="C1824" i="12"/>
  <c r="B1825" i="12"/>
  <c r="C1825" i="12"/>
  <c r="B1826" i="12"/>
  <c r="C1826" i="12"/>
  <c r="B1827" i="12"/>
  <c r="C1827" i="12"/>
  <c r="B1828" i="12"/>
  <c r="C1828" i="12"/>
  <c r="B1829" i="12"/>
  <c r="C1829" i="12"/>
  <c r="B1830" i="12"/>
  <c r="B1831" i="12"/>
  <c r="C1830" i="12"/>
  <c r="B1832" i="12"/>
  <c r="C1831" i="12"/>
  <c r="B1833" i="12"/>
  <c r="C1832" i="12"/>
  <c r="B1834" i="12"/>
  <c r="C1833" i="12"/>
  <c r="B1835" i="12"/>
  <c r="C1834" i="12"/>
  <c r="C1835" i="12"/>
  <c r="B1836" i="12"/>
  <c r="C1836" i="12"/>
  <c r="B1837" i="12"/>
  <c r="B1838" i="12"/>
  <c r="C1837" i="12"/>
  <c r="C1838" i="12"/>
  <c r="B1839" i="12"/>
  <c r="C1839" i="12"/>
  <c r="B1840" i="12"/>
  <c r="C1840" i="12"/>
  <c r="B1841" i="12"/>
  <c r="B1842" i="12"/>
  <c r="C1841" i="12"/>
  <c r="C1842" i="12"/>
  <c r="B1843" i="12"/>
  <c r="B1844" i="12"/>
  <c r="C1843" i="12"/>
  <c r="B1845" i="12"/>
  <c r="C1844" i="12"/>
  <c r="B1846" i="12"/>
  <c r="C1845" i="12"/>
  <c r="B1847" i="12"/>
  <c r="C1846" i="12"/>
  <c r="C1847" i="12"/>
  <c r="B1848" i="12"/>
  <c r="B1849" i="12"/>
  <c r="C1848" i="12"/>
  <c r="C1849" i="12"/>
  <c r="B1850" i="12"/>
  <c r="B1851" i="12"/>
  <c r="C1850" i="12"/>
  <c r="B1852" i="12"/>
  <c r="C1851" i="12"/>
  <c r="B1853" i="12"/>
  <c r="C1852" i="12"/>
  <c r="B1854" i="12"/>
  <c r="C1853" i="12"/>
  <c r="C1854" i="12"/>
  <c r="B1855" i="12"/>
  <c r="B1856" i="12"/>
  <c r="C1855" i="12"/>
  <c r="B1857" i="12"/>
  <c r="C1856" i="12"/>
  <c r="C1857" i="12"/>
  <c r="B1858" i="12"/>
  <c r="C1858" i="12"/>
  <c r="B1859" i="12"/>
  <c r="B1860" i="12"/>
  <c r="C1859" i="12"/>
  <c r="B1861" i="12"/>
  <c r="C1860" i="12"/>
  <c r="B1862" i="12"/>
  <c r="C1861" i="12"/>
  <c r="C1862" i="12"/>
  <c r="B1863" i="12"/>
  <c r="C1863" i="12"/>
  <c r="B1864" i="12"/>
  <c r="C1864" i="12"/>
  <c r="B1865" i="12"/>
  <c r="C1865" i="12"/>
  <c r="B1866" i="12"/>
  <c r="C1866" i="12"/>
  <c r="B1867" i="12"/>
  <c r="B1868" i="12"/>
  <c r="C1867" i="12"/>
  <c r="B1869" i="12"/>
  <c r="C1868" i="12"/>
  <c r="B1870" i="12"/>
  <c r="C1869" i="12"/>
  <c r="C1870" i="12"/>
  <c r="B1871" i="12"/>
  <c r="B1872" i="12"/>
  <c r="C1871" i="12"/>
  <c r="C1872" i="12"/>
  <c r="B1873" i="12"/>
  <c r="B1874" i="12"/>
  <c r="C1873" i="12"/>
  <c r="B1875" i="12"/>
  <c r="C1874" i="12"/>
  <c r="B1876" i="12"/>
  <c r="C1875" i="12"/>
  <c r="C1876" i="12"/>
  <c r="B1877" i="12"/>
  <c r="C1877" i="12"/>
  <c r="B1878" i="12"/>
  <c r="B1879" i="12"/>
  <c r="C1878" i="12"/>
  <c r="C1879" i="12"/>
  <c r="B1880" i="12"/>
  <c r="B1881" i="12"/>
  <c r="C1880" i="12"/>
  <c r="B1882" i="12"/>
  <c r="C1881" i="12"/>
  <c r="C1882" i="12"/>
  <c r="B1883" i="12"/>
  <c r="C1883" i="12"/>
  <c r="B1884" i="12"/>
  <c r="B1885" i="12"/>
  <c r="C1884" i="12"/>
  <c r="B1886" i="12"/>
  <c r="C1885" i="12"/>
  <c r="B1887" i="12"/>
  <c r="C1886" i="12"/>
  <c r="B1888" i="12"/>
  <c r="C1887" i="12"/>
  <c r="C1888" i="12"/>
  <c r="B1889" i="12"/>
  <c r="B1890" i="12"/>
  <c r="C1889" i="12"/>
  <c r="B1891" i="12"/>
  <c r="C1890" i="12"/>
  <c r="C1891" i="12"/>
  <c r="B1892" i="12"/>
  <c r="B1893" i="12"/>
  <c r="C1892" i="12"/>
  <c r="C1893" i="12"/>
  <c r="B1894" i="12"/>
  <c r="C1894" i="12"/>
  <c r="B1895" i="12"/>
  <c r="B1896" i="12"/>
  <c r="C1895" i="12"/>
  <c r="B1897" i="12"/>
  <c r="C1896" i="12"/>
  <c r="C1897" i="12"/>
  <c r="B1898" i="12"/>
  <c r="C1898" i="12"/>
  <c r="B1899" i="12"/>
  <c r="C1899" i="12"/>
  <c r="B1900" i="12"/>
  <c r="C1900" i="12"/>
  <c r="B1901" i="12"/>
  <c r="B1902" i="12"/>
  <c r="C1901" i="12"/>
  <c r="B1903" i="12"/>
  <c r="C1902" i="12"/>
  <c r="B1904" i="12"/>
  <c r="C1903" i="12"/>
  <c r="C1904" i="12"/>
  <c r="B1905" i="12"/>
  <c r="C1905" i="12"/>
  <c r="B1906" i="12"/>
  <c r="C1906" i="12"/>
  <c r="B1907" i="12"/>
  <c r="C1907" i="12"/>
  <c r="B1908" i="12"/>
  <c r="C1908" i="12"/>
  <c r="B1909" i="12"/>
  <c r="B1910" i="12"/>
  <c r="C1909" i="12"/>
  <c r="C1910" i="12"/>
  <c r="B1911" i="12"/>
  <c r="C1911" i="12"/>
  <c r="B1912" i="12"/>
  <c r="B1913" i="12"/>
  <c r="C1912" i="12"/>
  <c r="C1913" i="12"/>
  <c r="B1914" i="12"/>
  <c r="C1914" i="12"/>
  <c r="B1915" i="12"/>
  <c r="C1915" i="12"/>
  <c r="B1916" i="12"/>
  <c r="C1916" i="12"/>
  <c r="B1917" i="12"/>
  <c r="C1917" i="12"/>
  <c r="B1918" i="12"/>
  <c r="C1918" i="12"/>
  <c r="B1919" i="12"/>
  <c r="C1919" i="12"/>
  <c r="B1920" i="12"/>
  <c r="B1921" i="12"/>
  <c r="C1920" i="12"/>
  <c r="B1922" i="12"/>
  <c r="C1921" i="12"/>
  <c r="B1923" i="12"/>
  <c r="C1922" i="12"/>
  <c r="C1923" i="12"/>
  <c r="B1924" i="12"/>
  <c r="B1925" i="12"/>
  <c r="C1924" i="12"/>
  <c r="B1926" i="12"/>
  <c r="C1925" i="12"/>
  <c r="C1926" i="12"/>
  <c r="B1927" i="12"/>
  <c r="B1928" i="12"/>
  <c r="C1927" i="12"/>
  <c r="C1928" i="12"/>
  <c r="B1929" i="12"/>
  <c r="C1929" i="12"/>
  <c r="B1930" i="12"/>
  <c r="B1931" i="12"/>
  <c r="C1930" i="12"/>
  <c r="C1931" i="12"/>
  <c r="B1932" i="12"/>
  <c r="C1932" i="12"/>
  <c r="B1933" i="12"/>
  <c r="B1934" i="12"/>
  <c r="C1933" i="12"/>
  <c r="B1935" i="12"/>
  <c r="C1934" i="12"/>
  <c r="C1935" i="12"/>
  <c r="B1936" i="12"/>
  <c r="C1936" i="12"/>
  <c r="B1937" i="12"/>
  <c r="B1938" i="12"/>
  <c r="C1937" i="12"/>
  <c r="C1938" i="12"/>
  <c r="B1939" i="12"/>
  <c r="C1939" i="12"/>
  <c r="B1940" i="12"/>
  <c r="B1941" i="12"/>
  <c r="C1940" i="12"/>
  <c r="C1941" i="12"/>
  <c r="B1942" i="12"/>
  <c r="B1943" i="12"/>
  <c r="C1942" i="12"/>
  <c r="B1944" i="12"/>
  <c r="C1943" i="12"/>
  <c r="B1945" i="12"/>
  <c r="C1944" i="12"/>
  <c r="B1946" i="12"/>
  <c r="C1945" i="12"/>
  <c r="C1946" i="12"/>
  <c r="B1947" i="12"/>
  <c r="C1947" i="12"/>
  <c r="B1948" i="12"/>
  <c r="B1949" i="12"/>
  <c r="C1948" i="12"/>
  <c r="C1949" i="12"/>
  <c r="B1950" i="12"/>
  <c r="C1950" i="12"/>
  <c r="B1951" i="12"/>
  <c r="B1952" i="12"/>
  <c r="C1951" i="12"/>
  <c r="B1953" i="12"/>
  <c r="C1952" i="12"/>
  <c r="C1953" i="12"/>
  <c r="B1954" i="12"/>
  <c r="B1955" i="12"/>
  <c r="C1954" i="12"/>
  <c r="B1956" i="12"/>
  <c r="C1955" i="12"/>
  <c r="C1956" i="12"/>
  <c r="B1957" i="12"/>
  <c r="B1958" i="12"/>
  <c r="C1957" i="12"/>
  <c r="B1959" i="12"/>
  <c r="C1958" i="12"/>
  <c r="B1960" i="12"/>
  <c r="C1959" i="12"/>
  <c r="C1960" i="12"/>
  <c r="B1961" i="12"/>
  <c r="C1961" i="12"/>
  <c r="B1962" i="12"/>
  <c r="C1962" i="12"/>
  <c r="B1963" i="12"/>
  <c r="B1964" i="12"/>
  <c r="C1963" i="12"/>
  <c r="C1964" i="12"/>
  <c r="B1965" i="12"/>
  <c r="B1966" i="12"/>
  <c r="C1965" i="12"/>
  <c r="B1967" i="12"/>
  <c r="C1966" i="12"/>
  <c r="B1968" i="12"/>
  <c r="C1967" i="12"/>
  <c r="C1968" i="12"/>
  <c r="B1969" i="12"/>
  <c r="B1970" i="12"/>
  <c r="C1969" i="12"/>
  <c r="C1970" i="12"/>
  <c r="B1971" i="12"/>
  <c r="B1972" i="12"/>
  <c r="C1971" i="12"/>
  <c r="B1973" i="12"/>
  <c r="C1972" i="12"/>
  <c r="C1973" i="12"/>
  <c r="B1974" i="12"/>
  <c r="B1975" i="12"/>
  <c r="C1974" i="12"/>
  <c r="B1976" i="12"/>
  <c r="C1975" i="12"/>
  <c r="B1977" i="12"/>
  <c r="C1976" i="12"/>
  <c r="C1977" i="12"/>
  <c r="B1978" i="12"/>
  <c r="B1979" i="12"/>
  <c r="C1978" i="12"/>
  <c r="C1979" i="12"/>
  <c r="B1980" i="12"/>
  <c r="C1980" i="12"/>
  <c r="B1981" i="12"/>
  <c r="C1981" i="12"/>
  <c r="B1982" i="12"/>
  <c r="C1982" i="12"/>
  <c r="B1983" i="12"/>
  <c r="B1984" i="12"/>
  <c r="C1983" i="12"/>
  <c r="C1984" i="12"/>
  <c r="B1985" i="12"/>
  <c r="B1986" i="12"/>
  <c r="C1985" i="12"/>
  <c r="C1986" i="12"/>
  <c r="B1987" i="12"/>
  <c r="B1988" i="12"/>
  <c r="C1987" i="12"/>
  <c r="C1988" i="12"/>
  <c r="B1989" i="12"/>
  <c r="C1989" i="12"/>
  <c r="B1990" i="12"/>
  <c r="C1990" i="12"/>
  <c r="B1991" i="12"/>
  <c r="B1992" i="12"/>
  <c r="C1991" i="12"/>
  <c r="C1992" i="12"/>
  <c r="B1993" i="12"/>
  <c r="B1994" i="12"/>
  <c r="C1993" i="12"/>
  <c r="C1994" i="12"/>
  <c r="B1995" i="12"/>
  <c r="B1996" i="12"/>
  <c r="C1995" i="12"/>
  <c r="C1996" i="12"/>
  <c r="B1997" i="12"/>
  <c r="C1997" i="12"/>
  <c r="B1998" i="12"/>
  <c r="C1998" i="12"/>
  <c r="B1999" i="12"/>
  <c r="B2000" i="12"/>
  <c r="C1999" i="12"/>
  <c r="B2001" i="12"/>
  <c r="C2000" i="12"/>
  <c r="B2002" i="12"/>
  <c r="C2001" i="12"/>
  <c r="C2002" i="12"/>
  <c r="B2003" i="12"/>
  <c r="C2003" i="12"/>
  <c r="B2004" i="12"/>
  <c r="C2004" i="12"/>
  <c r="B2005" i="12"/>
  <c r="B2006" i="12"/>
  <c r="C2005" i="12"/>
  <c r="B2007" i="12"/>
  <c r="C2006" i="12"/>
  <c r="C2007" i="12"/>
  <c r="B2008" i="12"/>
  <c r="C2008" i="12"/>
  <c r="B2009" i="12"/>
  <c r="C2009" i="12"/>
  <c r="B2010" i="12"/>
  <c r="C2010" i="12"/>
  <c r="B2011" i="12"/>
  <c r="B2012" i="12"/>
  <c r="C2011" i="12"/>
  <c r="C2012" i="12"/>
  <c r="B2013" i="12"/>
  <c r="B2014" i="12"/>
  <c r="C2013" i="12"/>
  <c r="C2014" i="12"/>
  <c r="B2015" i="12"/>
  <c r="B2016" i="12"/>
  <c r="C2015" i="12"/>
  <c r="C2016" i="12"/>
  <c r="B2017" i="12"/>
  <c r="C2017" i="12"/>
  <c r="B2018" i="12"/>
  <c r="B2019" i="12"/>
  <c r="C2018" i="12"/>
  <c r="C2019" i="12"/>
  <c r="B2020" i="12"/>
  <c r="C2020" i="12"/>
  <c r="B2021" i="12"/>
  <c r="C2021" i="12"/>
  <c r="B2022" i="12"/>
  <c r="B2023" i="12"/>
  <c r="C2022" i="12"/>
  <c r="B2024" i="12"/>
  <c r="C2023" i="12"/>
  <c r="C2024" i="12"/>
  <c r="B2025" i="12"/>
  <c r="C2025" i="12"/>
  <c r="B2026" i="12"/>
  <c r="B2027" i="12"/>
  <c r="C2026" i="12"/>
  <c r="C2027" i="12"/>
  <c r="B2028" i="12"/>
  <c r="B2029" i="12"/>
  <c r="C2028" i="12"/>
  <c r="B2030" i="12"/>
  <c r="C2029" i="12"/>
  <c r="B2031" i="12"/>
  <c r="C2030" i="12"/>
  <c r="B2032" i="12"/>
  <c r="C2031" i="12"/>
  <c r="C2032" i="12"/>
  <c r="B2033" i="12"/>
  <c r="C2033" i="12"/>
  <c r="B2034" i="12"/>
  <c r="C2034" i="12"/>
  <c r="B2035" i="12"/>
  <c r="C2035" i="12"/>
  <c r="B2036" i="12"/>
  <c r="C2036" i="12"/>
  <c r="B2037" i="12"/>
  <c r="B2038" i="12"/>
  <c r="C2037" i="12"/>
  <c r="C2038" i="12"/>
  <c r="B2039" i="12"/>
  <c r="C2039" i="12"/>
  <c r="B2040" i="12"/>
  <c r="B2041" i="12"/>
  <c r="C2040" i="12"/>
  <c r="C2041" i="12"/>
  <c r="B2042" i="12"/>
  <c r="C2042" i="12"/>
  <c r="B2043" i="12"/>
  <c r="C2043" i="12"/>
  <c r="B2044" i="12"/>
  <c r="B2045" i="12"/>
  <c r="C2044" i="12"/>
  <c r="C2045" i="12"/>
  <c r="B2046" i="12"/>
  <c r="C2046" i="12"/>
  <c r="B2047" i="12"/>
  <c r="B2048" i="12"/>
  <c r="C2047" i="12"/>
  <c r="C2048" i="12"/>
  <c r="B2049" i="12"/>
  <c r="B2050" i="12"/>
  <c r="C2049" i="12"/>
  <c r="C2050" i="12"/>
  <c r="B2051" i="12"/>
  <c r="B2052" i="12"/>
  <c r="C2051" i="12"/>
  <c r="C2052" i="12"/>
  <c r="B2053" i="12"/>
  <c r="C2053" i="12"/>
  <c r="B2054" i="12"/>
  <c r="C2054" i="12"/>
  <c r="B2055" i="12"/>
  <c r="B2056" i="12"/>
  <c r="C2055" i="12"/>
  <c r="C2056" i="12"/>
  <c r="B2057" i="12"/>
  <c r="B2058" i="12"/>
  <c r="C2057" i="12"/>
  <c r="C2058" i="12"/>
  <c r="B2059" i="12"/>
  <c r="C2059" i="12"/>
  <c r="B2060" i="12"/>
  <c r="B2061" i="12"/>
  <c r="C2060" i="12"/>
  <c r="C2061" i="12"/>
  <c r="B2062" i="12"/>
  <c r="B2063" i="12"/>
  <c r="C2062" i="12"/>
  <c r="C2063" i="12"/>
  <c r="B2064" i="12"/>
  <c r="B2065" i="12"/>
  <c r="C2064" i="12"/>
  <c r="B2066" i="12"/>
  <c r="C2065" i="12"/>
  <c r="B2067" i="12"/>
  <c r="C2066" i="12"/>
  <c r="C2067" i="12"/>
  <c r="B2068" i="12"/>
  <c r="B2069" i="12"/>
  <c r="C2068" i="12"/>
  <c r="B2070" i="12"/>
  <c r="C2069" i="12"/>
  <c r="C2070" i="12"/>
  <c r="B2071" i="12"/>
  <c r="C2071" i="12"/>
  <c r="B2072" i="12"/>
  <c r="C2072" i="12"/>
  <c r="B2073" i="12"/>
  <c r="B2074" i="12"/>
  <c r="C2073" i="12"/>
  <c r="C2074" i="12"/>
  <c r="B2075" i="12"/>
  <c r="C2075" i="12"/>
  <c r="B2076" i="12"/>
  <c r="C2076" i="12"/>
  <c r="B2077" i="12"/>
  <c r="C2077" i="12"/>
  <c r="B2078" i="12"/>
  <c r="B2079" i="12"/>
  <c r="C2078" i="12"/>
  <c r="C2079" i="12"/>
  <c r="B2080" i="12"/>
  <c r="B2081" i="12"/>
  <c r="C2080" i="12"/>
  <c r="B2082" i="12"/>
  <c r="C2081" i="12"/>
  <c r="B2083" i="12"/>
  <c r="C2082" i="12"/>
  <c r="C2083" i="12"/>
  <c r="B2084" i="12"/>
  <c r="C2084" i="12"/>
  <c r="B2085" i="12"/>
  <c r="B2086" i="12"/>
  <c r="C2085" i="12"/>
  <c r="B2087" i="12"/>
  <c r="C2086" i="12"/>
  <c r="B2088" i="12"/>
  <c r="C2087" i="12"/>
  <c r="C2088" i="12"/>
  <c r="B2089" i="12"/>
  <c r="B2090" i="12"/>
  <c r="C2089" i="12"/>
  <c r="B2091" i="12"/>
  <c r="C2090" i="12"/>
  <c r="C2091" i="12"/>
  <c r="B2092" i="12"/>
  <c r="C2092" i="12"/>
  <c r="B2093" i="12"/>
  <c r="B2094" i="12"/>
  <c r="C2093" i="12"/>
  <c r="B2095" i="12"/>
  <c r="C2094" i="12"/>
  <c r="C2095" i="12"/>
  <c r="B2096" i="12"/>
  <c r="C2096" i="12"/>
  <c r="B2097" i="12"/>
  <c r="C2097" i="12"/>
  <c r="B2098" i="12"/>
  <c r="B2099" i="12"/>
  <c r="C2098" i="12"/>
  <c r="B2100" i="12"/>
  <c r="C2099" i="12"/>
  <c r="C2100" i="12"/>
  <c r="B2101" i="12"/>
  <c r="C2101" i="12"/>
  <c r="B2102" i="12"/>
  <c r="B2103" i="12"/>
  <c r="C2102" i="12"/>
  <c r="B2104" i="12"/>
  <c r="C2103" i="12"/>
  <c r="C2104" i="12"/>
  <c r="B2105" i="12"/>
  <c r="B2106" i="12"/>
  <c r="C2105" i="12"/>
  <c r="C2106" i="12"/>
  <c r="B2107" i="12"/>
  <c r="C2107" i="12"/>
  <c r="B2108" i="12"/>
  <c r="B2109" i="12"/>
  <c r="C2108" i="12"/>
  <c r="C2109" i="12"/>
  <c r="B2110" i="12"/>
  <c r="C2110" i="12"/>
  <c r="B2111" i="12"/>
  <c r="C2111" i="12"/>
  <c r="B2112" i="12"/>
  <c r="C2112" i="12"/>
  <c r="B2113" i="12"/>
  <c r="C2113" i="12"/>
  <c r="B2114" i="12"/>
  <c r="C2114" i="12"/>
  <c r="B2115" i="12"/>
  <c r="C2115" i="12"/>
  <c r="B2116" i="12"/>
  <c r="C2116" i="12"/>
  <c r="B2117" i="12"/>
  <c r="C2117" i="12"/>
  <c r="B2118" i="12"/>
  <c r="B2119" i="12"/>
  <c r="C2118" i="12"/>
  <c r="C2119" i="12"/>
  <c r="B2120" i="12"/>
  <c r="C2120" i="12"/>
  <c r="B2121" i="12"/>
  <c r="C2121" i="12"/>
  <c r="B2122" i="12"/>
  <c r="B2123" i="12"/>
  <c r="C2122" i="12"/>
  <c r="B2124" i="12"/>
  <c r="C2123" i="12"/>
  <c r="B2125" i="12"/>
  <c r="C2124" i="12"/>
  <c r="B2126" i="12"/>
  <c r="C2125" i="12"/>
  <c r="B2127" i="12"/>
  <c r="C2126" i="12"/>
  <c r="B2128" i="12"/>
  <c r="C2127" i="12"/>
  <c r="B2129" i="12"/>
  <c r="C2128" i="12"/>
  <c r="B2130" i="12"/>
  <c r="C2129" i="12"/>
  <c r="C2130" i="12"/>
  <c r="B2131" i="12"/>
  <c r="C2131" i="12"/>
  <c r="B2132" i="12"/>
  <c r="B2133" i="12"/>
  <c r="C2132" i="12"/>
  <c r="B2134" i="12"/>
  <c r="C2133" i="12"/>
  <c r="B2135" i="12"/>
  <c r="C2134" i="12"/>
  <c r="C2135" i="12"/>
  <c r="B2136" i="12"/>
  <c r="C2136" i="12"/>
  <c r="B2137" i="12"/>
  <c r="C2137" i="12"/>
  <c r="B2138" i="12"/>
  <c r="B2139" i="12"/>
  <c r="C2138" i="12"/>
  <c r="B2140" i="12"/>
  <c r="C2139" i="12"/>
  <c r="C2140" i="12"/>
  <c r="B2141" i="12"/>
  <c r="B2142" i="12"/>
  <c r="C2141" i="12"/>
  <c r="B2143" i="12"/>
  <c r="C2142" i="12"/>
  <c r="C2143" i="12"/>
  <c r="B2144" i="12"/>
  <c r="B2145" i="12"/>
  <c r="C2144" i="12"/>
  <c r="B2146" i="12"/>
  <c r="C2145" i="12"/>
  <c r="B2147" i="12"/>
  <c r="C2146" i="12"/>
  <c r="C2147" i="12"/>
  <c r="B2148" i="12"/>
  <c r="C2148" i="12"/>
  <c r="B2149" i="12"/>
  <c r="B2150" i="12"/>
  <c r="C2149" i="12"/>
  <c r="C2150" i="12"/>
  <c r="B2151" i="12"/>
  <c r="C2151" i="12"/>
  <c r="B2152" i="12"/>
  <c r="C2152" i="12"/>
  <c r="B2153" i="12"/>
  <c r="B2154" i="12"/>
  <c r="C2153" i="12"/>
  <c r="C2154" i="12"/>
  <c r="B2155" i="12"/>
  <c r="B2156" i="12"/>
  <c r="C2155" i="12"/>
  <c r="C2156" i="12"/>
  <c r="B2157" i="12"/>
  <c r="B2158" i="12"/>
  <c r="C2157" i="12"/>
  <c r="C2158" i="12"/>
  <c r="B2159" i="12"/>
  <c r="B2160" i="12"/>
  <c r="C2159" i="12"/>
  <c r="B2161" i="12"/>
  <c r="C2160" i="12"/>
  <c r="B2162" i="12"/>
  <c r="C2161" i="12"/>
  <c r="C2162" i="12"/>
  <c r="B2163" i="12"/>
  <c r="C2163" i="12"/>
  <c r="B2164" i="12"/>
  <c r="B2165" i="12"/>
  <c r="C2164" i="12"/>
  <c r="B2166" i="12"/>
  <c r="C2165" i="12"/>
  <c r="B2167" i="12"/>
  <c r="C2166" i="12"/>
  <c r="B2168" i="12"/>
  <c r="C2167" i="12"/>
  <c r="B2169" i="12"/>
  <c r="C2168" i="12"/>
  <c r="C2169" i="12"/>
  <c r="B2170" i="12"/>
  <c r="B2171" i="12"/>
  <c r="C2170" i="12"/>
  <c r="C2171" i="12"/>
  <c r="B2172" i="12"/>
  <c r="B2173" i="12"/>
  <c r="C2172" i="12"/>
  <c r="C2173" i="12"/>
  <c r="B2174" i="12"/>
  <c r="C2174" i="12"/>
  <c r="B2175" i="12"/>
  <c r="C2175" i="12"/>
  <c r="B2176" i="12"/>
  <c r="B2177" i="12"/>
  <c r="C2176" i="12"/>
  <c r="B2178" i="12"/>
  <c r="C2177" i="12"/>
  <c r="B2179" i="12"/>
  <c r="C2178" i="12"/>
  <c r="B2180" i="12"/>
  <c r="C2179" i="12"/>
  <c r="C2180" i="12"/>
  <c r="B2181" i="12"/>
  <c r="C2181" i="12"/>
  <c r="B2182" i="12"/>
  <c r="B2183" i="12"/>
  <c r="C2182" i="12"/>
  <c r="C2183" i="12"/>
  <c r="B2184" i="12"/>
  <c r="B2185" i="12"/>
  <c r="C2184" i="12"/>
  <c r="C2185" i="12"/>
  <c r="B2186" i="12"/>
  <c r="C2186" i="12"/>
  <c r="B2187" i="12"/>
  <c r="B2188" i="12"/>
  <c r="C2187" i="12"/>
  <c r="B2189" i="12"/>
  <c r="C2188" i="12"/>
  <c r="C2189" i="12"/>
  <c r="B2190" i="12"/>
  <c r="C2190" i="12"/>
  <c r="B2191" i="12"/>
  <c r="B2192" i="12"/>
  <c r="C2191" i="12"/>
  <c r="B2193" i="12"/>
  <c r="C2192" i="12"/>
  <c r="B2194" i="12"/>
  <c r="C2193" i="12"/>
  <c r="C2194" i="12"/>
  <c r="B2195" i="12"/>
  <c r="C2195" i="12"/>
  <c r="B2196" i="12"/>
  <c r="B2197" i="12"/>
  <c r="C2196" i="12"/>
  <c r="C2197" i="12"/>
  <c r="B2198" i="12"/>
  <c r="B2199" i="12"/>
  <c r="C2198" i="12"/>
  <c r="B2200" i="12"/>
  <c r="C2199" i="12"/>
  <c r="C2200" i="12"/>
  <c r="B2201" i="12"/>
  <c r="C2201" i="12"/>
  <c r="B2202" i="12"/>
  <c r="C2202" i="12"/>
  <c r="B2203" i="12"/>
  <c r="C2203" i="12"/>
  <c r="B2204" i="12"/>
  <c r="B2205" i="12"/>
  <c r="C2204" i="12"/>
  <c r="C2205" i="12"/>
  <c r="B2206" i="12"/>
  <c r="B2207" i="12"/>
  <c r="C2206" i="12"/>
  <c r="B2208" i="12"/>
  <c r="C2207" i="12"/>
  <c r="B2209" i="12"/>
  <c r="C2208" i="12"/>
  <c r="C2209" i="12"/>
  <c r="B2210" i="12"/>
  <c r="C2210" i="12"/>
  <c r="B2211" i="12"/>
  <c r="C2211" i="12"/>
  <c r="B2212" i="12"/>
  <c r="B2213" i="12"/>
  <c r="C2212" i="12"/>
  <c r="B2214" i="12"/>
  <c r="C2213" i="12"/>
  <c r="C2214" i="12"/>
  <c r="B2215" i="12"/>
  <c r="C2215" i="12"/>
  <c r="B2216" i="12"/>
  <c r="B2217" i="12"/>
  <c r="C2216" i="12"/>
  <c r="B2218" i="12"/>
  <c r="C2217" i="12"/>
  <c r="B2219" i="12"/>
  <c r="C2218" i="12"/>
  <c r="C2219" i="12"/>
  <c r="B2220" i="12"/>
  <c r="B2221" i="12"/>
  <c r="C2220" i="12"/>
  <c r="C2221" i="12"/>
  <c r="B2222" i="12"/>
  <c r="C2222" i="12"/>
  <c r="B2223" i="12"/>
  <c r="B2224" i="12"/>
  <c r="C2223" i="12"/>
  <c r="C2224" i="12"/>
  <c r="B2225" i="12"/>
  <c r="C2225" i="12"/>
  <c r="B2226" i="12"/>
  <c r="C2226" i="12"/>
  <c r="B2227" i="12"/>
  <c r="C2227" i="12"/>
  <c r="B2228" i="12"/>
  <c r="B2229" i="12"/>
  <c r="C2228" i="12"/>
  <c r="B2230" i="12"/>
  <c r="C2229" i="12"/>
  <c r="C2230" i="12"/>
  <c r="B2231" i="12"/>
  <c r="B2232" i="12"/>
  <c r="C2231" i="12"/>
  <c r="B2233" i="12"/>
  <c r="C2232" i="12"/>
  <c r="B2234" i="12"/>
  <c r="C2233" i="12"/>
  <c r="C2234" i="12"/>
  <c r="B2235" i="12"/>
  <c r="B2236" i="12"/>
  <c r="C2235" i="12"/>
  <c r="C2236" i="12"/>
  <c r="B2237" i="12"/>
  <c r="B2238" i="12"/>
  <c r="C2237" i="12"/>
  <c r="C2238" i="12"/>
  <c r="B2239" i="12"/>
  <c r="B2240" i="12"/>
  <c r="C2239" i="12"/>
  <c r="C2240" i="12"/>
  <c r="B2241" i="12"/>
  <c r="C2241" i="12"/>
  <c r="B2242" i="12"/>
  <c r="B2243" i="12"/>
  <c r="C2242" i="12"/>
  <c r="B2244" i="12"/>
  <c r="C2243" i="12"/>
  <c r="C2244" i="12"/>
  <c r="B2245" i="12"/>
  <c r="C2245" i="12"/>
  <c r="B2246" i="12"/>
  <c r="B2247" i="12"/>
  <c r="C2246" i="12"/>
  <c r="B2248" i="12"/>
  <c r="C2247" i="12"/>
  <c r="C2248" i="12"/>
  <c r="B2249" i="12"/>
  <c r="B2250" i="12"/>
  <c r="C2249" i="12"/>
  <c r="C2250" i="12"/>
  <c r="B2251" i="12"/>
  <c r="C2251" i="12"/>
  <c r="B2252" i="12"/>
  <c r="C2252" i="12"/>
  <c r="B2253" i="12"/>
  <c r="C2253" i="12"/>
  <c r="B2254" i="12"/>
  <c r="C2254" i="12"/>
  <c r="B2255" i="12"/>
  <c r="B2256" i="12"/>
  <c r="C2255" i="12"/>
  <c r="B2257" i="12"/>
  <c r="C2256" i="12"/>
  <c r="B2258" i="12"/>
  <c r="C2257" i="12"/>
  <c r="B2259" i="12"/>
  <c r="C2258" i="12"/>
  <c r="C2259" i="12"/>
  <c r="B2260" i="12"/>
  <c r="C2260" i="12"/>
  <c r="B2261" i="12"/>
  <c r="C2261" i="12"/>
  <c r="B2262" i="12"/>
  <c r="C2262" i="12"/>
  <c r="B2263" i="12"/>
  <c r="B2264" i="12"/>
  <c r="C2263" i="12"/>
  <c r="C2264" i="12"/>
  <c r="B2265" i="12"/>
  <c r="C2265" i="12"/>
  <c r="B2266" i="12"/>
  <c r="C2266" i="12"/>
  <c r="B2267" i="12"/>
  <c r="B2268" i="12"/>
  <c r="C2267" i="12"/>
  <c r="B2269" i="12"/>
  <c r="C2268" i="12"/>
  <c r="B2270" i="12"/>
  <c r="C2269" i="12"/>
  <c r="B2271" i="12"/>
  <c r="C2270" i="12"/>
  <c r="B2272" i="12"/>
  <c r="C2271" i="12"/>
  <c r="C2272" i="12"/>
  <c r="B2273" i="12"/>
  <c r="C2273" i="12"/>
  <c r="B2274" i="12"/>
  <c r="B2275" i="12"/>
  <c r="C2274" i="12"/>
  <c r="B2276" i="12"/>
  <c r="C2275" i="12"/>
  <c r="C2276" i="12"/>
  <c r="B2277" i="12"/>
  <c r="B2278" i="12"/>
  <c r="C2277" i="12"/>
  <c r="B2279" i="12"/>
  <c r="C2278" i="12"/>
  <c r="C2279" i="12"/>
  <c r="B2280" i="12"/>
  <c r="B2281" i="12"/>
  <c r="C2280" i="12"/>
  <c r="B2282" i="12"/>
  <c r="C2281" i="12"/>
  <c r="C2282" i="12"/>
  <c r="B2283" i="12"/>
  <c r="C2283" i="12"/>
  <c r="B2284" i="12"/>
  <c r="B2285" i="12"/>
  <c r="C2284" i="12"/>
  <c r="B2286" i="12"/>
  <c r="C2285" i="12"/>
  <c r="B2287" i="12"/>
  <c r="C2286" i="12"/>
  <c r="C2287" i="12"/>
  <c r="B2288" i="12"/>
  <c r="C2288" i="12"/>
  <c r="B2289" i="12"/>
  <c r="B2290" i="12"/>
  <c r="C2289" i="12"/>
  <c r="C2290" i="12"/>
  <c r="B2291" i="12"/>
  <c r="C2291" i="12"/>
  <c r="B2292" i="12"/>
  <c r="B2293" i="12"/>
  <c r="C2292" i="12"/>
  <c r="C2293" i="12"/>
  <c r="B2294" i="12"/>
  <c r="C2294" i="12"/>
  <c r="B2295" i="12"/>
  <c r="B2296" i="12"/>
  <c r="C2295" i="12"/>
  <c r="B2297" i="12"/>
  <c r="C2296" i="12"/>
  <c r="C2297" i="12"/>
  <c r="B2298" i="12"/>
  <c r="B2299" i="12"/>
  <c r="C2298" i="12"/>
  <c r="B2300" i="12"/>
  <c r="C2299" i="12"/>
  <c r="B2301" i="12"/>
  <c r="C2300" i="12"/>
  <c r="B2302" i="12"/>
  <c r="C2301" i="12"/>
  <c r="C2302" i="12"/>
  <c r="B2303" i="12"/>
  <c r="C2303" i="12"/>
  <c r="B2304" i="12"/>
  <c r="C2304" i="12"/>
  <c r="B2305" i="12"/>
  <c r="B2306" i="12"/>
  <c r="C2305" i="12"/>
  <c r="C2306" i="12"/>
  <c r="B2307" i="12"/>
  <c r="B2308" i="12"/>
  <c r="C2307" i="12"/>
  <c r="C2308" i="12"/>
  <c r="B2309" i="12"/>
  <c r="C2309" i="12"/>
  <c r="B2310" i="12"/>
  <c r="B2311" i="12"/>
  <c r="C2310" i="12"/>
  <c r="C2311" i="12"/>
  <c r="B2312" i="12"/>
  <c r="B2313" i="12"/>
  <c r="C2312" i="12"/>
  <c r="B2314" i="12"/>
  <c r="C2313" i="12"/>
  <c r="C2314" i="12"/>
  <c r="B2315" i="12"/>
  <c r="C2315" i="12"/>
  <c r="B2316" i="12"/>
  <c r="B2317" i="12"/>
  <c r="C2316" i="12"/>
  <c r="C2317" i="12"/>
  <c r="B2318" i="12"/>
  <c r="B2319" i="12"/>
  <c r="C2318" i="12"/>
  <c r="B2320" i="12"/>
  <c r="C2319" i="12"/>
  <c r="C2320" i="12"/>
  <c r="B2321" i="12"/>
  <c r="B2322" i="12"/>
  <c r="C2321" i="12"/>
  <c r="B2323" i="12"/>
  <c r="C2322" i="12"/>
  <c r="C2323" i="12"/>
  <c r="B2324" i="12"/>
  <c r="B2325" i="12"/>
  <c r="C2324" i="12"/>
  <c r="B2326" i="12"/>
  <c r="C2325" i="12"/>
  <c r="C2326" i="12"/>
  <c r="B2327" i="12"/>
  <c r="B2328" i="12"/>
  <c r="C2327" i="12"/>
  <c r="C2328" i="12"/>
  <c r="B2329" i="12"/>
  <c r="B2330" i="12"/>
  <c r="C2329" i="12"/>
  <c r="C2330" i="12"/>
  <c r="B2331" i="12"/>
  <c r="C2331" i="12"/>
  <c r="B2332" i="12"/>
  <c r="B2333" i="12"/>
  <c r="C2332" i="12"/>
  <c r="C2333" i="12"/>
  <c r="B2334" i="12"/>
  <c r="B2335" i="12"/>
  <c r="C2334" i="12"/>
  <c r="C2335" i="12"/>
  <c r="B2336" i="12"/>
  <c r="B2337" i="12"/>
  <c r="C2336" i="12"/>
  <c r="C2337" i="12"/>
  <c r="B2338" i="12"/>
  <c r="B2339" i="12"/>
  <c r="C2338" i="12"/>
  <c r="C2339" i="12"/>
  <c r="B2340" i="12"/>
  <c r="C2340" i="12"/>
  <c r="B2341" i="12"/>
  <c r="B2342" i="12"/>
  <c r="C2341" i="12"/>
  <c r="C2342" i="12"/>
  <c r="B2343" i="12"/>
  <c r="B2344" i="12"/>
  <c r="C2343" i="12"/>
  <c r="B2345" i="12"/>
  <c r="C2344" i="12"/>
  <c r="B2346" i="12"/>
  <c r="C2345" i="12"/>
  <c r="B2347" i="12"/>
  <c r="C2346" i="12"/>
  <c r="B2348" i="12"/>
  <c r="C2347" i="12"/>
  <c r="B2349" i="12"/>
  <c r="C2348" i="12"/>
  <c r="B2350" i="12"/>
  <c r="C2349" i="12"/>
  <c r="C2350" i="12"/>
  <c r="B2351" i="12"/>
  <c r="C2351" i="12"/>
  <c r="B2352" i="12"/>
  <c r="C2352" i="12"/>
  <c r="B2353" i="12"/>
  <c r="B2354" i="12"/>
  <c r="C2353" i="12"/>
  <c r="C2354" i="12"/>
  <c r="B2355" i="12"/>
  <c r="C2355" i="12"/>
  <c r="B2356" i="12"/>
  <c r="C2356" i="12"/>
  <c r="B2357" i="12"/>
  <c r="B2358" i="12"/>
  <c r="C2357" i="12"/>
  <c r="B2359" i="12"/>
  <c r="C2358" i="12"/>
  <c r="C2359" i="12"/>
  <c r="B2360" i="12"/>
  <c r="C2360" i="12"/>
  <c r="B2361" i="12"/>
  <c r="B2362" i="12"/>
  <c r="C2361" i="12"/>
  <c r="B2363" i="12"/>
  <c r="C2362" i="12"/>
  <c r="B2364" i="12"/>
  <c r="C2363" i="12"/>
  <c r="B2365" i="12"/>
  <c r="C2364" i="12"/>
  <c r="B2366" i="12"/>
  <c r="C2365" i="12"/>
  <c r="B2367" i="12"/>
  <c r="C2366" i="12"/>
  <c r="C2367" i="12"/>
  <c r="B2368" i="12"/>
  <c r="B2369" i="12"/>
  <c r="C2368" i="12"/>
  <c r="C2369" i="12"/>
  <c r="B2370" i="12"/>
  <c r="C2370" i="12"/>
  <c r="B2371" i="12"/>
  <c r="C2371" i="12"/>
  <c r="B2372" i="12"/>
  <c r="C2372" i="12"/>
  <c r="B2373" i="12"/>
  <c r="C2373" i="12"/>
  <c r="B2374" i="12"/>
  <c r="C2374" i="12"/>
  <c r="B2375" i="12"/>
  <c r="B2376" i="12"/>
  <c r="C2375" i="12"/>
  <c r="C2376" i="12"/>
  <c r="B2377" i="12"/>
  <c r="C2377" i="12"/>
  <c r="B2378" i="12"/>
  <c r="C2378" i="12"/>
  <c r="B2379" i="12"/>
  <c r="B2380" i="12"/>
  <c r="C2379" i="12"/>
  <c r="B2381" i="12"/>
  <c r="C2380" i="12"/>
  <c r="B2382" i="12"/>
  <c r="C2381" i="12"/>
  <c r="C2382" i="12"/>
  <c r="B2383" i="12"/>
  <c r="C2383" i="12"/>
  <c r="B2384" i="12"/>
  <c r="C2384" i="12"/>
  <c r="B2385" i="12"/>
  <c r="B2386" i="12"/>
  <c r="C2385" i="12"/>
  <c r="C2386" i="12"/>
  <c r="B2387" i="12"/>
  <c r="B2388" i="12"/>
  <c r="C2387" i="12"/>
  <c r="C2388" i="12"/>
  <c r="B2389" i="12"/>
  <c r="B2390" i="12"/>
  <c r="C2389" i="12"/>
  <c r="B2391" i="12"/>
  <c r="C2390" i="12"/>
  <c r="C2391" i="12"/>
  <c r="B2392" i="12"/>
  <c r="B2393" i="12"/>
  <c r="C2392" i="12"/>
  <c r="C2393" i="12"/>
  <c r="B2394" i="12"/>
  <c r="B2395" i="12"/>
  <c r="C2394" i="12"/>
  <c r="B2396" i="12"/>
  <c r="C2395" i="12"/>
  <c r="B2397" i="12"/>
  <c r="C2396" i="12"/>
  <c r="C2397" i="12"/>
  <c r="B2398" i="12"/>
  <c r="C2398" i="12"/>
  <c r="B2399" i="12"/>
  <c r="C2399" i="12"/>
  <c r="B2400" i="12"/>
  <c r="B2401" i="12"/>
  <c r="C2400" i="12"/>
  <c r="B2402" i="12"/>
  <c r="C2401" i="12"/>
  <c r="C2402" i="12"/>
  <c r="B2403" i="12"/>
  <c r="B2404" i="12"/>
  <c r="C2403" i="12"/>
  <c r="B2405" i="12"/>
  <c r="C2404" i="12"/>
  <c r="B2406" i="12"/>
  <c r="C2405" i="12"/>
  <c r="B2407" i="12"/>
  <c r="C2406" i="12"/>
  <c r="B2408" i="12"/>
  <c r="C2407" i="12"/>
  <c r="B2409" i="12"/>
  <c r="C2408" i="12"/>
  <c r="B2410" i="12"/>
  <c r="C2409" i="12"/>
  <c r="C2410" i="12"/>
  <c r="B2411" i="12"/>
  <c r="C2411" i="12"/>
  <c r="B2412" i="12"/>
  <c r="C2412" i="12"/>
  <c r="B2413" i="12"/>
  <c r="B2414" i="12"/>
  <c r="C2413" i="12"/>
  <c r="B2415" i="12"/>
  <c r="C2414" i="12"/>
  <c r="C2415" i="12"/>
  <c r="B2416" i="12"/>
  <c r="B2417" i="12"/>
  <c r="C2416" i="12"/>
  <c r="C2417" i="12"/>
  <c r="B2418" i="12"/>
  <c r="C2418" i="12"/>
  <c r="B2419" i="12"/>
  <c r="B2420" i="12"/>
  <c r="C2419" i="12"/>
  <c r="B2421" i="12"/>
  <c r="C2420" i="12"/>
  <c r="C2421" i="12"/>
  <c r="B2422" i="12"/>
  <c r="C2422" i="12"/>
  <c r="B2423" i="12"/>
  <c r="B2424" i="12"/>
  <c r="C2423" i="12"/>
  <c r="B2425" i="12"/>
  <c r="C2424" i="12"/>
  <c r="B2426" i="12"/>
  <c r="C2425" i="12"/>
  <c r="B2427" i="12"/>
  <c r="C2426" i="12"/>
  <c r="B2428" i="12"/>
  <c r="C2427" i="12"/>
  <c r="B2429" i="12"/>
  <c r="C2428" i="12"/>
  <c r="B2430" i="12"/>
  <c r="C2429" i="12"/>
  <c r="B2431" i="12"/>
  <c r="C2430" i="12"/>
  <c r="C2431" i="12"/>
  <c r="B2432" i="12"/>
  <c r="B2433" i="12"/>
  <c r="C2432" i="12"/>
  <c r="C2433" i="12"/>
  <c r="B2434" i="12"/>
  <c r="C2434" i="12"/>
  <c r="B2435" i="12"/>
  <c r="C2435" i="12"/>
  <c r="B2436" i="12"/>
  <c r="C2436" i="12"/>
  <c r="B2437" i="12"/>
  <c r="C2437" i="12"/>
  <c r="B2438" i="12"/>
  <c r="B2439" i="12"/>
  <c r="C2438" i="12"/>
  <c r="B2440" i="12"/>
  <c r="C2439" i="12"/>
  <c r="B2441" i="12"/>
  <c r="C2440" i="12"/>
  <c r="B2442" i="12"/>
  <c r="C2441" i="12"/>
  <c r="B2443" i="12"/>
  <c r="C2442" i="12"/>
  <c r="B2444" i="12"/>
  <c r="C2443" i="12"/>
  <c r="C2444" i="12"/>
  <c r="B2445" i="12"/>
  <c r="B2446" i="12"/>
  <c r="C2445" i="12"/>
  <c r="C2446" i="12"/>
  <c r="B2447" i="12"/>
  <c r="B2448" i="12"/>
  <c r="C2447" i="12"/>
  <c r="B2449" i="12"/>
  <c r="C2448" i="12"/>
  <c r="B2450" i="12"/>
  <c r="C2449" i="12"/>
  <c r="C2450" i="12"/>
  <c r="B2451" i="12"/>
  <c r="B2452" i="12"/>
  <c r="C2451" i="12"/>
  <c r="B2453" i="12"/>
  <c r="C2452" i="12"/>
  <c r="C2453" i="12"/>
  <c r="B2454" i="12"/>
  <c r="B2455" i="12"/>
  <c r="C2454" i="12"/>
  <c r="C2455" i="12"/>
  <c r="B2456" i="12"/>
  <c r="B2457" i="12"/>
  <c r="C2456" i="12"/>
  <c r="B2458" i="12"/>
  <c r="C2457" i="12"/>
  <c r="C2458" i="12"/>
  <c r="B2459" i="12"/>
  <c r="C2459" i="12"/>
  <c r="B2460" i="12"/>
  <c r="C2460" i="12"/>
  <c r="B2461" i="12"/>
  <c r="C2461" i="12"/>
  <c r="B2462" i="12"/>
  <c r="B2463" i="12"/>
  <c r="C2462" i="12"/>
  <c r="B2464" i="12"/>
  <c r="C2463" i="12"/>
  <c r="B2465" i="12"/>
  <c r="C2464" i="12"/>
  <c r="C2465" i="12"/>
  <c r="B2466" i="12"/>
  <c r="B2467" i="12"/>
  <c r="C2466" i="12"/>
  <c r="C2467" i="12"/>
  <c r="B2468" i="12"/>
  <c r="C2468" i="12"/>
  <c r="B2469" i="12"/>
  <c r="C2469" i="12"/>
  <c r="B2470" i="12"/>
  <c r="C2470" i="12"/>
  <c r="B2471" i="12"/>
  <c r="C2471" i="12"/>
  <c r="B2472" i="12"/>
  <c r="B2473" i="12"/>
  <c r="C2472" i="12"/>
  <c r="B2474" i="12"/>
  <c r="C2473" i="12"/>
  <c r="C2474" i="12"/>
  <c r="B2475" i="12"/>
  <c r="C2475" i="12"/>
  <c r="B2476" i="12"/>
  <c r="C2476" i="12"/>
  <c r="B2477" i="12"/>
  <c r="C2477" i="12"/>
  <c r="B2478" i="12"/>
  <c r="C2478" i="12"/>
  <c r="B2479" i="12"/>
  <c r="B2480" i="12"/>
  <c r="C2479" i="12"/>
  <c r="C2480" i="12"/>
  <c r="B2481" i="12"/>
  <c r="B2482" i="12"/>
  <c r="C2481" i="12"/>
  <c r="C2482" i="12"/>
  <c r="B2483" i="12"/>
  <c r="B2484" i="12"/>
  <c r="C2483" i="12"/>
  <c r="B2485" i="12"/>
  <c r="C2484" i="12"/>
  <c r="C2485" i="12"/>
  <c r="B2486" i="12"/>
  <c r="C2486" i="12"/>
  <c r="B2487" i="12"/>
  <c r="B2488" i="12"/>
  <c r="C2487" i="12"/>
  <c r="C2488" i="12"/>
  <c r="B2489" i="12"/>
  <c r="B2490" i="12"/>
  <c r="C2489" i="12"/>
  <c r="C2490" i="12"/>
  <c r="B2491" i="12"/>
  <c r="B2492" i="12"/>
  <c r="C2491" i="12"/>
  <c r="C2492" i="12"/>
  <c r="B2493" i="12"/>
  <c r="C2493" i="12"/>
  <c r="B2494" i="12"/>
  <c r="C2494" i="12"/>
  <c r="B2495" i="12"/>
  <c r="C2495" i="12"/>
  <c r="B2496" i="12"/>
  <c r="B2497" i="12"/>
  <c r="C2496" i="12"/>
  <c r="B2498" i="12"/>
  <c r="C2497" i="12"/>
  <c r="B2499" i="12"/>
  <c r="C2498" i="12"/>
  <c r="B2500" i="12"/>
  <c r="C2499" i="12"/>
  <c r="B2501" i="12"/>
  <c r="C2500" i="12"/>
  <c r="C2501" i="12"/>
  <c r="B2502" i="12"/>
  <c r="C2502" i="12"/>
  <c r="B2503" i="12"/>
  <c r="B2504" i="12"/>
  <c r="C2503" i="12"/>
  <c r="B2505" i="12"/>
  <c r="C2504" i="12"/>
  <c r="C2505" i="12"/>
  <c r="B2506" i="12"/>
  <c r="B2507" i="12"/>
  <c r="C2506" i="12"/>
  <c r="B2508" i="12"/>
  <c r="C2507" i="12"/>
  <c r="B2509" i="12"/>
  <c r="C2508" i="12"/>
  <c r="B2510" i="12"/>
  <c r="C2509" i="12"/>
  <c r="B2511" i="12"/>
  <c r="C2510" i="12"/>
  <c r="C2511" i="12"/>
  <c r="B2512" i="12"/>
  <c r="C2512" i="12"/>
  <c r="B2513" i="12"/>
  <c r="B2514" i="12"/>
  <c r="C2513" i="12"/>
  <c r="C2514" i="12"/>
  <c r="B2515" i="12"/>
  <c r="C2515" i="12"/>
  <c r="B2516" i="12"/>
  <c r="C2516" i="12"/>
  <c r="B2517" i="12"/>
  <c r="C2517" i="12"/>
  <c r="B2518" i="12"/>
  <c r="B2519" i="12"/>
  <c r="C2518" i="12"/>
  <c r="B2520" i="12"/>
  <c r="C2519" i="12"/>
  <c r="B2521" i="12"/>
  <c r="C2520" i="12"/>
  <c r="B2522" i="12"/>
  <c r="C2521" i="12"/>
  <c r="C2522" i="12"/>
  <c r="B2523" i="12"/>
  <c r="B2524" i="12"/>
  <c r="C2523" i="12"/>
  <c r="C2524" i="12"/>
  <c r="B2525" i="12"/>
  <c r="C2525" i="12"/>
  <c r="B2526" i="12"/>
  <c r="C2526" i="12"/>
  <c r="B2527" i="12"/>
  <c r="C2527" i="12"/>
  <c r="B2528" i="12"/>
  <c r="B2529" i="12"/>
  <c r="C2528" i="12"/>
  <c r="C2529" i="12"/>
  <c r="B2530" i="12"/>
  <c r="B2531" i="12"/>
  <c r="C2530" i="12"/>
  <c r="B2532" i="12"/>
  <c r="C2531" i="12"/>
  <c r="B2533" i="12"/>
  <c r="C2532" i="12"/>
  <c r="B2534" i="12"/>
  <c r="C2533" i="12"/>
  <c r="C2534" i="12"/>
  <c r="B2535" i="12"/>
  <c r="C2535" i="12"/>
  <c r="B2536" i="12"/>
  <c r="B2537" i="12"/>
  <c r="C2536" i="12"/>
  <c r="B2538" i="12"/>
  <c r="C2537" i="12"/>
  <c r="B2539" i="12"/>
  <c r="C2538" i="12"/>
  <c r="C2539" i="12"/>
  <c r="B2540" i="12"/>
  <c r="B2541" i="12"/>
  <c r="C2540" i="12"/>
  <c r="C2541" i="12"/>
  <c r="B2542" i="12"/>
  <c r="B2543" i="12"/>
  <c r="C2542" i="12"/>
  <c r="B2544" i="12"/>
  <c r="C2543" i="12"/>
  <c r="C2544" i="12"/>
  <c r="B2545" i="12"/>
  <c r="B2546" i="12"/>
  <c r="C2545" i="12"/>
  <c r="C2546" i="12"/>
  <c r="B2547" i="12"/>
  <c r="C2547" i="12"/>
  <c r="B2548" i="12"/>
  <c r="B2549" i="12"/>
  <c r="C2548" i="12"/>
  <c r="B2550" i="12"/>
  <c r="C2549" i="12"/>
  <c r="B2551" i="12"/>
  <c r="C2550" i="12"/>
  <c r="C2551" i="12"/>
  <c r="B2552" i="12"/>
  <c r="C2552" i="12"/>
  <c r="B2553" i="12"/>
  <c r="B2554" i="12"/>
  <c r="C2553" i="12"/>
  <c r="C2554" i="12"/>
  <c r="B2555" i="12"/>
  <c r="B2556" i="12"/>
  <c r="C2555" i="12"/>
  <c r="B2557" i="12"/>
  <c r="C2556" i="12"/>
  <c r="C2557" i="12"/>
  <c r="B2558" i="12"/>
  <c r="C2558" i="12"/>
  <c r="B2559" i="12"/>
  <c r="B2560" i="12"/>
  <c r="C2559" i="12"/>
  <c r="B2561" i="12"/>
  <c r="C2560" i="12"/>
  <c r="C2561" i="12"/>
  <c r="B2562" i="12"/>
  <c r="B2563" i="12"/>
  <c r="C2562" i="12"/>
  <c r="C2563" i="12"/>
  <c r="B2564" i="12"/>
  <c r="C2564" i="12"/>
  <c r="B2565" i="12"/>
  <c r="B2566" i="12"/>
  <c r="C2565" i="12"/>
  <c r="B2567" i="12"/>
  <c r="C2566" i="12"/>
  <c r="B2568" i="12"/>
  <c r="C2567" i="12"/>
  <c r="C2568" i="12"/>
  <c r="B2569" i="12"/>
  <c r="C2569" i="12"/>
  <c r="B2570" i="12"/>
  <c r="B2571" i="12"/>
  <c r="C2570" i="12"/>
  <c r="B2572" i="12"/>
  <c r="C2571" i="12"/>
  <c r="C2572" i="12"/>
  <c r="B2573" i="12"/>
  <c r="B2574" i="12"/>
  <c r="C2573" i="12"/>
  <c r="C2574" i="12"/>
  <c r="B2575" i="12"/>
  <c r="C2575" i="12"/>
  <c r="B2576" i="12"/>
  <c r="C2576" i="12"/>
  <c r="B2577" i="12"/>
  <c r="C2577" i="12"/>
  <c r="B2578" i="12"/>
  <c r="B2579" i="12"/>
  <c r="C2578" i="12"/>
  <c r="B2580" i="12"/>
  <c r="C2579" i="12"/>
  <c r="C2580" i="12"/>
  <c r="B2581" i="12"/>
  <c r="C2581" i="12"/>
  <c r="B2582" i="12"/>
  <c r="B2583" i="12"/>
  <c r="C2582" i="12"/>
  <c r="C2583" i="12"/>
  <c r="B2584" i="12"/>
  <c r="C2584" i="12"/>
  <c r="B2585" i="12"/>
  <c r="B2586" i="12"/>
  <c r="C2585" i="12"/>
  <c r="B2587" i="12"/>
  <c r="C2586" i="12"/>
  <c r="C2587" i="12"/>
  <c r="B2588" i="12"/>
  <c r="C2588" i="12"/>
  <c r="B2589" i="12"/>
  <c r="B2590" i="12"/>
  <c r="C2589" i="12"/>
  <c r="B2591" i="12"/>
  <c r="C2590" i="12"/>
  <c r="C2591" i="12"/>
  <c r="B2592" i="12"/>
  <c r="C2592" i="12"/>
  <c r="B2593" i="12"/>
  <c r="B2594" i="12"/>
  <c r="C2593" i="12"/>
  <c r="C2594" i="12"/>
  <c r="B2595" i="12"/>
  <c r="B2596" i="12"/>
  <c r="C2595" i="12"/>
  <c r="B2597" i="12"/>
  <c r="C2596" i="12"/>
  <c r="C2597" i="12"/>
  <c r="B2598" i="12"/>
  <c r="B2599" i="12"/>
  <c r="C2598" i="12"/>
  <c r="C2599" i="12"/>
  <c r="B2600" i="12"/>
  <c r="C2600" i="12"/>
  <c r="B2601" i="12"/>
  <c r="B2602" i="12"/>
  <c r="C2601" i="12"/>
  <c r="C2602" i="12"/>
  <c r="B2603" i="12"/>
  <c r="B2604" i="12"/>
  <c r="C2603" i="12"/>
  <c r="C2604" i="12"/>
  <c r="B2605" i="12"/>
  <c r="B2606" i="12"/>
  <c r="C2605" i="12"/>
  <c r="B2607" i="12"/>
  <c r="C2606" i="12"/>
  <c r="B2608" i="12"/>
  <c r="C2607" i="12"/>
  <c r="B2609" i="12"/>
  <c r="C2608" i="12"/>
  <c r="B2610" i="12"/>
  <c r="C2609" i="12"/>
  <c r="B2611" i="12"/>
  <c r="C2610" i="12"/>
  <c r="C2611" i="12"/>
  <c r="B2612" i="12"/>
  <c r="C2612" i="12"/>
  <c r="B2613" i="12"/>
  <c r="B2614" i="12"/>
  <c r="C2613" i="12"/>
  <c r="B2615" i="12"/>
  <c r="C2614" i="12"/>
  <c r="C2615" i="12"/>
  <c r="B2616" i="12"/>
  <c r="C2616" i="12"/>
  <c r="B2617" i="12"/>
  <c r="C2617" i="12"/>
  <c r="B2618" i="12"/>
  <c r="B2619" i="12"/>
  <c r="C2618" i="12"/>
  <c r="C2619" i="12"/>
  <c r="B2620" i="12"/>
  <c r="B2621" i="12"/>
  <c r="C2620" i="12"/>
  <c r="C2621" i="12"/>
  <c r="B2622" i="12"/>
  <c r="B2623" i="12"/>
  <c r="C2622" i="12"/>
  <c r="B2624" i="12"/>
  <c r="C2623" i="12"/>
  <c r="B2625" i="12"/>
  <c r="C2624" i="12"/>
  <c r="C2625" i="12"/>
  <c r="B2626" i="12"/>
  <c r="C2626" i="12"/>
  <c r="B2627" i="12"/>
  <c r="C2627" i="12"/>
  <c r="B2628" i="12"/>
  <c r="C2628" i="12"/>
  <c r="B2629" i="12"/>
  <c r="C2629" i="12"/>
  <c r="B2630" i="12"/>
  <c r="B2631" i="12"/>
  <c r="C2630" i="12"/>
  <c r="C2631" i="12"/>
  <c r="B2632" i="12"/>
  <c r="B2633" i="12"/>
  <c r="C2632" i="12"/>
  <c r="B2634" i="12"/>
  <c r="C2633" i="12"/>
  <c r="C2634" i="12"/>
  <c r="B2635" i="12"/>
  <c r="B2636" i="12"/>
  <c r="C2635" i="12"/>
  <c r="B2637" i="12"/>
  <c r="C2636" i="12"/>
  <c r="C2637" i="12"/>
  <c r="B2638" i="12"/>
  <c r="C2638" i="12"/>
  <c r="B2639" i="12"/>
  <c r="B2640" i="12"/>
  <c r="C2639" i="12"/>
  <c r="C2640" i="12"/>
  <c r="B2641" i="12"/>
  <c r="C2641" i="12"/>
  <c r="B2642" i="12"/>
  <c r="B2643" i="12"/>
  <c r="C2642" i="12"/>
  <c r="B2644" i="12"/>
  <c r="C2643" i="12"/>
  <c r="B2645" i="12"/>
  <c r="C2644" i="12"/>
  <c r="B2646" i="12"/>
  <c r="C2645" i="12"/>
  <c r="C2646" i="12"/>
  <c r="B2647" i="12"/>
  <c r="C2647" i="12"/>
  <c r="B2648" i="12"/>
  <c r="B2649" i="12"/>
  <c r="C2648" i="12"/>
  <c r="B2650" i="12"/>
  <c r="C2649" i="12"/>
  <c r="C2650" i="12"/>
  <c r="B2651" i="12"/>
  <c r="C2651" i="12"/>
  <c r="B2652" i="12"/>
  <c r="C2652" i="12"/>
  <c r="B2653" i="12"/>
  <c r="B2654" i="12"/>
  <c r="C2653" i="12"/>
  <c r="C2654" i="12"/>
  <c r="B2655" i="12"/>
  <c r="B2656" i="12"/>
  <c r="C2655" i="12"/>
  <c r="C2656" i="12"/>
  <c r="B2657" i="12"/>
  <c r="C2657" i="12"/>
  <c r="B2658" i="12"/>
  <c r="C2658" i="12"/>
  <c r="B2659" i="12"/>
  <c r="B2660" i="12"/>
  <c r="C2659" i="12"/>
  <c r="B2661" i="12"/>
  <c r="C2660" i="12"/>
  <c r="B2662" i="12"/>
  <c r="C2661" i="12"/>
  <c r="B2663" i="12"/>
  <c r="C2662" i="12"/>
  <c r="C2663" i="12"/>
  <c r="B2664" i="12"/>
  <c r="C2664" i="12"/>
  <c r="B2665" i="12"/>
  <c r="C2665" i="12"/>
  <c r="B2666" i="12"/>
  <c r="B2667" i="12"/>
  <c r="C2666" i="12"/>
  <c r="C2667" i="12"/>
  <c r="B2668" i="12"/>
  <c r="B2669" i="12"/>
  <c r="C2668" i="12"/>
  <c r="B2670" i="12"/>
  <c r="C2669" i="12"/>
  <c r="C2670" i="12"/>
  <c r="B2671" i="12"/>
  <c r="C2671" i="12"/>
  <c r="B2672" i="12"/>
  <c r="B2673" i="12"/>
  <c r="C2672" i="12"/>
  <c r="B2674" i="12"/>
  <c r="C2673" i="12"/>
  <c r="B2675" i="12"/>
  <c r="C2674" i="12"/>
  <c r="B2676" i="12"/>
  <c r="C2675" i="12"/>
  <c r="C2676" i="12"/>
  <c r="B2677" i="12"/>
  <c r="C2677" i="12"/>
  <c r="B2678" i="12"/>
  <c r="B2679" i="12"/>
  <c r="C2678" i="12"/>
  <c r="B2680" i="12"/>
  <c r="C2679" i="12"/>
  <c r="B2681" i="12"/>
  <c r="C2680" i="12"/>
  <c r="C2681" i="12"/>
  <c r="B2682" i="12"/>
  <c r="C2682" i="12"/>
  <c r="B2683" i="12"/>
  <c r="B2684" i="12"/>
  <c r="C2683" i="12"/>
  <c r="C2684" i="12"/>
  <c r="B2685" i="12"/>
  <c r="B2686" i="12"/>
  <c r="C2685" i="12"/>
  <c r="C2686" i="12"/>
  <c r="B2687" i="12"/>
  <c r="C2687" i="12"/>
  <c r="B2688" i="12"/>
  <c r="B2689" i="12"/>
  <c r="C2688" i="12"/>
  <c r="C2689" i="12"/>
  <c r="B2690" i="12"/>
  <c r="C2690" i="12"/>
  <c r="B2691" i="12"/>
  <c r="B2692" i="12"/>
  <c r="C2691" i="12"/>
  <c r="B2693" i="12"/>
  <c r="C2692" i="12"/>
  <c r="C2693" i="12"/>
  <c r="B2694" i="12"/>
  <c r="C2694" i="12"/>
  <c r="B2695" i="12"/>
  <c r="C2695" i="12"/>
  <c r="B2696" i="12"/>
  <c r="C2696" i="12"/>
  <c r="B2697" i="12"/>
  <c r="C2697" i="12"/>
  <c r="B2698" i="12"/>
  <c r="B2699" i="12"/>
  <c r="C2698" i="12"/>
  <c r="C2699" i="12"/>
  <c r="B2700" i="12"/>
  <c r="B2701" i="12"/>
  <c r="C2700" i="12"/>
  <c r="C2701" i="12"/>
  <c r="B2702" i="12"/>
  <c r="C2702" i="12"/>
  <c r="B2703" i="12"/>
  <c r="C2703" i="12"/>
  <c r="B2704" i="12"/>
  <c r="B2705" i="12"/>
  <c r="C2704" i="12"/>
  <c r="C2705" i="12"/>
  <c r="B2706" i="12"/>
  <c r="B2707" i="12"/>
  <c r="C2706" i="12"/>
  <c r="B2708" i="12"/>
  <c r="C2707" i="12"/>
  <c r="B2709" i="12"/>
  <c r="C2708" i="12"/>
  <c r="B2710" i="12"/>
  <c r="C2709" i="12"/>
  <c r="B2711" i="12"/>
  <c r="C2710" i="12"/>
  <c r="B2712" i="12"/>
  <c r="C2711" i="12"/>
  <c r="C2712" i="12"/>
  <c r="B2713" i="12"/>
  <c r="B2714" i="12"/>
  <c r="C2713" i="12"/>
  <c r="B2715" i="12"/>
  <c r="C2714" i="12"/>
  <c r="C2715" i="12"/>
  <c r="B2716" i="12"/>
  <c r="C2716" i="12"/>
  <c r="B2717" i="12"/>
  <c r="B2718" i="12"/>
  <c r="C2717" i="12"/>
  <c r="B2719" i="12"/>
  <c r="C2718" i="12"/>
  <c r="C2719" i="12"/>
  <c r="B2720" i="12"/>
  <c r="B2721" i="12"/>
  <c r="C2720" i="12"/>
  <c r="B2722" i="12"/>
  <c r="C2721" i="12"/>
  <c r="C2722" i="12"/>
  <c r="B2723" i="12"/>
  <c r="C2723" i="12"/>
  <c r="B2724" i="12"/>
  <c r="C2724" i="12"/>
  <c r="B2725" i="12"/>
  <c r="C2725" i="12"/>
  <c r="B2726" i="12"/>
  <c r="C2726" i="12"/>
  <c r="B2727" i="12"/>
  <c r="B2728" i="12"/>
  <c r="C2727" i="12"/>
  <c r="C2728" i="12"/>
  <c r="B2729" i="12"/>
  <c r="B2730" i="12"/>
  <c r="C2729" i="12"/>
  <c r="B2731" i="12"/>
  <c r="C2730" i="12"/>
  <c r="B2732" i="12"/>
  <c r="C2731" i="12"/>
  <c r="B2733" i="12"/>
  <c r="C2732" i="12"/>
  <c r="B2734" i="12"/>
  <c r="C2733" i="12"/>
  <c r="C2734" i="12"/>
  <c r="B2735" i="12"/>
  <c r="C2735" i="12"/>
  <c r="B2736" i="12"/>
  <c r="C2736" i="12"/>
  <c r="B2737" i="12"/>
  <c r="B2738" i="12"/>
  <c r="C2737" i="12"/>
  <c r="B2739" i="12"/>
  <c r="C2738" i="12"/>
  <c r="C2739" i="12"/>
  <c r="B2740" i="12"/>
  <c r="B2741" i="12"/>
  <c r="C2740" i="12"/>
  <c r="B2742" i="12"/>
  <c r="C2741" i="12"/>
  <c r="C2742" i="12"/>
  <c r="B2743" i="12"/>
  <c r="B2744" i="12"/>
  <c r="C2743" i="12"/>
  <c r="B2745" i="12"/>
  <c r="C2744" i="12"/>
  <c r="C2745" i="12"/>
  <c r="B2746" i="12"/>
  <c r="B2747" i="12"/>
  <c r="C2746" i="12"/>
  <c r="B2748" i="12"/>
  <c r="C2747" i="12"/>
  <c r="C2748" i="12"/>
  <c r="B2749" i="12"/>
  <c r="B2750" i="12"/>
  <c r="C2749" i="12"/>
  <c r="B2751" i="12"/>
  <c r="C2750" i="12"/>
  <c r="C2751" i="12"/>
  <c r="B2752" i="12"/>
  <c r="C2752" i="12"/>
  <c r="B2753" i="12"/>
  <c r="C2753" i="12"/>
  <c r="B2754" i="12"/>
  <c r="B2755" i="12"/>
  <c r="C2754" i="12"/>
  <c r="B2756" i="12"/>
  <c r="C2755" i="12"/>
  <c r="B2757" i="12"/>
  <c r="C2756" i="12"/>
  <c r="C2757" i="12"/>
  <c r="B2758" i="12"/>
  <c r="B2759" i="12"/>
  <c r="C2758" i="12"/>
  <c r="C2759" i="12"/>
  <c r="B2760" i="12"/>
  <c r="C2760" i="12"/>
  <c r="B2761" i="12"/>
  <c r="C2761" i="12"/>
  <c r="B2762" i="12"/>
  <c r="C2762" i="12"/>
  <c r="B2763" i="12"/>
  <c r="C2763" i="12"/>
  <c r="B2764" i="12"/>
  <c r="C2764" i="12"/>
  <c r="B2765" i="12"/>
  <c r="B2766" i="12"/>
  <c r="C2765" i="12"/>
  <c r="C2766" i="12"/>
  <c r="B2767" i="12"/>
  <c r="B2768" i="12"/>
  <c r="C2767" i="12"/>
  <c r="C2768" i="12"/>
  <c r="B2769" i="12"/>
  <c r="C2769" i="12"/>
  <c r="B2770" i="12"/>
  <c r="B2771" i="12"/>
  <c r="C2770" i="12"/>
  <c r="C2771" i="12"/>
  <c r="B2772" i="12"/>
  <c r="B2773" i="12"/>
  <c r="C2772" i="12"/>
  <c r="B2774" i="12"/>
  <c r="C2773" i="12"/>
  <c r="C2774" i="12"/>
  <c r="B2775" i="12"/>
  <c r="C2775" i="12"/>
  <c r="B2776" i="12"/>
  <c r="C2776" i="12"/>
  <c r="B2777" i="12"/>
  <c r="B2778" i="12"/>
  <c r="C2777" i="12"/>
  <c r="C2778" i="12"/>
  <c r="B2779" i="12"/>
  <c r="B2780" i="12"/>
  <c r="C2779" i="12"/>
  <c r="C2780" i="12"/>
  <c r="B2781" i="12"/>
  <c r="C2781" i="12"/>
  <c r="B2782" i="12"/>
  <c r="B2783" i="12"/>
  <c r="C2782" i="12"/>
  <c r="C2783" i="12"/>
  <c r="B2784" i="12"/>
  <c r="C2784" i="12"/>
  <c r="B2785" i="12"/>
  <c r="B2786" i="12"/>
  <c r="C2785" i="12"/>
  <c r="B2787" i="12"/>
  <c r="C2786" i="12"/>
  <c r="C2787" i="12"/>
  <c r="B2788" i="12"/>
  <c r="B2789" i="12"/>
  <c r="C2788" i="12"/>
  <c r="C2789" i="12"/>
  <c r="B2790" i="12"/>
  <c r="B2791" i="12"/>
  <c r="C2790" i="12"/>
  <c r="C2791" i="12"/>
  <c r="B2792" i="12"/>
  <c r="C2792" i="12"/>
  <c r="B2793" i="12"/>
  <c r="B2794" i="12"/>
  <c r="C2793" i="12"/>
  <c r="B2795" i="12"/>
  <c r="C2794" i="12"/>
  <c r="B2796" i="12"/>
  <c r="C2795" i="12"/>
  <c r="C2796" i="12"/>
  <c r="B2797" i="12"/>
  <c r="C2797" i="12"/>
  <c r="B2798" i="12"/>
  <c r="C2798" i="12"/>
  <c r="B2799" i="12"/>
  <c r="C2799" i="12"/>
  <c r="B2800" i="12"/>
  <c r="C2800" i="12"/>
  <c r="B2801" i="12"/>
  <c r="B2802" i="12"/>
  <c r="C2801" i="12"/>
  <c r="C2802" i="12"/>
  <c r="B2803" i="12"/>
  <c r="B2804" i="12"/>
  <c r="C2803" i="12"/>
  <c r="B2805" i="12"/>
  <c r="C2804" i="12"/>
  <c r="B2806" i="12"/>
  <c r="C2805" i="12"/>
  <c r="C2806" i="12"/>
  <c r="B2807" i="12"/>
  <c r="B2808" i="12"/>
  <c r="C2807" i="12"/>
  <c r="B2809" i="12"/>
  <c r="C2808" i="12"/>
  <c r="C2809" i="12"/>
  <c r="B2810" i="12"/>
  <c r="C2810" i="12"/>
  <c r="B2811" i="12"/>
  <c r="B2812" i="12"/>
  <c r="C2811" i="12"/>
  <c r="C2812" i="12"/>
  <c r="B2813" i="12"/>
  <c r="B2814" i="12"/>
  <c r="C2813" i="12"/>
  <c r="B2815" i="12"/>
  <c r="C2814" i="12"/>
  <c r="B2816" i="12"/>
  <c r="C2815" i="12"/>
  <c r="C2816" i="12"/>
  <c r="B2817" i="12"/>
  <c r="B2818" i="12"/>
  <c r="C2817" i="12"/>
  <c r="B2819" i="12"/>
  <c r="C2818" i="12"/>
  <c r="C2819" i="12"/>
  <c r="B2820" i="12"/>
  <c r="B2821" i="12"/>
  <c r="C2820" i="12"/>
  <c r="B2822" i="12"/>
  <c r="C2821" i="12"/>
  <c r="C2822" i="12"/>
  <c r="B2823" i="12"/>
  <c r="C2823" i="12"/>
  <c r="B2824" i="12"/>
  <c r="C2824" i="12"/>
  <c r="B2825" i="12"/>
  <c r="B2826" i="12"/>
  <c r="C2825" i="12"/>
  <c r="B2827" i="12"/>
  <c r="C2826" i="12"/>
  <c r="C2827" i="12"/>
  <c r="B2828" i="12"/>
  <c r="B2829" i="12"/>
  <c r="C2828" i="12"/>
  <c r="B2830" i="12"/>
  <c r="C2829" i="12"/>
  <c r="B2831" i="12"/>
  <c r="C2830" i="12"/>
  <c r="B2832" i="12"/>
  <c r="C2831" i="12"/>
  <c r="C2832" i="12"/>
  <c r="B2833" i="12"/>
  <c r="C2833" i="12"/>
  <c r="B2834" i="12"/>
  <c r="C2834" i="12"/>
  <c r="B2835" i="12"/>
  <c r="C2835" i="12"/>
  <c r="B2836" i="12"/>
  <c r="B2837" i="12"/>
  <c r="C2836" i="12"/>
  <c r="C2837" i="12"/>
  <c r="B2838" i="12"/>
  <c r="C2838" i="12"/>
  <c r="B2839" i="12"/>
  <c r="C2839" i="12"/>
  <c r="B2840" i="12"/>
  <c r="B2841" i="12"/>
  <c r="C2840" i="12"/>
  <c r="B2842" i="12"/>
  <c r="C2841" i="12"/>
  <c r="C2842" i="12"/>
  <c r="B2843" i="12"/>
  <c r="B2844" i="12"/>
  <c r="C2843" i="12"/>
  <c r="C2844" i="12"/>
  <c r="B2845" i="12"/>
  <c r="B2846" i="12"/>
  <c r="C2845" i="12"/>
  <c r="B2847" i="12"/>
  <c r="C2846" i="12"/>
  <c r="C2847" i="12"/>
  <c r="B2848" i="12"/>
  <c r="C2848" i="12"/>
  <c r="B2849" i="12"/>
  <c r="B2850" i="12"/>
  <c r="C2849" i="12"/>
  <c r="C2850" i="12"/>
  <c r="B2851" i="12"/>
  <c r="B2852" i="12"/>
  <c r="C2851" i="12"/>
  <c r="C2852" i="12"/>
  <c r="B2853" i="12"/>
  <c r="B2854" i="12"/>
  <c r="C2853" i="12"/>
  <c r="C2854" i="12"/>
  <c r="B2855" i="12"/>
  <c r="C2855" i="12"/>
  <c r="B2856" i="12"/>
  <c r="B2857" i="12"/>
  <c r="C2856" i="12"/>
  <c r="C2857" i="12"/>
  <c r="B2858" i="12"/>
  <c r="B2859" i="12"/>
  <c r="C2858" i="12"/>
  <c r="B2860" i="12"/>
  <c r="C2859" i="12"/>
  <c r="B2861" i="12"/>
  <c r="C2860" i="12"/>
  <c r="C2861" i="12"/>
  <c r="B2862" i="12"/>
  <c r="B2863" i="12"/>
  <c r="C2862" i="12"/>
  <c r="C2863" i="12"/>
  <c r="B2864" i="12"/>
  <c r="C2864" i="12"/>
  <c r="B2865" i="12"/>
  <c r="C2865" i="12"/>
  <c r="B2866" i="12"/>
  <c r="B2867" i="12"/>
  <c r="C2866" i="12"/>
  <c r="C2867" i="12"/>
  <c r="B2868" i="12"/>
  <c r="C2868" i="12"/>
  <c r="B2869" i="12"/>
  <c r="B2870" i="12"/>
  <c r="C2869" i="12"/>
  <c r="B2871" i="12"/>
  <c r="C2870" i="12"/>
  <c r="B2872" i="12"/>
  <c r="C2871" i="12"/>
  <c r="B2873" i="12"/>
  <c r="C2872" i="12"/>
  <c r="B2874" i="12"/>
  <c r="C2873" i="12"/>
  <c r="B2875" i="12"/>
  <c r="C2874" i="12"/>
  <c r="B2876" i="12"/>
  <c r="C2875" i="12"/>
  <c r="C2876" i="12"/>
  <c r="B2877" i="12"/>
  <c r="B2878" i="12"/>
  <c r="C2877" i="12"/>
  <c r="C2878" i="12"/>
  <c r="B2879" i="12"/>
  <c r="B2880" i="12"/>
  <c r="C2879" i="12"/>
  <c r="C2880" i="12"/>
  <c r="B2881" i="12"/>
  <c r="B2882" i="12"/>
  <c r="C2881" i="12"/>
  <c r="B2883" i="12"/>
  <c r="C2882" i="12"/>
  <c r="C2883" i="12"/>
  <c r="B2884" i="12"/>
  <c r="C2884" i="12"/>
  <c r="B2885" i="12"/>
  <c r="C2885" i="12"/>
  <c r="B2886" i="12"/>
  <c r="C2886" i="12"/>
  <c r="B2887" i="12"/>
  <c r="C2887" i="12"/>
  <c r="B2888" i="12"/>
  <c r="B2889" i="12"/>
  <c r="C2888" i="12"/>
  <c r="B2890" i="12"/>
  <c r="C2889" i="12"/>
  <c r="C2890" i="12"/>
  <c r="B2891" i="12"/>
  <c r="B2892" i="12"/>
  <c r="C2891" i="12"/>
  <c r="C2892" i="12"/>
  <c r="B2893" i="12"/>
  <c r="B2894" i="12"/>
  <c r="C2893" i="12"/>
  <c r="B2895" i="12"/>
  <c r="C2894" i="12"/>
  <c r="B2896" i="12"/>
  <c r="C2895" i="12"/>
  <c r="C2896" i="12"/>
  <c r="B2897" i="12"/>
  <c r="B2898" i="12"/>
  <c r="C2897" i="12"/>
  <c r="C2898" i="12"/>
  <c r="B2899" i="12"/>
  <c r="C2899" i="12"/>
  <c r="B2900" i="12"/>
  <c r="C2900" i="12"/>
  <c r="B2901" i="12"/>
  <c r="C2901" i="12"/>
  <c r="B2902" i="12"/>
  <c r="C2902" i="12"/>
  <c r="B2903" i="12"/>
  <c r="B2904" i="12"/>
  <c r="C2903" i="12"/>
  <c r="C2904" i="12"/>
  <c r="B2905" i="12"/>
  <c r="C2905" i="12"/>
  <c r="B2906" i="12"/>
  <c r="C2906" i="12"/>
  <c r="B2907" i="12"/>
  <c r="B2908" i="12"/>
  <c r="C2907" i="12"/>
  <c r="B2909" i="12"/>
  <c r="C2908" i="12"/>
  <c r="B2910" i="12"/>
  <c r="C2909" i="12"/>
  <c r="B2911" i="12"/>
  <c r="C2910" i="12"/>
  <c r="B2912" i="12"/>
  <c r="C2911" i="12"/>
  <c r="B2913" i="12"/>
  <c r="C2912" i="12"/>
  <c r="B2914" i="12"/>
  <c r="C2913" i="12"/>
  <c r="B2915" i="12"/>
  <c r="C2914" i="12"/>
  <c r="C2915" i="12"/>
  <c r="B2916" i="12"/>
  <c r="C2916" i="12"/>
  <c r="B2917" i="12"/>
  <c r="C2917" i="12"/>
  <c r="B2918" i="12"/>
  <c r="B2919" i="12"/>
  <c r="C2918" i="12"/>
  <c r="B2920" i="12"/>
  <c r="C2919" i="12"/>
  <c r="B2921" i="12"/>
  <c r="C2920" i="12"/>
  <c r="C2921" i="12"/>
  <c r="B2922" i="12"/>
  <c r="B2923" i="12"/>
  <c r="C2922" i="12"/>
  <c r="B2924" i="12"/>
  <c r="C2923" i="12"/>
  <c r="C2924" i="12"/>
  <c r="B2925" i="12"/>
  <c r="C2925" i="12"/>
  <c r="B2926" i="12"/>
  <c r="C2926" i="12"/>
  <c r="B2927" i="12"/>
  <c r="B2928" i="12"/>
  <c r="C2927" i="12"/>
  <c r="C2928" i="12"/>
  <c r="B2929" i="12"/>
  <c r="C2929" i="12"/>
  <c r="B2930" i="12"/>
  <c r="C2930" i="12"/>
  <c r="B2931" i="12"/>
  <c r="B2932" i="12"/>
  <c r="C2931" i="12"/>
  <c r="B2933" i="12"/>
  <c r="C2932" i="12"/>
  <c r="B2934" i="12"/>
  <c r="C2933" i="12"/>
  <c r="C2934" i="12"/>
  <c r="B2935" i="12"/>
  <c r="B2936" i="12"/>
  <c r="C2935" i="12"/>
  <c r="B2937" i="12"/>
  <c r="C2936" i="12"/>
  <c r="B2938" i="12"/>
  <c r="C2937" i="12"/>
  <c r="C2938" i="12"/>
  <c r="B2939" i="12"/>
  <c r="B2940" i="12"/>
  <c r="C2939" i="12"/>
  <c r="C2940" i="12"/>
  <c r="B2941" i="12"/>
  <c r="B2942" i="12"/>
  <c r="C2941" i="12"/>
  <c r="B2943" i="12"/>
  <c r="C2942" i="12"/>
  <c r="C2943" i="12"/>
  <c r="B2944" i="12"/>
  <c r="B2945" i="12"/>
  <c r="C2944" i="12"/>
  <c r="B2946" i="12"/>
  <c r="C2945" i="12"/>
  <c r="C2946" i="12"/>
  <c r="B2947" i="12"/>
  <c r="C2947" i="12"/>
  <c r="B2948" i="12"/>
  <c r="C2948" i="12"/>
  <c r="B2949" i="12"/>
  <c r="C2949" i="12"/>
  <c r="B2950" i="12"/>
  <c r="C2950" i="12"/>
  <c r="B2951" i="12"/>
  <c r="C2951" i="12"/>
  <c r="B2952" i="12"/>
  <c r="C2952" i="12"/>
  <c r="B2953" i="12"/>
  <c r="B2954" i="12"/>
  <c r="C2953" i="12"/>
  <c r="C2954" i="12"/>
  <c r="B2955" i="12"/>
  <c r="C2955" i="12"/>
  <c r="B2956" i="12"/>
  <c r="C2956" i="12"/>
  <c r="B2957" i="12"/>
  <c r="C2957" i="12"/>
  <c r="B2958" i="12"/>
  <c r="B2959" i="12"/>
  <c r="C2958" i="12"/>
  <c r="C2959" i="12"/>
  <c r="B2960" i="12"/>
  <c r="B2961" i="12"/>
  <c r="C2960" i="12"/>
  <c r="C2961" i="12"/>
  <c r="B2962" i="12"/>
  <c r="B2963" i="12"/>
  <c r="C2962" i="12"/>
  <c r="C2963" i="12"/>
  <c r="B2964" i="12"/>
  <c r="B2965" i="12"/>
  <c r="C2964" i="12"/>
  <c r="B2966" i="12"/>
  <c r="C2965" i="12"/>
  <c r="C2966" i="12"/>
  <c r="B2967" i="12"/>
  <c r="C2967" i="12"/>
  <c r="B2968" i="12"/>
  <c r="B2969" i="12"/>
  <c r="C2968" i="12"/>
  <c r="B2970" i="12"/>
  <c r="C2969" i="12"/>
  <c r="C2970" i="12"/>
  <c r="B2971" i="12"/>
  <c r="B2972" i="12"/>
  <c r="C2971" i="12"/>
  <c r="C2972" i="12"/>
  <c r="B2973" i="12"/>
  <c r="B2974" i="12"/>
  <c r="C2973" i="12"/>
  <c r="B2975" i="12"/>
  <c r="C2974" i="12"/>
  <c r="C2975" i="12"/>
  <c r="B2976" i="12"/>
  <c r="B2977" i="12"/>
  <c r="C2976" i="12"/>
  <c r="C2977" i="12"/>
  <c r="B2978" i="12"/>
  <c r="B2979" i="12"/>
  <c r="C2978" i="12"/>
  <c r="B2980" i="12"/>
  <c r="C2979" i="12"/>
  <c r="C2980" i="12"/>
  <c r="B2981" i="12"/>
  <c r="B2982" i="12"/>
  <c r="C2981" i="12"/>
  <c r="B2983" i="12"/>
  <c r="C2982" i="12"/>
  <c r="C2983" i="12"/>
  <c r="B2984" i="12"/>
  <c r="C2984" i="12"/>
  <c r="B2985" i="12"/>
  <c r="B2986" i="12"/>
  <c r="C2985" i="12"/>
  <c r="C2986" i="12"/>
  <c r="B2987" i="12"/>
  <c r="B2988" i="12"/>
  <c r="C2987" i="12"/>
  <c r="C2988" i="12"/>
  <c r="B2989" i="12"/>
  <c r="B2990" i="12"/>
  <c r="C2989" i="12"/>
  <c r="B2991" i="12"/>
  <c r="C2990" i="12"/>
  <c r="B2992" i="12"/>
  <c r="C2991" i="12"/>
  <c r="B2993" i="12"/>
  <c r="C2992" i="12"/>
  <c r="B2994" i="12"/>
  <c r="C2993" i="12"/>
  <c r="B2995" i="12"/>
  <c r="C2994" i="12"/>
  <c r="B2996" i="12"/>
  <c r="C2995" i="12"/>
  <c r="C2996" i="12"/>
  <c r="B2997" i="12"/>
  <c r="B2998" i="12"/>
  <c r="C2997" i="12"/>
  <c r="B2999" i="12"/>
  <c r="C2998" i="12"/>
  <c r="C2999" i="12"/>
  <c r="B3000" i="12"/>
  <c r="C3000" i="12"/>
  <c r="B3001" i="12"/>
  <c r="C3001" i="12"/>
  <c r="B3002" i="12"/>
  <c r="C3002" i="12"/>
  <c r="B3003" i="12"/>
  <c r="B3004" i="12"/>
  <c r="C3003" i="12"/>
  <c r="C3004" i="12"/>
  <c r="B3005" i="12"/>
  <c r="B3006" i="12"/>
  <c r="C3005" i="12"/>
  <c r="B3007" i="12"/>
  <c r="C3006" i="12"/>
  <c r="B3008" i="12"/>
  <c r="C3007" i="12"/>
  <c r="B3009" i="12"/>
  <c r="C3008" i="12"/>
  <c r="C3009" i="12"/>
  <c r="B3010" i="12"/>
  <c r="C3010" i="12"/>
  <c r="B3011" i="12"/>
  <c r="B3012" i="12"/>
  <c r="C3011" i="12"/>
  <c r="B3013" i="12"/>
  <c r="C3012" i="12"/>
  <c r="B3014" i="12"/>
  <c r="C3013" i="12"/>
  <c r="B3015" i="12"/>
  <c r="C3014" i="12"/>
  <c r="B3016" i="12"/>
  <c r="C3015" i="12"/>
  <c r="B3017" i="12"/>
  <c r="C3016" i="12"/>
  <c r="B3018" i="12"/>
  <c r="C3017" i="12"/>
  <c r="C3018" i="12"/>
  <c r="B3019" i="12"/>
  <c r="C3019" i="12"/>
  <c r="B3020" i="12"/>
  <c r="C3020" i="12"/>
  <c r="B3021" i="12"/>
  <c r="C3021" i="12"/>
  <c r="B3022" i="12"/>
  <c r="B3023" i="12"/>
  <c r="C3022" i="12"/>
  <c r="C3023" i="12"/>
  <c r="B3024" i="12"/>
  <c r="B3025" i="12"/>
  <c r="C3024" i="12"/>
  <c r="C3025" i="12"/>
  <c r="B3026" i="12"/>
  <c r="B3027" i="12"/>
  <c r="C3026" i="12"/>
  <c r="C3027" i="12"/>
  <c r="B3028" i="12"/>
  <c r="B3029" i="12"/>
  <c r="C3028" i="12"/>
  <c r="C3029" i="12"/>
  <c r="B3030" i="12"/>
  <c r="B3031" i="12"/>
  <c r="C3030" i="12"/>
  <c r="C3031" i="12"/>
  <c r="B3032" i="12"/>
  <c r="C3032" i="12"/>
  <c r="B3033" i="12"/>
  <c r="C3033" i="12"/>
  <c r="B3034" i="12"/>
  <c r="B3035" i="12"/>
  <c r="C3034" i="12"/>
  <c r="C3035" i="12"/>
  <c r="B3036" i="12"/>
  <c r="B3037" i="12"/>
  <c r="C3036" i="12"/>
  <c r="C3037" i="12"/>
  <c r="B3038" i="12"/>
  <c r="C3038" i="12"/>
  <c r="B3039" i="12"/>
  <c r="C3039" i="12"/>
  <c r="B3040" i="12"/>
  <c r="B3041" i="12"/>
  <c r="C3040" i="12"/>
  <c r="B3042" i="12"/>
  <c r="C3041" i="12"/>
  <c r="C3042" i="12"/>
  <c r="B3043" i="12"/>
  <c r="B3044" i="12"/>
  <c r="C3043" i="12"/>
  <c r="C3044" i="12"/>
  <c r="B3045" i="12"/>
  <c r="C3045" i="12"/>
  <c r="B3046" i="12"/>
  <c r="B3047" i="12"/>
  <c r="C3046" i="12"/>
  <c r="C3047" i="12"/>
  <c r="B3048" i="12"/>
  <c r="C3048" i="12"/>
  <c r="B3049" i="12"/>
  <c r="C3049" i="12"/>
  <c r="B3050" i="12"/>
  <c r="B3051" i="12"/>
  <c r="C3050" i="12"/>
  <c r="B3052" i="12"/>
  <c r="C3051" i="12"/>
  <c r="B3053" i="12"/>
  <c r="C3052" i="12"/>
  <c r="C3053" i="12"/>
  <c r="B3054" i="12"/>
  <c r="C3054" i="12"/>
  <c r="B3055" i="12"/>
  <c r="C3055" i="12"/>
  <c r="B3056" i="12"/>
  <c r="B3057" i="12"/>
  <c r="C3056" i="12"/>
  <c r="C3057" i="12"/>
  <c r="B3058" i="12"/>
  <c r="B3059" i="12"/>
  <c r="C3058" i="12"/>
  <c r="C3059" i="12"/>
  <c r="B3060" i="12"/>
  <c r="C3060" i="12"/>
  <c r="B3061" i="12"/>
  <c r="B3062" i="12"/>
  <c r="C3061" i="12"/>
  <c r="B3063" i="12"/>
  <c r="C3062" i="12"/>
  <c r="B3064" i="12"/>
  <c r="C3063" i="12"/>
  <c r="B3065" i="12"/>
  <c r="C3064" i="12"/>
  <c r="B3066" i="12"/>
  <c r="C3065" i="12"/>
  <c r="C3066" i="12"/>
  <c r="B3067" i="12"/>
  <c r="B3068" i="12"/>
  <c r="C3067" i="12"/>
  <c r="C3068" i="12"/>
  <c r="B3069" i="12"/>
  <c r="B3070" i="12"/>
  <c r="C3069" i="12"/>
  <c r="C3070" i="12"/>
  <c r="B3071" i="12"/>
  <c r="C3071" i="12"/>
  <c r="B3072" i="12"/>
  <c r="B3073" i="12"/>
  <c r="C3072" i="12"/>
  <c r="B3074" i="12"/>
  <c r="C3073" i="12"/>
  <c r="B3075" i="12"/>
  <c r="C3074" i="12"/>
  <c r="C3075" i="12"/>
  <c r="B3076" i="12"/>
  <c r="B3077" i="12"/>
  <c r="C3076" i="12"/>
  <c r="C3077" i="12"/>
  <c r="B3078" i="12"/>
  <c r="C3078" i="12"/>
  <c r="B3079" i="12"/>
  <c r="B3080" i="12"/>
  <c r="C3079" i="12"/>
  <c r="C3080" i="12"/>
  <c r="B3081" i="12"/>
  <c r="B3082" i="12"/>
  <c r="C3081" i="12"/>
  <c r="B3083" i="12"/>
  <c r="C3082" i="12"/>
  <c r="C3083" i="12"/>
  <c r="B3084" i="12"/>
  <c r="B3085" i="12"/>
  <c r="C3084" i="12"/>
  <c r="B3086" i="12"/>
  <c r="C3085" i="12"/>
  <c r="C3086" i="12"/>
  <c r="B3087" i="12"/>
  <c r="C3087" i="12"/>
  <c r="B3088" i="12"/>
  <c r="B3089" i="12"/>
  <c r="C3088" i="12"/>
  <c r="B3090" i="12"/>
  <c r="C3089" i="12"/>
  <c r="C3090" i="12"/>
  <c r="B3091" i="12"/>
  <c r="B3092" i="12"/>
  <c r="C3091" i="12"/>
  <c r="B3093" i="12"/>
  <c r="C3092" i="12"/>
  <c r="B3094" i="12"/>
  <c r="C3093" i="12"/>
  <c r="B3095" i="12"/>
  <c r="C3094" i="12"/>
  <c r="C3095" i="12"/>
  <c r="B3096" i="12"/>
  <c r="B3097" i="12"/>
  <c r="C3096" i="12"/>
  <c r="B3098" i="12"/>
  <c r="C3097" i="12"/>
  <c r="C3098" i="12"/>
  <c r="B3099" i="12"/>
  <c r="B3100" i="12"/>
  <c r="C3099" i="12"/>
  <c r="B3101" i="12"/>
  <c r="C3100" i="12"/>
  <c r="B3102" i="12"/>
  <c r="C3101" i="12"/>
  <c r="B3103" i="12"/>
  <c r="C3102" i="12"/>
  <c r="C3103" i="12"/>
  <c r="B3104" i="12"/>
  <c r="C3104" i="12"/>
  <c r="B3105" i="12"/>
  <c r="B3106" i="12"/>
  <c r="C3105" i="12"/>
  <c r="B3107" i="12"/>
  <c r="C3106" i="12"/>
  <c r="B3108" i="12"/>
  <c r="C3107" i="12"/>
  <c r="C3108" i="12"/>
  <c r="B3109" i="12"/>
  <c r="C3109" i="12"/>
  <c r="B3110" i="12"/>
  <c r="B3111" i="12"/>
  <c r="C3110" i="12"/>
  <c r="B3112" i="12"/>
  <c r="C3111" i="12"/>
  <c r="B3113" i="12"/>
  <c r="C3112" i="12"/>
  <c r="B3114" i="12"/>
  <c r="C3113" i="12"/>
  <c r="B3115" i="12"/>
  <c r="C3114" i="12"/>
  <c r="B3116" i="12"/>
  <c r="C3115" i="12"/>
  <c r="C3116" i="12"/>
  <c r="B3117" i="12"/>
  <c r="B3118" i="12"/>
  <c r="C3117" i="12"/>
  <c r="B3119" i="12"/>
  <c r="C3118" i="12"/>
  <c r="B3120" i="12"/>
  <c r="C3119" i="12"/>
  <c r="B3121" i="12"/>
  <c r="C3120" i="12"/>
  <c r="B3122" i="12"/>
  <c r="C3121" i="12"/>
  <c r="C3122" i="12"/>
  <c r="B3123" i="12"/>
  <c r="C3123" i="12"/>
  <c r="B3124" i="12"/>
  <c r="C3124" i="12"/>
  <c r="B3125" i="12"/>
  <c r="C3125" i="12"/>
  <c r="B3126" i="12"/>
  <c r="C3126" i="12"/>
  <c r="B3127" i="12"/>
  <c r="B3128" i="12"/>
  <c r="C3127" i="12"/>
  <c r="C3128" i="12"/>
  <c r="B3129" i="12"/>
  <c r="C3129" i="12"/>
  <c r="B3130" i="12"/>
  <c r="C3130" i="12"/>
  <c r="B3131" i="12"/>
  <c r="C3131" i="12"/>
  <c r="B3132" i="12"/>
  <c r="C3132" i="12"/>
  <c r="B3133" i="12"/>
  <c r="C3133" i="12"/>
  <c r="B3134" i="12"/>
  <c r="B3135" i="12"/>
  <c r="C3134" i="12"/>
  <c r="B3136" i="12"/>
  <c r="C3135" i="12"/>
  <c r="B3137" i="12"/>
  <c r="C3136" i="12"/>
  <c r="C3137" i="12"/>
  <c r="B3138" i="12"/>
  <c r="C3138" i="12"/>
  <c r="B3139" i="12"/>
  <c r="C3139" i="12"/>
  <c r="B3140" i="12"/>
  <c r="C3140" i="12"/>
  <c r="B3141" i="12"/>
  <c r="C3141" i="12"/>
  <c r="B3142" i="12"/>
  <c r="B3143" i="12"/>
  <c r="C3142" i="12"/>
  <c r="C3143" i="12"/>
  <c r="B3144" i="12"/>
  <c r="C3144" i="12"/>
  <c r="B3145" i="12"/>
  <c r="B3146" i="12"/>
  <c r="C3145" i="12"/>
  <c r="C3146" i="12"/>
  <c r="B3147" i="12"/>
  <c r="B3148" i="12"/>
  <c r="C3147" i="12"/>
  <c r="B3149" i="12"/>
  <c r="C3148" i="12"/>
  <c r="C3149" i="12"/>
  <c r="B3150" i="12"/>
  <c r="B3151" i="12"/>
  <c r="C3150" i="12"/>
  <c r="C3151" i="12"/>
  <c r="B3152" i="12"/>
  <c r="B3153" i="12"/>
  <c r="C3152" i="12"/>
  <c r="C3153" i="12"/>
  <c r="B3154" i="12"/>
  <c r="C3154" i="12"/>
  <c r="B3155" i="12"/>
  <c r="C3155" i="12"/>
  <c r="B3156" i="12"/>
  <c r="B3157" i="12"/>
  <c r="C3156" i="12"/>
  <c r="C3157" i="12"/>
  <c r="B3158" i="12"/>
  <c r="C3158" i="12"/>
  <c r="B3159" i="12"/>
  <c r="C3159" i="12"/>
  <c r="B3160" i="12"/>
  <c r="B3161" i="12"/>
  <c r="C3160" i="12"/>
  <c r="B3162" i="12"/>
  <c r="C3161" i="12"/>
  <c r="B3163" i="12"/>
  <c r="C3162" i="12"/>
  <c r="C3163" i="12"/>
  <c r="B3164" i="12"/>
  <c r="B3165" i="12"/>
  <c r="C3164" i="12"/>
  <c r="B3166" i="12"/>
  <c r="C3165" i="12"/>
  <c r="C3166" i="12"/>
  <c r="B3167" i="12"/>
  <c r="B3168" i="12"/>
  <c r="C3167" i="12"/>
  <c r="C3168" i="12"/>
  <c r="B3169" i="12"/>
  <c r="C3169" i="12"/>
  <c r="B3170" i="12"/>
  <c r="B3171" i="12"/>
  <c r="C3170" i="12"/>
  <c r="B3172" i="12"/>
  <c r="C3171" i="12"/>
  <c r="C3172" i="12"/>
  <c r="B3173" i="12"/>
  <c r="B3174" i="12"/>
  <c r="C3173" i="12"/>
  <c r="C3174" i="12"/>
  <c r="B3175" i="12"/>
  <c r="C3175" i="12"/>
  <c r="B3176" i="12"/>
  <c r="C3176" i="12"/>
  <c r="B3177" i="12"/>
  <c r="C3177" i="12"/>
  <c r="B3178" i="12"/>
  <c r="B3179" i="12"/>
  <c r="C3178" i="12"/>
  <c r="B3180" i="12"/>
  <c r="C3179" i="12"/>
  <c r="C3180" i="12"/>
  <c r="B3181" i="12"/>
  <c r="B3182" i="12"/>
  <c r="C3181" i="12"/>
  <c r="B3183" i="12"/>
  <c r="C3182" i="12"/>
  <c r="C3183" i="12"/>
  <c r="B3184" i="12"/>
  <c r="B3185" i="12"/>
  <c r="C3184" i="12"/>
  <c r="C3185" i="12"/>
  <c r="B3186" i="12"/>
  <c r="C3186" i="12"/>
  <c r="B3187" i="12"/>
  <c r="C3187" i="12"/>
  <c r="B3188" i="12"/>
  <c r="C3188" i="12"/>
  <c r="B3189" i="12"/>
  <c r="B3190" i="12"/>
  <c r="C3189" i="12"/>
  <c r="B3191" i="12"/>
  <c r="C3190" i="12"/>
  <c r="C3191" i="12"/>
  <c r="B3192" i="12"/>
  <c r="C3192" i="12"/>
  <c r="B3193" i="12"/>
  <c r="B3194" i="12"/>
  <c r="C3193" i="12"/>
  <c r="C3194" i="12"/>
  <c r="B3195" i="12"/>
  <c r="C3195" i="12"/>
  <c r="B3196" i="12"/>
  <c r="B3197" i="12"/>
  <c r="C3196" i="12"/>
  <c r="B3198" i="12"/>
  <c r="C3197" i="12"/>
  <c r="B3199" i="12"/>
  <c r="C3198" i="12"/>
  <c r="C3199" i="12"/>
  <c r="B3200" i="12"/>
  <c r="B3201" i="12"/>
  <c r="C3200" i="12"/>
  <c r="C3201" i="12"/>
  <c r="B3202" i="12"/>
  <c r="B3203" i="12"/>
  <c r="C3202" i="12"/>
  <c r="B3204" i="12"/>
  <c r="C3203" i="12"/>
  <c r="B3205" i="12"/>
  <c r="C3204" i="12"/>
  <c r="B3206" i="12"/>
  <c r="C3205" i="12"/>
  <c r="C3206" i="12"/>
  <c r="B3207" i="12"/>
  <c r="C3207" i="12"/>
  <c r="B3208" i="12"/>
  <c r="C3208" i="12"/>
  <c r="B3209" i="12"/>
  <c r="C3209" i="12"/>
  <c r="B3210" i="12"/>
  <c r="C3210" i="12"/>
  <c r="B3211" i="12"/>
  <c r="C3211" i="12"/>
  <c r="B3212" i="12"/>
  <c r="C3212" i="12"/>
  <c r="B3213" i="12"/>
  <c r="B3214" i="12"/>
  <c r="C3213" i="12"/>
  <c r="C3214" i="12"/>
  <c r="B3215" i="12"/>
  <c r="C3215" i="12"/>
  <c r="B3216" i="12"/>
  <c r="C3216" i="12"/>
  <c r="B3217" i="12"/>
  <c r="C3217" i="12"/>
  <c r="B3218" i="12"/>
  <c r="C3218" i="12"/>
  <c r="B3219" i="12"/>
  <c r="B3220" i="12"/>
  <c r="C3219" i="12"/>
  <c r="C3220" i="12"/>
  <c r="B3221" i="12"/>
  <c r="C3221" i="12"/>
  <c r="B3222" i="12"/>
  <c r="C3222" i="12"/>
  <c r="B3223" i="12"/>
  <c r="B3224" i="12"/>
  <c r="C3223" i="12"/>
  <c r="C3224" i="12"/>
  <c r="B3225" i="12"/>
  <c r="B3226" i="12"/>
  <c r="C3225" i="12"/>
  <c r="B3227" i="12"/>
  <c r="C3226" i="12"/>
  <c r="C3227" i="12"/>
  <c r="B3228" i="12"/>
  <c r="B3229" i="12"/>
  <c r="C3228" i="12"/>
  <c r="B3230" i="12"/>
  <c r="C3229" i="12"/>
  <c r="C3230" i="12"/>
  <c r="B3231" i="12"/>
  <c r="C3231" i="12"/>
  <c r="B3232" i="12"/>
  <c r="C3232" i="12"/>
  <c r="B3233" i="12"/>
  <c r="C3233" i="12"/>
  <c r="B3234" i="12"/>
  <c r="B3235" i="12"/>
  <c r="C3234" i="12"/>
  <c r="C3235" i="12"/>
  <c r="B3236" i="12"/>
  <c r="C3236" i="12"/>
  <c r="B3237" i="12"/>
  <c r="B3238" i="12"/>
  <c r="C3237" i="12"/>
  <c r="C3238" i="12"/>
  <c r="B3239" i="12"/>
  <c r="B3240" i="12"/>
  <c r="C3239" i="12"/>
  <c r="C3240" i="12"/>
  <c r="B3241" i="12"/>
  <c r="B3242" i="12"/>
  <c r="C3241" i="12"/>
  <c r="C3242" i="12"/>
  <c r="B3243" i="12"/>
  <c r="B3244" i="12"/>
  <c r="C3243" i="12"/>
  <c r="B3245" i="12"/>
  <c r="C3244" i="12"/>
  <c r="C3245" i="12"/>
  <c r="B3246" i="12"/>
  <c r="C3246" i="12"/>
  <c r="B3247" i="12"/>
  <c r="C3247" i="12"/>
  <c r="B3248" i="12"/>
  <c r="B3249" i="12"/>
  <c r="C3248" i="12"/>
  <c r="C3249" i="12"/>
  <c r="B3250" i="12"/>
  <c r="C3250" i="12"/>
  <c r="B3251" i="12"/>
  <c r="C3251" i="12"/>
  <c r="B3252" i="12"/>
  <c r="B3253" i="12"/>
  <c r="C3252" i="12"/>
  <c r="C3253" i="12"/>
  <c r="B3254" i="12"/>
  <c r="B3255" i="12"/>
  <c r="C3254" i="12"/>
  <c r="B3256" i="12"/>
  <c r="C3255" i="12"/>
  <c r="C3256" i="12"/>
  <c r="B3257" i="12"/>
  <c r="B3258" i="12"/>
  <c r="C3257" i="12"/>
  <c r="C3258" i="12"/>
  <c r="B3259" i="12"/>
  <c r="C3259" i="12"/>
  <c r="B3260" i="12"/>
  <c r="C3260" i="12"/>
  <c r="B3261" i="12"/>
  <c r="C3261" i="12"/>
  <c r="B3262" i="12"/>
  <c r="C3262" i="12"/>
  <c r="B3263" i="12"/>
  <c r="B3264" i="12"/>
  <c r="C3263" i="12"/>
  <c r="B3265" i="12"/>
  <c r="C3264" i="12"/>
  <c r="C3265" i="12"/>
  <c r="B3266" i="12"/>
  <c r="B3267" i="12"/>
  <c r="C3266" i="12"/>
  <c r="B3268" i="12"/>
  <c r="C3267" i="12"/>
  <c r="B3269" i="12"/>
  <c r="C3268" i="12"/>
  <c r="B3270" i="12"/>
  <c r="C3269" i="12"/>
  <c r="B3271" i="12"/>
  <c r="C3270" i="12"/>
  <c r="C3271" i="12"/>
  <c r="B3272" i="12"/>
  <c r="B3273" i="12"/>
  <c r="C3272" i="12"/>
  <c r="B3274" i="12"/>
  <c r="C3273" i="12"/>
  <c r="C3274" i="12"/>
  <c r="B3275" i="12"/>
  <c r="C3275" i="12"/>
  <c r="B3276" i="12"/>
  <c r="C3276" i="12"/>
  <c r="B3277" i="12"/>
  <c r="B3278" i="12"/>
  <c r="C3277" i="12"/>
  <c r="C3278" i="12"/>
  <c r="B3279" i="12"/>
  <c r="C3279" i="12"/>
  <c r="B3280" i="12"/>
  <c r="B3281" i="12"/>
  <c r="C3280" i="12"/>
  <c r="B3282" i="12"/>
  <c r="C3281" i="12"/>
  <c r="C3282" i="12"/>
  <c r="B3283" i="12"/>
  <c r="B3284" i="12"/>
  <c r="C3283" i="12"/>
  <c r="C3284" i="12"/>
  <c r="B3285" i="12"/>
  <c r="B3286" i="12"/>
  <c r="C3285" i="12"/>
  <c r="C3286" i="12"/>
  <c r="B3287" i="12"/>
  <c r="C3287" i="12"/>
  <c r="B3288" i="12"/>
  <c r="B3289" i="12"/>
  <c r="C3288" i="12"/>
  <c r="B3290" i="12"/>
  <c r="C3289" i="12"/>
  <c r="C3290" i="12"/>
  <c r="B3291" i="12"/>
  <c r="B3292" i="12"/>
  <c r="C3291" i="12"/>
  <c r="C3292" i="12"/>
  <c r="B3293" i="12"/>
  <c r="C3293" i="12"/>
  <c r="B3294" i="12"/>
  <c r="C3294" i="12"/>
  <c r="B3295" i="12"/>
  <c r="C3295" i="12"/>
  <c r="B3296" i="12"/>
  <c r="B3297" i="12"/>
  <c r="C3296" i="12"/>
  <c r="C3297" i="12"/>
  <c r="B3298" i="12"/>
  <c r="C3298" i="12"/>
  <c r="B3299" i="12"/>
  <c r="B3300" i="12"/>
  <c r="C3299" i="12"/>
  <c r="C3300" i="12"/>
  <c r="B3301" i="12"/>
  <c r="C3301" i="12"/>
  <c r="B3302" i="12"/>
  <c r="B3303" i="12"/>
  <c r="C3302" i="12"/>
  <c r="C3303" i="12"/>
  <c r="B3304" i="12"/>
  <c r="B3305" i="12"/>
  <c r="C3304" i="12"/>
  <c r="C3305" i="12"/>
  <c r="B3306" i="12"/>
  <c r="B3307" i="12"/>
  <c r="C3306" i="12"/>
  <c r="C3307" i="12"/>
  <c r="B3308" i="12"/>
  <c r="B3309" i="12"/>
  <c r="C3308" i="12"/>
  <c r="B3310" i="12"/>
  <c r="C3309" i="12"/>
  <c r="C3310" i="12"/>
  <c r="B3311" i="12"/>
  <c r="B3312" i="12"/>
  <c r="C3311" i="12"/>
  <c r="B3313" i="12"/>
  <c r="C3312" i="12"/>
  <c r="C3313" i="12"/>
  <c r="B3314" i="12"/>
  <c r="B3315" i="12"/>
  <c r="C3314" i="12"/>
  <c r="B3316" i="12"/>
  <c r="C3315" i="12"/>
  <c r="B3317" i="12"/>
  <c r="C3316" i="12"/>
  <c r="B3318" i="12"/>
  <c r="C3317" i="12"/>
  <c r="B3319" i="12"/>
  <c r="C3318" i="12"/>
  <c r="B3320" i="12"/>
  <c r="C3319" i="12"/>
  <c r="B3321" i="12"/>
  <c r="C3320" i="12"/>
  <c r="B3322" i="12"/>
  <c r="C3321" i="12"/>
  <c r="B3323" i="12"/>
  <c r="C3322" i="12"/>
  <c r="B3324" i="12"/>
  <c r="C3323" i="12"/>
  <c r="B3325" i="12"/>
  <c r="C3324" i="12"/>
  <c r="C3325" i="12"/>
  <c r="B3326" i="12"/>
  <c r="B3327" i="12"/>
  <c r="C3326" i="12"/>
  <c r="B3328" i="12"/>
  <c r="C3327" i="12"/>
  <c r="C3328" i="12"/>
  <c r="B3329" i="12"/>
  <c r="C3329" i="12"/>
  <c r="B3330" i="12"/>
  <c r="C3330" i="12"/>
  <c r="B3331" i="12"/>
  <c r="B3332" i="12"/>
  <c r="C3331" i="12"/>
  <c r="C3332" i="12"/>
  <c r="B3333" i="12"/>
  <c r="B3334" i="12"/>
  <c r="C3333" i="12"/>
  <c r="C3334" i="12"/>
  <c r="B3335" i="12"/>
  <c r="B3336" i="12"/>
  <c r="C3335" i="12"/>
  <c r="B3337" i="12"/>
  <c r="C3336" i="12"/>
  <c r="C3337" i="12"/>
  <c r="B3338" i="12"/>
  <c r="C3338" i="12"/>
  <c r="B3339" i="12"/>
  <c r="C3339" i="12"/>
  <c r="B3340" i="12"/>
  <c r="C3340" i="12"/>
  <c r="B3341" i="12"/>
  <c r="B3342" i="12"/>
  <c r="C3341" i="12"/>
  <c r="C3342" i="12"/>
  <c r="B3343" i="12"/>
  <c r="C3343" i="12"/>
  <c r="B3344" i="12"/>
  <c r="B3345" i="12"/>
  <c r="C3344" i="12"/>
  <c r="B3346" i="12"/>
  <c r="C3345" i="12"/>
  <c r="C3346" i="12"/>
  <c r="B3347" i="12"/>
  <c r="C3347" i="12"/>
  <c r="B3348" i="12"/>
  <c r="B3349" i="12"/>
  <c r="C3348" i="12"/>
  <c r="C3349" i="12"/>
  <c r="B3350" i="12"/>
  <c r="C3350" i="12"/>
  <c r="B3351" i="12"/>
  <c r="C3351" i="12"/>
  <c r="B3352" i="12"/>
  <c r="B3353" i="12"/>
  <c r="C3352" i="12"/>
  <c r="B3354" i="12"/>
  <c r="C3353" i="12"/>
  <c r="C3354" i="12"/>
  <c r="B3355" i="12"/>
  <c r="B3356" i="12"/>
  <c r="C3355" i="12"/>
  <c r="B3357" i="12"/>
  <c r="C3356" i="12"/>
  <c r="B3358" i="12"/>
  <c r="C3357" i="12"/>
  <c r="C3358" i="12"/>
  <c r="B3359" i="12"/>
  <c r="C3359" i="12"/>
  <c r="B3360" i="12"/>
  <c r="C3360" i="12"/>
  <c r="B3361" i="12"/>
  <c r="C3361" i="12"/>
  <c r="B3362" i="12"/>
  <c r="C3362" i="12"/>
  <c r="B3363" i="12"/>
  <c r="C3363" i="12"/>
  <c r="B3364" i="12"/>
  <c r="B3365" i="12"/>
  <c r="C3364" i="12"/>
  <c r="B3366" i="12"/>
  <c r="C3365" i="12"/>
  <c r="B3367" i="12"/>
  <c r="C3366" i="12"/>
  <c r="B3368" i="12"/>
  <c r="C3367" i="12"/>
  <c r="C3368" i="12"/>
  <c r="B3369" i="12"/>
  <c r="B3370" i="12"/>
  <c r="C3369" i="12"/>
  <c r="B3371" i="12"/>
  <c r="C3370" i="12"/>
  <c r="B3372" i="12"/>
  <c r="C3371" i="12"/>
  <c r="B3373" i="12"/>
  <c r="C3372" i="12"/>
  <c r="B3374" i="12"/>
  <c r="C3373" i="12"/>
  <c r="C3374" i="12"/>
  <c r="B3375" i="12"/>
  <c r="C3375" i="12"/>
  <c r="B3376" i="12"/>
  <c r="B3377" i="12"/>
  <c r="C3376" i="12"/>
  <c r="C3377" i="12"/>
  <c r="B3378" i="12"/>
  <c r="C3378" i="12"/>
  <c r="B3379" i="12"/>
  <c r="B3380" i="12"/>
  <c r="C3379" i="12"/>
  <c r="C3380" i="12"/>
  <c r="B3381" i="12"/>
  <c r="B3382" i="12"/>
  <c r="C3381" i="12"/>
  <c r="B3383" i="12"/>
  <c r="C3382" i="12"/>
  <c r="B3384" i="12"/>
  <c r="C3383" i="12"/>
  <c r="B3385" i="12"/>
  <c r="C3384" i="12"/>
  <c r="C3385" i="12"/>
  <c r="B3386" i="12"/>
  <c r="C3386" i="12"/>
  <c r="B3387" i="12"/>
  <c r="B3388" i="12"/>
  <c r="C3387" i="12"/>
  <c r="C3388" i="12"/>
  <c r="B3389" i="12"/>
  <c r="C3389" i="12"/>
  <c r="B3390" i="12"/>
  <c r="C3390" i="12"/>
  <c r="B3391" i="12"/>
  <c r="C3391" i="12"/>
  <c r="B3392" i="12"/>
  <c r="B3393" i="12"/>
  <c r="C3392" i="12"/>
  <c r="B3394" i="12"/>
  <c r="C3393" i="12"/>
  <c r="C3394" i="12"/>
  <c r="B3395" i="12"/>
  <c r="B3396" i="12"/>
  <c r="C3395" i="12"/>
  <c r="B3397" i="12"/>
  <c r="C3396" i="12"/>
  <c r="C3397" i="12"/>
  <c r="B3398" i="12"/>
  <c r="B3399" i="12"/>
  <c r="C3398" i="12"/>
  <c r="B3400" i="12"/>
  <c r="C3399" i="12"/>
  <c r="B3401" i="12"/>
  <c r="C3400" i="12"/>
  <c r="B3402" i="12"/>
  <c r="C3401" i="12"/>
  <c r="B3403" i="12"/>
  <c r="C3402" i="12"/>
  <c r="C3403" i="12"/>
  <c r="B3404" i="12"/>
  <c r="B3405" i="12"/>
  <c r="C3404" i="12"/>
  <c r="C3405" i="12"/>
  <c r="B3406" i="12"/>
  <c r="B3407" i="12"/>
  <c r="C3406" i="12"/>
  <c r="B3408" i="12"/>
  <c r="C3407" i="12"/>
  <c r="C3408" i="12"/>
  <c r="B3409" i="12"/>
  <c r="C3409" i="12"/>
  <c r="B3410" i="12"/>
  <c r="B3411" i="12"/>
  <c r="C3410" i="12"/>
  <c r="B3412" i="12"/>
  <c r="C3411" i="12"/>
  <c r="C3412" i="12"/>
  <c r="B3413" i="12"/>
  <c r="B3414" i="12"/>
  <c r="C3413" i="12"/>
  <c r="B3415" i="12"/>
  <c r="C3414" i="12"/>
  <c r="B3416" i="12"/>
  <c r="C3415" i="12"/>
  <c r="C3416" i="12"/>
  <c r="B3417" i="12"/>
  <c r="C3417" i="12"/>
  <c r="B3418" i="12"/>
  <c r="C3418" i="12"/>
  <c r="B3419" i="12"/>
  <c r="C3419" i="12"/>
  <c r="B3420" i="12"/>
  <c r="B3421" i="12"/>
  <c r="C3420" i="12"/>
  <c r="B3422" i="12"/>
  <c r="C3421" i="12"/>
  <c r="B3423" i="12"/>
  <c r="C3422" i="12"/>
  <c r="B3424" i="12"/>
  <c r="C3423" i="12"/>
  <c r="C3424" i="12"/>
  <c r="B3425" i="12"/>
  <c r="B3426" i="12"/>
  <c r="C3425" i="12"/>
  <c r="C3426" i="12"/>
  <c r="B3427" i="12"/>
  <c r="C3427" i="12"/>
  <c r="B3428" i="12"/>
  <c r="B3429" i="12"/>
  <c r="C3428" i="12"/>
  <c r="B3430" i="12"/>
  <c r="C3429" i="12"/>
  <c r="B3431" i="12"/>
  <c r="C3430" i="12"/>
  <c r="C3431" i="12"/>
  <c r="B3432" i="12"/>
  <c r="B3433" i="12"/>
  <c r="C3432" i="12"/>
  <c r="C3433" i="12"/>
  <c r="B3434" i="12"/>
  <c r="B3435" i="12"/>
  <c r="C3434" i="12"/>
  <c r="B3436" i="12"/>
  <c r="C3435" i="12"/>
  <c r="C3436" i="12"/>
  <c r="B3437" i="12"/>
  <c r="C3437" i="12"/>
  <c r="B3438" i="12"/>
  <c r="C3438" i="12"/>
  <c r="B3439" i="12"/>
  <c r="B3440" i="12"/>
  <c r="C3439" i="12"/>
  <c r="C3440" i="12"/>
  <c r="B3441" i="12"/>
  <c r="B3442" i="12"/>
  <c r="C3441" i="12"/>
  <c r="B3443" i="12"/>
  <c r="C3442" i="12"/>
  <c r="B3444" i="12"/>
  <c r="C3443" i="12"/>
  <c r="C3444" i="12"/>
  <c r="B3445" i="12"/>
  <c r="B3446" i="12"/>
  <c r="C3445" i="12"/>
  <c r="B3447" i="12"/>
  <c r="C3446" i="12"/>
  <c r="B3448" i="12"/>
  <c r="C3447" i="12"/>
  <c r="C3448" i="12"/>
  <c r="B3449" i="12"/>
  <c r="B3450" i="12"/>
  <c r="C3449" i="12"/>
  <c r="C3450" i="12"/>
  <c r="B3451" i="12"/>
  <c r="C3451" i="12"/>
  <c r="B3452" i="12"/>
  <c r="B3453" i="12"/>
  <c r="C3452" i="12"/>
  <c r="C3453" i="12"/>
  <c r="B3454" i="12"/>
  <c r="B3455" i="12"/>
  <c r="C3454" i="12"/>
  <c r="C3455" i="12"/>
  <c r="B3456" i="12"/>
  <c r="B3457" i="12"/>
  <c r="C3456" i="12"/>
  <c r="C3457" i="12"/>
  <c r="B3458" i="12"/>
  <c r="B3459" i="12"/>
  <c r="C3458" i="12"/>
  <c r="B3460" i="12"/>
  <c r="C3459" i="12"/>
  <c r="C3460" i="12"/>
  <c r="B3461" i="12"/>
  <c r="C3461" i="12"/>
  <c r="B3462" i="12"/>
  <c r="C3462" i="12"/>
  <c r="B3463" i="12"/>
  <c r="C3463" i="12"/>
  <c r="B3464" i="12"/>
  <c r="B3465" i="12"/>
  <c r="C3464" i="12"/>
  <c r="C3465" i="12"/>
  <c r="B3466" i="12"/>
  <c r="C3466" i="12"/>
  <c r="B3467" i="12"/>
  <c r="B3468" i="12"/>
  <c r="C3467" i="12"/>
  <c r="B3469" i="12"/>
  <c r="C3468" i="12"/>
  <c r="B3470" i="12"/>
  <c r="C3469" i="12"/>
  <c r="C3470" i="12"/>
  <c r="B3471" i="12"/>
  <c r="B3472" i="12"/>
  <c r="C3471" i="12"/>
  <c r="B3473" i="12"/>
  <c r="C3472" i="12"/>
  <c r="C3473" i="12"/>
  <c r="B3474" i="12"/>
  <c r="C3474" i="12"/>
  <c r="B3475" i="12"/>
  <c r="C3475" i="12"/>
  <c r="B3476" i="12"/>
  <c r="B3477" i="12"/>
  <c r="C3476" i="12"/>
  <c r="C3477" i="12"/>
  <c r="B3478" i="12"/>
  <c r="C3478" i="12"/>
  <c r="B3479" i="12"/>
  <c r="C3479" i="12"/>
  <c r="B3480" i="12"/>
  <c r="B3481" i="12"/>
  <c r="C3480" i="12"/>
  <c r="C3481" i="12"/>
  <c r="B3482" i="12"/>
  <c r="B3483" i="12"/>
  <c r="C3482" i="12"/>
  <c r="C3483" i="12"/>
  <c r="B3484" i="12"/>
  <c r="C3484" i="12"/>
  <c r="B3485" i="12"/>
  <c r="B3486" i="12"/>
  <c r="C3485" i="12"/>
  <c r="C3486" i="12"/>
  <c r="B3487" i="12"/>
  <c r="C3487" i="12"/>
  <c r="B3488" i="12"/>
  <c r="B3489" i="12"/>
  <c r="C3488" i="12"/>
  <c r="B3490" i="12"/>
  <c r="C3489" i="12"/>
  <c r="C3490" i="12"/>
  <c r="B3491" i="12"/>
  <c r="B3492" i="12"/>
  <c r="C3491" i="12"/>
  <c r="C3492" i="12"/>
  <c r="B3493" i="12"/>
  <c r="B3494" i="12"/>
  <c r="C3493" i="12"/>
  <c r="C3494" i="12"/>
  <c r="B3495" i="12"/>
  <c r="C3495" i="12"/>
  <c r="B3496" i="12"/>
  <c r="B3497" i="12"/>
  <c r="C3496" i="12"/>
  <c r="B3498" i="12"/>
  <c r="C3497" i="12"/>
  <c r="B3499" i="12"/>
  <c r="C3498" i="12"/>
  <c r="B3500" i="12"/>
  <c r="C3499" i="12"/>
  <c r="B3501" i="12"/>
  <c r="C3500" i="12"/>
  <c r="C3501" i="12"/>
  <c r="B3502" i="12"/>
  <c r="B3503" i="12"/>
  <c r="C3502" i="12"/>
  <c r="B3504" i="12"/>
  <c r="C3503" i="12"/>
  <c r="B3505" i="12"/>
  <c r="C3504" i="12"/>
  <c r="B3506" i="12"/>
  <c r="C3505" i="12"/>
  <c r="B3507" i="12"/>
  <c r="C3506" i="12"/>
  <c r="C3507" i="12"/>
  <c r="B3508" i="12"/>
  <c r="C3508" i="12"/>
  <c r="B3509" i="12"/>
  <c r="B3510" i="12"/>
  <c r="C3509" i="12"/>
  <c r="B3511" i="12"/>
  <c r="C3510" i="12"/>
  <c r="C3511" i="12"/>
  <c r="B3512" i="12"/>
  <c r="C3512" i="12"/>
  <c r="B3513" i="12"/>
  <c r="B3514" i="12"/>
  <c r="C3513" i="12"/>
  <c r="B3515" i="12"/>
  <c r="C3514" i="12"/>
  <c r="C3515" i="12"/>
  <c r="B3516" i="12"/>
  <c r="C3516" i="12"/>
  <c r="B3517" i="12"/>
  <c r="C3517" i="12"/>
  <c r="B3518" i="12"/>
  <c r="C3518" i="12"/>
  <c r="B3519" i="12"/>
  <c r="B3520" i="12"/>
  <c r="C3519" i="12"/>
  <c r="C3520" i="12"/>
  <c r="B3521" i="12"/>
  <c r="C3521" i="12"/>
  <c r="B3522" i="12"/>
  <c r="B3523" i="12"/>
  <c r="C3522" i="12"/>
  <c r="B3524" i="12"/>
  <c r="C3523" i="12"/>
  <c r="C3524" i="12"/>
  <c r="B3525" i="12"/>
  <c r="B3526" i="12"/>
  <c r="C3525" i="12"/>
  <c r="C3526" i="12"/>
  <c r="B3527" i="12"/>
  <c r="C3527" i="12"/>
  <c r="B3528" i="12"/>
  <c r="C3528" i="12"/>
  <c r="B3529" i="12"/>
  <c r="B3530" i="12"/>
  <c r="C3529" i="12"/>
  <c r="B3531" i="12"/>
  <c r="C3530" i="12"/>
  <c r="B3532" i="12"/>
  <c r="C3531" i="12"/>
  <c r="B3533" i="12"/>
  <c r="C3532" i="12"/>
  <c r="B3534" i="12"/>
  <c r="C3533" i="12"/>
  <c r="B3535" i="12"/>
  <c r="C3534" i="12"/>
  <c r="C3535" i="12"/>
  <c r="B3536" i="12"/>
  <c r="B3537" i="12"/>
  <c r="C3536" i="12"/>
  <c r="C3537" i="12"/>
  <c r="B3538" i="12"/>
  <c r="I38" i="5" l="1"/>
  <c r="I12" i="5"/>
  <c r="I49" i="5"/>
  <c r="I63" i="5"/>
  <c r="I53" i="5"/>
  <c r="I100" i="5"/>
  <c r="I42" i="5"/>
  <c r="I70" i="5"/>
  <c r="I33" i="5"/>
  <c r="I119" i="5"/>
  <c r="I66" i="5"/>
  <c r="I116" i="5"/>
  <c r="I61" i="5"/>
  <c r="I109" i="5"/>
  <c r="I9" i="5"/>
  <c r="I115" i="5"/>
  <c r="I77" i="5"/>
  <c r="I79" i="5"/>
  <c r="I40" i="5"/>
  <c r="I20" i="5"/>
  <c r="I4" i="5"/>
  <c r="I23" i="5"/>
  <c r="I17" i="5"/>
  <c r="I67" i="5"/>
  <c r="I14" i="5"/>
  <c r="I94" i="5"/>
  <c r="I98" i="5"/>
  <c r="I7" i="5"/>
  <c r="I29" i="5"/>
  <c r="I2" i="5"/>
  <c r="I113" i="5"/>
  <c r="I126" i="5"/>
  <c r="I106" i="5"/>
  <c r="I39" i="5"/>
  <c r="I41" i="5"/>
  <c r="I91" i="5"/>
  <c r="I84" i="5"/>
  <c r="I30" i="5"/>
  <c r="I5" i="5"/>
  <c r="I87" i="5"/>
  <c r="I56" i="5"/>
  <c r="I19" i="5"/>
  <c r="I16" i="5"/>
  <c r="I32" i="5"/>
  <c r="I112" i="5"/>
  <c r="I86" i="5"/>
  <c r="I10" i="5"/>
  <c r="I36" i="5"/>
  <c r="I58" i="5"/>
  <c r="I46" i="5"/>
  <c r="I47" i="5"/>
  <c r="I22" i="5"/>
  <c r="I15" i="5"/>
  <c r="I73" i="5"/>
  <c r="I102" i="5"/>
  <c r="I55" i="5"/>
  <c r="I83" i="5"/>
  <c r="I111" i="5"/>
  <c r="I75" i="5"/>
  <c r="I6" i="5"/>
  <c r="I120" i="5"/>
  <c r="I69" i="5"/>
  <c r="I80" i="5"/>
  <c r="I105" i="5"/>
  <c r="I124" i="5"/>
  <c r="I93" i="5"/>
  <c r="I81" i="5"/>
  <c r="I21" i="5"/>
  <c r="I107" i="5"/>
  <c r="I71" i="5"/>
  <c r="I97" i="5"/>
  <c r="I11" i="5"/>
  <c r="I18" i="5"/>
  <c r="I13" i="5"/>
  <c r="I59" i="5"/>
  <c r="I3" i="5"/>
  <c r="I122" i="5"/>
  <c r="I121" i="5"/>
  <c r="I78" i="5"/>
  <c r="I117" i="5"/>
  <c r="I101" i="5"/>
  <c r="I92" i="5"/>
  <c r="I51" i="5"/>
  <c r="I25" i="5"/>
  <c r="I48" i="5"/>
  <c r="I95" i="5"/>
  <c r="I110" i="5"/>
  <c r="I96" i="5"/>
  <c r="I68" i="5"/>
  <c r="I85" i="5"/>
  <c r="I89" i="5"/>
  <c r="I65" i="5"/>
  <c r="I114" i="5"/>
  <c r="I82" i="5"/>
  <c r="I43" i="5"/>
  <c r="I76" i="5"/>
  <c r="I104" i="5"/>
  <c r="I50" i="5"/>
  <c r="I37" i="5"/>
  <c r="I74" i="5"/>
  <c r="I99" i="5"/>
  <c r="I108" i="5"/>
  <c r="I72" i="5"/>
  <c r="I52" i="5"/>
  <c r="I125" i="5"/>
  <c r="I34" i="5"/>
  <c r="I54" i="5"/>
  <c r="I27" i="5"/>
  <c r="I57" i="5"/>
  <c r="I88" i="5"/>
  <c r="I26" i="5"/>
  <c r="I103" i="5"/>
  <c r="I45" i="5"/>
  <c r="I1" i="5"/>
  <c r="I60" i="5"/>
  <c r="I118" i="5"/>
  <c r="I90" i="5"/>
  <c r="I28" i="5"/>
  <c r="I31" i="5"/>
  <c r="I35" i="5"/>
  <c r="I62" i="5"/>
  <c r="I64" i="5"/>
  <c r="I8" i="5"/>
  <c r="I44" i="5"/>
  <c r="I24" i="5"/>
  <c r="I123" i="5"/>
  <c r="D29" i="6"/>
  <c r="C3538" i="12"/>
  <c r="E5" i="12" a="1"/>
  <c r="D5" i="12" a="1"/>
  <c r="C84" i="12"/>
  <c r="C83" i="12"/>
  <c r="D634" i="12" l="1"/>
  <c r="D1864" i="12"/>
  <c r="D3413" i="12"/>
  <c r="D1635" i="12"/>
  <c r="D2849" i="12"/>
  <c r="D3017" i="12"/>
  <c r="D716" i="12"/>
  <c r="D2949" i="12"/>
  <c r="D861" i="12"/>
  <c r="D2076" i="12"/>
  <c r="D3172" i="12"/>
  <c r="D660" i="12"/>
  <c r="D3026" i="12"/>
  <c r="D3296" i="12"/>
  <c r="D1774" i="12"/>
  <c r="D3489" i="12"/>
  <c r="D2654" i="12"/>
  <c r="D1028" i="12"/>
  <c r="D701" i="12"/>
  <c r="D1358" i="12"/>
  <c r="D3216" i="12"/>
  <c r="D990" i="12"/>
  <c r="D3512" i="12"/>
  <c r="D2812" i="12"/>
  <c r="D3336" i="12"/>
  <c r="D785" i="12"/>
  <c r="D2180" i="12"/>
  <c r="D656" i="12"/>
  <c r="D1888" i="12"/>
  <c r="D2329" i="12"/>
  <c r="D2881" i="12"/>
  <c r="D1340" i="12"/>
  <c r="D2269" i="12"/>
  <c r="D582" i="12"/>
  <c r="D1619" i="12"/>
  <c r="D2300" i="12"/>
  <c r="D2010" i="12"/>
  <c r="D536" i="12"/>
  <c r="D2806" i="12"/>
  <c r="D2078" i="12"/>
  <c r="D1965" i="12"/>
  <c r="D2575" i="12"/>
  <c r="D2780" i="12"/>
  <c r="D1187" i="12"/>
  <c r="D1434" i="12"/>
  <c r="D2687" i="12"/>
  <c r="D635" i="12"/>
  <c r="D2766" i="12"/>
  <c r="D1453" i="12"/>
  <c r="D2274" i="12"/>
  <c r="D1610" i="12"/>
  <c r="D2153" i="12"/>
  <c r="D1645" i="12"/>
  <c r="D2176" i="12"/>
  <c r="D1095" i="12"/>
  <c r="D3087" i="12"/>
  <c r="D3443" i="12"/>
  <c r="D1177" i="12"/>
  <c r="D466" i="12"/>
  <c r="D2139" i="12"/>
  <c r="D621" i="12"/>
  <c r="D2917" i="12"/>
  <c r="D478" i="12"/>
  <c r="D2941" i="12"/>
  <c r="D3210" i="12"/>
  <c r="D2430" i="12"/>
  <c r="D202" i="12"/>
  <c r="D2619" i="12"/>
  <c r="D702" i="12"/>
  <c r="D389" i="12"/>
  <c r="D2846" i="12"/>
  <c r="D3106" i="12"/>
  <c r="D2015" i="12"/>
  <c r="D2053" i="12"/>
  <c r="D433" i="12"/>
  <c r="D2695" i="12"/>
  <c r="D2931" i="12"/>
  <c r="D1555" i="12"/>
  <c r="D3148" i="12"/>
  <c r="D458" i="12"/>
  <c r="D898" i="12"/>
  <c r="D1520" i="12"/>
  <c r="D162" i="12"/>
  <c r="D1173" i="12"/>
  <c r="D3008" i="12"/>
  <c r="D3246" i="12"/>
  <c r="D1499" i="12"/>
  <c r="D687" i="12"/>
  <c r="D661" i="12"/>
  <c r="D1840" i="12"/>
  <c r="D492" i="12"/>
  <c r="D1617" i="12"/>
  <c r="D2144" i="12"/>
  <c r="D2031" i="12"/>
  <c r="D2268" i="12"/>
  <c r="D851" i="12"/>
  <c r="D1323" i="12"/>
  <c r="D278" i="12"/>
  <c r="D617" i="12"/>
  <c r="D377" i="12"/>
  <c r="D1503" i="12"/>
  <c r="D648" i="12"/>
  <c r="D264" i="12"/>
  <c r="D3129" i="12"/>
  <c r="D210" i="12"/>
  <c r="D147" i="12"/>
  <c r="D762" i="12"/>
  <c r="D1967" i="12"/>
  <c r="D2484" i="12"/>
  <c r="D1873" i="12"/>
  <c r="D222" i="12"/>
  <c r="D1454" i="12"/>
  <c r="D497" i="12"/>
  <c r="D2544" i="12"/>
  <c r="D3069" i="12"/>
  <c r="D1026" i="12"/>
  <c r="D1035" i="12"/>
  <c r="D1429" i="12"/>
  <c r="D677" i="12"/>
  <c r="D822" i="12"/>
  <c r="D2726" i="12"/>
  <c r="D926" i="12"/>
  <c r="D2203" i="12"/>
  <c r="D2947" i="12"/>
  <c r="D1469" i="12"/>
  <c r="D2569" i="12"/>
  <c r="D1362" i="12"/>
  <c r="D1242" i="12"/>
  <c r="D1452" i="12"/>
  <c r="D463" i="12"/>
  <c r="D3038" i="12"/>
  <c r="D490" i="12"/>
  <c r="D629" i="12"/>
  <c r="D1299" i="12"/>
  <c r="D806" i="12"/>
  <c r="D2911" i="12"/>
  <c r="D1932" i="12"/>
  <c r="D3299" i="12"/>
  <c r="D2820" i="12"/>
  <c r="D1209" i="12"/>
  <c r="D1562" i="12"/>
  <c r="D486" i="12"/>
  <c r="D2319" i="12"/>
  <c r="D223" i="12"/>
  <c r="D1047" i="12"/>
  <c r="D1566" i="12"/>
  <c r="D1885" i="12"/>
  <c r="D2865" i="12"/>
  <c r="D2466" i="12"/>
  <c r="D781" i="12"/>
  <c r="D2696" i="12"/>
  <c r="D3186" i="12"/>
  <c r="D156" i="12"/>
  <c r="D159" i="12"/>
  <c r="D3128" i="12"/>
  <c r="D1371" i="12"/>
  <c r="D2586" i="12"/>
  <c r="D357" i="12"/>
  <c r="D344" i="12"/>
  <c r="D2929" i="12"/>
  <c r="D47" i="12"/>
  <c r="D341" i="12"/>
  <c r="D2606" i="12"/>
  <c r="D1548" i="12"/>
  <c r="D1627" i="12"/>
  <c r="D3037" i="12"/>
  <c r="D1981" i="12"/>
  <c r="D334" i="12"/>
  <c r="D614" i="12"/>
  <c r="D3140" i="12"/>
  <c r="D11" i="12"/>
  <c r="D776" i="12"/>
  <c r="D2834" i="12"/>
  <c r="D1605" i="12"/>
  <c r="D2583" i="12"/>
  <c r="D3388" i="12"/>
  <c r="D1837" i="12"/>
  <c r="D3424" i="12"/>
  <c r="D2204" i="12"/>
  <c r="D390" i="12"/>
  <c r="D2644" i="12"/>
  <c r="D2083" i="12"/>
  <c r="D763" i="12"/>
  <c r="D2951" i="12"/>
  <c r="D3124" i="12"/>
  <c r="D1042" i="12"/>
  <c r="D3032" i="12"/>
  <c r="D2557" i="12"/>
  <c r="D16" i="12"/>
  <c r="D3135" i="12"/>
  <c r="D2877" i="12"/>
  <c r="D1325" i="12"/>
  <c r="D2874" i="12"/>
  <c r="D2476" i="12"/>
  <c r="D775" i="12"/>
  <c r="D3404" i="12"/>
  <c r="D3530" i="12"/>
  <c r="D1071" i="12"/>
  <c r="D2622" i="12"/>
  <c r="D2914" i="12"/>
  <c r="D292" i="12"/>
  <c r="D641" i="12"/>
  <c r="D2752" i="12"/>
  <c r="D186" i="12"/>
  <c r="D2869" i="12"/>
  <c r="D2333" i="12"/>
  <c r="D3322" i="12"/>
  <c r="D1376" i="12"/>
  <c r="D2926" i="12"/>
  <c r="D535" i="12"/>
  <c r="D2918" i="12"/>
  <c r="D2981" i="12"/>
  <c r="D613" i="12"/>
  <c r="D3285" i="12"/>
  <c r="D2788" i="12"/>
  <c r="D3515" i="12"/>
  <c r="D2699" i="12"/>
  <c r="D133" i="12"/>
  <c r="D2308" i="12"/>
  <c r="D1991" i="12"/>
  <c r="D2819" i="12"/>
  <c r="D1846" i="12"/>
  <c r="D1945" i="12"/>
  <c r="D1964" i="12"/>
  <c r="D1174" i="12"/>
  <c r="D220" i="12"/>
  <c r="D2899" i="12"/>
  <c r="D2913" i="12"/>
  <c r="D448" i="12"/>
  <c r="D2091" i="12"/>
  <c r="D796" i="12"/>
  <c r="D276" i="12"/>
  <c r="D877" i="12"/>
  <c r="D194" i="12"/>
  <c r="D2540" i="12"/>
  <c r="D470" i="12"/>
  <c r="D1973" i="12"/>
  <c r="D1510" i="12"/>
  <c r="D1435" i="12"/>
  <c r="D1559" i="12"/>
  <c r="D3220" i="12"/>
  <c r="D637" i="12"/>
  <c r="D3139" i="12"/>
  <c r="D2767" i="12"/>
  <c r="D1273" i="12"/>
  <c r="D3359" i="12"/>
  <c r="D2873" i="12"/>
  <c r="D3402" i="12"/>
  <c r="D2502" i="12"/>
  <c r="D3051" i="12"/>
  <c r="D518" i="12"/>
  <c r="D1922" i="12"/>
  <c r="D396" i="12"/>
  <c r="D2175" i="12"/>
  <c r="D3031" i="12"/>
  <c r="D191" i="12"/>
  <c r="D2455" i="12"/>
  <c r="D2963" i="12"/>
  <c r="D1232" i="12"/>
  <c r="D1170" i="12"/>
  <c r="D795" i="12"/>
  <c r="D3511" i="12"/>
  <c r="D2462" i="12"/>
  <c r="D3254" i="12"/>
  <c r="D569" i="12"/>
  <c r="D1931" i="12"/>
  <c r="D1241" i="12"/>
  <c r="D3217" i="12"/>
  <c r="D1129" i="12"/>
  <c r="D570" i="12"/>
  <c r="D559" i="12"/>
  <c r="D3179" i="12"/>
  <c r="D2577" i="12"/>
  <c r="D2887" i="12"/>
  <c r="D2888" i="12"/>
  <c r="D2681" i="12"/>
  <c r="D3259" i="12"/>
  <c r="D173" i="12"/>
  <c r="D2124" i="12"/>
  <c r="D376" i="12"/>
  <c r="D329" i="12"/>
  <c r="D2434" i="12"/>
  <c r="D1821" i="12"/>
  <c r="D2479" i="12"/>
  <c r="D943" i="12"/>
  <c r="D2035" i="12"/>
  <c r="D2735" i="12"/>
  <c r="D55" i="12"/>
  <c r="D2158" i="12"/>
  <c r="D2477" i="12"/>
  <c r="D1669" i="12"/>
  <c r="D122" i="12"/>
  <c r="D1408" i="12"/>
  <c r="D999" i="12"/>
  <c r="D2602" i="12"/>
  <c r="D1033" i="12"/>
  <c r="D211" i="12"/>
  <c r="D1630" i="12"/>
  <c r="D1650" i="12"/>
  <c r="D1314" i="12"/>
  <c r="D1929" i="12"/>
  <c r="D1482" i="12"/>
  <c r="D1611" i="12"/>
  <c r="D744" i="12"/>
  <c r="D1252" i="12"/>
  <c r="D956" i="12"/>
  <c r="D1602" i="12"/>
  <c r="D2121" i="12"/>
  <c r="D3368" i="12"/>
  <c r="D1731" i="12"/>
  <c r="D2698" i="12"/>
  <c r="D249" i="12"/>
  <c r="D3500" i="12"/>
  <c r="D2659" i="12"/>
  <c r="D2282" i="12"/>
  <c r="D2024" i="12"/>
  <c r="D1691" i="12"/>
  <c r="D709" i="12"/>
  <c r="D295" i="12"/>
  <c r="D3063" i="12"/>
  <c r="D937" i="12"/>
  <c r="D1935" i="12"/>
  <c r="D2787" i="12"/>
  <c r="D3406" i="12"/>
  <c r="D1802" i="12"/>
  <c r="D879" i="12"/>
  <c r="D1380" i="12"/>
  <c r="D2910" i="12"/>
  <c r="D1851" i="12"/>
  <c r="D3481" i="12"/>
  <c r="D2797" i="12"/>
  <c r="D442" i="12"/>
  <c r="D2231" i="12"/>
  <c r="D2745" i="12"/>
  <c r="D2205" i="12"/>
  <c r="D2370" i="12"/>
  <c r="D1185" i="12"/>
  <c r="D2795" i="12"/>
  <c r="D2677" i="12"/>
  <c r="D2454" i="12"/>
  <c r="D2368" i="12"/>
  <c r="D2439" i="12"/>
  <c r="D2409" i="12"/>
  <c r="D2296" i="12"/>
  <c r="D2022" i="12"/>
  <c r="D2616" i="12"/>
  <c r="D13" i="12"/>
  <c r="D561" i="12"/>
  <c r="D773" i="12"/>
  <c r="D920" i="12"/>
  <c r="D2629" i="12"/>
  <c r="D3245" i="12"/>
  <c r="D1328" i="12"/>
  <c r="D469" i="12"/>
  <c r="D1736" i="12"/>
  <c r="D1451" i="12"/>
  <c r="D1098" i="12"/>
  <c r="D3409" i="12"/>
  <c r="D128" i="12"/>
  <c r="D258" i="12"/>
  <c r="D2046" i="12"/>
  <c r="D1961" i="12"/>
  <c r="D2861" i="12"/>
  <c r="D1133" i="12"/>
  <c r="D2393" i="12"/>
  <c r="D146" i="12"/>
  <c r="D2377" i="12"/>
  <c r="D2405" i="12"/>
  <c r="D2688" i="12"/>
  <c r="D1914" i="12"/>
  <c r="D1689" i="12"/>
  <c r="D3314" i="12"/>
  <c r="D2073" i="12"/>
  <c r="D1679" i="12"/>
  <c r="D1694" i="12"/>
  <c r="D383" i="12"/>
  <c r="D788" i="12"/>
  <c r="D332" i="12"/>
  <c r="D297" i="12"/>
  <c r="D2649" i="12"/>
  <c r="D343" i="12"/>
  <c r="D2052" i="12"/>
  <c r="D1360" i="12"/>
  <c r="D115" i="12"/>
  <c r="D688" i="12"/>
  <c r="D1165" i="12"/>
  <c r="D2674" i="12"/>
  <c r="D1467" i="12"/>
  <c r="D2335" i="12"/>
  <c r="D310" i="12"/>
  <c r="D2006" i="12"/>
  <c r="D40" i="12"/>
  <c r="D3483" i="12"/>
  <c r="D2738" i="12"/>
  <c r="D309" i="12"/>
  <c r="D2250" i="12"/>
  <c r="D1402" i="12"/>
  <c r="D2192" i="12"/>
  <c r="D349" i="12"/>
  <c r="D2267" i="12"/>
  <c r="D3223" i="12"/>
  <c r="D3243" i="12"/>
  <c r="D3235" i="12"/>
  <c r="D1714" i="12"/>
  <c r="D3082" i="12"/>
  <c r="D34" i="12"/>
  <c r="D1791" i="12"/>
  <c r="D579" i="12"/>
  <c r="D1216" i="12"/>
  <c r="D2081" i="12"/>
  <c r="D791" i="12"/>
  <c r="D1306" i="12"/>
  <c r="D1116" i="12"/>
  <c r="D3364" i="12"/>
  <c r="D638" i="12"/>
  <c r="D1384" i="12"/>
  <c r="D3407" i="12"/>
  <c r="D2731" i="12"/>
  <c r="D2030" i="12"/>
  <c r="D1223" i="12"/>
  <c r="D2275" i="12"/>
  <c r="D2744" i="12"/>
  <c r="D270" i="12"/>
  <c r="D3070" i="12"/>
  <c r="D929" i="12"/>
  <c r="D2171" i="12"/>
  <c r="D315" i="12"/>
  <c r="D406" i="12"/>
  <c r="D923" i="12"/>
  <c r="D2118" i="12"/>
  <c r="D2467" i="12"/>
  <c r="D706" i="12"/>
  <c r="D2828" i="12"/>
  <c r="D3058" i="12"/>
  <c r="D2209" i="12"/>
  <c r="D3315" i="12"/>
  <c r="D537" i="12"/>
  <c r="D1989" i="12"/>
  <c r="D1162" i="12"/>
  <c r="D1324" i="12"/>
  <c r="D1291" i="12"/>
  <c r="D3125" i="12"/>
  <c r="D2367" i="12"/>
  <c r="D2208" i="12"/>
  <c r="D1301" i="12"/>
  <c r="D2237" i="12"/>
  <c r="D3444" i="12"/>
  <c r="D3224" i="12"/>
  <c r="D654" i="12"/>
  <c r="D44" i="12"/>
  <c r="D1009" i="12"/>
  <c r="D712" i="12"/>
  <c r="D227" i="12"/>
  <c r="D1700" i="12"/>
  <c r="D2508" i="12"/>
  <c r="D3238" i="12"/>
  <c r="D1938" i="12"/>
  <c r="D2837" i="12"/>
  <c r="D457" i="12"/>
  <c r="D979" i="12"/>
  <c r="D974" i="12"/>
  <c r="D415" i="12"/>
  <c r="D3266" i="12"/>
  <c r="D2600" i="12"/>
  <c r="D720" i="12"/>
  <c r="D1557" i="12"/>
  <c r="D2411" i="12"/>
  <c r="D524" i="12"/>
  <c r="D2890" i="12"/>
  <c r="D2578" i="12"/>
  <c r="D3332" i="12"/>
  <c r="D14" i="12"/>
  <c r="D1647" i="12"/>
  <c r="D351" i="12"/>
  <c r="D2660" i="12"/>
  <c r="D1957" i="12"/>
  <c r="D608" i="12"/>
  <c r="D2093" i="12"/>
  <c r="D1109" i="12"/>
  <c r="D197" i="12"/>
  <c r="D742" i="12"/>
  <c r="D3105" i="12"/>
  <c r="D1753" i="12"/>
  <c r="D2601" i="12"/>
  <c r="D1684" i="12"/>
  <c r="D257" i="12"/>
  <c r="D1189" i="12"/>
  <c r="D843" i="12"/>
  <c r="D3262" i="12"/>
  <c r="D1260" i="12"/>
  <c r="D1279" i="12"/>
  <c r="D2350" i="12"/>
  <c r="D941" i="12"/>
  <c r="D3028" i="12"/>
  <c r="D2246" i="12"/>
  <c r="D1495" i="12"/>
  <c r="D3418" i="12"/>
  <c r="D3197" i="12"/>
  <c r="D2156" i="12"/>
  <c r="D1683" i="12"/>
  <c r="D212" i="12"/>
  <c r="D1215" i="12"/>
  <c r="D82" i="12"/>
  <c r="D1421" i="12"/>
  <c r="D1487" i="12"/>
  <c r="D3301" i="12"/>
  <c r="D274" i="12"/>
  <c r="D21" i="12"/>
  <c r="D2229" i="12"/>
  <c r="D399" i="12"/>
  <c r="D3085" i="12"/>
  <c r="D3035" i="12"/>
  <c r="D2146" i="12"/>
  <c r="D1710" i="12"/>
  <c r="D986" i="12"/>
  <c r="D2904" i="12"/>
  <c r="D1539" i="12"/>
  <c r="D560" i="12"/>
  <c r="D1706" i="12"/>
  <c r="D266" i="12"/>
  <c r="D3480" i="12"/>
  <c r="D3256" i="12"/>
  <c r="D2328" i="12"/>
  <c r="D2999" i="12"/>
  <c r="D3175" i="12"/>
  <c r="D966" i="12"/>
  <c r="D2105" i="12"/>
  <c r="D2431" i="12"/>
  <c r="D1987" i="12"/>
  <c r="D218" i="12"/>
  <c r="D1051" i="12"/>
  <c r="D74" i="12"/>
  <c r="D511" i="12"/>
  <c r="D2386" i="12"/>
  <c r="D1341" i="12"/>
  <c r="D2313" i="12"/>
  <c r="D2770" i="12"/>
  <c r="D2751" i="12"/>
  <c r="D3141" i="12"/>
  <c r="D578" i="12"/>
  <c r="D2813" i="12"/>
  <c r="D1345" i="12"/>
  <c r="D301" i="12"/>
  <c r="D693" i="12"/>
  <c r="D3367" i="12"/>
  <c r="D2283" i="12"/>
  <c r="D2855" i="12"/>
  <c r="D1083" i="12"/>
  <c r="D2322" i="12"/>
  <c r="D126" i="12"/>
  <c r="D3510" i="12"/>
  <c r="D3113" i="12"/>
  <c r="D1253" i="12"/>
  <c r="D2851" i="12"/>
  <c r="D1839" i="12"/>
  <c r="D3435" i="12"/>
  <c r="D3164" i="12"/>
  <c r="D1213" i="12"/>
  <c r="D2609" i="12"/>
  <c r="D3307" i="12"/>
  <c r="D3171" i="12"/>
  <c r="D2537" i="12"/>
  <c r="D2889" i="12"/>
  <c r="D1044" i="12"/>
  <c r="D659" i="12"/>
  <c r="D562" i="12"/>
  <c r="D1518" i="12"/>
  <c r="D2148" i="12"/>
  <c r="D1186" i="12"/>
  <c r="D2979" i="12"/>
  <c r="D1143" i="12"/>
  <c r="D2138" i="12"/>
  <c r="D972" i="12"/>
  <c r="D3084" i="12"/>
  <c r="D2201" i="12"/>
  <c r="D1460" i="12"/>
  <c r="D1105" i="12"/>
  <c r="D33" i="12"/>
  <c r="D2998" i="12"/>
  <c r="D1248" i="12"/>
  <c r="D456" i="12"/>
  <c r="D1020" i="12"/>
  <c r="D1147" i="12"/>
  <c r="D65" i="12"/>
  <c r="D435" i="12"/>
  <c r="D361" i="12"/>
  <c r="D3144" i="12"/>
  <c r="D2130" i="12"/>
  <c r="D1870" i="12"/>
  <c r="D3287" i="12"/>
  <c r="D526" i="12"/>
  <c r="D3439" i="12"/>
  <c r="D2056" i="12"/>
  <c r="D1889" i="12"/>
  <c r="D3165" i="12"/>
  <c r="D1573" i="12"/>
  <c r="D2658" i="12"/>
  <c r="D1603" i="12"/>
  <c r="D168" i="12"/>
  <c r="D790" i="12"/>
  <c r="D2848" i="12"/>
  <c r="D303" i="12"/>
  <c r="D2608" i="12"/>
  <c r="D1498" i="12"/>
  <c r="D1629" i="12"/>
  <c r="D151" i="12"/>
  <c r="D2235" i="12"/>
  <c r="D1172" i="12"/>
  <c r="D167" i="12"/>
  <c r="D1181" i="12"/>
  <c r="D2307" i="12"/>
  <c r="D649" i="12"/>
  <c r="D1675" i="12"/>
  <c r="D3421" i="12"/>
  <c r="D595" i="12"/>
  <c r="D1086" i="12"/>
  <c r="D2278" i="12"/>
  <c r="D2111" i="12"/>
  <c r="D2094" i="12"/>
  <c r="D672" i="12"/>
  <c r="D2257" i="12"/>
  <c r="D597" i="12"/>
  <c r="D1549" i="12"/>
  <c r="D1289" i="12"/>
  <c r="D1570" i="12"/>
  <c r="D1844" i="12"/>
  <c r="D2541" i="12"/>
  <c r="D2482" i="12"/>
  <c r="D1032" i="12"/>
  <c r="D871" i="12"/>
  <c r="D1993" i="12"/>
  <c r="D1594" i="12"/>
  <c r="D782" i="12"/>
  <c r="D2478" i="12"/>
  <c r="D372" i="12"/>
  <c r="D845" i="12"/>
  <c r="D417" i="12"/>
  <c r="D834" i="12"/>
  <c r="D1193" i="12"/>
  <c r="D1420" i="12"/>
  <c r="D2518" i="12"/>
  <c r="D3205" i="12"/>
  <c r="D1440" i="12"/>
  <c r="D2458" i="12"/>
  <c r="D2809" i="12"/>
  <c r="D2331" i="12"/>
  <c r="D1517" i="12"/>
  <c r="D3492" i="12"/>
  <c r="D2599" i="12"/>
  <c r="D1490" i="12"/>
  <c r="D2248" i="12"/>
  <c r="D388" i="12"/>
  <c r="D1765" i="12"/>
  <c r="D3457" i="12"/>
  <c r="D1268" i="12"/>
  <c r="D2801" i="12"/>
  <c r="D1677" i="12"/>
  <c r="D1212" i="12"/>
  <c r="D2709" i="12"/>
  <c r="D2106" i="12"/>
  <c r="D395" i="12"/>
  <c r="D835" i="12"/>
  <c r="D1283" i="12"/>
  <c r="D1702" i="12"/>
  <c r="D308" i="12"/>
  <c r="D2043" i="12"/>
  <c r="D554" i="12"/>
  <c r="D1639" i="12"/>
  <c r="D356" i="12"/>
  <c r="D904" i="12"/>
  <c r="D975" i="12"/>
  <c r="D897" i="12"/>
  <c r="D3195" i="12"/>
  <c r="D3214" i="12"/>
  <c r="D1228" i="12"/>
  <c r="D2501" i="12"/>
  <c r="D2894" i="12"/>
  <c r="D2362" i="12"/>
  <c r="D2424" i="12"/>
  <c r="D627" i="12"/>
  <c r="D556" i="12"/>
  <c r="D139" i="12"/>
  <c r="D1018" i="12"/>
  <c r="D3120" i="12"/>
  <c r="D973" i="12"/>
  <c r="D2937" i="12"/>
  <c r="D3071" i="12"/>
  <c r="D1568" i="12"/>
  <c r="D2604" i="12"/>
  <c r="D2529" i="12"/>
  <c r="D528" i="12"/>
  <c r="D112" i="12"/>
  <c r="D233" i="12"/>
  <c r="D3429" i="12"/>
  <c r="D204" i="12"/>
  <c r="D1407" i="12"/>
  <c r="D1767" i="12"/>
  <c r="D1423" i="12"/>
  <c r="D3193" i="12"/>
  <c r="D708" i="12"/>
  <c r="D1350" i="12"/>
  <c r="D1439" i="12"/>
  <c r="D1633" i="12"/>
  <c r="D2527" i="12"/>
  <c r="D3304" i="12"/>
  <c r="D429" i="12"/>
  <c r="D268" i="12"/>
  <c r="D2272" i="12"/>
  <c r="D3094" i="12"/>
  <c r="D431" i="12"/>
  <c r="D2446" i="12"/>
  <c r="D2356" i="12"/>
  <c r="D198" i="12"/>
  <c r="D507" i="12"/>
  <c r="D1292" i="12"/>
  <c r="D1353" i="12"/>
  <c r="D2189" i="12"/>
  <c r="D2359" i="12"/>
  <c r="D3405" i="12"/>
  <c r="D1249" i="12"/>
  <c r="D316" i="12"/>
  <c r="D1835" i="12"/>
  <c r="D2860" i="12"/>
  <c r="D2092" i="12"/>
  <c r="D2983" i="12"/>
  <c r="D2968" i="12"/>
  <c r="D1063" i="12"/>
  <c r="D1579" i="12"/>
  <c r="D2396" i="12"/>
  <c r="D2110" i="12"/>
  <c r="D271" i="12"/>
  <c r="D184" i="12"/>
  <c r="D964" i="12"/>
  <c r="D2361" i="12"/>
  <c r="D1081" i="12"/>
  <c r="D632" i="12"/>
  <c r="D1872" i="12"/>
  <c r="D809" i="12"/>
  <c r="D1432" i="12"/>
  <c r="D1578" i="12"/>
  <c r="D1681" i="12"/>
  <c r="D239" i="12"/>
  <c r="D735" i="12"/>
  <c r="D1865" i="12"/>
  <c r="D3354" i="12"/>
  <c r="D751" i="12"/>
  <c r="D25" i="12"/>
  <c r="D3471" i="12"/>
  <c r="D3312" i="12"/>
  <c r="D1915" i="12"/>
  <c r="D2442" i="12"/>
  <c r="D3297" i="12"/>
  <c r="D2437" i="12"/>
  <c r="D1183" i="12"/>
  <c r="D3341" i="12"/>
  <c r="D2097" i="12"/>
  <c r="D2181" i="12"/>
  <c r="D2334" i="12"/>
  <c r="D1419" i="12"/>
  <c r="D2521" i="12"/>
  <c r="D1206" i="12"/>
  <c r="D1278" i="12"/>
  <c r="D2631" i="12"/>
  <c r="D1792" i="12"/>
  <c r="D325" i="12"/>
  <c r="D2785" i="12"/>
  <c r="D2571" i="12"/>
  <c r="D2365" i="12"/>
  <c r="D127" i="12"/>
  <c r="D1956" i="12"/>
  <c r="D3461" i="12"/>
  <c r="D593" i="12"/>
  <c r="D1983" i="12"/>
  <c r="D2630" i="12"/>
  <c r="D1465" i="12"/>
  <c r="D71" i="12"/>
  <c r="D1756" i="12"/>
  <c r="D860" i="12"/>
  <c r="D1315" i="12"/>
  <c r="D3218" i="12"/>
  <c r="D3337" i="12"/>
  <c r="D135" i="12"/>
  <c r="D3137" i="12"/>
  <c r="D725" i="12"/>
  <c r="D2232" i="12"/>
  <c r="D2114" i="12"/>
  <c r="D3252" i="12"/>
  <c r="D1313" i="12"/>
  <c r="D1556" i="12"/>
  <c r="D2531" i="12"/>
  <c r="D2140" i="12"/>
  <c r="D514" i="12"/>
  <c r="D1502" i="12"/>
  <c r="D2279" i="12"/>
  <c r="D925" i="12"/>
  <c r="D2375" i="12"/>
  <c r="D2099" i="12"/>
  <c r="D3047" i="12"/>
  <c r="D2216" i="12"/>
  <c r="D2530" i="12"/>
  <c r="D2021" i="12"/>
  <c r="D2254" i="12"/>
  <c r="D57" i="12"/>
  <c r="D3215" i="12"/>
  <c r="D2902" i="12"/>
  <c r="D594" i="12"/>
  <c r="D331" i="12"/>
  <c r="D1901" i="12"/>
  <c r="D1746" i="12"/>
  <c r="D982" i="12"/>
  <c r="D1824" i="12"/>
  <c r="D1585" i="12"/>
  <c r="D3192" i="12"/>
  <c r="D1180" i="12"/>
  <c r="D130" i="12"/>
  <c r="D910" i="12"/>
  <c r="D749" i="12"/>
  <c r="D1646" i="12"/>
  <c r="D515" i="12"/>
  <c r="D1806" i="12"/>
  <c r="D3207" i="12"/>
  <c r="D938" i="12"/>
  <c r="D235" i="12"/>
  <c r="D1999" i="12"/>
  <c r="D3025" i="12"/>
  <c r="D1442" i="12"/>
  <c r="D1448" i="12"/>
  <c r="D3375" i="12"/>
  <c r="D2711" i="12"/>
  <c r="D2270" i="12"/>
  <c r="D2859" i="12"/>
  <c r="D1917" i="12"/>
  <c r="D2136" i="12"/>
  <c r="D421" i="12"/>
  <c r="D418" i="12"/>
  <c r="D2627" i="12"/>
  <c r="D3535" i="12"/>
  <c r="D868" i="12"/>
  <c r="D2167" i="12"/>
  <c r="D5" i="12"/>
  <c r="D2764" i="12"/>
  <c r="D3365" i="12"/>
  <c r="D2582" i="12"/>
  <c r="D2565" i="12"/>
  <c r="D1752" i="12"/>
  <c r="D2878" i="12"/>
  <c r="D870" i="12"/>
  <c r="D2506" i="12"/>
  <c r="D447" i="12"/>
  <c r="D3310" i="12"/>
  <c r="D948" i="12"/>
  <c r="D1651" i="12"/>
  <c r="D241" i="12"/>
  <c r="D92" i="12"/>
  <c r="D1781" i="12"/>
  <c r="D2408" i="12"/>
  <c r="D3506" i="12"/>
  <c r="D3027" i="12"/>
  <c r="D2641" i="12"/>
  <c r="D650" i="12"/>
  <c r="D1763" i="12"/>
  <c r="D2701" i="12"/>
  <c r="D1866" i="12"/>
  <c r="D3250" i="12"/>
  <c r="D2227" i="12"/>
  <c r="D1924" i="12"/>
  <c r="D2953" i="12"/>
  <c r="D1903" i="12"/>
  <c r="D1738" i="12"/>
  <c r="D2534" i="12"/>
  <c r="D3188" i="12"/>
  <c r="D2991" i="12"/>
  <c r="D1827" i="12"/>
  <c r="D1902" i="12"/>
  <c r="D1688" i="12"/>
  <c r="D1481" i="12"/>
  <c r="D2594" i="12"/>
  <c r="D833" i="12"/>
  <c r="D63" i="12"/>
  <c r="D545" i="12"/>
  <c r="D3015" i="12"/>
  <c r="D2366" i="12"/>
  <c r="D2385" i="12"/>
  <c r="D1920" i="12"/>
  <c r="D1946" i="12"/>
  <c r="D3005" i="12"/>
  <c r="D2789" i="12"/>
  <c r="D1356" i="12"/>
  <c r="D3329" i="12"/>
  <c r="D2841" i="12"/>
  <c r="D1825" i="12"/>
  <c r="D865" i="12"/>
  <c r="D1005" i="12"/>
  <c r="D1102" i="12"/>
  <c r="D23" i="12"/>
  <c r="D754" i="12"/>
  <c r="D670" i="12"/>
  <c r="D3438" i="12"/>
  <c r="D3291" i="12"/>
  <c r="D2048" i="12"/>
  <c r="D2958" i="12"/>
  <c r="D1728" i="12"/>
  <c r="D531" i="12"/>
  <c r="D903" i="12"/>
  <c r="D963" i="12"/>
  <c r="D2276" i="12"/>
  <c r="D1049" i="12"/>
  <c r="D42" i="12"/>
  <c r="D539" i="12"/>
  <c r="D1730" i="12"/>
  <c r="D1351" i="12"/>
  <c r="D138" i="12"/>
  <c r="D1682" i="12"/>
  <c r="D3004" i="12"/>
  <c r="D825" i="12"/>
  <c r="D3386" i="12"/>
  <c r="D2771" i="12"/>
  <c r="D1050" i="12"/>
  <c r="D2733" i="12"/>
  <c r="D3463" i="12"/>
  <c r="D379" i="12"/>
  <c r="D804" i="12"/>
  <c r="D472" i="12"/>
  <c r="D1817" i="12"/>
  <c r="D2759" i="12"/>
  <c r="D769" i="12"/>
  <c r="D2039" i="12"/>
  <c r="D3524" i="12"/>
  <c r="D1483" i="12"/>
  <c r="D216" i="12"/>
  <c r="D1039" i="12"/>
  <c r="D643" i="12"/>
  <c r="D2535" i="12"/>
  <c r="D141" i="12"/>
  <c r="D180" i="12"/>
  <c r="D1401" i="12"/>
  <c r="D2374" i="12"/>
  <c r="D2666" i="12"/>
  <c r="D626" i="12"/>
  <c r="D2762" i="12"/>
  <c r="D737" i="12"/>
  <c r="D1433" i="12"/>
  <c r="D62" i="12"/>
  <c r="D1310" i="12"/>
  <c r="D3253" i="12"/>
  <c r="D2605" i="12"/>
  <c r="D3198" i="12"/>
  <c r="D3016" i="12"/>
  <c r="D2284" i="12"/>
  <c r="D2742" i="12"/>
  <c r="D610" i="12"/>
  <c r="D2040" i="12"/>
  <c r="D3459" i="12"/>
  <c r="D3324" i="12"/>
  <c r="D2511" i="12"/>
  <c r="D2693" i="12"/>
  <c r="D3420" i="12"/>
  <c r="D3255" i="12"/>
  <c r="D686" i="12"/>
  <c r="D100" i="12"/>
  <c r="D175" i="12"/>
  <c r="D1554" i="12"/>
  <c r="D1778" i="12"/>
  <c r="D3073" i="12"/>
  <c r="D3455" i="12"/>
  <c r="D2672" i="12"/>
  <c r="D1845" i="12"/>
  <c r="D2694" i="12"/>
  <c r="D1091" i="12"/>
  <c r="D3034" i="12"/>
  <c r="D3458" i="12"/>
  <c r="D101" i="12"/>
  <c r="D3268" i="12"/>
  <c r="D1893" i="12"/>
  <c r="D2433" i="12"/>
  <c r="D2036" i="12"/>
  <c r="D1880" i="12"/>
  <c r="D1670" i="12"/>
  <c r="D2980" i="12"/>
  <c r="D366" i="12"/>
  <c r="D1076" i="12"/>
  <c r="D3381" i="12"/>
  <c r="D1492" i="12"/>
  <c r="D2323" i="12"/>
  <c r="D1346" i="12"/>
  <c r="D3442" i="12"/>
  <c r="D1522" i="12"/>
  <c r="D1060" i="12"/>
  <c r="D3441" i="12"/>
  <c r="D2090" i="12"/>
  <c r="D540" i="12"/>
  <c r="D409" i="12"/>
  <c r="D326" i="12"/>
  <c r="D965" i="12"/>
  <c r="D997" i="12"/>
  <c r="D1818" i="12"/>
  <c r="D1537" i="12"/>
  <c r="D601" i="12"/>
  <c r="D1161" i="12"/>
  <c r="D715" i="12"/>
  <c r="D1368" i="12"/>
  <c r="D644" i="12"/>
  <c r="D2593" i="12"/>
  <c r="D3369" i="12"/>
  <c r="D6" i="12"/>
  <c r="D1415" i="12"/>
  <c r="D717" i="12"/>
  <c r="D2536" i="12"/>
  <c r="D2170" i="12"/>
  <c r="D1997" i="12"/>
  <c r="D2223" i="12"/>
  <c r="D2995" i="12"/>
  <c r="D960" i="12"/>
  <c r="D2532" i="12"/>
  <c r="D2137" i="12"/>
  <c r="D248" i="12"/>
  <c r="D574" i="12"/>
  <c r="D1748" i="12"/>
  <c r="D1760" i="12"/>
  <c r="D261" i="12"/>
  <c r="D739" i="12"/>
  <c r="D3448" i="12"/>
  <c r="D2003" i="12"/>
  <c r="D2019" i="12"/>
  <c r="D1913" i="12"/>
  <c r="D185" i="12"/>
  <c r="D378" i="12"/>
  <c r="D3080" i="12"/>
  <c r="D1293" i="12"/>
  <c r="D342" i="12"/>
  <c r="D2239" i="12"/>
  <c r="D312" i="12"/>
  <c r="D1745" i="12"/>
  <c r="D508" i="12"/>
  <c r="D981" i="12"/>
  <c r="D27" i="12"/>
  <c r="D793" i="12"/>
  <c r="D39" i="12"/>
  <c r="D1657" i="12"/>
  <c r="D858" i="12"/>
  <c r="D878" i="12"/>
  <c r="D2152" i="12"/>
  <c r="D1883" i="12"/>
  <c r="D1615" i="12"/>
  <c r="D3153" i="12"/>
  <c r="D2543" i="12"/>
  <c r="D283" i="12"/>
  <c r="D1868" i="12"/>
  <c r="D2198" i="12"/>
  <c r="D1406" i="12"/>
  <c r="D2214" i="12"/>
  <c r="D3234" i="12"/>
  <c r="D3430" i="12"/>
  <c r="D1312" i="12"/>
  <c r="D1687" i="12"/>
  <c r="D2295" i="12"/>
  <c r="D1995" i="12"/>
  <c r="D1182" i="12"/>
  <c r="D510" i="12"/>
  <c r="D3056" i="12"/>
  <c r="D1164" i="12"/>
  <c r="D362" i="12"/>
  <c r="D3389" i="12"/>
  <c r="D1940" i="12"/>
  <c r="D2564" i="12"/>
  <c r="D116" i="12"/>
  <c r="D1854" i="12"/>
  <c r="D3273" i="12"/>
  <c r="D3497" i="12"/>
  <c r="D1437" i="12"/>
  <c r="D787" i="12"/>
  <c r="D504" i="12"/>
  <c r="D1093" i="12"/>
  <c r="D3298" i="12"/>
  <c r="D1884" i="12"/>
  <c r="D3227" i="12"/>
  <c r="D2321" i="12"/>
  <c r="D2217" i="12"/>
  <c r="D1361" i="12"/>
  <c r="D2512" i="12"/>
  <c r="D31" i="12"/>
  <c r="D2273" i="12"/>
  <c r="D2831" i="12"/>
  <c r="D1038" i="12"/>
  <c r="D2125" i="12"/>
  <c r="D2473" i="12"/>
  <c r="D1296" i="12"/>
  <c r="D3117" i="12"/>
  <c r="D1074" i="12"/>
  <c r="D1079" i="12"/>
  <c r="D2330" i="12"/>
  <c r="D1672" i="12"/>
  <c r="D3536" i="12"/>
  <c r="D995" i="12"/>
  <c r="D1810" i="12"/>
  <c r="D2519" i="12"/>
  <c r="D1092" i="12"/>
  <c r="D3522" i="12"/>
  <c r="D3122" i="12"/>
  <c r="D166" i="12"/>
  <c r="D942" i="12"/>
  <c r="D616" i="12"/>
  <c r="D2651" i="12"/>
  <c r="D68" i="12"/>
  <c r="D1202" i="12"/>
  <c r="D764" i="12"/>
  <c r="D45" i="12"/>
  <c r="D919" i="12"/>
  <c r="D1077" i="12"/>
  <c r="D697" i="12"/>
  <c r="D1449" i="12"/>
  <c r="D1043" i="12"/>
  <c r="D144" i="12"/>
  <c r="D149" i="12"/>
  <c r="D1197" i="12"/>
  <c r="D78" i="12"/>
  <c r="D2758" i="12"/>
  <c r="D2150" i="12"/>
  <c r="D1282" i="12"/>
  <c r="D1641" i="12"/>
  <c r="D2920" i="12"/>
  <c r="D2211" i="12"/>
  <c r="D2504" i="12"/>
  <c r="D1422" i="12"/>
  <c r="D2299" i="12"/>
  <c r="D2098" i="12"/>
  <c r="D84" i="12"/>
  <c r="D3358" i="12"/>
  <c r="D2570" i="12"/>
  <c r="D214" i="12"/>
  <c r="D816" i="12"/>
  <c r="D2420" i="12"/>
  <c r="D1488" i="12"/>
  <c r="D1950" i="12"/>
  <c r="D3496" i="12"/>
  <c r="D1059" i="12"/>
  <c r="D1853" i="12"/>
  <c r="D2187" i="12"/>
  <c r="D455" i="12"/>
  <c r="D3020" i="12"/>
  <c r="D2417" i="12"/>
  <c r="D367" i="12"/>
  <c r="D3465" i="12"/>
  <c r="D1665" i="12"/>
  <c r="D509" i="12"/>
  <c r="D2990" i="12"/>
  <c r="D652" i="12"/>
  <c r="D3190" i="12"/>
  <c r="D2755" i="12"/>
  <c r="D1775" i="12"/>
  <c r="D581" i="12"/>
  <c r="D679" i="12"/>
  <c r="D3391" i="12"/>
  <c r="D2089" i="12"/>
  <c r="D3503" i="12"/>
  <c r="D2067" i="12"/>
  <c r="D3086" i="12"/>
  <c r="D3434" i="12"/>
  <c r="D2566" i="12"/>
  <c r="D380" i="12"/>
  <c r="D2722" i="12"/>
  <c r="D1455" i="12"/>
  <c r="D2095" i="12"/>
  <c r="D2480" i="12"/>
  <c r="D2805" i="12"/>
  <c r="D335" i="12"/>
  <c r="D935" i="12"/>
  <c r="D1906" i="12"/>
  <c r="D3110" i="12"/>
  <c r="D3488" i="12"/>
  <c r="D2230" i="12"/>
  <c r="D263" i="12"/>
  <c r="D37" i="12"/>
  <c r="D3013" i="12"/>
  <c r="D915" i="12"/>
  <c r="D2253" i="12"/>
  <c r="D154" i="12"/>
  <c r="D265" i="12"/>
  <c r="D642" i="12"/>
  <c r="D1779" i="12"/>
  <c r="D2381" i="12"/>
  <c r="D1575" i="12"/>
  <c r="D1342" i="12"/>
  <c r="D1744" i="12"/>
  <c r="D3097" i="12"/>
  <c r="D1099" i="12"/>
  <c r="D1151" i="12"/>
  <c r="D3170" i="12"/>
  <c r="D2252" i="12"/>
  <c r="D3042" i="12"/>
  <c r="D1176" i="12"/>
  <c r="D1198" i="12"/>
  <c r="D653" i="12"/>
  <c r="D2219" i="12"/>
  <c r="D2547" i="12"/>
  <c r="D3433" i="12"/>
  <c r="D893" i="12"/>
  <c r="D477" i="12"/>
  <c r="D3309" i="12"/>
  <c r="D2012" i="12"/>
  <c r="D1904" i="12"/>
  <c r="D805" i="12"/>
  <c r="D225" i="12"/>
  <c r="D3319" i="12"/>
  <c r="D675" i="12"/>
  <c r="D1412" i="12"/>
  <c r="D767" i="12"/>
  <c r="D104" i="12"/>
  <c r="D2485" i="12"/>
  <c r="D502" i="12"/>
  <c r="D69" i="12"/>
  <c r="D1671" i="12"/>
  <c r="D529" i="12"/>
  <c r="D2818" i="12"/>
  <c r="D859" i="12"/>
  <c r="D696" i="12"/>
  <c r="D22" i="12"/>
  <c r="D580" i="12"/>
  <c r="D1191" i="12"/>
  <c r="D2989" i="12"/>
  <c r="D3274" i="12"/>
  <c r="D3006" i="12"/>
  <c r="D1757" i="12"/>
  <c r="D1378" i="12"/>
  <c r="D207" i="12"/>
  <c r="D2436" i="12"/>
  <c r="D3270" i="12"/>
  <c r="D2857" i="12"/>
  <c r="D994" i="12"/>
  <c r="D2960" i="12"/>
  <c r="D1000" i="12"/>
  <c r="D3469" i="12"/>
  <c r="D3533" i="12"/>
  <c r="D2895" i="12"/>
  <c r="D179" i="12"/>
  <c r="D1532" i="12"/>
  <c r="D296" i="12"/>
  <c r="D2844" i="12"/>
  <c r="D328" i="12"/>
  <c r="D236" i="12"/>
  <c r="D1525" i="12"/>
  <c r="D3054" i="12"/>
  <c r="D618" i="12"/>
  <c r="D1132" i="12"/>
  <c r="D747" i="12"/>
  <c r="D277" i="12"/>
  <c r="D3468" i="12"/>
  <c r="D2068" i="12"/>
  <c r="D404" i="12"/>
  <c r="D2034" i="12"/>
  <c r="D588" i="12"/>
  <c r="D812" i="12"/>
  <c r="D527" i="12"/>
  <c r="D2706" i="12"/>
  <c r="D3286" i="12"/>
  <c r="D523" i="12"/>
  <c r="D59" i="12"/>
  <c r="D291" i="12"/>
  <c r="D3474" i="12"/>
  <c r="D1066" i="12"/>
  <c r="D385" i="12"/>
  <c r="D2243" i="12"/>
  <c r="D1823" i="12"/>
  <c r="D3229" i="12"/>
  <c r="D2383" i="12"/>
  <c r="D2956" i="12"/>
  <c r="D346" i="12"/>
  <c r="D1395" i="12"/>
  <c r="D183" i="12"/>
  <c r="D947" i="12"/>
  <c r="D2901" i="12"/>
  <c r="D2679" i="12"/>
  <c r="D2905" i="12"/>
  <c r="D630" i="12"/>
  <c r="D3150" i="12"/>
  <c r="D2839" i="12"/>
  <c r="D1807" i="12"/>
  <c r="D2930" i="12"/>
  <c r="D485" i="12"/>
  <c r="D2160" i="12"/>
  <c r="D2497" i="12"/>
  <c r="D1211" i="12"/>
  <c r="D2463" i="12"/>
  <c r="D2353" i="12"/>
  <c r="D2772" i="12"/>
  <c r="D1456" i="12"/>
  <c r="D2402" i="12"/>
  <c r="D756" i="12"/>
  <c r="D1430" i="12"/>
  <c r="D1526" i="12"/>
  <c r="D2122" i="12"/>
  <c r="D2316" i="12"/>
  <c r="D1003" i="12"/>
  <c r="D1673" i="12"/>
  <c r="D1265" i="12"/>
  <c r="D3410" i="12"/>
  <c r="D1591" i="12"/>
  <c r="D2635" i="12"/>
  <c r="D684" i="12"/>
  <c r="D2886" i="12"/>
  <c r="D494" i="12"/>
  <c r="D2304" i="12"/>
  <c r="D3323" i="12"/>
  <c r="D1489" i="12"/>
  <c r="D136" i="12"/>
  <c r="D484" i="12"/>
  <c r="D971" i="12"/>
  <c r="D1352" i="12"/>
  <c r="D2009" i="12"/>
  <c r="D200" i="12"/>
  <c r="D300" i="12"/>
  <c r="D2062" i="12"/>
  <c r="D587" i="12"/>
  <c r="D1859" i="12"/>
  <c r="D931" i="12"/>
  <c r="D3303" i="12"/>
  <c r="D1874" i="12"/>
  <c r="D1937" i="12"/>
  <c r="D327" i="12"/>
  <c r="D3022" i="12"/>
  <c r="D2595" i="12"/>
  <c r="D2490" i="12"/>
  <c r="D487" i="12"/>
  <c r="D125" i="12"/>
  <c r="D1319" i="12"/>
  <c r="D565" i="12"/>
  <c r="D770" i="12"/>
  <c r="D1551" i="12"/>
  <c r="D3486" i="12"/>
  <c r="D985" i="12"/>
  <c r="D129" i="12"/>
  <c r="D2829" i="12"/>
  <c r="D2355" i="12"/>
  <c r="D107" i="12"/>
  <c r="D79" i="12"/>
  <c r="D10" i="12"/>
  <c r="D2492" i="12"/>
  <c r="D3352" i="12"/>
  <c r="D836" i="12"/>
  <c r="D3449" i="12"/>
  <c r="D88" i="12"/>
  <c r="D18" i="12"/>
  <c r="D1796" i="12"/>
  <c r="D2782" i="12"/>
  <c r="D1786" i="12"/>
  <c r="D2671" i="12"/>
  <c r="D2613" i="12"/>
  <c r="D3412" i="12"/>
  <c r="D1911" i="12"/>
  <c r="D1709" i="12"/>
  <c r="D1461" i="12"/>
  <c r="D3161" i="12"/>
  <c r="D29" i="12"/>
  <c r="D397" i="12"/>
  <c r="D2533" i="12"/>
  <c r="D1117" i="12"/>
  <c r="D2161" i="12"/>
  <c r="D1388" i="12"/>
  <c r="D889" i="12"/>
  <c r="D75" i="12"/>
  <c r="D1277" i="12"/>
  <c r="D3257" i="12"/>
  <c r="D977" i="12"/>
  <c r="D176" i="12"/>
  <c r="D2747" i="12"/>
  <c r="D201" i="12"/>
  <c r="D2351" i="12"/>
  <c r="D2940" i="12"/>
  <c r="D1002" i="12"/>
  <c r="D2514" i="12"/>
  <c r="D209" i="12"/>
  <c r="D3385" i="12"/>
  <c r="D3490" i="12"/>
  <c r="D2327" i="12"/>
  <c r="D3528" i="12"/>
  <c r="D2456" i="12"/>
  <c r="D3281" i="12"/>
  <c r="D2589" i="12"/>
  <c r="D1601" i="12"/>
  <c r="D820" i="12"/>
  <c r="D2499" i="12"/>
  <c r="D2973" i="12"/>
  <c r="D815" i="12"/>
  <c r="D503" i="12"/>
  <c r="D1075" i="12"/>
  <c r="D1678" i="12"/>
  <c r="D3213" i="12"/>
  <c r="D81" i="12"/>
  <c r="D1758" i="12"/>
  <c r="D2598" i="12"/>
  <c r="D2927" i="12"/>
  <c r="D622" i="12"/>
  <c r="D2249" i="12"/>
  <c r="D1980" i="12"/>
  <c r="D1686" i="12"/>
  <c r="D2168" i="12"/>
  <c r="D1784" i="12"/>
  <c r="D2221" i="12"/>
  <c r="D363" i="12"/>
  <c r="D2632" i="12"/>
  <c r="D1335" i="12"/>
  <c r="D624" i="12"/>
  <c r="D1250" i="12"/>
  <c r="D1225" i="12"/>
  <c r="D2610" i="12"/>
  <c r="D1113" i="12"/>
  <c r="D3045" i="12"/>
  <c r="D193" i="12"/>
  <c r="D3473" i="12"/>
  <c r="D2011" i="12"/>
  <c r="D534" i="12"/>
  <c r="D631" i="12"/>
  <c r="D2292" i="12"/>
  <c r="D1204" i="12"/>
  <c r="D2957" i="12"/>
  <c r="D2080" i="12"/>
  <c r="D1154" i="12"/>
  <c r="D844" i="12"/>
  <c r="D3343" i="12"/>
  <c r="D2084" i="12"/>
  <c r="D1266" i="12"/>
  <c r="D928" i="12"/>
  <c r="D1860" i="12"/>
  <c r="D3162" i="12"/>
  <c r="D3012" i="12"/>
  <c r="D15" i="12"/>
  <c r="D567" i="12"/>
  <c r="D462" i="12"/>
  <c r="D1822" i="12"/>
  <c r="D1029" i="12"/>
  <c r="D1985" i="12"/>
  <c r="D1542" i="12"/>
  <c r="D2182" i="12"/>
  <c r="D1715" i="12"/>
  <c r="D640" i="12"/>
  <c r="D1468" i="12"/>
  <c r="D35" i="12"/>
  <c r="D3201" i="12"/>
  <c r="D2522" i="12"/>
  <c r="D3316" i="12"/>
  <c r="D814" i="12"/>
  <c r="D3525" i="12"/>
  <c r="D1978" i="12"/>
  <c r="D1988" i="12"/>
  <c r="D2525" i="12"/>
  <c r="D766" i="12"/>
  <c r="D2792" i="12"/>
  <c r="D2611" i="12"/>
  <c r="D2487" i="12"/>
  <c r="D2461" i="12"/>
  <c r="D1849" i="12"/>
  <c r="D2986" i="12"/>
  <c r="D1933" i="12"/>
  <c r="D1073" i="12"/>
  <c r="D3060" i="12"/>
  <c r="D1128" i="12"/>
  <c r="D2088" i="12"/>
  <c r="D906" i="12"/>
  <c r="D1986" i="12"/>
  <c r="D1247" i="12"/>
  <c r="D719" i="12"/>
  <c r="D2987" i="12"/>
  <c r="D93" i="12"/>
  <c r="D1366" i="12"/>
  <c r="D884" i="12"/>
  <c r="D694" i="12"/>
  <c r="D3340" i="12"/>
  <c r="D1012" i="12"/>
  <c r="D505" i="12"/>
  <c r="D2962" i="12"/>
  <c r="D2297" i="12"/>
  <c r="D3518" i="12"/>
  <c r="D2826" i="12"/>
  <c r="D2415" i="12"/>
  <c r="D1055" i="12"/>
  <c r="D1240" i="12"/>
  <c r="D2165" i="12"/>
  <c r="D441" i="12"/>
  <c r="D2495" i="12"/>
  <c r="D828" i="12"/>
  <c r="D2838" i="12"/>
  <c r="D1069" i="12"/>
  <c r="D519" i="12"/>
  <c r="D2912" i="12"/>
  <c r="D1373" i="12"/>
  <c r="D2320" i="12"/>
  <c r="D245" i="12"/>
  <c r="D838" i="12"/>
  <c r="D3225" i="12"/>
  <c r="D3107" i="12"/>
  <c r="D3202" i="12"/>
  <c r="D2070" i="12"/>
  <c r="D3313" i="12"/>
  <c r="D976" i="12"/>
  <c r="D1750" i="12"/>
  <c r="D1612" i="12"/>
  <c r="D60" i="12"/>
  <c r="D1369" i="12"/>
  <c r="D2354" i="12"/>
  <c r="D1721" i="12"/>
  <c r="D215" i="12"/>
  <c r="D852" i="12"/>
  <c r="D2723" i="12"/>
  <c r="D551" i="12"/>
  <c r="D1776" i="12"/>
  <c r="D2051" i="12"/>
  <c r="D3228" i="12"/>
  <c r="D1375" i="12"/>
  <c r="D1127" i="12"/>
  <c r="D2892" i="12"/>
  <c r="D2657" i="12"/>
  <c r="D3050" i="12"/>
  <c r="D2903" i="12"/>
  <c r="D20" i="12"/>
  <c r="D2636" i="12"/>
  <c r="D2647" i="12"/>
  <c r="D1569" i="12"/>
  <c r="D3240" i="12"/>
  <c r="D17" i="12"/>
  <c r="D1561" i="12"/>
  <c r="D1742" i="12"/>
  <c r="D2013" i="12"/>
  <c r="D1146" i="12"/>
  <c r="D2242" i="12"/>
  <c r="D2673" i="12"/>
  <c r="D1414" i="12"/>
  <c r="D885" i="12"/>
  <c r="D231" i="12"/>
  <c r="D2714" i="12"/>
  <c r="D2057" i="12"/>
  <c r="D1926" i="12"/>
  <c r="D821" i="12"/>
  <c r="D1698" i="12"/>
  <c r="D780" i="12"/>
  <c r="D736" i="12"/>
  <c r="D2717" i="12"/>
  <c r="D1729" i="12"/>
  <c r="D711" i="12"/>
  <c r="D1643" i="12"/>
  <c r="D826" i="12"/>
  <c r="D2142" i="12"/>
  <c r="D1463" i="12"/>
  <c r="D1947" i="12"/>
  <c r="D2427" i="12"/>
  <c r="D552" i="12"/>
  <c r="D3066" i="12"/>
  <c r="D854" i="12"/>
  <c r="D340" i="12"/>
  <c r="D916" i="12"/>
  <c r="D2475" i="12"/>
  <c r="D607" i="12"/>
  <c r="D1427" i="12"/>
  <c r="D1975" i="12"/>
  <c r="D2234" i="12"/>
  <c r="D1847" i="12"/>
  <c r="D2414" i="12"/>
  <c r="D3387" i="12"/>
  <c r="D2909" i="12"/>
  <c r="D3501" i="12"/>
  <c r="D748" i="12"/>
  <c r="D2503" i="12"/>
  <c r="D873" i="12"/>
  <c r="D1168" i="12"/>
  <c r="D2716" i="12"/>
  <c r="D2975" i="12"/>
  <c r="D87" i="12"/>
  <c r="D803" i="12"/>
  <c r="D1226" i="12"/>
  <c r="D2066" i="12"/>
  <c r="D2471" i="12"/>
  <c r="D2376" i="12"/>
  <c r="D2707" i="12"/>
  <c r="D3267" i="12"/>
  <c r="D959" i="12"/>
  <c r="D1877" i="12"/>
  <c r="D1842" i="12"/>
  <c r="D3484" i="12"/>
  <c r="D2548" i="12"/>
  <c r="D3327" i="12"/>
  <c r="D2378" i="12"/>
  <c r="D1836" i="12"/>
  <c r="D1713" i="12"/>
  <c r="D2624" i="12"/>
  <c r="D3432" i="12"/>
  <c r="D1397" i="12"/>
  <c r="D1794" i="12"/>
  <c r="D8" i="12"/>
  <c r="D2281" i="12"/>
  <c r="D2155" i="12"/>
  <c r="D1871" i="12"/>
  <c r="D2763" i="12"/>
  <c r="D866" i="12"/>
  <c r="D583" i="12"/>
  <c r="D392" i="12"/>
  <c r="D1171" i="12"/>
  <c r="D1030" i="12"/>
  <c r="D2697" i="12"/>
  <c r="D2645" i="12"/>
  <c r="D730" i="12"/>
  <c r="D1949" i="12"/>
  <c r="D2634" i="12"/>
  <c r="D2193" i="12"/>
  <c r="D434" i="12"/>
  <c r="D3392" i="12"/>
  <c r="D1852" i="12"/>
  <c r="D189" i="12"/>
  <c r="D1365" i="12"/>
  <c r="D2799" i="12"/>
  <c r="D2387" i="12"/>
  <c r="D1239" i="12"/>
  <c r="D3168" i="12"/>
  <c r="D2884" i="12"/>
  <c r="D3068" i="12"/>
  <c r="D1100" i="12"/>
  <c r="D1608" i="12"/>
  <c r="D3383" i="12"/>
  <c r="D465" i="12"/>
  <c r="D2166" i="12"/>
  <c r="D99" i="12"/>
  <c r="D1192" i="12"/>
  <c r="D1777" i="12"/>
  <c r="D2545" i="12"/>
  <c r="D3335" i="12"/>
  <c r="D2172" i="12"/>
  <c r="D411" i="12"/>
  <c r="D2794" i="12"/>
  <c r="D267" i="12"/>
  <c r="D2858" i="12"/>
  <c r="D1577" i="12"/>
  <c r="D2954" i="12"/>
  <c r="D3295" i="12"/>
  <c r="D2870" i="12"/>
  <c r="D190" i="12"/>
  <c r="D2793" i="12"/>
  <c r="D1564" i="12"/>
  <c r="D2259" i="12"/>
  <c r="D1230" i="12"/>
  <c r="D1887" i="12"/>
  <c r="D667" i="12"/>
  <c r="D909" i="12"/>
  <c r="D557" i="12"/>
  <c r="D196" i="12"/>
  <c r="D3163" i="12"/>
  <c r="D208" i="12"/>
  <c r="D2183" i="12"/>
  <c r="D3505" i="12"/>
  <c r="D1942" i="12"/>
  <c r="D1111" i="12"/>
  <c r="D1399" i="12"/>
  <c r="D1606" i="12"/>
  <c r="D3191" i="12"/>
  <c r="D1656" i="12"/>
  <c r="D2584" i="12"/>
  <c r="D1563" i="12"/>
  <c r="D1990" i="12"/>
  <c r="D3377" i="12"/>
  <c r="D2373" i="12"/>
  <c r="D3293" i="12"/>
  <c r="D1857" i="12"/>
  <c r="D3379" i="12"/>
  <c r="D721" i="12"/>
  <c r="D1136" i="12"/>
  <c r="D1583" i="12"/>
  <c r="D807" i="12"/>
  <c r="D2071" i="12"/>
  <c r="D3318" i="12"/>
  <c r="D1068" i="12"/>
  <c r="D2178" i="12"/>
  <c r="D1413" i="12"/>
  <c r="D1119" i="12"/>
  <c r="D1411" i="12"/>
  <c r="D3088" i="12"/>
  <c r="D530" i="12"/>
  <c r="D819" i="12"/>
  <c r="D1998" i="12"/>
  <c r="D336" i="12"/>
  <c r="D1057" i="12"/>
  <c r="D3002" i="12"/>
  <c r="D3029" i="12"/>
  <c r="D728" i="12"/>
  <c r="D1386" i="12"/>
  <c r="D48" i="12"/>
  <c r="D1149" i="12"/>
  <c r="D2946" i="12"/>
  <c r="D665" i="12"/>
  <c r="D94" i="12"/>
  <c r="D691" i="12"/>
  <c r="D2119" i="12"/>
  <c r="D3399" i="12"/>
  <c r="D1320" i="12"/>
  <c r="D1761" i="12"/>
  <c r="D2287" i="12"/>
  <c r="D1979" i="12"/>
  <c r="D3344" i="12"/>
  <c r="D3057" i="12"/>
  <c r="D1994" i="12"/>
  <c r="D1297" i="12"/>
  <c r="D282" i="12"/>
  <c r="D157" i="12"/>
  <c r="D732" i="12"/>
  <c r="D38" i="12"/>
  <c r="D2151" i="12"/>
  <c r="D1070" i="12"/>
  <c r="D1256" i="12"/>
  <c r="D1381" i="12"/>
  <c r="D2523" i="12"/>
  <c r="D1382" i="12"/>
  <c r="D347" i="12"/>
  <c r="D1281" i="12"/>
  <c r="D1789" i="12"/>
  <c r="D619" i="12"/>
  <c r="D886" i="12"/>
  <c r="D3393" i="12"/>
  <c r="D1535" i="12"/>
  <c r="D1298" i="12"/>
  <c r="D676" i="12"/>
  <c r="D615" i="12"/>
  <c r="D449" i="12"/>
  <c r="D3311" i="12"/>
  <c r="D2597" i="12"/>
  <c r="D3074" i="12"/>
  <c r="D1634" i="12"/>
  <c r="D1527" i="12"/>
  <c r="D1458" i="12"/>
  <c r="D2736" i="12"/>
  <c r="D2625" i="12"/>
  <c r="D369" i="12"/>
  <c r="D1908" i="12"/>
  <c r="D1754" i="12"/>
  <c r="D3138" i="12"/>
  <c r="D1316" i="12"/>
  <c r="D824" i="12"/>
  <c r="D1052" i="12"/>
  <c r="D792" i="12"/>
  <c r="D683" i="12"/>
  <c r="D2678" i="12"/>
  <c r="D2798" i="12"/>
  <c r="D1259" i="12"/>
  <c r="D2027" i="12"/>
  <c r="D2900" i="12"/>
  <c r="D668" i="12"/>
  <c r="D1582" i="12"/>
  <c r="D1446" i="12"/>
  <c r="D3176" i="12"/>
  <c r="D1890" i="12"/>
  <c r="D2754" i="12"/>
  <c r="D1900" i="12"/>
  <c r="D3380" i="12"/>
  <c r="D1235" i="12"/>
  <c r="D1724" i="12"/>
  <c r="D2311" i="12"/>
  <c r="D337" i="12"/>
  <c r="D2380" i="12"/>
  <c r="D294" i="12"/>
  <c r="D961" i="12"/>
  <c r="D2023" i="12"/>
  <c r="D1808" i="12"/>
  <c r="D1916" i="12"/>
  <c r="D2450" i="12"/>
  <c r="D3349" i="12"/>
  <c r="D2037" i="12"/>
  <c r="D1263" i="12"/>
  <c r="D798" i="12"/>
  <c r="D124" i="12"/>
  <c r="D287" i="12"/>
  <c r="D321" i="12"/>
  <c r="D1290" i="12"/>
  <c r="D2312" i="12"/>
  <c r="D438" i="12"/>
  <c r="D1300" i="12"/>
  <c r="D3447" i="12"/>
  <c r="D864" i="12"/>
  <c r="D1749" i="12"/>
  <c r="D108" i="12"/>
  <c r="D97" i="12"/>
  <c r="D3098" i="12"/>
  <c r="D2465" i="12"/>
  <c r="D673" i="12"/>
  <c r="D1717" i="12"/>
  <c r="D2574" i="12"/>
  <c r="D2426" i="12"/>
  <c r="D364" i="12"/>
  <c r="D3345" i="12"/>
  <c r="D3517" i="12"/>
  <c r="D2310" i="12"/>
  <c r="D2617" i="12"/>
  <c r="D1804" i="12"/>
  <c r="D3333" i="12"/>
  <c r="D1699" i="12"/>
  <c r="D2318" i="12"/>
  <c r="D2690" i="12"/>
  <c r="D496" i="12"/>
  <c r="D53" i="12"/>
  <c r="D2568" i="12"/>
  <c r="D3236" i="12"/>
  <c r="D846" i="12"/>
  <c r="D3504" i="12"/>
  <c r="D3100" i="12"/>
  <c r="D2324" i="12"/>
  <c r="D219" i="12"/>
  <c r="D2305" i="12"/>
  <c r="D586" i="12"/>
  <c r="D3079" i="12"/>
  <c r="D1653" i="12"/>
  <c r="D2842" i="12"/>
  <c r="D516" i="12"/>
  <c r="D3394" i="12"/>
  <c r="D1590" i="12"/>
  <c r="D951" i="12"/>
  <c r="D1244" i="12"/>
  <c r="D3183" i="12"/>
  <c r="D2294" i="12"/>
  <c r="D355" i="12"/>
  <c r="D1642" i="12"/>
  <c r="D1178" i="12"/>
  <c r="D3166" i="12"/>
  <c r="D73" i="12"/>
  <c r="D3466" i="12"/>
  <c r="D280" i="12"/>
  <c r="D1544" i="12"/>
  <c r="D758" i="12"/>
  <c r="D2264" i="12"/>
  <c r="D3116" i="12"/>
  <c r="D288" i="12"/>
  <c r="D3258" i="12"/>
  <c r="D171" i="12"/>
  <c r="D3203" i="12"/>
  <c r="D957" i="12"/>
  <c r="D1121" i="12"/>
  <c r="D1546" i="12"/>
  <c r="D2131" i="12"/>
  <c r="D978" i="12"/>
  <c r="D3173" i="12"/>
  <c r="D1123" i="12"/>
  <c r="D1843" i="12"/>
  <c r="D1153" i="12"/>
  <c r="D2769" i="12"/>
  <c r="D67" i="12"/>
  <c r="D3182" i="12"/>
  <c r="D493" i="12"/>
  <c r="D2760" i="12"/>
  <c r="D894" i="12"/>
  <c r="D3083" i="12"/>
  <c r="D3247" i="12"/>
  <c r="D3036" i="12"/>
  <c r="D2224" i="12"/>
  <c r="D639" i="12"/>
  <c r="D1685" i="12"/>
  <c r="D1741" i="12"/>
  <c r="D3065" i="12"/>
  <c r="D3283" i="12"/>
  <c r="D205" i="12"/>
  <c r="D1862" i="12"/>
  <c r="D839" i="12"/>
  <c r="D1735" i="12"/>
  <c r="D1625" i="12"/>
  <c r="D2823" i="12"/>
  <c r="D2397" i="12"/>
  <c r="D2872" i="12"/>
  <c r="D2173" i="12"/>
  <c r="D420" i="12"/>
  <c r="D2072" i="12"/>
  <c r="D3414" i="12"/>
  <c r="D293" i="12"/>
  <c r="D1217" i="12"/>
  <c r="D2728" i="12"/>
  <c r="D2245" i="12"/>
  <c r="D1813" i="12"/>
  <c r="D2115" i="12"/>
  <c r="D2404" i="12"/>
  <c r="D2032" i="12"/>
  <c r="D3019" i="12"/>
  <c r="D2768" i="12"/>
  <c r="D1023" i="12"/>
  <c r="D2102" i="12"/>
  <c r="D729" i="12"/>
  <c r="D1663" i="12"/>
  <c r="D517" i="12"/>
  <c r="D3219" i="12"/>
  <c r="D970" i="12"/>
  <c r="D61" i="12"/>
  <c r="D2719" i="12"/>
  <c r="D2222" i="12"/>
  <c r="D1418" i="12"/>
  <c r="D3342" i="12"/>
  <c r="D2143" i="12"/>
  <c r="D2163" i="12"/>
  <c r="D1103" i="12"/>
  <c r="D428" i="12"/>
  <c r="D3321" i="12"/>
  <c r="D247" i="12"/>
  <c r="D2730" i="12"/>
  <c r="D3221" i="12"/>
  <c r="D917" i="12"/>
  <c r="D1348" i="12"/>
  <c r="D727" i="12"/>
  <c r="D541" i="12"/>
  <c r="D1261" i="12"/>
  <c r="D3077" i="12"/>
  <c r="D2667" i="12"/>
  <c r="D1910" i="12"/>
  <c r="D2596" i="12"/>
  <c r="D827" i="12"/>
  <c r="D1424" i="12"/>
  <c r="D1907" i="12"/>
  <c r="D1674" i="12"/>
  <c r="D1716" i="12"/>
  <c r="D3055" i="12"/>
  <c r="D1255" i="12"/>
  <c r="D1194" i="12"/>
  <c r="D3487" i="12"/>
  <c r="D2661" i="12"/>
  <c r="D944" i="12"/>
  <c r="D1648" i="12"/>
  <c r="D2862" i="12"/>
  <c r="D498" i="12"/>
  <c r="D1572" i="12"/>
  <c r="D3154" i="12"/>
  <c r="D1701" i="12"/>
  <c r="D1726" i="12"/>
  <c r="D437" i="12"/>
  <c r="D3143" i="12"/>
  <c r="D1379" i="12"/>
  <c r="D2662" i="12"/>
  <c r="D1124" i="12"/>
  <c r="D628" i="12"/>
  <c r="D2919" i="12"/>
  <c r="D259" i="12"/>
  <c r="D1199" i="12"/>
  <c r="D900" i="12"/>
  <c r="D1593" i="12"/>
  <c r="D1258" i="12"/>
  <c r="D1389" i="12"/>
  <c r="D625" i="12"/>
  <c r="D3269" i="12"/>
  <c r="D2994" i="12"/>
  <c r="D1623" i="12"/>
  <c r="D1547" i="12"/>
  <c r="D2065" i="12"/>
  <c r="D2325" i="12"/>
  <c r="D232" i="12"/>
  <c r="D2907" i="12"/>
  <c r="D1936" i="12"/>
  <c r="D2786" i="12"/>
  <c r="D2546" i="12"/>
  <c r="D3001" i="12"/>
  <c r="D1220" i="12"/>
  <c r="D2392" i="12"/>
  <c r="D1711" i="12"/>
  <c r="D3123" i="12"/>
  <c r="D1943" i="12"/>
  <c r="D2184" i="12"/>
  <c r="D1928" i="12"/>
  <c r="D3339" i="12"/>
  <c r="D3222" i="12"/>
  <c r="D692" i="12"/>
  <c r="D3204" i="12"/>
  <c r="D2314" i="12"/>
  <c r="D1138" i="12"/>
  <c r="D1513" i="12"/>
  <c r="D573" i="12"/>
  <c r="D1882" i="12"/>
  <c r="D2289" i="12"/>
  <c r="D1214" i="12"/>
  <c r="D137" i="12"/>
  <c r="D2815" i="12"/>
  <c r="D912" i="12"/>
  <c r="D96" i="12"/>
  <c r="D2266" i="12"/>
  <c r="D2342" i="12"/>
  <c r="D685" i="12"/>
  <c r="D1148" i="12"/>
  <c r="D163" i="12"/>
  <c r="D2843" i="12"/>
  <c r="D2116" i="12"/>
  <c r="D2934" i="12"/>
  <c r="D2562" i="12"/>
  <c r="D2948" i="12"/>
  <c r="D2814" i="12"/>
  <c r="D1159" i="12"/>
  <c r="D234" i="12"/>
  <c r="D568" i="12"/>
  <c r="D402" i="12"/>
  <c r="D1219" i="12"/>
  <c r="D1383" i="12"/>
  <c r="D1856" i="12"/>
  <c r="D1595" i="12"/>
  <c r="D3184" i="12"/>
  <c r="D1288" i="12"/>
  <c r="D174" i="12"/>
  <c r="D1152" i="12"/>
  <c r="D460" i="12"/>
  <c r="D2444" i="12"/>
  <c r="D1541" i="12"/>
  <c r="D2740" i="12"/>
  <c r="D1022" i="12"/>
  <c r="D3136" i="12"/>
  <c r="D103" i="12"/>
  <c r="D1581" i="12"/>
  <c r="D2220" i="12"/>
  <c r="D1445" i="12"/>
  <c r="D2732" i="12"/>
  <c r="D689" i="12"/>
  <c r="D1274" i="12"/>
  <c r="D1632" i="12"/>
  <c r="D1394" i="12"/>
  <c r="D2496" i="12"/>
  <c r="D440" i="12"/>
  <c r="D350" i="12"/>
  <c r="D148" i="12"/>
  <c r="D3482" i="12"/>
  <c r="D2332" i="12"/>
  <c r="D1814" i="12"/>
  <c r="D905" i="12"/>
  <c r="D2398" i="12"/>
  <c r="D3196" i="12"/>
  <c r="D89" i="12"/>
  <c r="D1516" i="12"/>
  <c r="D237" i="12"/>
  <c r="D1695" i="12"/>
  <c r="D1218" i="12"/>
  <c r="D1613" i="12"/>
  <c r="D1533" i="12"/>
  <c r="D1196" i="12"/>
  <c r="D1130" i="12"/>
  <c r="D2288" i="12"/>
  <c r="D1895" i="12"/>
  <c r="D2421" i="12"/>
  <c r="D102" i="12"/>
  <c r="D416" i="12"/>
  <c r="D2135" i="12"/>
  <c r="D666" i="12"/>
  <c r="D2197" i="12"/>
  <c r="D678" i="12"/>
  <c r="D1158" i="12"/>
  <c r="D2055" i="12"/>
  <c r="D1584" i="12"/>
  <c r="D2800" i="12"/>
  <c r="D3454" i="12"/>
  <c r="D2346" i="12"/>
  <c r="D3372" i="12"/>
  <c r="D3132" i="12"/>
  <c r="D1190" i="12"/>
  <c r="D1960" i="12"/>
  <c r="D2863" i="12"/>
  <c r="D2783" i="12"/>
  <c r="D655" i="12"/>
  <c r="D3114" i="12"/>
  <c r="D2134" i="12"/>
  <c r="D1587" i="12"/>
  <c r="D304" i="12"/>
  <c r="D403" i="12"/>
  <c r="D952" i="12"/>
  <c r="D443" i="12"/>
  <c r="D1017" i="12"/>
  <c r="D405" i="12"/>
  <c r="D808" i="12"/>
  <c r="D1831" i="12"/>
  <c r="D933" i="12"/>
  <c r="D548" i="12"/>
  <c r="D2653" i="12"/>
  <c r="D1768" i="12"/>
  <c r="D393" i="12"/>
  <c r="D726" i="12"/>
  <c r="D1628" i="12"/>
  <c r="D2542" i="12"/>
  <c r="D3494" i="12"/>
  <c r="D1952" i="12"/>
  <c r="D203" i="12"/>
  <c r="D1571" i="12"/>
  <c r="D924" i="12"/>
  <c r="D85" i="12"/>
  <c r="D426" i="12"/>
  <c r="D1620" i="12"/>
  <c r="D3130" i="12"/>
  <c r="D2891" i="12"/>
  <c r="D3039" i="12"/>
  <c r="D9" i="12"/>
  <c r="D2384" i="12"/>
  <c r="D699" i="12"/>
  <c r="D2145" i="12"/>
  <c r="D1142" i="12"/>
  <c r="D1048" i="12"/>
  <c r="D1447" i="12"/>
  <c r="D2528" i="12"/>
  <c r="D1203" i="12"/>
  <c r="D2126" i="12"/>
  <c r="D789" i="12"/>
  <c r="D1275" i="12"/>
  <c r="D1939" i="12"/>
  <c r="D1233" i="12"/>
  <c r="D1934" i="12"/>
  <c r="D2718" i="12"/>
  <c r="D2241" i="12"/>
  <c r="D2074" i="12"/>
  <c r="D106" i="12"/>
  <c r="D1507" i="12"/>
  <c r="D3095" i="12"/>
  <c r="D3400" i="12"/>
  <c r="D2721" i="12"/>
  <c r="D722" i="12"/>
  <c r="D1658" i="12"/>
  <c r="D636" i="12"/>
  <c r="D3093" i="12"/>
  <c r="D1841" i="12"/>
  <c r="D2360" i="12"/>
  <c r="D1222" i="12"/>
  <c r="D1655" i="12"/>
  <c r="D1284" i="12"/>
  <c r="D1524" i="12"/>
  <c r="D3415" i="12"/>
  <c r="D2515" i="12"/>
  <c r="D3232" i="12"/>
  <c r="D1644" i="12"/>
  <c r="D707" i="12"/>
  <c r="D1025" i="12"/>
  <c r="D28" i="12"/>
  <c r="D1398" i="12"/>
  <c r="D813" i="12"/>
  <c r="D251" i="12"/>
  <c r="D1393" i="12"/>
  <c r="D240" i="12"/>
  <c r="D3049" i="12"/>
  <c r="D1234" i="12"/>
  <c r="D3059" i="12"/>
  <c r="D3149" i="12"/>
  <c r="D2585" i="12"/>
  <c r="D1640" i="12"/>
  <c r="D2652" i="12"/>
  <c r="D1830" i="12"/>
  <c r="D1188" i="12"/>
  <c r="D2704" i="12"/>
  <c r="D855" i="12"/>
  <c r="D2002" i="12"/>
  <c r="D132" i="12"/>
  <c r="D998" i="12"/>
  <c r="D3010" i="12"/>
  <c r="D1894" i="12"/>
  <c r="D338" i="12"/>
  <c r="D453" i="12"/>
  <c r="D401" i="12"/>
  <c r="D847" i="12"/>
  <c r="D2683" i="12"/>
  <c r="D988" i="12"/>
  <c r="D98" i="12"/>
  <c r="D1621" i="12"/>
  <c r="D1529" i="12"/>
  <c r="D181" i="12"/>
  <c r="D3000" i="12"/>
  <c r="D532" i="12"/>
  <c r="D3126" i="12"/>
  <c r="D2633" i="12"/>
  <c r="D51" i="12"/>
  <c r="D3398" i="12"/>
  <c r="D3272" i="12"/>
  <c r="D1114" i="12"/>
  <c r="D2715" i="12"/>
  <c r="D1693" i="12"/>
  <c r="D3376" i="12"/>
  <c r="D1944" i="12"/>
  <c r="D2041" i="12"/>
  <c r="D3024" i="12"/>
  <c r="D2875" i="12"/>
  <c r="D1863" i="12"/>
  <c r="D602" i="12"/>
  <c r="D2959" i="12"/>
  <c r="D3271" i="12"/>
  <c r="D2997" i="12"/>
  <c r="D2127" i="12"/>
  <c r="D2626" i="12"/>
  <c r="D2457" i="12"/>
  <c r="D2357" i="12"/>
  <c r="D3030" i="12"/>
  <c r="D799" i="12"/>
  <c r="D745" i="12"/>
  <c r="D391" i="12"/>
  <c r="D3360" i="12"/>
  <c r="D246" i="12"/>
  <c r="D2915" i="12"/>
  <c r="D705" i="12"/>
  <c r="D2286" i="12"/>
  <c r="D2882" i="12"/>
  <c r="D1576" i="12"/>
  <c r="D260" i="12"/>
  <c r="D3423" i="12"/>
  <c r="D2982" i="12"/>
  <c r="D2969" i="12"/>
  <c r="D522" i="12"/>
  <c r="D3422" i="12"/>
  <c r="D980" i="12"/>
  <c r="D217" i="12"/>
  <c r="D2615" i="12"/>
  <c r="D1205" i="12"/>
  <c r="D66" i="12"/>
  <c r="D2218" i="12"/>
  <c r="D740" i="12"/>
  <c r="D145" i="12"/>
  <c r="D306" i="12"/>
  <c r="D2559" i="12"/>
  <c r="D2104" i="12"/>
  <c r="D1770" i="12"/>
  <c r="D1097" i="12"/>
  <c r="D352" i="12"/>
  <c r="D1941" i="12"/>
  <c r="D1343" i="12"/>
  <c r="D2712" i="12"/>
  <c r="D3453" i="12"/>
  <c r="D1139" i="12"/>
  <c r="D674" i="12"/>
  <c r="D213" i="12"/>
  <c r="D755" i="12"/>
  <c r="D738" i="12"/>
  <c r="D1007" i="12"/>
  <c r="D1096" i="12"/>
  <c r="D1084" i="12"/>
  <c r="D1477" i="12"/>
  <c r="D307" i="12"/>
  <c r="D3294" i="12"/>
  <c r="D382" i="12"/>
  <c r="D1476" i="12"/>
  <c r="D1867" i="12"/>
  <c r="D86" i="12"/>
  <c r="D324" i="12"/>
  <c r="D867" i="12"/>
  <c r="D2064" i="12"/>
  <c r="D2263" i="12"/>
  <c r="D2776" i="12"/>
  <c r="D1090" i="12"/>
  <c r="D2643" i="12"/>
  <c r="D3338" i="12"/>
  <c r="D512" i="12"/>
  <c r="D645" i="12"/>
  <c r="D298" i="12"/>
  <c r="D2734" i="12"/>
  <c r="D2840" i="12"/>
  <c r="D3200" i="12"/>
  <c r="D2866" i="12"/>
  <c r="D319" i="12"/>
  <c r="D2921" i="12"/>
  <c r="D43" i="12"/>
  <c r="D2389" i="12"/>
  <c r="D46" i="12"/>
  <c r="D2725" i="12"/>
  <c r="D1848" i="12"/>
  <c r="D1636" i="12"/>
  <c r="D387" i="12"/>
  <c r="D3230" i="12"/>
  <c r="D2047" i="12"/>
  <c r="D2908" i="12"/>
  <c r="D3527" i="12"/>
  <c r="D3209" i="12"/>
  <c r="D192" i="12"/>
  <c r="D483" i="12"/>
  <c r="D658" i="12"/>
  <c r="D3370" i="12"/>
  <c r="D1783" i="12"/>
  <c r="D797" i="12"/>
  <c r="D3009" i="12"/>
  <c r="D1285" i="12"/>
  <c r="D1332" i="12"/>
  <c r="D895" i="12"/>
  <c r="D12" i="12"/>
  <c r="D2864" i="12"/>
  <c r="D2773" i="12"/>
  <c r="D3104" i="12"/>
  <c r="D2020" i="12"/>
  <c r="D3076" i="12"/>
  <c r="D2932" i="12"/>
  <c r="D250" i="12"/>
  <c r="D1504" i="12"/>
  <c r="D1021" i="12"/>
  <c r="D2885" i="12"/>
  <c r="D2117" i="12"/>
  <c r="D1974" i="12"/>
  <c r="D2935" i="12"/>
  <c r="D2700" i="12"/>
  <c r="D1336" i="12"/>
  <c r="D2488" i="12"/>
  <c r="D703" i="12"/>
  <c r="D1166" i="12"/>
  <c r="D118" i="12"/>
  <c r="D1061" i="12"/>
  <c r="D1580" i="12"/>
  <c r="D2856" i="12"/>
  <c r="D1540" i="12"/>
  <c r="D2961" i="12"/>
  <c r="D1016" i="12"/>
  <c r="D1785" i="12"/>
  <c r="D188" i="12"/>
  <c r="D3464" i="12"/>
  <c r="D1798" i="12"/>
  <c r="D3467" i="12"/>
  <c r="D2756" i="12"/>
  <c r="D1374" i="12"/>
  <c r="D3397" i="12"/>
  <c r="D2005" i="12"/>
  <c r="D1759" i="12"/>
  <c r="D1251" i="12"/>
  <c r="D2830" i="12"/>
  <c r="D1270" i="12"/>
  <c r="D474" i="12"/>
  <c r="D558" i="12"/>
  <c r="D690" i="12"/>
  <c r="D612" i="12"/>
  <c r="D591" i="12"/>
  <c r="D1125" i="12"/>
  <c r="D3092" i="12"/>
  <c r="D3260" i="12"/>
  <c r="D2001" i="12"/>
  <c r="D606" i="12"/>
  <c r="D533" i="12"/>
  <c r="D3396" i="12"/>
  <c r="D848" i="12"/>
  <c r="D605" i="12"/>
  <c r="D1751" i="12"/>
  <c r="D2509" i="12"/>
  <c r="D3382" i="12"/>
  <c r="D811" i="12"/>
  <c r="D311" i="12"/>
  <c r="D221" i="12"/>
  <c r="D771" i="12"/>
  <c r="D731" i="12"/>
  <c r="D318" i="12"/>
  <c r="D784" i="12"/>
  <c r="D620" i="12"/>
  <c r="D2832" i="12"/>
  <c r="D1553" i="12"/>
  <c r="D3330" i="12"/>
  <c r="D2464" i="12"/>
  <c r="D543" i="12"/>
  <c r="D876" i="12"/>
  <c r="D891" i="12"/>
  <c r="D1271" i="12"/>
  <c r="D1622" i="12"/>
  <c r="D1869" i="12"/>
  <c r="D2459" i="12"/>
  <c r="D1486" i="12"/>
  <c r="D3158" i="12"/>
  <c r="D765" i="12"/>
  <c r="D1667" i="12"/>
  <c r="D2371" i="12"/>
  <c r="D3090" i="12"/>
  <c r="D1805" i="12"/>
  <c r="D646" i="12"/>
  <c r="D2298" i="12"/>
  <c r="D2922" i="12"/>
  <c r="D746" i="12"/>
  <c r="D3239" i="12"/>
  <c r="D2401" i="12"/>
  <c r="D1264" i="12"/>
  <c r="D2493" i="12"/>
  <c r="D1505" i="12"/>
  <c r="D3237" i="12"/>
  <c r="D1624" i="12"/>
  <c r="D1743" i="12"/>
  <c r="D2128" i="12"/>
  <c r="D2743" i="12"/>
  <c r="D2778" i="12"/>
  <c r="D1135" i="12"/>
  <c r="D899" i="12"/>
  <c r="D2460" i="12"/>
  <c r="D2247" i="12"/>
  <c r="D3121" i="12"/>
  <c r="D2416" i="12"/>
  <c r="D954" i="12"/>
  <c r="D2579" i="12"/>
  <c r="D2552" i="12"/>
  <c r="D446" i="12"/>
  <c r="D1126" i="12"/>
  <c r="D1085" i="12"/>
  <c r="D2580" i="12"/>
  <c r="D547" i="12"/>
  <c r="D2410" i="12"/>
  <c r="D1828" i="12"/>
  <c r="D2101" i="12"/>
  <c r="D589" i="12"/>
  <c r="D2549" i="12"/>
  <c r="D662" i="12"/>
  <c r="D471" i="12"/>
  <c r="D1592" i="12"/>
  <c r="D1662" i="12"/>
  <c r="D1269" i="12"/>
  <c r="D1184" i="12"/>
  <c r="D2293" i="12"/>
  <c r="D2955" i="12"/>
  <c r="D1110" i="12"/>
  <c r="D164" i="12"/>
  <c r="D1457" i="12"/>
  <c r="D2044" i="12"/>
  <c r="D2750" i="12"/>
  <c r="D1969" i="12"/>
  <c r="D142" i="12"/>
  <c r="D152" i="12"/>
  <c r="D2563" i="12"/>
  <c r="D2867" i="12"/>
  <c r="D1046" i="12"/>
  <c r="D3142" i="12"/>
  <c r="D2372" i="12"/>
  <c r="D1330" i="12"/>
  <c r="D1703" i="12"/>
  <c r="D2784" i="12"/>
  <c r="D2261" i="12"/>
  <c r="D1951" i="12"/>
  <c r="D840" i="12"/>
  <c r="D1954" i="12"/>
  <c r="D2708" i="12"/>
  <c r="D489" i="12"/>
  <c r="D1064" i="12"/>
  <c r="D450" i="12"/>
  <c r="D400" i="12"/>
  <c r="D495" i="12"/>
  <c r="D2640" i="12"/>
  <c r="D2835" i="12"/>
  <c r="D1898" i="12"/>
  <c r="D1355" i="12"/>
  <c r="D1024" i="12"/>
  <c r="D955" i="12"/>
  <c r="D413" i="12"/>
  <c r="D7" i="12"/>
  <c r="D2777" i="12"/>
  <c r="D2113" i="12"/>
  <c r="D2422" i="12"/>
  <c r="D3350" i="12"/>
  <c r="D1053" i="12"/>
  <c r="D269" i="12"/>
  <c r="D1480" i="12"/>
  <c r="D991" i="12"/>
  <c r="D475" i="12"/>
  <c r="D2185" i="12"/>
  <c r="D2868" i="12"/>
  <c r="D1497" i="12"/>
  <c r="D3478" i="12"/>
  <c r="D279" i="12"/>
  <c r="D1321" i="12"/>
  <c r="D810" i="12"/>
  <c r="D609" i="12"/>
  <c r="D1531" i="12"/>
  <c r="D424" i="12"/>
  <c r="D1141" i="12"/>
  <c r="D2049" i="12"/>
  <c r="D1876" i="12"/>
  <c r="D2821" i="12"/>
  <c r="D2063" i="12"/>
  <c r="D1927" i="12"/>
  <c r="D1923" i="12"/>
  <c r="D1294" i="12"/>
  <c r="D1344" i="12"/>
  <c r="D2212" i="12"/>
  <c r="D256" i="12"/>
  <c r="D2306" i="12"/>
  <c r="D1909" i="12"/>
  <c r="D3390" i="12"/>
  <c r="D3206" i="12"/>
  <c r="D2244" i="12"/>
  <c r="D2746" i="12"/>
  <c r="D2517" i="12"/>
  <c r="D114" i="12"/>
  <c r="D2825" i="12"/>
  <c r="D1474" i="12"/>
  <c r="D322" i="12"/>
  <c r="D2871" i="12"/>
  <c r="D1238" i="12"/>
  <c r="D2425" i="12"/>
  <c r="D2942" i="12"/>
  <c r="D2050" i="12"/>
  <c r="D2950" i="12"/>
  <c r="D2291" i="12"/>
  <c r="D1080" i="12"/>
  <c r="D452" i="12"/>
  <c r="D2520" i="12"/>
  <c r="D1855" i="12"/>
  <c r="D1246" i="12"/>
  <c r="D1886" i="12"/>
  <c r="D3411" i="12"/>
  <c r="D1036" i="12"/>
  <c r="D3509" i="12"/>
  <c r="D375" i="12"/>
  <c r="D2338" i="12"/>
  <c r="D862" i="12"/>
  <c r="D984" i="12"/>
  <c r="D419" i="12"/>
  <c r="D2194" i="12"/>
  <c r="D3440" i="12"/>
  <c r="D2186" i="12"/>
  <c r="D182" i="12"/>
  <c r="D596" i="12"/>
  <c r="D111" i="12"/>
  <c r="D2803" i="12"/>
  <c r="D2255" i="12"/>
  <c r="D252" i="12"/>
  <c r="D2096" i="12"/>
  <c r="D1473" i="12"/>
  <c r="D2576" i="12"/>
  <c r="D3451" i="12"/>
  <c r="D242" i="12"/>
  <c r="D2642" i="12"/>
  <c r="D1441" i="12"/>
  <c r="D3075" i="12"/>
  <c r="D3187" i="12"/>
  <c r="D2720" i="12"/>
  <c r="D1088" i="12"/>
  <c r="D1286" i="12"/>
  <c r="D117" i="12"/>
  <c r="D1588" i="12"/>
  <c r="D2349" i="12"/>
  <c r="D2069" i="12"/>
  <c r="D1425" i="12"/>
  <c r="D2603" i="12"/>
  <c r="D546" i="12"/>
  <c r="D1001" i="12"/>
  <c r="D2438" i="12"/>
  <c r="D1334" i="12"/>
  <c r="D1008" i="12"/>
  <c r="D2713" i="12"/>
  <c r="D2215" i="12"/>
  <c r="D1231" i="12"/>
  <c r="D2343" i="12"/>
  <c r="D1115" i="12"/>
  <c r="D444" i="12"/>
  <c r="D1879" i="12"/>
  <c r="D2388" i="12"/>
  <c r="D238" i="12"/>
  <c r="D1722" i="12"/>
  <c r="D3021" i="12"/>
  <c r="D1697" i="12"/>
  <c r="D2238" i="12"/>
  <c r="D1472" i="12"/>
  <c r="D829" i="12"/>
  <c r="D199" i="12"/>
  <c r="D1493" i="12"/>
  <c r="D1322" i="12"/>
  <c r="D2132" i="12"/>
  <c r="D3282" i="12"/>
  <c r="D1438" i="12"/>
  <c r="D412" i="12"/>
  <c r="D1891" i="12"/>
  <c r="D3288" i="12"/>
  <c r="D2590" i="12"/>
  <c r="D817" i="12"/>
  <c r="D3160" i="12"/>
  <c r="D958" i="12"/>
  <c r="D2481" i="12"/>
  <c r="D1971" i="12"/>
  <c r="D109" i="12"/>
  <c r="D2680" i="12"/>
  <c r="D1479" i="12"/>
  <c r="D1766" i="12"/>
  <c r="D1107" i="12"/>
  <c r="D2154" i="12"/>
  <c r="D2347" i="12"/>
  <c r="D3452" i="12"/>
  <c r="D244" i="12"/>
  <c r="D1631" i="12"/>
  <c r="D3526" i="12"/>
  <c r="D853" i="12"/>
  <c r="D3355" i="12"/>
  <c r="D1428" i="12"/>
  <c r="D155" i="12"/>
  <c r="D50" i="12"/>
  <c r="D1484" i="12"/>
  <c r="D2505" i="12"/>
  <c r="D757" i="12"/>
  <c r="D422" i="12"/>
  <c r="D741" i="12"/>
  <c r="D353" i="12"/>
  <c r="D1410" i="12"/>
  <c r="D1318" i="12"/>
  <c r="D3263" i="12"/>
  <c r="D3044" i="12"/>
  <c r="D1054" i="12"/>
  <c r="D525" i="12"/>
  <c r="D178" i="12"/>
  <c r="D3347" i="12"/>
  <c r="D1010" i="12"/>
  <c r="D330" i="12"/>
  <c r="D1295" i="12"/>
  <c r="D1829" i="12"/>
  <c r="D3118" i="12"/>
  <c r="D3384" i="12"/>
  <c r="D2977" i="12"/>
  <c r="D1772" i="12"/>
  <c r="D949" i="12"/>
  <c r="D206" i="12"/>
  <c r="D1725" i="12"/>
  <c r="D1134" i="12"/>
  <c r="D1426" i="12"/>
  <c r="D932" i="12"/>
  <c r="D3178" i="12"/>
  <c r="D1337" i="12"/>
  <c r="D3320" i="12"/>
  <c r="D1534" i="12"/>
  <c r="D2729" i="12"/>
  <c r="D2391" i="12"/>
  <c r="D3491" i="12"/>
  <c r="D1515" i="12"/>
  <c r="D158" i="12"/>
  <c r="D1363" i="12"/>
  <c r="D2008" i="12"/>
  <c r="D3226" i="12"/>
  <c r="D160" i="12"/>
  <c r="D1996" i="12"/>
  <c r="D3048" i="12"/>
  <c r="D1237" i="12"/>
  <c r="D2038" i="12"/>
  <c r="D1309" i="12"/>
  <c r="D1280" i="12"/>
  <c r="D2804" i="12"/>
  <c r="D2369" i="12"/>
  <c r="D2100" i="12"/>
  <c r="D2816" i="12"/>
  <c r="D1101" i="12"/>
  <c r="D2060" i="12"/>
  <c r="D2811" i="12"/>
  <c r="D2494" i="12"/>
  <c r="D262" i="12"/>
  <c r="D2290" i="12"/>
  <c r="D19" i="12"/>
  <c r="D772" i="12"/>
  <c r="D3111" i="12"/>
  <c r="D1769" i="12"/>
  <c r="D253" i="12"/>
  <c r="D2618" i="12"/>
  <c r="D2765" i="12"/>
  <c r="D2079" i="12"/>
  <c r="D1308" i="12"/>
  <c r="D680" i="12"/>
  <c r="D939" i="12"/>
  <c r="D682" i="12"/>
  <c r="D3096" i="12"/>
  <c r="D1417" i="12"/>
  <c r="D1400" i="12"/>
  <c r="D1106" i="12"/>
  <c r="D1567" i="12"/>
  <c r="D2236" i="12"/>
  <c r="D1287" i="12"/>
  <c r="D2561" i="12"/>
  <c r="D119" i="12"/>
  <c r="D1654" i="12"/>
  <c r="D880" i="12"/>
  <c r="D2086" i="12"/>
  <c r="D550" i="12"/>
  <c r="D2016" i="12"/>
  <c r="D1800" i="12"/>
  <c r="D3072" i="12"/>
  <c r="D1550" i="12"/>
  <c r="D1272" i="12"/>
  <c r="D3328" i="12"/>
  <c r="D2403" i="12"/>
  <c r="D1962" i="12"/>
  <c r="D2228" i="12"/>
  <c r="D2206" i="12"/>
  <c r="D1058" i="12"/>
  <c r="D2621" i="12"/>
  <c r="D3460" i="12"/>
  <c r="D3244" i="12"/>
  <c r="D2423" i="12"/>
  <c r="D1065" i="12"/>
  <c r="D488" i="12"/>
  <c r="D1006" i="12"/>
  <c r="D1812" i="12"/>
  <c r="D2033" i="12"/>
  <c r="D3374" i="12"/>
  <c r="D3308" i="12"/>
  <c r="D922" i="12"/>
  <c r="D1905" i="12"/>
  <c r="D2923" i="12"/>
  <c r="D571" i="12"/>
  <c r="D3521" i="12"/>
  <c r="D76" i="12"/>
  <c r="D907" i="12"/>
  <c r="D3041" i="12"/>
  <c r="D2810" i="12"/>
  <c r="D664" i="12"/>
  <c r="D969" i="12"/>
  <c r="D359" i="12"/>
  <c r="D2309" i="12"/>
  <c r="D120" i="12"/>
  <c r="D2637" i="12"/>
  <c r="D358" i="12"/>
  <c r="D348" i="12"/>
  <c r="D2833" i="12"/>
  <c r="D3185" i="12"/>
  <c r="D1392" i="12"/>
  <c r="D1552" i="12"/>
  <c r="D3155" i="12"/>
  <c r="D1131" i="12"/>
  <c r="D3325" i="12"/>
  <c r="D3326" i="12"/>
  <c r="D2684" i="12"/>
  <c r="D1104" i="12"/>
  <c r="D1404" i="12"/>
  <c r="D1958" i="12"/>
  <c r="D2285" i="12"/>
  <c r="D513" i="12"/>
  <c r="D1385" i="12"/>
  <c r="D2984" i="12"/>
  <c r="D2970" i="12"/>
  <c r="D2348" i="12"/>
  <c r="D243" i="12"/>
  <c r="D2364" i="12"/>
  <c r="D2129" i="12"/>
  <c r="D1955" i="12"/>
  <c r="D2075" i="12"/>
  <c r="D2614" i="12"/>
  <c r="D187" i="12"/>
  <c r="D36" i="12"/>
  <c r="D733" i="12"/>
  <c r="D3159" i="12"/>
  <c r="D286" i="12"/>
  <c r="D2149" i="12"/>
  <c r="D2428" i="12"/>
  <c r="D461" i="12"/>
  <c r="D2992" i="12"/>
  <c r="D3436" i="12"/>
  <c r="D1968" i="12"/>
  <c r="D2260" i="12"/>
  <c r="D1210" i="12"/>
  <c r="D849" i="12"/>
  <c r="D3040" i="12"/>
  <c r="D1512" i="12"/>
  <c r="D1403" i="12"/>
  <c r="D1626" i="12"/>
  <c r="D2524" i="12"/>
  <c r="D1471" i="12"/>
  <c r="D3427" i="12"/>
  <c r="D577" i="12"/>
  <c r="D2407" i="12"/>
  <c r="D3007" i="12"/>
  <c r="D2447" i="12"/>
  <c r="D1966" i="12"/>
  <c r="D3514" i="12"/>
  <c r="D992" i="12"/>
  <c r="D1826" i="12"/>
  <c r="D2085" i="12"/>
  <c r="D1390" i="12"/>
  <c r="D410" i="12"/>
  <c r="D2303" i="12"/>
  <c r="D2670" i="12"/>
  <c r="D786" i="12"/>
  <c r="D3470" i="12"/>
  <c r="D1179" i="12"/>
  <c r="D901" i="12"/>
  <c r="D2489" i="12"/>
  <c r="D1167" i="12"/>
  <c r="D750" i="12"/>
  <c r="D2965" i="12"/>
  <c r="D2691" i="12"/>
  <c r="D2682" i="12"/>
  <c r="D1331" i="12"/>
  <c r="D2082" i="12"/>
  <c r="D1708" i="12"/>
  <c r="D1638" i="12"/>
  <c r="D3366" i="12"/>
  <c r="D3472" i="12"/>
  <c r="D1367" i="12"/>
  <c r="D1431" i="12"/>
  <c r="D1972" i="12"/>
  <c r="D1519" i="12"/>
  <c r="D1586" i="12"/>
  <c r="D724" i="12"/>
  <c r="D1108" i="12"/>
  <c r="D2669" i="12"/>
  <c r="D1200" i="12"/>
  <c r="D3416" i="12"/>
  <c r="D1718" i="12"/>
  <c r="D1459" i="12"/>
  <c r="D407" i="12"/>
  <c r="D3445" i="12"/>
  <c r="D3348" i="12"/>
  <c r="D131" i="12"/>
  <c r="D230" i="12"/>
  <c r="D1690" i="12"/>
  <c r="D700" i="12"/>
  <c r="D1782" i="12"/>
  <c r="D2120" i="12"/>
  <c r="D1799" i="12"/>
  <c r="D1067" i="12"/>
  <c r="D368" i="12"/>
  <c r="D1668" i="12"/>
  <c r="D2808" i="12"/>
  <c r="D2692" i="12"/>
  <c r="D2474" i="12"/>
  <c r="D753" i="12"/>
  <c r="D1500" i="12"/>
  <c r="D1304" i="12"/>
  <c r="D381" i="12"/>
  <c r="D95" i="12"/>
  <c r="D883" i="12"/>
  <c r="D2802" i="12"/>
  <c r="D2612" i="12"/>
  <c r="D520" i="12"/>
  <c r="D2226" i="12"/>
  <c r="D1208" i="12"/>
  <c r="D2924" i="12"/>
  <c r="D553" i="12"/>
  <c r="D1157" i="12"/>
  <c r="D2498" i="12"/>
  <c r="D1815" i="12"/>
  <c r="D3284" i="12"/>
  <c r="D1339" i="12"/>
  <c r="D150" i="12"/>
  <c r="D2538" i="12"/>
  <c r="D2103" i="12"/>
  <c r="D2491" i="12"/>
  <c r="D121" i="12"/>
  <c r="D2058" i="12"/>
  <c r="D32" i="12"/>
  <c r="D1004" i="12"/>
  <c r="D872" i="12"/>
  <c r="D26" i="12"/>
  <c r="D1899" i="12"/>
  <c r="D285" i="12"/>
  <c r="D3014" i="12"/>
  <c r="D2646" i="12"/>
  <c r="D1329" i="12"/>
  <c r="D590" i="12"/>
  <c r="D2539" i="12"/>
  <c r="D1267" i="12"/>
  <c r="D2703" i="12"/>
  <c r="D3199" i="12"/>
  <c r="D445" i="12"/>
  <c r="D1560" i="12"/>
  <c r="D2779" i="12"/>
  <c r="D468" i="12"/>
  <c r="D633" i="12"/>
  <c r="D2452" i="12"/>
  <c r="D1302" i="12"/>
  <c r="D1925" i="12"/>
  <c r="D165" i="12"/>
  <c r="D801" i="12"/>
  <c r="D1303" i="12"/>
  <c r="D714" i="12"/>
  <c r="D2199" i="12"/>
  <c r="D603" i="12"/>
  <c r="D110" i="12"/>
  <c r="D2676" i="12"/>
  <c r="D3425" i="12"/>
  <c r="D2689" i="12"/>
  <c r="D3538" i="12"/>
  <c r="D1816" i="12"/>
  <c r="D1771" i="12"/>
  <c r="D1112" i="12"/>
  <c r="D1803" i="12"/>
  <c r="D1921" i="12"/>
  <c r="D3091" i="12"/>
  <c r="D3109" i="12"/>
  <c r="D2607" i="12"/>
  <c r="D1031" i="12"/>
  <c r="D576" i="12"/>
  <c r="D1528" i="12"/>
  <c r="D1912" i="12"/>
  <c r="D1919" i="12"/>
  <c r="D1254" i="12"/>
  <c r="D3300" i="12"/>
  <c r="D2623" i="12"/>
  <c r="D2510" i="12"/>
  <c r="D2710" i="12"/>
  <c r="D2854" i="12"/>
  <c r="D1491" i="12"/>
  <c r="D3479" i="12"/>
  <c r="D3174" i="12"/>
  <c r="D3152" i="12"/>
  <c r="D2880" i="12"/>
  <c r="D3477" i="12"/>
  <c r="D2526" i="12"/>
  <c r="D3211" i="12"/>
  <c r="D1787" i="12"/>
  <c r="D1087" i="12"/>
  <c r="D2445" i="12"/>
  <c r="D1930" i="12"/>
  <c r="D313" i="12"/>
  <c r="D1485" i="12"/>
  <c r="D3419" i="12"/>
  <c r="D1089" i="12"/>
  <c r="D1788" i="12"/>
  <c r="D481" i="12"/>
  <c r="D1118" i="12"/>
  <c r="D1707" i="12"/>
  <c r="D887" i="12"/>
  <c r="D370" i="12"/>
  <c r="D1764" i="12"/>
  <c r="D1521" i="12"/>
  <c r="D3108" i="12"/>
  <c r="D105" i="12"/>
  <c r="D228" i="12"/>
  <c r="D1598" i="12"/>
  <c r="D830" i="12"/>
  <c r="D1797" i="12"/>
  <c r="D896" i="12"/>
  <c r="D425" i="12"/>
  <c r="D2200" i="12"/>
  <c r="D2262" i="12"/>
  <c r="D3426" i="12"/>
  <c r="D3280" i="12"/>
  <c r="D2225" i="12"/>
  <c r="D3403" i="12"/>
  <c r="D1530" i="12"/>
  <c r="D2796" i="12"/>
  <c r="D1466" i="12"/>
  <c r="D1740" i="12"/>
  <c r="D993" i="12"/>
  <c r="D3378" i="12"/>
  <c r="D1094" i="12"/>
  <c r="D698" i="12"/>
  <c r="D2748" i="12"/>
  <c r="D856" i="12"/>
  <c r="D2876" i="12"/>
  <c r="D1470" i="12"/>
  <c r="D3532" i="12"/>
  <c r="D170" i="12"/>
  <c r="D430" i="12"/>
  <c r="D777" i="12"/>
  <c r="D2429" i="12"/>
  <c r="D2944" i="12"/>
  <c r="D3277" i="12"/>
  <c r="D2675" i="12"/>
  <c r="D1811" i="12"/>
  <c r="D3361" i="12"/>
  <c r="D2251" i="12"/>
  <c r="D1977" i="12"/>
  <c r="D339" i="12"/>
  <c r="D1333" i="12"/>
  <c r="D1737" i="12"/>
  <c r="D927" i="12"/>
  <c r="D3534" i="12"/>
  <c r="D1733" i="12"/>
  <c r="D3353" i="12"/>
  <c r="D1850" i="12"/>
  <c r="D229" i="12"/>
  <c r="D2817" i="12"/>
  <c r="D2807" i="12"/>
  <c r="D2179" i="12"/>
  <c r="D2109" i="12"/>
  <c r="D384" i="12"/>
  <c r="D3023" i="12"/>
  <c r="D1959" i="12"/>
  <c r="D841" i="12"/>
  <c r="D2339" i="12"/>
  <c r="D140" i="12"/>
  <c r="D2432" i="12"/>
  <c r="D3523" i="12"/>
  <c r="D2256" i="12"/>
  <c r="D3081" i="12"/>
  <c r="D2382" i="12"/>
  <c r="D1705" i="12"/>
  <c r="D2925" i="12"/>
  <c r="D491" i="12"/>
  <c r="D3046" i="12"/>
  <c r="D1508" i="12"/>
  <c r="D1405" i="12"/>
  <c r="D2123" i="12"/>
  <c r="D3373" i="12"/>
  <c r="D1014" i="12"/>
  <c r="D169" i="12"/>
  <c r="D3446" i="12"/>
  <c r="D584" i="12"/>
  <c r="D3115" i="12"/>
  <c r="D2468" i="12"/>
  <c r="D113" i="12"/>
  <c r="D600" i="12"/>
  <c r="D289" i="12"/>
  <c r="D3428" i="12"/>
  <c r="D2483" i="12"/>
  <c r="D2207" i="12"/>
  <c r="D3265" i="12"/>
  <c r="D2500" i="12"/>
  <c r="D1013" i="12"/>
  <c r="D2472" i="12"/>
  <c r="D2967" i="12"/>
  <c r="D3456" i="12"/>
  <c r="D2029" i="12"/>
  <c r="D2741" i="12"/>
  <c r="D1614" i="12"/>
  <c r="D70" i="12"/>
  <c r="D3099" i="12"/>
  <c r="D2588" i="12"/>
  <c r="D2775" i="12"/>
  <c r="D863" i="12"/>
  <c r="D2513" i="12"/>
  <c r="D1078" i="12"/>
  <c r="D1120" i="12"/>
  <c r="D451" i="12"/>
  <c r="D783" i="12"/>
  <c r="D1712" i="12"/>
  <c r="D2469" i="12"/>
  <c r="D3052" i="12"/>
  <c r="D1370" i="12"/>
  <c r="D354" i="12"/>
  <c r="D2133" i="12"/>
  <c r="D398" i="12"/>
  <c r="D2336" i="12"/>
  <c r="D1015" i="12"/>
  <c r="D800" i="12"/>
  <c r="D1257" i="12"/>
  <c r="D3242" i="12"/>
  <c r="D875" i="12"/>
  <c r="D360" i="12"/>
  <c r="D2188" i="12"/>
  <c r="D1169" i="12"/>
  <c r="D3371" i="12"/>
  <c r="D967" i="12"/>
  <c r="D768" i="12"/>
  <c r="D2933" i="12"/>
  <c r="D671" i="12"/>
  <c r="D1704" i="12"/>
  <c r="D2191" i="12"/>
  <c r="D3401" i="12"/>
  <c r="D72" i="12"/>
  <c r="D3362" i="12"/>
  <c r="D320" i="12"/>
  <c r="D2655" i="12"/>
  <c r="D1992" i="12"/>
  <c r="D936" i="12"/>
  <c r="D3112" i="12"/>
  <c r="D953" i="12"/>
  <c r="D2573" i="12"/>
  <c r="D1349" i="12"/>
  <c r="D761" i="12"/>
  <c r="D832" i="12"/>
  <c r="D1637" i="12"/>
  <c r="D2449" i="12"/>
  <c r="D1245" i="12"/>
  <c r="D3146" i="12"/>
  <c r="D2560" i="12"/>
  <c r="D2470" i="12"/>
  <c r="D2938" i="12"/>
  <c r="D3519" i="12"/>
  <c r="D1820" i="12"/>
  <c r="D575" i="12"/>
  <c r="D41" i="12"/>
  <c r="D2664" i="12"/>
  <c r="D275" i="12"/>
  <c r="D3131" i="12"/>
  <c r="D2363" i="12"/>
  <c r="D1155" i="12"/>
  <c r="D2853" i="12"/>
  <c r="D365" i="12"/>
  <c r="D1676" i="12"/>
  <c r="D1692" i="12"/>
  <c r="D946" i="12"/>
  <c r="D585" i="12"/>
  <c r="D2978" i="12"/>
  <c r="D2202" i="12"/>
  <c r="D1739" i="12"/>
  <c r="D123" i="12"/>
  <c r="D3485" i="12"/>
  <c r="D2705" i="12"/>
  <c r="D599" i="12"/>
  <c r="D2159" i="12"/>
  <c r="D1347" i="12"/>
  <c r="D454" i="12"/>
  <c r="D842" i="12"/>
  <c r="D1450" i="12"/>
  <c r="D2665" i="12"/>
  <c r="D2639" i="12"/>
  <c r="D1666" i="12"/>
  <c r="D3507" i="12"/>
  <c r="D2852" i="12"/>
  <c r="D3317" i="12"/>
  <c r="D2233" i="12"/>
  <c r="D563" i="12"/>
  <c r="D2061" i="12"/>
  <c r="D1494" i="12"/>
  <c r="D394" i="12"/>
  <c r="D950" i="12"/>
  <c r="D1357" i="12"/>
  <c r="D1664" i="12"/>
  <c r="D3078" i="12"/>
  <c r="D2344" i="12"/>
  <c r="D2650" i="12"/>
  <c r="D1150" i="12"/>
  <c r="D2280" i="12"/>
  <c r="D2240" i="12"/>
  <c r="D2413" i="12"/>
  <c r="D710" i="12"/>
  <c r="D479" i="12"/>
  <c r="D3302" i="12"/>
  <c r="D2441" i="12"/>
  <c r="D555" i="12"/>
  <c r="D80" i="12"/>
  <c r="D2879" i="12"/>
  <c r="D1574" i="12"/>
  <c r="D49" i="12"/>
  <c r="D1881" i="12"/>
  <c r="D1861" i="12"/>
  <c r="D1041" i="12"/>
  <c r="D2026" i="12"/>
  <c r="D2554" i="12"/>
  <c r="D3119" i="12"/>
  <c r="D3264" i="12"/>
  <c r="D3346" i="12"/>
  <c r="D1832" i="12"/>
  <c r="D1596" i="12"/>
  <c r="D3089" i="12"/>
  <c r="D1607" i="12"/>
  <c r="D874" i="12"/>
  <c r="D1896" i="12"/>
  <c r="D1747" i="12"/>
  <c r="D1307" i="12"/>
  <c r="D423" i="12"/>
  <c r="D734" i="12"/>
  <c r="D255" i="12"/>
  <c r="D2966" i="12"/>
  <c r="D467" i="12"/>
  <c r="D2550" i="12"/>
  <c r="D1720" i="12"/>
  <c r="D3529" i="12"/>
  <c r="D3508" i="12"/>
  <c r="D940" i="12"/>
  <c r="D2379" i="12"/>
  <c r="D2845" i="12"/>
  <c r="D2897" i="12"/>
  <c r="D373" i="12"/>
  <c r="D2394" i="12"/>
  <c r="D882" i="12"/>
  <c r="D892" i="12"/>
  <c r="D500" i="12"/>
  <c r="D414" i="12"/>
  <c r="D480" i="12"/>
  <c r="D2341" i="12"/>
  <c r="D2847" i="12"/>
  <c r="D2971" i="12"/>
  <c r="D1589" i="12"/>
  <c r="D2007" i="12"/>
  <c r="D2985" i="12"/>
  <c r="D818" i="12"/>
  <c r="D3475" i="12"/>
  <c r="D2591" i="12"/>
  <c r="D1236" i="12"/>
  <c r="D3181" i="12"/>
  <c r="D1326" i="12"/>
  <c r="D1732" i="12"/>
  <c r="D3493" i="12"/>
  <c r="D3305" i="12"/>
  <c r="D1773" i="12"/>
  <c r="D1755" i="12"/>
  <c r="D3537" i="12"/>
  <c r="D302" i="12"/>
  <c r="D3261" i="12"/>
  <c r="D3531" i="12"/>
  <c r="D1372" i="12"/>
  <c r="D2028" i="12"/>
  <c r="D1019" i="12"/>
  <c r="D657" i="12"/>
  <c r="D1963" i="12"/>
  <c r="D1543" i="12"/>
  <c r="D3279" i="12"/>
  <c r="D3169" i="12"/>
  <c r="D681" i="12"/>
  <c r="D2162" i="12"/>
  <c r="D2558" i="12"/>
  <c r="D1311" i="12"/>
  <c r="D2964" i="12"/>
  <c r="D226" i="12"/>
  <c r="D134" i="12"/>
  <c r="D1027" i="12"/>
  <c r="D2340" i="12"/>
  <c r="D427" i="12"/>
  <c r="D1511" i="12"/>
  <c r="D598" i="12"/>
  <c r="D2164" i="12"/>
  <c r="D1953" i="12"/>
  <c r="D1618" i="12"/>
  <c r="D752" i="12"/>
  <c r="D2315" i="12"/>
  <c r="D501" i="12"/>
  <c r="D1819" i="12"/>
  <c r="D1416" i="12"/>
  <c r="D1604" i="12"/>
  <c r="D704" i="12"/>
  <c r="D2213" i="12"/>
  <c r="D2850" i="12"/>
  <c r="D2014" i="12"/>
  <c r="D1462" i="12"/>
  <c r="D1538" i="12"/>
  <c r="D2326" i="12"/>
  <c r="D778" i="12"/>
  <c r="D2400" i="12"/>
  <c r="D2018" i="12"/>
  <c r="D3306" i="12"/>
  <c r="D651" i="12"/>
  <c r="D290" i="12"/>
  <c r="D2749" i="12"/>
  <c r="D1327" i="12"/>
  <c r="D1858" i="12"/>
  <c r="D521" i="12"/>
  <c r="D2656" i="12"/>
  <c r="D945" i="12"/>
  <c r="D77" i="12"/>
  <c r="D913" i="12"/>
  <c r="D3502" i="12"/>
  <c r="D647" i="12"/>
  <c r="D2317" i="12"/>
  <c r="D1976" i="12"/>
  <c r="D564" i="12"/>
  <c r="D1506" i="12"/>
  <c r="D908" i="12"/>
  <c r="D623" i="12"/>
  <c r="D611" i="12"/>
  <c r="D1795" i="12"/>
  <c r="D3334" i="12"/>
  <c r="D2440" i="12"/>
  <c r="D669" i="12"/>
  <c r="D3067" i="12"/>
  <c r="D723" i="12"/>
  <c r="D3180" i="12"/>
  <c r="D3408" i="12"/>
  <c r="D2898" i="12"/>
  <c r="D3134" i="12"/>
  <c r="D3231" i="12"/>
  <c r="D3498" i="12"/>
  <c r="D2553" i="12"/>
  <c r="D2358" i="12"/>
  <c r="D91" i="12"/>
  <c r="D2939" i="12"/>
  <c r="D2516" i="12"/>
  <c r="D56" i="12"/>
  <c r="D2822" i="12"/>
  <c r="D2174" i="12"/>
  <c r="D1984" i="12"/>
  <c r="D83" i="12"/>
  <c r="D538" i="12"/>
  <c r="D1565" i="12"/>
  <c r="D2025" i="12"/>
  <c r="D345" i="12"/>
  <c r="D2567" i="12"/>
  <c r="D2988" i="12"/>
  <c r="D2157" i="12"/>
  <c r="D2302" i="12"/>
  <c r="D2936" i="12"/>
  <c r="D1160" i="12"/>
  <c r="D1790" i="12"/>
  <c r="D1040" i="12"/>
  <c r="D1243" i="12"/>
  <c r="D794" i="12"/>
  <c r="D1145" i="12"/>
  <c r="D2042" i="12"/>
  <c r="D2993" i="12"/>
  <c r="D2592" i="12"/>
  <c r="D459" i="12"/>
  <c r="D2555" i="12"/>
  <c r="D3520" i="12"/>
  <c r="D499" i="12"/>
  <c r="D3102" i="12"/>
  <c r="D1600" i="12"/>
  <c r="D1833" i="12"/>
  <c r="D1034" i="12"/>
  <c r="D3462" i="12"/>
  <c r="D1762" i="12"/>
  <c r="D3018" i="12"/>
  <c r="D2638" i="12"/>
  <c r="D58" i="12"/>
  <c r="D2686" i="12"/>
  <c r="D2893" i="12"/>
  <c r="D2000" i="12"/>
  <c r="D592" i="12"/>
  <c r="D3289" i="12"/>
  <c r="D2581" i="12"/>
  <c r="D3103" i="12"/>
  <c r="D2507" i="12"/>
  <c r="D2301" i="12"/>
  <c r="D177" i="12"/>
  <c r="D2761" i="12"/>
  <c r="D1391" i="12"/>
  <c r="D2906" i="12"/>
  <c r="D743" i="12"/>
  <c r="D2791" i="12"/>
  <c r="D506" i="12"/>
  <c r="D3127" i="12"/>
  <c r="D1680" i="12"/>
  <c r="D2045" i="12"/>
  <c r="D464" i="12"/>
  <c r="D823" i="12"/>
  <c r="D2141" i="12"/>
  <c r="D902" i="12"/>
  <c r="D2702" i="12"/>
  <c r="D1175" i="12"/>
  <c r="D3061" i="12"/>
  <c r="D2727" i="12"/>
  <c r="D1144" i="12"/>
  <c r="D323" i="12"/>
  <c r="D2824" i="12"/>
  <c r="D3208" i="12"/>
  <c r="D3395" i="12"/>
  <c r="D2896" i="12"/>
  <c r="D2753" i="12"/>
  <c r="D3133" i="12"/>
  <c r="D317" i="12"/>
  <c r="D881" i="12"/>
  <c r="D996" i="12"/>
  <c r="D2004" i="12"/>
  <c r="D918" i="12"/>
  <c r="D3033" i="12"/>
  <c r="D2486" i="12"/>
  <c r="D3357" i="12"/>
  <c r="D1536" i="12"/>
  <c r="D2737" i="12"/>
  <c r="D1276" i="12"/>
  <c r="D2337" i="12"/>
  <c r="D436" i="12"/>
  <c r="D273" i="12"/>
  <c r="D3241" i="12"/>
  <c r="D2551" i="12"/>
  <c r="D2190" i="12"/>
  <c r="D172" i="12"/>
  <c r="D24" i="12"/>
  <c r="D3331" i="12"/>
  <c r="D3156" i="12"/>
  <c r="D30" i="12"/>
  <c r="D2453" i="12"/>
  <c r="D3476" i="12"/>
  <c r="D857" i="12"/>
  <c r="D2107" i="12"/>
  <c r="D3516" i="12"/>
  <c r="D1809" i="12"/>
  <c r="D2210" i="12"/>
  <c r="D3248" i="12"/>
  <c r="D54" i="12"/>
  <c r="D1387" i="12"/>
  <c r="D90" i="12"/>
  <c r="D1072" i="12"/>
  <c r="D604" i="12"/>
  <c r="D161" i="12"/>
  <c r="D1475" i="12"/>
  <c r="D1137" i="12"/>
  <c r="D2648" i="12"/>
  <c r="D2177" i="12"/>
  <c r="D831" i="12"/>
  <c r="D2418" i="12"/>
  <c r="D2345" i="12"/>
  <c r="D432" i="12"/>
  <c r="D3053" i="12"/>
  <c r="D1011" i="12"/>
  <c r="D272" i="12"/>
  <c r="D1734" i="12"/>
  <c r="D1801" i="12"/>
  <c r="D1545" i="12"/>
  <c r="D2972" i="12"/>
  <c r="D3233" i="12"/>
  <c r="D2108" i="12"/>
  <c r="D1696" i="12"/>
  <c r="D1878" i="12"/>
  <c r="D3062" i="12"/>
  <c r="D1317" i="12"/>
  <c r="D3145" i="12"/>
  <c r="D1599" i="12"/>
  <c r="D2169" i="12"/>
  <c r="D333" i="12"/>
  <c r="D1354" i="12"/>
  <c r="D869" i="12"/>
  <c r="D2017" i="12"/>
  <c r="D2663" i="12"/>
  <c r="D3212" i="12"/>
  <c r="D2195" i="12"/>
  <c r="D3189" i="12"/>
  <c r="D968" i="12"/>
  <c r="D3290" i="12"/>
  <c r="D408" i="12"/>
  <c r="D3431" i="12"/>
  <c r="D2928" i="12"/>
  <c r="D2836" i="12"/>
  <c r="D911" i="12"/>
  <c r="D64" i="12"/>
  <c r="D2628" i="12"/>
  <c r="D760" i="12"/>
  <c r="D1875" i="12"/>
  <c r="D2271" i="12"/>
  <c r="D153" i="12"/>
  <c r="D695" i="12"/>
  <c r="D663" i="12"/>
  <c r="D2077" i="12"/>
  <c r="D888" i="12"/>
  <c r="D2443" i="12"/>
  <c r="D2395" i="12"/>
  <c r="D2265" i="12"/>
  <c r="D2976" i="12"/>
  <c r="D2790" i="12"/>
  <c r="D1224" i="12"/>
  <c r="D718" i="12"/>
  <c r="D1892" i="12"/>
  <c r="D2277" i="12"/>
  <c r="D2390" i="12"/>
  <c r="D1509" i="12"/>
  <c r="D779" i="12"/>
  <c r="D2572" i="12"/>
  <c r="D930" i="12"/>
  <c r="D2435" i="12"/>
  <c r="D2774" i="12"/>
  <c r="D1649" i="12"/>
  <c r="D1227" i="12"/>
  <c r="D1501" i="12"/>
  <c r="D3356" i="12"/>
  <c r="D374" i="12"/>
  <c r="D386" i="12"/>
  <c r="D1195" i="12"/>
  <c r="D1338" i="12"/>
  <c r="D962" i="12"/>
  <c r="D1436" i="12"/>
  <c r="D3275" i="12"/>
  <c r="D1838" i="12"/>
  <c r="D1229" i="12"/>
  <c r="D2399" i="12"/>
  <c r="D371" i="12"/>
  <c r="D713" i="12"/>
  <c r="D572" i="12"/>
  <c r="D3513" i="12"/>
  <c r="D3194" i="12"/>
  <c r="D1305" i="12"/>
  <c r="D1156" i="12"/>
  <c r="D2739" i="12"/>
  <c r="D1207" i="12"/>
  <c r="D1396" i="12"/>
  <c r="D1609" i="12"/>
  <c r="D3157" i="12"/>
  <c r="D2943" i="12"/>
  <c r="D305" i="12"/>
  <c r="D3278" i="12"/>
  <c r="D1661" i="12"/>
  <c r="D3363" i="12"/>
  <c r="D2883" i="12"/>
  <c r="D3499" i="12"/>
  <c r="D1056" i="12"/>
  <c r="D299" i="12"/>
  <c r="D3177" i="12"/>
  <c r="D2945" i="12"/>
  <c r="D1727" i="12"/>
  <c r="D1122" i="12"/>
  <c r="D802" i="12"/>
  <c r="D1616" i="12"/>
  <c r="D195" i="12"/>
  <c r="D549" i="12"/>
  <c r="D3147" i="12"/>
  <c r="D2147" i="12"/>
  <c r="D566" i="12"/>
  <c r="D890" i="12"/>
  <c r="D1140" i="12"/>
  <c r="D2059" i="12"/>
  <c r="D3043" i="12"/>
  <c r="D2668" i="12"/>
  <c r="D774" i="12"/>
  <c r="D2587" i="12"/>
  <c r="D2087" i="12"/>
  <c r="D3167" i="12"/>
  <c r="D3450" i="12"/>
  <c r="D3064" i="12"/>
  <c r="D2916" i="12"/>
  <c r="D3003" i="12"/>
  <c r="D3101" i="12"/>
  <c r="D1377" i="12"/>
  <c r="D3495" i="12"/>
  <c r="D1262" i="12"/>
  <c r="D2258" i="12"/>
  <c r="D2352" i="12"/>
  <c r="D2974" i="12"/>
  <c r="D3437" i="12"/>
  <c r="D850" i="12"/>
  <c r="D1409" i="12"/>
  <c r="D1464" i="12"/>
  <c r="D2419" i="12"/>
  <c r="D1082" i="12"/>
  <c r="D3151" i="12"/>
  <c r="D52" i="12"/>
  <c r="D476" i="12"/>
  <c r="D2781" i="12"/>
  <c r="D2196" i="12"/>
  <c r="D1478" i="12"/>
  <c r="D1719" i="12"/>
  <c r="D1444" i="12"/>
  <c r="D1723" i="12"/>
  <c r="D482" i="12"/>
  <c r="D1201" i="12"/>
  <c r="D1514" i="12"/>
  <c r="D2996" i="12"/>
  <c r="D473" i="12"/>
  <c r="D921" i="12"/>
  <c r="D3276" i="12"/>
  <c r="D2412" i="12"/>
  <c r="D224" i="12"/>
  <c r="D759" i="12"/>
  <c r="D1364" i="12"/>
  <c r="D2952" i="12"/>
  <c r="D542" i="12"/>
  <c r="D2112" i="12"/>
  <c r="D439" i="12"/>
  <c r="D1897" i="12"/>
  <c r="D1948" i="12"/>
  <c r="D1982" i="12"/>
  <c r="D1359" i="12"/>
  <c r="D1221" i="12"/>
  <c r="D3251" i="12"/>
  <c r="D1660" i="12"/>
  <c r="D1918" i="12"/>
  <c r="D544" i="12"/>
  <c r="D1659" i="12"/>
  <c r="D2451" i="12"/>
  <c r="D3011" i="12"/>
  <c r="D1163" i="12"/>
  <c r="D1793" i="12"/>
  <c r="D281" i="12"/>
  <c r="D1443" i="12"/>
  <c r="D1037" i="12"/>
  <c r="D2448" i="12"/>
  <c r="D1045" i="12"/>
  <c r="D254" i="12"/>
  <c r="D3249" i="12"/>
  <c r="D2406" i="12"/>
  <c r="D2685" i="12"/>
  <c r="D1834" i="12"/>
  <c r="D143" i="12"/>
  <c r="D3417" i="12"/>
  <c r="D1597" i="12"/>
  <c r="D1062" i="12"/>
  <c r="D987" i="12"/>
  <c r="D3292" i="12"/>
  <c r="D989" i="12"/>
  <c r="D1780" i="12"/>
  <c r="D2827" i="12"/>
  <c r="D837" i="12"/>
  <c r="D2556" i="12"/>
  <c r="D1496" i="12"/>
  <c r="D1970" i="12"/>
  <c r="D1558" i="12"/>
  <c r="D2724" i="12"/>
  <c r="D284" i="12"/>
  <c r="D3351" i="12"/>
  <c r="D314" i="12"/>
  <c r="D2757" i="12"/>
  <c r="D983" i="12"/>
  <c r="D1652" i="12"/>
  <c r="D2620" i="12"/>
  <c r="D934" i="12"/>
  <c r="D1523" i="12"/>
  <c r="D2054" i="12"/>
  <c r="D914" i="12"/>
  <c r="E11" i="12"/>
  <c r="E2053" i="12"/>
  <c r="E343" i="12"/>
  <c r="E1300" i="12"/>
  <c r="E2908" i="12"/>
  <c r="E2224" i="12"/>
  <c r="E2530" i="12"/>
  <c r="E810" i="12"/>
  <c r="E1735" i="12"/>
  <c r="E101" i="12"/>
  <c r="E132" i="12"/>
  <c r="E362" i="12"/>
  <c r="E108" i="12"/>
  <c r="E715" i="12"/>
  <c r="E2633" i="12"/>
  <c r="E1006" i="12"/>
  <c r="E1012" i="12"/>
  <c r="E3428" i="12"/>
  <c r="E223" i="12"/>
  <c r="E2103" i="12"/>
  <c r="E2690" i="12"/>
  <c r="E3421" i="12"/>
  <c r="E875" i="12"/>
  <c r="E3410" i="12"/>
  <c r="E3296" i="12"/>
  <c r="E1402" i="12"/>
  <c r="E2624" i="12"/>
  <c r="E1582" i="12"/>
  <c r="E1372" i="12"/>
  <c r="E1708" i="12"/>
  <c r="E3465" i="12"/>
  <c r="E1274" i="12"/>
  <c r="E1159" i="12"/>
  <c r="E812" i="12"/>
  <c r="E2795" i="12"/>
  <c r="E519" i="12"/>
  <c r="E2247" i="12"/>
  <c r="E93" i="12"/>
  <c r="E2776" i="12"/>
  <c r="E2572" i="12"/>
  <c r="E2630" i="12"/>
  <c r="E3515" i="12"/>
  <c r="E1150" i="12"/>
  <c r="E1091" i="12"/>
  <c r="E3226" i="12"/>
  <c r="E6" i="12"/>
  <c r="E1298" i="12"/>
  <c r="E1365" i="12"/>
  <c r="E475" i="12"/>
  <c r="E2825" i="12"/>
  <c r="E3248" i="12"/>
  <c r="E1964" i="12"/>
  <c r="E149" i="12"/>
  <c r="E3246" i="12"/>
  <c r="E2716" i="12"/>
  <c r="E224" i="12"/>
  <c r="E1503" i="12"/>
  <c r="E3143" i="12"/>
  <c r="E1379" i="12"/>
  <c r="E3284" i="12"/>
  <c r="E2185" i="12"/>
  <c r="E3067" i="12"/>
  <c r="E1693" i="12"/>
  <c r="E1596" i="12"/>
  <c r="E27" i="12"/>
  <c r="E1698" i="12"/>
  <c r="E3479" i="12"/>
  <c r="E1035" i="12"/>
  <c r="E1400" i="12"/>
  <c r="E1526" i="12"/>
  <c r="E3165" i="12"/>
  <c r="E1222" i="12"/>
  <c r="E2565" i="12"/>
  <c r="E818" i="12"/>
  <c r="E1812" i="12"/>
  <c r="E2091" i="12"/>
  <c r="E375" i="12"/>
  <c r="E3009" i="12"/>
  <c r="E620" i="12"/>
  <c r="E824" i="12"/>
  <c r="E271" i="12"/>
  <c r="E3104" i="12"/>
  <c r="E813" i="12"/>
  <c r="E3107" i="12"/>
  <c r="E911" i="12"/>
  <c r="E2766" i="12"/>
  <c r="E896" i="12"/>
  <c r="E582" i="12"/>
  <c r="E2393" i="12"/>
  <c r="E2520" i="12"/>
  <c r="E184" i="12"/>
  <c r="E533" i="12"/>
  <c r="E1454" i="12"/>
  <c r="E2827" i="12"/>
  <c r="E311" i="12"/>
  <c r="E2234" i="12"/>
  <c r="E1502" i="12"/>
  <c r="E2194" i="12"/>
  <c r="E2113" i="12"/>
  <c r="E444" i="12"/>
  <c r="E1896" i="12"/>
  <c r="E1273" i="12"/>
  <c r="E3136" i="12"/>
  <c r="E2315" i="12"/>
  <c r="E1641" i="12"/>
  <c r="E3203" i="12"/>
  <c r="E984" i="12"/>
  <c r="E3075" i="12"/>
  <c r="E1704" i="12"/>
  <c r="E246" i="12"/>
  <c r="E2532" i="12"/>
  <c r="E1574" i="12"/>
  <c r="E384" i="12"/>
  <c r="E2067" i="12"/>
  <c r="E261" i="12"/>
  <c r="E507" i="12"/>
  <c r="E800" i="12"/>
  <c r="E1863" i="12"/>
  <c r="E713" i="12"/>
  <c r="E1212" i="12"/>
  <c r="E390" i="12"/>
  <c r="E360" i="12"/>
  <c r="E1522" i="12"/>
  <c r="E142" i="12"/>
  <c r="E2254" i="12"/>
  <c r="E2471" i="12"/>
  <c r="E2391" i="12"/>
  <c r="E1377" i="12"/>
  <c r="E2566" i="12"/>
  <c r="E1622" i="12"/>
  <c r="E987" i="12"/>
  <c r="E1567" i="12"/>
  <c r="E2751" i="12"/>
  <c r="E258" i="12"/>
  <c r="E2206" i="12"/>
  <c r="E2486" i="12"/>
  <c r="E1415" i="12"/>
  <c r="E2425" i="12"/>
  <c r="E1153" i="12"/>
  <c r="E17" i="12"/>
  <c r="E1782" i="12"/>
  <c r="E315" i="12"/>
  <c r="E1196" i="12"/>
  <c r="E2105" i="12"/>
  <c r="E411" i="12"/>
  <c r="E1376" i="12"/>
  <c r="E522" i="12"/>
  <c r="E3444" i="12"/>
  <c r="E1340" i="12"/>
  <c r="E2476" i="12"/>
  <c r="E2023" i="12"/>
  <c r="E1617" i="12"/>
  <c r="E2403" i="12"/>
  <c r="E2648" i="12"/>
  <c r="E1025" i="12"/>
  <c r="E1154" i="12"/>
  <c r="E528" i="12"/>
  <c r="E33" i="12"/>
  <c r="E2814" i="12"/>
  <c r="E1126" i="12"/>
  <c r="E1944" i="12"/>
  <c r="E1218" i="12"/>
  <c r="E508" i="12"/>
  <c r="E2547" i="12"/>
  <c r="E2180" i="12"/>
  <c r="E2258" i="12"/>
  <c r="E1915" i="12"/>
  <c r="E3173" i="12"/>
  <c r="E2359" i="12"/>
  <c r="E1028" i="12"/>
  <c r="E1467" i="12"/>
  <c r="E213" i="12"/>
  <c r="E2645" i="12"/>
  <c r="E2894" i="12"/>
  <c r="E3013" i="12"/>
  <c r="E777" i="12"/>
  <c r="E370" i="12"/>
  <c r="E178" i="12"/>
  <c r="E736" i="12"/>
  <c r="E2846" i="12"/>
  <c r="E3087" i="12"/>
  <c r="E1897" i="12"/>
  <c r="E1403" i="12"/>
  <c r="E2498" i="12"/>
  <c r="E251" i="12"/>
  <c r="E961" i="12"/>
  <c r="E1117" i="12"/>
  <c r="E348" i="12"/>
  <c r="E2821" i="12"/>
  <c r="E2850" i="12"/>
  <c r="E2964" i="12"/>
  <c r="E1476" i="12"/>
  <c r="E672" i="12"/>
  <c r="E2427" i="12"/>
  <c r="E3382" i="12"/>
  <c r="E64" i="12"/>
  <c r="E1423" i="12"/>
  <c r="E3118" i="12"/>
  <c r="E951" i="12"/>
  <c r="E817" i="12"/>
  <c r="E1188" i="12"/>
  <c r="E2577" i="12"/>
  <c r="E1784" i="12"/>
  <c r="E1215" i="12"/>
  <c r="E1804" i="12"/>
  <c r="E2609" i="12"/>
  <c r="E1694" i="12"/>
  <c r="E2496" i="12"/>
  <c r="E634" i="12"/>
  <c r="E1581" i="12"/>
  <c r="E2613" i="12"/>
  <c r="E408" i="12"/>
  <c r="E2969" i="12"/>
  <c r="E2236" i="12"/>
  <c r="E1213" i="12"/>
  <c r="E1810" i="12"/>
  <c r="E441" i="12"/>
  <c r="E2364" i="12"/>
  <c r="E287" i="12"/>
  <c r="E526" i="12"/>
  <c r="E3146" i="12"/>
  <c r="E3027" i="12"/>
  <c r="E1877" i="12"/>
  <c r="E2151" i="12"/>
  <c r="E1783" i="12"/>
  <c r="E389" i="12"/>
  <c r="E3442" i="12"/>
  <c r="E1543" i="12"/>
  <c r="E1306" i="12"/>
  <c r="E438" i="12"/>
  <c r="E2062" i="12"/>
  <c r="E349" i="12"/>
  <c r="E102" i="12"/>
  <c r="E2334" i="12"/>
  <c r="E3512" i="12"/>
  <c r="E2643" i="12"/>
  <c r="E3355" i="12"/>
  <c r="E704" i="12"/>
  <c r="E2273" i="12"/>
  <c r="E301" i="12"/>
  <c r="E2339" i="12"/>
  <c r="E2026" i="12"/>
  <c r="E2553" i="12"/>
  <c r="E2567" i="12"/>
  <c r="E2259" i="12"/>
  <c r="E2028" i="12"/>
  <c r="E1046" i="12"/>
  <c r="E764" i="12"/>
  <c r="E1124" i="12"/>
  <c r="E172" i="12"/>
  <c r="E2928" i="12"/>
  <c r="E295" i="12"/>
  <c r="E1458" i="12"/>
  <c r="E3516" i="12"/>
  <c r="E1408" i="12"/>
  <c r="E1265" i="12"/>
  <c r="E2948" i="12"/>
  <c r="E1793" i="12"/>
  <c r="E2545" i="12"/>
  <c r="E3461" i="12"/>
  <c r="E3332" i="12"/>
  <c r="E3390" i="12"/>
  <c r="E2755" i="12"/>
  <c r="E887" i="12"/>
  <c r="E1858" i="12"/>
  <c r="E2075" i="12"/>
  <c r="E3110" i="12"/>
  <c r="E2542" i="12"/>
  <c r="E2452" i="12"/>
  <c r="E2965" i="12"/>
  <c r="E638" i="12"/>
  <c r="E181" i="12"/>
  <c r="E58" i="12"/>
  <c r="E2939" i="12"/>
  <c r="E3008" i="12"/>
  <c r="E996" i="12"/>
  <c r="E1033" i="12"/>
  <c r="E3007" i="12"/>
  <c r="E1087" i="12"/>
  <c r="E217" i="12"/>
  <c r="E618" i="12"/>
  <c r="E865" i="12"/>
  <c r="E3520" i="12"/>
  <c r="E3352" i="12"/>
  <c r="E1200" i="12"/>
  <c r="E1177" i="12"/>
  <c r="E561" i="12"/>
  <c r="E1557" i="12"/>
  <c r="E926" i="12"/>
  <c r="E2959" i="12"/>
  <c r="E1443" i="12"/>
  <c r="E529" i="12"/>
  <c r="E828" i="12"/>
  <c r="E1712" i="12"/>
  <c r="E2365" i="12"/>
  <c r="E2478" i="12"/>
  <c r="E350" i="12"/>
  <c r="E1053" i="12"/>
  <c r="E808" i="12"/>
  <c r="E1411" i="12"/>
  <c r="E3241" i="12"/>
  <c r="E270" i="12"/>
  <c r="E88" i="12"/>
  <c r="E1179" i="12"/>
  <c r="E930" i="12"/>
  <c r="E1674" i="12"/>
  <c r="E2807" i="12"/>
  <c r="E2424" i="12"/>
  <c r="E3253" i="12"/>
  <c r="E1536" i="12"/>
  <c r="E1846" i="12"/>
  <c r="E433" i="12"/>
  <c r="E1700" i="12"/>
  <c r="E111" i="12"/>
  <c r="E982" i="12"/>
  <c r="E2858" i="12"/>
  <c r="E3073" i="12"/>
  <c r="E194" i="12"/>
  <c r="E3291" i="12"/>
  <c r="E46" i="12"/>
  <c r="E2662" i="12"/>
  <c r="E834" i="12"/>
  <c r="E760" i="12"/>
  <c r="E2773" i="12"/>
  <c r="E550" i="12"/>
  <c r="E423" i="12"/>
  <c r="E1102" i="12"/>
  <c r="E3250" i="12"/>
  <c r="E2242" i="12"/>
  <c r="E3450" i="12"/>
  <c r="E1206" i="12"/>
  <c r="E1945" i="12"/>
  <c r="E38" i="12"/>
  <c r="E413" i="12"/>
  <c r="E3330" i="12"/>
  <c r="E778" i="12"/>
  <c r="E1484" i="12"/>
  <c r="E2182" i="12"/>
  <c r="E680" i="12"/>
  <c r="E927" i="12"/>
  <c r="E2013" i="12"/>
  <c r="E1764" i="12"/>
  <c r="E3401" i="12"/>
  <c r="E3043" i="12"/>
  <c r="E432" i="12"/>
  <c r="E584" i="12"/>
  <c r="E1908" i="12"/>
  <c r="E2095" i="12"/>
  <c r="E291" i="12"/>
  <c r="E393" i="12"/>
  <c r="E1749" i="12"/>
  <c r="E2873" i="12"/>
  <c r="E1391" i="12"/>
  <c r="E3254" i="12"/>
  <c r="E2556" i="12"/>
  <c r="E973" i="12"/>
  <c r="E171" i="12"/>
  <c r="E2753" i="12"/>
  <c r="E2745" i="12"/>
  <c r="E3167" i="12"/>
  <c r="E549" i="12"/>
  <c r="E723" i="12"/>
  <c r="E999" i="12"/>
  <c r="E2876" i="12"/>
  <c r="E879" i="12"/>
  <c r="E1606" i="12"/>
  <c r="E2824" i="12"/>
  <c r="E642" i="12"/>
  <c r="E574" i="12"/>
  <c r="E608" i="12"/>
  <c r="E2186" i="12"/>
  <c r="E2721" i="12"/>
  <c r="E97" i="12"/>
  <c r="E3149" i="12"/>
  <c r="E696" i="12"/>
  <c r="E2176" i="12"/>
  <c r="E3078" i="12"/>
  <c r="E470" i="12"/>
  <c r="E614" i="12"/>
  <c r="E1424" i="12"/>
  <c r="E302" i="12"/>
  <c r="E2387" i="12"/>
  <c r="E2990" i="12"/>
  <c r="E2575" i="12"/>
  <c r="E1439" i="12"/>
  <c r="E3436" i="12"/>
  <c r="E3148" i="12"/>
  <c r="E769" i="12"/>
  <c r="E2586" i="12"/>
  <c r="E3492" i="12"/>
  <c r="E1266" i="12"/>
  <c r="E565" i="12"/>
  <c r="E1190" i="12"/>
  <c r="E3100" i="12"/>
  <c r="E2413" i="12"/>
  <c r="E1310" i="12"/>
  <c r="E822" i="12"/>
  <c r="E2991" i="12"/>
  <c r="E1758" i="12"/>
  <c r="E3140" i="12"/>
  <c r="E2223" i="12"/>
  <c r="E2987" i="12"/>
  <c r="E1015" i="12"/>
  <c r="E1302" i="12"/>
  <c r="E3034" i="12"/>
  <c r="E1654" i="12"/>
  <c r="E2833" i="12"/>
  <c r="E1139" i="12"/>
  <c r="E44" i="12"/>
  <c r="E2212" i="12"/>
  <c r="E2535" i="12"/>
  <c r="E2436" i="12"/>
  <c r="E2985" i="12"/>
  <c r="E1755" i="12"/>
  <c r="E2030" i="12"/>
  <c r="E2494" i="12"/>
  <c r="E1315" i="12"/>
  <c r="E45" i="12"/>
  <c r="E2925" i="12"/>
  <c r="E625" i="12"/>
  <c r="E3406" i="12"/>
  <c r="E1451" i="12"/>
  <c r="E2568" i="12"/>
  <c r="E1873" i="12"/>
  <c r="E236" i="12"/>
  <c r="E1876" i="12"/>
  <c r="E2184" i="12"/>
  <c r="E2376" i="12"/>
  <c r="E741" i="12"/>
  <c r="E1275" i="12"/>
  <c r="E2531" i="12"/>
  <c r="E589" i="12"/>
  <c r="E3331" i="12"/>
  <c r="E907" i="12"/>
  <c r="E247" i="12"/>
  <c r="E3210" i="12"/>
  <c r="E2733" i="12"/>
  <c r="E3374" i="12"/>
  <c r="E3307" i="12"/>
  <c r="E2246" i="12"/>
  <c r="E3080" i="12"/>
  <c r="E1089" i="12"/>
  <c r="E1912" i="12"/>
  <c r="E1304" i="12"/>
  <c r="E56" i="12"/>
  <c r="E1572" i="12"/>
  <c r="E2890" i="12"/>
  <c r="E3072" i="12"/>
  <c r="E1540" i="12"/>
  <c r="E2525" i="12"/>
  <c r="E2544" i="12"/>
  <c r="E3038" i="12"/>
  <c r="E3108" i="12"/>
  <c r="E2039" i="12"/>
  <c r="E831" i="12"/>
  <c r="E1881" i="12"/>
  <c r="E2981" i="12"/>
  <c r="E260" i="12"/>
  <c r="E750" i="12"/>
  <c r="E2045" i="12"/>
  <c r="E3201" i="12"/>
  <c r="E1334" i="12"/>
  <c r="E3396" i="12"/>
  <c r="E1644" i="12"/>
  <c r="E205" i="12"/>
  <c r="E843" i="12"/>
  <c r="E2509" i="12"/>
  <c r="E3517" i="12"/>
  <c r="E2455" i="12"/>
  <c r="E692" i="12"/>
  <c r="E2052" i="12"/>
  <c r="E1797" i="12"/>
  <c r="E1696" i="12"/>
  <c r="E2866" i="12"/>
  <c r="E837" i="12"/>
  <c r="E913" i="12"/>
  <c r="E2165" i="12"/>
  <c r="E963" i="12"/>
  <c r="E755" i="12"/>
  <c r="E2001" i="12"/>
  <c r="E580" i="12"/>
  <c r="E3114" i="12"/>
  <c r="E2099" i="12"/>
  <c r="E1740" i="12"/>
  <c r="E188" i="12"/>
  <c r="E1608" i="12"/>
  <c r="E542" i="12"/>
  <c r="E160" i="12"/>
  <c r="E2327" i="12"/>
  <c r="E3014" i="12"/>
  <c r="E2296" i="12"/>
  <c r="E3469" i="12"/>
  <c r="E1980" i="12"/>
  <c r="E1074" i="12"/>
  <c r="E2340" i="12"/>
  <c r="E2034" i="12"/>
  <c r="E2806" i="12"/>
  <c r="E3524" i="12"/>
  <c r="E670" i="12"/>
  <c r="E378" i="12"/>
  <c r="E2754" i="12"/>
  <c r="E1956" i="12"/>
  <c r="E3514" i="12"/>
  <c r="E2261" i="12"/>
  <c r="E3150" i="12"/>
  <c r="E1938" i="12"/>
  <c r="E3345" i="12"/>
  <c r="E52" i="12"/>
  <c r="E1497" i="12"/>
  <c r="E168" i="12"/>
  <c r="E2596" i="12"/>
  <c r="E2947" i="12"/>
  <c r="E1630" i="12"/>
  <c r="E2432" i="12"/>
  <c r="E686" i="12"/>
  <c r="E2594" i="12"/>
  <c r="E421" i="12"/>
  <c r="E2510" i="12"/>
  <c r="E3537" i="12"/>
  <c r="E2888" i="12"/>
  <c r="E496" i="12"/>
  <c r="E1346" i="12"/>
  <c r="E2286" i="12"/>
  <c r="E114" i="12"/>
  <c r="E1727" i="12"/>
  <c r="E2130" i="12"/>
  <c r="E989" i="12"/>
  <c r="E525" i="12"/>
  <c r="E339" i="12"/>
  <c r="E1367" i="12"/>
  <c r="E1375" i="12"/>
  <c r="E2291" i="12"/>
  <c r="E134" i="12"/>
  <c r="E3335" i="12"/>
  <c r="E558" i="12"/>
  <c r="E592" i="12"/>
  <c r="E1511" i="12"/>
  <c r="E1705" i="12"/>
  <c r="E2787" i="12"/>
  <c r="E1022" i="12"/>
  <c r="E2326" i="12"/>
  <c r="E2138" i="12"/>
  <c r="E1185" i="12"/>
  <c r="E2656" i="12"/>
  <c r="E335" i="12"/>
  <c r="E2599" i="12"/>
  <c r="E3437" i="12"/>
  <c r="E3058" i="12"/>
  <c r="E2400" i="12"/>
  <c r="E2830" i="12"/>
  <c r="E2529" i="12"/>
  <c r="E3211" i="12"/>
  <c r="E932" i="12"/>
  <c r="E3001" i="12"/>
  <c r="E1291" i="12"/>
  <c r="E1513" i="12"/>
  <c r="E2046" i="12"/>
  <c r="E2085" i="12"/>
  <c r="E1118" i="12"/>
  <c r="E68" i="12"/>
  <c r="E2008" i="12"/>
  <c r="E2600" i="12"/>
  <c r="E1043" i="12"/>
  <c r="E2762" i="12"/>
  <c r="E2680" i="12"/>
  <c r="E154" i="12"/>
  <c r="E3017" i="12"/>
  <c r="E2949" i="12"/>
  <c r="E591" i="12"/>
  <c r="E3380" i="12"/>
  <c r="E690" i="12"/>
  <c r="E2669" i="12"/>
  <c r="E2658" i="12"/>
  <c r="E2746" i="12"/>
  <c r="E66" i="12"/>
  <c r="E484" i="12"/>
  <c r="E309" i="12"/>
  <c r="E453" i="12"/>
  <c r="E3415" i="12"/>
  <c r="E2771" i="12"/>
  <c r="E516" i="12"/>
  <c r="E207" i="12"/>
  <c r="E697" i="12"/>
  <c r="E3273" i="12"/>
  <c r="E2953" i="12"/>
  <c r="E3375" i="12"/>
  <c r="E257" i="12"/>
  <c r="E2448" i="12"/>
  <c r="E365" i="12"/>
  <c r="E2019" i="12"/>
  <c r="E1297" i="12"/>
  <c r="E100" i="12"/>
  <c r="E520" i="12"/>
  <c r="E2853" i="12"/>
  <c r="E3373" i="12"/>
  <c r="E2190" i="12"/>
  <c r="E2414" i="12"/>
  <c r="E2698" i="12"/>
  <c r="E1824" i="12"/>
  <c r="E3194" i="12"/>
  <c r="E2012" i="12"/>
  <c r="E222" i="12"/>
  <c r="E3447" i="12"/>
  <c r="E201" i="12"/>
  <c r="E1045" i="12"/>
  <c r="E2288" i="12"/>
  <c r="E1910" i="12"/>
  <c r="E2435" i="12"/>
  <c r="E2423" i="12"/>
  <c r="E1208" i="12"/>
  <c r="E2307" i="12"/>
  <c r="E1017" i="12"/>
  <c r="E206" i="12"/>
  <c r="E450" i="12"/>
  <c r="E2098" i="12"/>
  <c r="E1921" i="12"/>
  <c r="E763" i="12"/>
  <c r="E801" i="12"/>
  <c r="E262" i="12"/>
  <c r="E397" i="12"/>
  <c r="E1075" i="12"/>
  <c r="E2366" i="12"/>
  <c r="E3109" i="12"/>
  <c r="E643" i="12"/>
  <c r="E897" i="12"/>
  <c r="E1201" i="12"/>
  <c r="E868" i="12"/>
  <c r="E1357" i="12"/>
  <c r="E3242" i="12"/>
  <c r="E1570" i="12"/>
  <c r="E245" i="12"/>
  <c r="E326" i="12"/>
  <c r="E1311" i="12"/>
  <c r="E1996" i="12"/>
  <c r="E2558" i="12"/>
  <c r="E2408" i="12"/>
  <c r="E3235" i="12"/>
  <c r="E256" i="12"/>
  <c r="E2555" i="12"/>
  <c r="E3275" i="12"/>
  <c r="E3399" i="12"/>
  <c r="E3267" i="12"/>
  <c r="E1769" i="12"/>
  <c r="E2154" i="12"/>
  <c r="E1380" i="12"/>
  <c r="E3130" i="12"/>
  <c r="E1175" i="12"/>
  <c r="E2215" i="12"/>
  <c r="E895" i="12"/>
  <c r="E2467" i="12"/>
  <c r="E2582" i="12"/>
  <c r="E1364" i="12"/>
  <c r="E2351" i="12"/>
  <c r="E2967" i="12"/>
  <c r="E1919" i="12"/>
  <c r="E1666" i="12"/>
  <c r="E2080" i="12"/>
  <c r="E209" i="12"/>
  <c r="E240" i="12"/>
  <c r="E1396" i="12"/>
  <c r="E1672" i="12"/>
  <c r="E693" i="12"/>
  <c r="E3032" i="12"/>
  <c r="E2395" i="12"/>
  <c r="E3048" i="12"/>
  <c r="E3081" i="12"/>
  <c r="E1481" i="12"/>
  <c r="E527" i="12"/>
  <c r="E3499" i="12"/>
  <c r="E3042" i="12"/>
  <c r="E515" i="12"/>
  <c r="E2036" i="12"/>
  <c r="E3426" i="12"/>
  <c r="E537" i="12"/>
  <c r="E827" i="12"/>
  <c r="E1563" i="12"/>
  <c r="E535" i="12"/>
  <c r="E1579" i="12"/>
  <c r="E1588" i="12"/>
  <c r="E1221" i="12"/>
  <c r="E1753" i="12"/>
  <c r="E1949" i="12"/>
  <c r="E1494" i="12"/>
  <c r="E43" i="12"/>
  <c r="E317" i="12"/>
  <c r="E312" i="12"/>
  <c r="E2503" i="12"/>
  <c r="E1023" i="12"/>
  <c r="E259" i="12"/>
  <c r="E957" i="12"/>
  <c r="E1628" i="12"/>
  <c r="E2998" i="12"/>
  <c r="E3227" i="12"/>
  <c r="E1305" i="12"/>
  <c r="E1614" i="12"/>
  <c r="E676" i="12"/>
  <c r="E1378" i="12"/>
  <c r="E2032" i="12"/>
  <c r="E2352" i="12"/>
  <c r="E3049" i="12"/>
  <c r="E3404" i="12"/>
  <c r="E730" i="12"/>
  <c r="E2585" i="12"/>
  <c r="E3170" i="12"/>
  <c r="E442" i="12"/>
  <c r="E83" i="12"/>
  <c r="E1092" i="12"/>
  <c r="E266" i="12"/>
  <c r="E3097" i="12"/>
  <c r="E1546" i="12"/>
  <c r="E3269" i="12"/>
  <c r="E2127" i="12"/>
  <c r="E2615" i="12"/>
  <c r="E3395" i="12"/>
  <c r="E2854" i="12"/>
  <c r="E2871" i="12"/>
  <c r="E3503" i="12"/>
  <c r="E2802" i="12"/>
  <c r="E2230" i="12"/>
  <c r="E832" i="12"/>
  <c r="E1429" i="12"/>
  <c r="E1647" i="12"/>
  <c r="E1951" i="12"/>
  <c r="E1128" i="12"/>
  <c r="E420" i="12"/>
  <c r="E3443" i="12"/>
  <c r="E663" i="12"/>
  <c r="E3041" i="12"/>
  <c r="E239" i="12"/>
  <c r="E3513" i="12"/>
  <c r="E1534" i="12"/>
  <c r="E3197" i="12"/>
  <c r="E1987" i="12"/>
  <c r="E1924" i="12"/>
  <c r="E2201" i="12"/>
  <c r="E2268" i="12"/>
  <c r="E1444" i="12"/>
  <c r="E1816" i="12"/>
  <c r="E929" i="12"/>
  <c r="E1344" i="12"/>
  <c r="E1207" i="12"/>
  <c r="E1801" i="12"/>
  <c r="E2170" i="12"/>
  <c r="E2595" i="12"/>
  <c r="E3123" i="12"/>
  <c r="E2245" i="12"/>
  <c r="E1667" i="12"/>
  <c r="E1496" i="12"/>
  <c r="E3193" i="12"/>
  <c r="E1626" i="12"/>
  <c r="E1165" i="12"/>
  <c r="E2962" i="12"/>
  <c r="E1871" i="12"/>
  <c r="E838" i="12"/>
  <c r="E2801" i="12"/>
  <c r="E2536" i="12"/>
  <c r="E77" i="12"/>
  <c r="E3348" i="12"/>
  <c r="E1561" i="12"/>
  <c r="E3297" i="12"/>
  <c r="E1953" i="12"/>
  <c r="E2834" i="12"/>
  <c r="E48" i="12"/>
  <c r="E2316" i="12"/>
  <c r="E2153" i="12"/>
  <c r="E776" i="12"/>
  <c r="E2174" i="12"/>
  <c r="E1419" i="12"/>
  <c r="E278" i="12"/>
  <c r="E3386" i="12"/>
  <c r="E1495" i="12"/>
  <c r="E1073" i="12"/>
  <c r="E2396" i="12"/>
  <c r="E894" i="12"/>
  <c r="E3478" i="12"/>
  <c r="E602" i="12"/>
  <c r="E1156" i="12"/>
  <c r="E2283" i="12"/>
  <c r="E717" i="12"/>
  <c r="E1366" i="12"/>
  <c r="E110" i="12"/>
  <c r="E1850" i="12"/>
  <c r="E3231" i="12"/>
  <c r="E2681" i="12"/>
  <c r="E1105" i="12"/>
  <c r="E743" i="12"/>
  <c r="E1259" i="12"/>
  <c r="E269" i="12"/>
  <c r="E290" i="12"/>
  <c r="E553" i="12"/>
  <c r="E1417" i="12"/>
  <c r="E2088" i="12"/>
  <c r="E2270" i="12"/>
  <c r="E833" i="12"/>
  <c r="E214" i="12"/>
  <c r="E1198" i="12"/>
  <c r="E1500" i="12"/>
  <c r="E307" i="12"/>
  <c r="E797" i="12"/>
  <c r="E2451" i="12"/>
  <c r="E2017" i="12"/>
  <c r="E2188" i="12"/>
  <c r="E182" i="12"/>
  <c r="E2024" i="12"/>
  <c r="E1809" i="12"/>
  <c r="E2640" i="12"/>
  <c r="E990" i="12"/>
  <c r="E1490" i="12"/>
  <c r="E700" i="12"/>
  <c r="E493" i="12"/>
  <c r="E2976" i="12"/>
  <c r="E61" i="12"/>
  <c r="E666" i="12"/>
  <c r="E241" i="12"/>
  <c r="E2304" i="12"/>
  <c r="E2199" i="12"/>
  <c r="E1279" i="12"/>
  <c r="E825" i="12"/>
  <c r="E774" i="12"/>
  <c r="E1923" i="12"/>
  <c r="E373" i="12"/>
  <c r="E1576" i="12"/>
  <c r="E2343" i="12"/>
  <c r="E2688" i="12"/>
  <c r="E1702" i="12"/>
  <c r="E469" i="12"/>
  <c r="E2439" i="12"/>
  <c r="E1684" i="12"/>
  <c r="E3183" i="12"/>
  <c r="E583" i="12"/>
  <c r="E1592" i="12"/>
  <c r="E1133" i="12"/>
  <c r="E688" i="12"/>
  <c r="E2932" i="12"/>
  <c r="E950" i="12"/>
  <c r="E905" i="12"/>
  <c r="E3327" i="12"/>
  <c r="E1281" i="12"/>
  <c r="E351" i="12"/>
  <c r="E1151" i="12"/>
  <c r="E2918" i="12"/>
  <c r="E1097" i="12"/>
  <c r="E1194" i="12"/>
  <c r="E578" i="12"/>
  <c r="E3367" i="12"/>
  <c r="E2569" i="12"/>
  <c r="E1330" i="12"/>
  <c r="E293" i="12"/>
  <c r="E2708" i="12"/>
  <c r="E300" i="12"/>
  <c r="E316" i="12"/>
  <c r="E1532" i="12"/>
  <c r="E3232" i="12"/>
  <c r="E2828" i="12"/>
  <c r="E2388" i="12"/>
  <c r="E2960" i="12"/>
  <c r="E1726" i="12"/>
  <c r="E993" i="12"/>
  <c r="E3138" i="12"/>
  <c r="E2610" i="12"/>
  <c r="E3040" i="12"/>
  <c r="E1695" i="12"/>
  <c r="E772" i="12"/>
  <c r="E1189" i="12"/>
  <c r="E435" i="12"/>
  <c r="E3295" i="12"/>
  <c r="E69" i="12"/>
  <c r="E5" i="12"/>
  <c r="E1374" i="12"/>
  <c r="E2922" i="12"/>
  <c r="E2614" i="12"/>
  <c r="E1313" i="12"/>
  <c r="E358" i="12"/>
  <c r="E425" i="12"/>
  <c r="E357" i="12"/>
  <c r="E2175" i="12"/>
  <c r="E2809" i="12"/>
  <c r="E2021" i="12"/>
  <c r="E1314" i="12"/>
  <c r="E1601" i="12"/>
  <c r="E2222" i="12"/>
  <c r="E2081" i="12"/>
  <c r="E781" i="12"/>
  <c r="E2502" i="12"/>
  <c r="E1288" i="12"/>
  <c r="E612" i="12"/>
  <c r="E1805" i="12"/>
  <c r="E2784" i="12"/>
  <c r="E1990" i="12"/>
  <c r="E2172" i="12"/>
  <c r="E2461" i="12"/>
  <c r="E2767" i="12"/>
  <c r="E600" i="12"/>
  <c r="E1597" i="12"/>
  <c r="E788" i="12"/>
  <c r="E1925" i="12"/>
  <c r="E1730" i="12"/>
  <c r="E3004" i="12"/>
  <c r="E705" i="12"/>
  <c r="E483" i="12"/>
  <c r="E3181" i="12"/>
  <c r="E2149" i="12"/>
  <c r="E39" i="12"/>
  <c r="E1498" i="12"/>
  <c r="E1796" i="12"/>
  <c r="E2538" i="12"/>
  <c r="E2086" i="12"/>
  <c r="E1729" i="12"/>
  <c r="E2921" i="12"/>
  <c r="E1183" i="12"/>
  <c r="E1011" i="12"/>
  <c r="E870" i="12"/>
  <c r="E679" i="12"/>
  <c r="E2891" i="12"/>
  <c r="E3082" i="12"/>
  <c r="E1734" i="12"/>
  <c r="E719" i="12"/>
  <c r="E2659" i="12"/>
  <c r="E1832" i="12"/>
  <c r="E859" i="12"/>
  <c r="E1983" i="12"/>
  <c r="E716" i="12"/>
  <c r="E1002" i="12"/>
  <c r="E2840" i="12"/>
  <c r="E3519" i="12"/>
  <c r="E2159" i="12"/>
  <c r="E1834" i="12"/>
  <c r="E2405" i="12"/>
  <c r="E1052" i="12"/>
  <c r="E14" i="12"/>
  <c r="E1828" i="12"/>
  <c r="E2924" i="12"/>
  <c r="E3039" i="12"/>
  <c r="E3090" i="12"/>
  <c r="E281" i="12"/>
  <c r="E3368" i="12"/>
  <c r="E376" i="12"/>
  <c r="E1392" i="12"/>
  <c r="E835" i="12"/>
  <c r="E1537" i="12"/>
  <c r="E190" i="12"/>
  <c r="E3270" i="12"/>
  <c r="E1648" i="12"/>
  <c r="E286" i="12"/>
  <c r="E2601" i="12"/>
  <c r="E3199" i="12"/>
  <c r="E1170" i="12"/>
  <c r="E1465" i="12"/>
  <c r="E2804" i="12"/>
  <c r="E1599" i="12"/>
  <c r="E3457" i="12"/>
  <c r="E1757" i="12"/>
  <c r="E1232" i="12"/>
  <c r="E1036" i="12"/>
  <c r="E1721" i="12"/>
  <c r="E3536" i="12"/>
  <c r="E3044" i="12"/>
  <c r="E1482" i="12"/>
  <c r="E2250" i="12"/>
  <c r="E2090" i="12"/>
  <c r="E874" i="12"/>
  <c r="E2141" i="12"/>
  <c r="E1474" i="12"/>
  <c r="E512" i="12"/>
  <c r="E3357" i="12"/>
  <c r="E2344" i="12"/>
  <c r="E3448" i="12"/>
  <c r="E653" i="12"/>
  <c r="E1954" i="12"/>
  <c r="E762" i="12"/>
  <c r="E1236" i="12"/>
  <c r="E199" i="12"/>
  <c r="E2050" i="12"/>
  <c r="E2910" i="12"/>
  <c r="E2158" i="12"/>
  <c r="E92" i="12"/>
  <c r="E1839" i="12"/>
  <c r="E593" i="12"/>
  <c r="E3496" i="12"/>
  <c r="E164" i="12"/>
  <c r="E1879" i="12"/>
  <c r="E2667" i="12"/>
  <c r="E2622" i="12"/>
  <c r="E1872" i="12"/>
  <c r="E2166" i="12"/>
  <c r="E3063" i="12"/>
  <c r="E2218" i="12"/>
  <c r="E3281" i="12"/>
  <c r="E3338" i="12"/>
  <c r="E1922" i="12"/>
  <c r="E1902" i="12"/>
  <c r="E3311" i="12"/>
  <c r="E1631" i="12"/>
  <c r="E2237" i="12"/>
  <c r="E1528" i="12"/>
  <c r="E1697" i="12"/>
  <c r="E2605" i="12"/>
  <c r="E276" i="12"/>
  <c r="E787" i="12"/>
  <c r="E2228" i="12"/>
  <c r="E3021" i="12"/>
  <c r="E2717" i="12"/>
  <c r="E2331" i="12"/>
  <c r="E1187" i="12"/>
  <c r="E2743" i="12"/>
  <c r="E2693" i="12"/>
  <c r="E363" i="12"/>
  <c r="E1660" i="12"/>
  <c r="E863" i="12"/>
  <c r="E2641" i="12"/>
  <c r="E3238" i="12"/>
  <c r="E2044" i="12"/>
  <c r="E2989" i="12"/>
  <c r="E2468" i="12"/>
  <c r="E1395" i="12"/>
  <c r="E1385" i="12"/>
  <c r="E2238" i="12"/>
  <c r="E3271" i="12"/>
  <c r="E1137" i="12"/>
  <c r="E756" i="12"/>
  <c r="E2923" i="12"/>
  <c r="E72" i="12"/>
  <c r="E3202" i="12"/>
  <c r="E2089" i="12"/>
  <c r="E914" i="12"/>
  <c r="E1583" i="12"/>
  <c r="E2526" i="12"/>
  <c r="E2191" i="12"/>
  <c r="E1351" i="12"/>
  <c r="E1778" i="12"/>
  <c r="E1649" i="12"/>
  <c r="E2232" i="12"/>
  <c r="E1904" i="12"/>
  <c r="E3105" i="12"/>
  <c r="E467" i="12"/>
  <c r="E2225" i="12"/>
  <c r="E2216" i="12"/>
  <c r="E2647" i="12"/>
  <c r="E1591" i="12"/>
  <c r="E3462" i="12"/>
  <c r="E1738" i="12"/>
  <c r="E1283" i="12"/>
  <c r="E130" i="12"/>
  <c r="E617" i="12"/>
  <c r="E2736" i="12"/>
  <c r="E1932" i="12"/>
  <c r="E1284" i="12"/>
  <c r="E2779" i="12"/>
  <c r="E1267" i="12"/>
  <c r="E2415" i="12"/>
  <c r="E2047" i="12"/>
  <c r="E548" i="12"/>
  <c r="E569" i="12"/>
  <c r="E2551" i="12"/>
  <c r="E2280" i="12"/>
  <c r="E1931" i="12"/>
  <c r="E2557" i="12"/>
  <c r="E1845" i="12"/>
  <c r="E126" i="12"/>
  <c r="E1544" i="12"/>
  <c r="E2931" i="12"/>
  <c r="E1234" i="12"/>
  <c r="E1473" i="12"/>
  <c r="E1633" i="12"/>
  <c r="E447" i="12"/>
  <c r="E1542" i="12"/>
  <c r="E2905" i="12"/>
  <c r="E1268" i="12"/>
  <c r="E3217" i="12"/>
  <c r="E1181" i="12"/>
  <c r="E1709" i="12"/>
  <c r="E1055" i="12"/>
  <c r="E19" i="12"/>
  <c r="E3051" i="12"/>
  <c r="E2256" i="12"/>
  <c r="E471" i="12"/>
  <c r="E1707" i="12"/>
  <c r="E2904" i="12"/>
  <c r="E1741" i="12"/>
  <c r="E372" i="12"/>
  <c r="E3256" i="12"/>
  <c r="E745" i="12"/>
  <c r="E3261" i="12"/>
  <c r="E445" i="12"/>
  <c r="E1062" i="12"/>
  <c r="E156" i="12"/>
  <c r="E1216" i="12"/>
  <c r="E2243" i="12"/>
  <c r="E115" i="12"/>
  <c r="E60" i="12"/>
  <c r="E220" i="12"/>
  <c r="E2458" i="12"/>
  <c r="E2164" i="12"/>
  <c r="E337" i="12"/>
  <c r="E1913" i="12"/>
  <c r="E2907" i="12"/>
  <c r="E2797" i="12"/>
  <c r="E2140" i="12"/>
  <c r="E2279" i="12"/>
  <c r="E2462" i="12"/>
  <c r="E2884" i="12"/>
  <c r="E1000" i="12"/>
  <c r="E2456" i="12"/>
  <c r="E1008" i="12"/>
  <c r="E1575" i="12"/>
  <c r="E1301" i="12"/>
  <c r="E3268" i="12"/>
  <c r="E655" i="12"/>
  <c r="E830" i="12"/>
  <c r="E1732" i="12"/>
  <c r="E3293" i="12"/>
  <c r="E2941" i="12"/>
  <c r="E2818" i="12"/>
  <c r="E793" i="12"/>
  <c r="E720" i="12"/>
  <c r="E1525" i="12"/>
  <c r="E2886" i="12"/>
  <c r="E3370" i="12"/>
  <c r="E1942" i="12"/>
  <c r="E1441" i="12"/>
  <c r="E452" i="12"/>
  <c r="E1488" i="12"/>
  <c r="E2785" i="12"/>
  <c r="E3532" i="12"/>
  <c r="E456" i="12"/>
  <c r="E1225" i="12"/>
  <c r="E3116" i="12"/>
  <c r="E2143" i="12"/>
  <c r="E2563" i="12"/>
  <c r="E1857" i="12"/>
  <c r="E2217" i="12"/>
  <c r="E615" i="12"/>
  <c r="E2703" i="12"/>
  <c r="E1471" i="12"/>
  <c r="E2107" i="12"/>
  <c r="E198" i="12"/>
  <c r="E2836" i="12"/>
  <c r="E1767" i="12"/>
  <c r="E1499" i="12"/>
  <c r="E1049" i="12"/>
  <c r="E1689" i="12"/>
  <c r="E3358" i="12"/>
  <c r="E179" i="12"/>
  <c r="E2072" i="12"/>
  <c r="E1699" i="12"/>
  <c r="E404" i="12"/>
  <c r="E1835" i="12"/>
  <c r="E3159" i="12"/>
  <c r="E2492" i="12"/>
  <c r="E3047" i="12"/>
  <c r="E1571" i="12"/>
  <c r="E1665" i="12"/>
  <c r="E3480" i="12"/>
  <c r="E2493" i="12"/>
  <c r="E2507" i="12"/>
  <c r="E3300" i="12"/>
  <c r="E1848" i="12"/>
  <c r="E658" i="12"/>
  <c r="E2303" i="12"/>
  <c r="E1605" i="12"/>
  <c r="E323" i="12"/>
  <c r="E2741" i="12"/>
  <c r="E1359" i="12"/>
  <c r="E744" i="12"/>
  <c r="E3472" i="12"/>
  <c r="E2898" i="12"/>
  <c r="E59" i="12"/>
  <c r="E3153" i="12"/>
  <c r="E1096" i="12"/>
  <c r="E2348" i="12"/>
  <c r="E3424" i="12"/>
  <c r="E1071" i="12"/>
  <c r="E912" i="12"/>
  <c r="E2300" i="12"/>
  <c r="E1659" i="12"/>
  <c r="E1246" i="12"/>
  <c r="E2816" i="12"/>
  <c r="E1754" i="12"/>
  <c r="E1389" i="12"/>
  <c r="E1009" i="12"/>
  <c r="E1404" i="12"/>
  <c r="E13" i="12"/>
  <c r="E374" i="12"/>
  <c r="E1224" i="12"/>
  <c r="E2706" i="12"/>
  <c r="E504" i="12"/>
  <c r="E942" i="12"/>
  <c r="E3285" i="12"/>
  <c r="E3413" i="12"/>
  <c r="E3106" i="12"/>
  <c r="E2161" i="12"/>
  <c r="E1558" i="12"/>
  <c r="E1958" i="12"/>
  <c r="E2173" i="12"/>
  <c r="E1799" i="12"/>
  <c r="E2473" i="12"/>
  <c r="E2997" i="12"/>
  <c r="E3172" i="12"/>
  <c r="E2803" i="12"/>
  <c r="E1113" i="12"/>
  <c r="E599" i="12"/>
  <c r="E3179" i="12"/>
  <c r="E1093" i="12"/>
  <c r="E3069" i="12"/>
  <c r="E3391" i="12"/>
  <c r="E568" i="12"/>
  <c r="E3528" i="12"/>
  <c r="E771" i="12"/>
  <c r="E947" i="12"/>
  <c r="E2756" i="12"/>
  <c r="E2338" i="12"/>
  <c r="E641" i="12"/>
  <c r="E1527" i="12"/>
  <c r="E446" i="12"/>
  <c r="E636" i="12"/>
  <c r="E2277" i="12"/>
  <c r="E244" i="12"/>
  <c r="E3005" i="12"/>
  <c r="E2560" i="12"/>
  <c r="E886" i="12"/>
  <c r="E3366" i="12"/>
  <c r="E2144" i="12"/>
  <c r="E3414" i="12"/>
  <c r="E3509" i="12"/>
  <c r="E829" i="12"/>
  <c r="E966" i="12"/>
  <c r="E1014" i="12"/>
  <c r="E49" i="12"/>
  <c r="E969" i="12"/>
  <c r="E355" i="12"/>
  <c r="E228" i="12"/>
  <c r="E305" i="12"/>
  <c r="E1341" i="12"/>
  <c r="E1186" i="12"/>
  <c r="E1427" i="12"/>
  <c r="E1425" i="12"/>
  <c r="E855" i="12"/>
  <c r="E3383" i="12"/>
  <c r="E2649" i="12"/>
  <c r="E1285" i="12"/>
  <c r="E3313" i="12"/>
  <c r="E3091" i="12"/>
  <c r="E2522" i="12"/>
  <c r="E176" i="12"/>
  <c r="E2079" i="12"/>
  <c r="E2442" i="12"/>
  <c r="E965" i="12"/>
  <c r="E2650" i="12"/>
  <c r="E2187" i="12"/>
  <c r="E3385" i="12"/>
  <c r="E1985" i="12"/>
  <c r="E3449" i="12"/>
  <c r="E2539" i="12"/>
  <c r="E1209" i="12"/>
  <c r="E146" i="12"/>
  <c r="E945" i="12"/>
  <c r="E1934" i="12"/>
  <c r="E1101" i="12"/>
  <c r="E2231" i="12"/>
  <c r="E1401" i="12"/>
  <c r="E524" i="12"/>
  <c r="E2686" i="12"/>
  <c r="E1174" i="12"/>
  <c r="E1988" i="12"/>
  <c r="E1197" i="12"/>
  <c r="E1991" i="12"/>
  <c r="E1806" i="12"/>
  <c r="E1195" i="12"/>
  <c r="E369" i="12"/>
  <c r="E3312" i="12"/>
  <c r="E2429" i="12"/>
  <c r="E1263" i="12"/>
  <c r="E2074" i="12"/>
  <c r="E196" i="12"/>
  <c r="E588" i="12"/>
  <c r="E2591" i="12"/>
  <c r="E152" i="12"/>
  <c r="E2561" i="12"/>
  <c r="E63" i="12"/>
  <c r="E3525" i="12"/>
  <c r="E2054" i="12"/>
  <c r="E2739" i="12"/>
  <c r="E1992" i="12"/>
  <c r="E2909" i="12"/>
  <c r="E277" i="12"/>
  <c r="E98" i="12"/>
  <c r="E2820" i="12"/>
  <c r="E464" i="12"/>
  <c r="E3387" i="12"/>
  <c r="E1317" i="12"/>
  <c r="E1530" i="12"/>
  <c r="E3363" i="12"/>
  <c r="E96" i="12"/>
  <c r="E416" i="12"/>
  <c r="E2447" i="12"/>
  <c r="E3388" i="12"/>
  <c r="E2518" i="12"/>
  <c r="E310" i="12"/>
  <c r="E2229" i="12"/>
  <c r="E722" i="12"/>
  <c r="E1360" i="12"/>
  <c r="E2764" i="12"/>
  <c r="E976" i="12"/>
  <c r="E2726" i="12"/>
  <c r="E174" i="12"/>
  <c r="E1448" i="12"/>
  <c r="E3111" i="12"/>
  <c r="E2368" i="12"/>
  <c r="E1211" i="12"/>
  <c r="E2146" i="12"/>
  <c r="E1470" i="12"/>
  <c r="E2968" i="12"/>
  <c r="E650" i="12"/>
  <c r="E2271" i="12"/>
  <c r="E1134" i="12"/>
  <c r="E341" i="12"/>
  <c r="E3501" i="12"/>
  <c r="E1129" i="12"/>
  <c r="E235" i="12"/>
  <c r="E732" i="12"/>
  <c r="E3061" i="12"/>
  <c r="E1967" i="12"/>
  <c r="E2504" i="12"/>
  <c r="E3535" i="12"/>
  <c r="E1316" i="12"/>
  <c r="E2826" i="12"/>
  <c r="E3483" i="12"/>
  <c r="E2879" i="12"/>
  <c r="E1914" i="12"/>
  <c r="E1744" i="12"/>
  <c r="E2893" i="12"/>
  <c r="E3347" i="12"/>
  <c r="E1691" i="12"/>
  <c r="E1887" i="12"/>
  <c r="E2731" i="12"/>
  <c r="E786" i="12"/>
  <c r="E2430" i="12"/>
  <c r="E695" i="12"/>
  <c r="E3076" i="12"/>
  <c r="E3098" i="12"/>
  <c r="E1883" i="12"/>
  <c r="E2861" i="12"/>
  <c r="E994" i="12"/>
  <c r="E3490" i="12"/>
  <c r="E1785" i="12"/>
  <c r="E3035" i="12"/>
  <c r="E2702" i="12"/>
  <c r="E611" i="12"/>
  <c r="E24" i="12"/>
  <c r="E2660" i="12"/>
  <c r="E647" i="12"/>
  <c r="E791" i="12"/>
  <c r="E1086" i="12"/>
  <c r="E1786" i="12"/>
  <c r="E2482" i="12"/>
  <c r="E2115" i="12"/>
  <c r="E1837" i="12"/>
  <c r="E219" i="12"/>
  <c r="E637" i="12"/>
  <c r="E2487" i="12"/>
  <c r="E41" i="12"/>
  <c r="E31" i="12"/>
  <c r="E288" i="12"/>
  <c r="E1505" i="12"/>
  <c r="E613" i="12"/>
  <c r="E3257" i="12"/>
  <c r="E225" i="12"/>
  <c r="E2792" i="12"/>
  <c r="E3103" i="12"/>
  <c r="E3189" i="12"/>
  <c r="E536" i="12"/>
  <c r="E3272" i="12"/>
  <c r="E2977" i="12"/>
  <c r="E377" i="12"/>
  <c r="E573" i="12"/>
  <c r="E1343" i="12"/>
  <c r="E1047" i="12"/>
  <c r="E1214" i="12"/>
  <c r="E552" i="12"/>
  <c r="E3126" i="12"/>
  <c r="E2540" i="12"/>
  <c r="E3187" i="12"/>
  <c r="E1937" i="12"/>
  <c r="E2281" i="12"/>
  <c r="E3287" i="12"/>
  <c r="E849" i="12"/>
  <c r="E324" i="12"/>
  <c r="E3304" i="12"/>
  <c r="E138" i="12"/>
  <c r="E1220" i="12"/>
  <c r="E2353" i="12"/>
  <c r="E163" i="12"/>
  <c r="E904" i="12"/>
  <c r="E1509" i="12"/>
  <c r="E708" i="12"/>
  <c r="E3322" i="12"/>
  <c r="E1253" i="12"/>
  <c r="E639" i="12"/>
  <c r="E2727" i="12"/>
  <c r="E3377" i="12"/>
  <c r="E631" i="12"/>
  <c r="E1426" i="12"/>
  <c r="E2358" i="12"/>
  <c r="E1746" i="12"/>
  <c r="E992" i="12"/>
  <c r="E332" i="12"/>
  <c r="E1961" i="12"/>
  <c r="E40" i="12"/>
  <c r="E2606" i="12"/>
  <c r="E903" i="12"/>
  <c r="E916" i="12"/>
  <c r="E1598" i="12"/>
  <c r="E751" i="12"/>
  <c r="E1578" i="12"/>
  <c r="E1868" i="12"/>
  <c r="E1790" i="12"/>
  <c r="E978" i="12"/>
  <c r="E3384" i="12"/>
  <c r="E461" i="12"/>
  <c r="E1595" i="12"/>
  <c r="E2580" i="12"/>
  <c r="E2789" i="12"/>
  <c r="E1255" i="12"/>
  <c r="E2878" i="12"/>
  <c r="E742" i="12"/>
  <c r="E385" i="12"/>
  <c r="E2294" i="12"/>
  <c r="E861" i="12"/>
  <c r="E3084" i="12"/>
  <c r="E1866" i="12"/>
  <c r="E73" i="12"/>
  <c r="E3093" i="12"/>
  <c r="E683" i="12"/>
  <c r="E1994" i="12"/>
  <c r="E1020" i="12"/>
  <c r="E943" i="12"/>
  <c r="E2097" i="12"/>
  <c r="E3176" i="12"/>
  <c r="E2163" i="12"/>
  <c r="E2984" i="12"/>
  <c r="E3124" i="12"/>
  <c r="E2287" i="12"/>
  <c r="E422" i="12"/>
  <c r="E937" i="12"/>
  <c r="E122" i="12"/>
  <c r="E581" i="12"/>
  <c r="E711" i="12"/>
  <c r="E1469" i="12"/>
  <c r="E1081" i="12"/>
  <c r="E1722" i="12"/>
  <c r="E1278" i="12"/>
  <c r="E70" i="12"/>
  <c r="E1480" i="12"/>
  <c r="E1687" i="12"/>
  <c r="E3019" i="12"/>
  <c r="E867" i="12"/>
  <c r="E1852" i="12"/>
  <c r="E1748" i="12"/>
  <c r="E252" i="12"/>
  <c r="E2678" i="12"/>
  <c r="E2314" i="12"/>
  <c r="E960" i="12"/>
  <c r="E2018" i="12"/>
  <c r="E953" i="12"/>
  <c r="E382" i="12"/>
  <c r="E946" i="12"/>
  <c r="E922" i="12"/>
  <c r="E497" i="12"/>
  <c r="E2500" i="12"/>
  <c r="E765" i="12"/>
  <c r="E691" i="12"/>
  <c r="E2055" i="12"/>
  <c r="E3056" i="12"/>
  <c r="E724" i="12"/>
  <c r="E3538" i="12"/>
  <c r="E35" i="12"/>
  <c r="E1831" i="12"/>
  <c r="E2241" i="12"/>
  <c r="E1514" i="12"/>
  <c r="E1383" i="12"/>
  <c r="E731" i="12"/>
  <c r="E3018" i="12"/>
  <c r="E401" i="12"/>
  <c r="E1078" i="12"/>
  <c r="E2654" i="12"/>
  <c r="E253" i="12"/>
  <c r="E3446" i="12"/>
  <c r="E65" i="12"/>
  <c r="E364" i="12"/>
  <c r="E1731" i="12"/>
  <c r="E2049" i="12"/>
  <c r="E1007" i="12"/>
  <c r="E3095" i="12"/>
  <c r="E555" i="12"/>
  <c r="E1199" i="12"/>
  <c r="E3504" i="12"/>
  <c r="E1322" i="12"/>
  <c r="E1842" i="12"/>
  <c r="E2527" i="12"/>
  <c r="E2101" i="12"/>
  <c r="E1569" i="12"/>
  <c r="E3141" i="12"/>
  <c r="E3215" i="12"/>
  <c r="E2537" i="12"/>
  <c r="E1095" i="12"/>
  <c r="E2363" i="12"/>
  <c r="E232" i="12"/>
  <c r="E398" i="12"/>
  <c r="E1230" i="12"/>
  <c r="E1336" i="12"/>
  <c r="E2210" i="12"/>
  <c r="E2638" i="12"/>
  <c r="E869" i="12"/>
  <c r="E3334" i="12"/>
  <c r="E169" i="12"/>
  <c r="E710" i="12"/>
  <c r="E2398" i="12"/>
  <c r="E2602" i="12"/>
  <c r="E2063" i="12"/>
  <c r="E23" i="12"/>
  <c r="E2122" i="12"/>
  <c r="E644" i="12"/>
  <c r="E2950" i="12"/>
  <c r="E32" i="12"/>
  <c r="E3240" i="12"/>
  <c r="E367" i="12"/>
  <c r="E1984" i="12"/>
  <c r="E2479" i="12"/>
  <c r="E3239" i="12"/>
  <c r="E18" i="12"/>
  <c r="E3329" i="12"/>
  <c r="E754" i="12"/>
  <c r="E2723" i="12"/>
  <c r="E170" i="12"/>
  <c r="E1781" i="12"/>
  <c r="E10" i="12"/>
  <c r="E3317" i="12"/>
  <c r="E2313" i="12"/>
  <c r="E2642" i="12"/>
  <c r="E1620" i="12"/>
  <c r="E3154" i="12"/>
  <c r="E1777" i="12"/>
  <c r="E2252" i="12"/>
  <c r="E2936" i="12"/>
  <c r="E1844" i="12"/>
  <c r="E2198" i="12"/>
  <c r="E1807" i="12"/>
  <c r="E265" i="12"/>
  <c r="E2470" i="12"/>
  <c r="E2333" i="12"/>
  <c r="E2148" i="12"/>
  <c r="E1112" i="12"/>
  <c r="E3003" i="12"/>
  <c r="E3394" i="12"/>
  <c r="E3089" i="12"/>
  <c r="E844" i="12"/>
  <c r="E150" i="12"/>
  <c r="E1585" i="12"/>
  <c r="E1219" i="12"/>
  <c r="E3137" i="12"/>
  <c r="E1312" i="12"/>
  <c r="E871" i="12"/>
  <c r="E1524" i="12"/>
  <c r="E1517" i="12"/>
  <c r="E1841" i="12"/>
  <c r="E2011" i="12"/>
  <c r="E1739" i="12"/>
  <c r="E1780" i="12"/>
  <c r="E2799" i="12"/>
  <c r="E2260" i="12"/>
  <c r="E2982" i="12"/>
  <c r="E1414" i="12"/>
  <c r="E1823" i="12"/>
  <c r="E918" i="12"/>
  <c r="E2136" i="12"/>
  <c r="E396" i="12"/>
  <c r="E1551" i="12"/>
  <c r="E2832" i="12"/>
  <c r="E1624" i="12"/>
  <c r="E318" i="12"/>
  <c r="E1328" i="12"/>
  <c r="E1982" i="12"/>
  <c r="E601" i="12"/>
  <c r="E2145" i="12"/>
  <c r="E1013" i="12"/>
  <c r="E3171" i="12"/>
  <c r="E2652" i="12"/>
  <c r="E1763" i="12"/>
  <c r="E3207" i="12"/>
  <c r="E54" i="12"/>
  <c r="E1893" i="12"/>
  <c r="E1760" i="12"/>
  <c r="E3096" i="12"/>
  <c r="E1094" i="12"/>
  <c r="E2409" i="12"/>
  <c r="E2235" i="12"/>
  <c r="E3070" i="12"/>
  <c r="E1205" i="12"/>
  <c r="E2899" i="12"/>
  <c r="E1668" i="12"/>
  <c r="E2604" i="12"/>
  <c r="E908" i="12"/>
  <c r="E34" i="12"/>
  <c r="E2382" i="12"/>
  <c r="E1874" i="12"/>
  <c r="E3460" i="12"/>
  <c r="E803" i="12"/>
  <c r="E917" i="12"/>
  <c r="E3423" i="12"/>
  <c r="E3392" i="12"/>
  <c r="E2715" i="12"/>
  <c r="E234" i="12"/>
  <c r="E1926" i="12"/>
  <c r="E273" i="12"/>
  <c r="E167" i="12"/>
  <c r="E1355" i="12"/>
  <c r="E3389" i="12"/>
  <c r="E460" i="12"/>
  <c r="E910" i="12"/>
  <c r="E204" i="12"/>
  <c r="E3059" i="12"/>
  <c r="E3266" i="12"/>
  <c r="E575" i="12"/>
  <c r="E640" i="12"/>
  <c r="E633" i="12"/>
  <c r="E1867" i="12"/>
  <c r="E1405" i="12"/>
  <c r="E1635" i="12"/>
  <c r="E1895" i="12"/>
  <c r="E1859" i="12"/>
  <c r="E299" i="12"/>
  <c r="E210" i="12"/>
  <c r="E3493" i="12"/>
  <c r="E701" i="12"/>
  <c r="E1228" i="12"/>
  <c r="E2362" i="12"/>
  <c r="E3316" i="12"/>
  <c r="E3364" i="12"/>
  <c r="E2872" i="12"/>
  <c r="E1063" i="12"/>
  <c r="E2417" i="12"/>
  <c r="E3230" i="12"/>
  <c r="E415" i="12"/>
  <c r="E248" i="12"/>
  <c r="E2988" i="12"/>
  <c r="E3323" i="12"/>
  <c r="E2770" i="12"/>
  <c r="E2495" i="12"/>
  <c r="E2683" i="12"/>
  <c r="E587" i="12"/>
  <c r="E1671" i="12"/>
  <c r="E2129" i="12"/>
  <c r="E495" i="12"/>
  <c r="E1319" i="12"/>
  <c r="E1163" i="12"/>
  <c r="E1533" i="12"/>
  <c r="E2221" i="12"/>
  <c r="E466" i="12"/>
  <c r="E2970" i="12"/>
  <c r="E1969" i="12"/>
  <c r="E2420" i="12"/>
  <c r="E1410" i="12"/>
  <c r="E2607" i="12"/>
  <c r="E2444" i="12"/>
  <c r="E1384" i="12"/>
  <c r="E1736" i="12"/>
  <c r="E1193" i="12"/>
  <c r="E3243" i="12"/>
  <c r="E1257" i="12"/>
  <c r="E2437" i="12"/>
  <c r="E1817" i="12"/>
  <c r="E1663" i="12"/>
  <c r="E2598" i="12"/>
  <c r="E848" i="12"/>
  <c r="E1943" i="12"/>
  <c r="E603" i="12"/>
  <c r="E598" i="12"/>
  <c r="E3440" i="12"/>
  <c r="E410" i="12"/>
  <c r="E2431" i="12"/>
  <c r="E986" i="12"/>
  <c r="E1051" i="12"/>
  <c r="E3092" i="12"/>
  <c r="E3522" i="12"/>
  <c r="E1638" i="12"/>
  <c r="E1808" i="12"/>
  <c r="E3533" i="12"/>
  <c r="E2627" i="12"/>
  <c r="E2644" i="12"/>
  <c r="E1325" i="12"/>
  <c r="E1463" i="12"/>
  <c r="E1421" i="12"/>
  <c r="E2995" i="12"/>
  <c r="E426" i="12"/>
  <c r="E2336" i="12"/>
  <c r="E1725" i="12"/>
  <c r="E280" i="12"/>
  <c r="E2637" i="12"/>
  <c r="E2971" i="12"/>
  <c r="E728" i="12"/>
  <c r="E3534" i="12"/>
  <c r="E2629" i="12"/>
  <c r="E915" i="12"/>
  <c r="E1240" i="12"/>
  <c r="E3282" i="12"/>
  <c r="E541" i="12"/>
  <c r="E2160" i="12"/>
  <c r="E388" i="12"/>
  <c r="E878" i="12"/>
  <c r="E2251" i="12"/>
  <c r="E2800" i="12"/>
  <c r="E3403" i="12"/>
  <c r="E1172" i="12"/>
  <c r="E2722" i="12"/>
  <c r="E2874" i="12"/>
  <c r="E2015" i="12"/>
  <c r="E230" i="12"/>
  <c r="E1948" i="12"/>
  <c r="E3151" i="12"/>
  <c r="E2059" i="12"/>
  <c r="E2389" i="12"/>
  <c r="E3139" i="12"/>
  <c r="E667" i="12"/>
  <c r="E2700" i="12"/>
  <c r="E2986" i="12"/>
  <c r="E238" i="12"/>
  <c r="E2179" i="12"/>
  <c r="E2027" i="12"/>
  <c r="E2963" i="12"/>
  <c r="E1999" i="12"/>
  <c r="E885" i="12"/>
  <c r="E2759" i="12"/>
  <c r="E646" i="12"/>
  <c r="E579" i="12"/>
  <c r="E3351" i="12"/>
  <c r="E3071" i="12"/>
  <c r="E2168" i="12"/>
  <c r="E1762" i="12"/>
  <c r="E90" i="12"/>
  <c r="E472" i="12"/>
  <c r="E1548" i="12"/>
  <c r="E1333" i="12"/>
  <c r="E2519" i="12"/>
  <c r="E129" i="12"/>
  <c r="E116" i="12"/>
  <c r="E2029" i="12"/>
  <c r="E1655" i="12"/>
  <c r="E2919" i="12"/>
  <c r="E1930" i="12"/>
  <c r="E76" i="12"/>
  <c r="E1308" i="12"/>
  <c r="E3119" i="12"/>
  <c r="E2778" i="12"/>
  <c r="E1529" i="12"/>
  <c r="E2611" i="12"/>
  <c r="E3234" i="12"/>
  <c r="E586" i="12"/>
  <c r="E623" i="12"/>
  <c r="E3453" i="12"/>
  <c r="E1370" i="12"/>
  <c r="E2514" i="12"/>
  <c r="E133" i="12"/>
  <c r="E2849" i="12"/>
  <c r="E2349" i="12"/>
  <c r="E1610" i="12"/>
  <c r="E2772" i="12"/>
  <c r="E1750" i="12"/>
  <c r="E2167" i="12"/>
  <c r="E3015" i="12"/>
  <c r="E1456" i="12"/>
  <c r="E221" i="12"/>
  <c r="E1802" i="12"/>
  <c r="E3283" i="12"/>
  <c r="E1501" i="12"/>
  <c r="E2811" i="12"/>
  <c r="E1678" i="12"/>
  <c r="E272" i="12"/>
  <c r="E2312" i="12"/>
  <c r="E2812" i="12"/>
  <c r="E815" i="12"/>
  <c r="E3133" i="12"/>
  <c r="E1168" i="12"/>
  <c r="E2135" i="12"/>
  <c r="E1768" i="12"/>
  <c r="E2342" i="12"/>
  <c r="E805" i="12"/>
  <c r="E1539" i="12"/>
  <c r="E811" i="12"/>
  <c r="E344" i="12"/>
  <c r="E2421" i="12"/>
  <c r="E2484" i="12"/>
  <c r="E798" i="12"/>
  <c r="E2445" i="12"/>
  <c r="E1390" i="12"/>
  <c r="E662" i="12"/>
  <c r="E872" i="12"/>
  <c r="E505" i="12"/>
  <c r="E218" i="12"/>
  <c r="E2868" i="12"/>
  <c r="E268" i="12"/>
  <c r="E2791" i="12"/>
  <c r="E2433" i="12"/>
  <c r="E1941" i="12"/>
  <c r="E1894" i="12"/>
  <c r="E1251" i="12"/>
  <c r="E121" i="12"/>
  <c r="E2402" i="12"/>
  <c r="E1646" i="12"/>
  <c r="E2371" i="12"/>
  <c r="E2882" i="12"/>
  <c r="E1406" i="12"/>
  <c r="E3319" i="12"/>
  <c r="E3064" i="12"/>
  <c r="E16" i="12"/>
  <c r="E2289" i="12"/>
  <c r="E2460" i="12"/>
  <c r="E819" i="12"/>
  <c r="E1054" i="12"/>
  <c r="E3115" i="12"/>
  <c r="E1290" i="12"/>
  <c r="E3237" i="12"/>
  <c r="E328" i="12"/>
  <c r="E1477" i="12"/>
  <c r="E1594" i="12"/>
  <c r="E321" i="12"/>
  <c r="E862" i="12"/>
  <c r="E3135" i="12"/>
  <c r="E668" i="12"/>
  <c r="E202" i="12"/>
  <c r="E3308" i="12"/>
  <c r="E901" i="12"/>
  <c r="E604" i="12"/>
  <c r="E436" i="12"/>
  <c r="E559" i="12"/>
  <c r="E1082" i="12"/>
  <c r="E2617" i="12"/>
  <c r="E539" i="12"/>
  <c r="E1250" i="12"/>
  <c r="E1794" i="12"/>
  <c r="E665" i="12"/>
  <c r="E1434" i="12"/>
  <c r="E2954" i="12"/>
  <c r="E3507" i="12"/>
  <c r="E2324" i="12"/>
  <c r="E1152" i="12"/>
  <c r="E2056" i="12"/>
  <c r="E1140" i="12"/>
  <c r="E3221" i="12"/>
  <c r="E806" i="12"/>
  <c r="E920" i="12"/>
  <c r="E2310" i="12"/>
  <c r="E3498" i="12"/>
  <c r="E1880" i="12"/>
  <c r="E1815" i="12"/>
  <c r="E3065" i="12"/>
  <c r="E809" i="12"/>
  <c r="E1918" i="12"/>
  <c r="E560" i="12"/>
  <c r="E2407" i="12"/>
  <c r="E2943" i="12"/>
  <c r="E143" i="12"/>
  <c r="E3156" i="12"/>
  <c r="E2489" i="12"/>
  <c r="E2831" i="12"/>
  <c r="E2516" i="12"/>
  <c r="E2956" i="12"/>
  <c r="E3052" i="12"/>
  <c r="E1123" i="12"/>
  <c r="E3037" i="12"/>
  <c r="E2880" i="12"/>
  <c r="E1147" i="12"/>
  <c r="E2361" i="12"/>
  <c r="E1286" i="12"/>
  <c r="E1997" i="12"/>
  <c r="E1512" i="12"/>
  <c r="E3006" i="12"/>
  <c r="E660" i="12"/>
  <c r="E3470" i="12"/>
  <c r="E2469" i="12"/>
  <c r="E3467" i="12"/>
  <c r="E1245" i="12"/>
  <c r="E998" i="12"/>
  <c r="E3328" i="12"/>
  <c r="E2308" i="12"/>
  <c r="E3393" i="12"/>
  <c r="E1100" i="12"/>
  <c r="E1580" i="12"/>
  <c r="E2864" i="12"/>
  <c r="E2725" i="12"/>
  <c r="E2318" i="12"/>
  <c r="E1814" i="12"/>
  <c r="E2942" i="12"/>
  <c r="E2588" i="12"/>
  <c r="E449" i="12"/>
  <c r="E689" i="12"/>
  <c r="E2747" i="12"/>
  <c r="E954" i="12"/>
  <c r="E2992" i="12"/>
  <c r="E3196" i="12"/>
  <c r="E839" i="12"/>
  <c r="E249" i="12"/>
  <c r="E3482" i="12"/>
  <c r="E2480" i="12"/>
  <c r="E2562" i="12"/>
  <c r="E2822" i="12"/>
  <c r="E749" i="12"/>
  <c r="E427" i="12"/>
  <c r="E3336" i="12"/>
  <c r="E2078" i="12"/>
  <c r="E7" i="12"/>
  <c r="E3142" i="12"/>
  <c r="E2058" i="12"/>
  <c r="E3339" i="12"/>
  <c r="E1621" i="12"/>
  <c r="E2041" i="12"/>
  <c r="E1472" i="12"/>
  <c r="E840" i="12"/>
  <c r="E3431" i="12"/>
  <c r="E3521" i="12"/>
  <c r="E2006" i="12"/>
  <c r="E1004" i="12"/>
  <c r="E368" i="12"/>
  <c r="E2718" i="12"/>
  <c r="E2889" i="12"/>
  <c r="E2835" i="12"/>
  <c r="E3094" i="12"/>
  <c r="E952" i="12"/>
  <c r="E3425" i="12"/>
  <c r="E2345" i="12"/>
  <c r="E2897" i="12"/>
  <c r="E2618" i="12"/>
  <c r="E2620" i="12"/>
  <c r="E402" i="12"/>
  <c r="E628" i="12"/>
  <c r="E1688" i="12"/>
  <c r="E2533" i="12"/>
  <c r="E1144" i="12"/>
  <c r="E1559" i="12"/>
  <c r="E2843" i="12"/>
  <c r="E1993" i="12"/>
  <c r="E852" i="12"/>
  <c r="E2450" i="12"/>
  <c r="E1099" i="12"/>
  <c r="E873" i="12"/>
  <c r="E2118" i="12"/>
  <c r="E1430" i="12"/>
  <c r="E448" i="12"/>
  <c r="E2320" i="12"/>
  <c r="E2347" i="12"/>
  <c r="E1294" i="12"/>
  <c r="E2457" i="12"/>
  <c r="E2670" i="12"/>
  <c r="E979" i="12"/>
  <c r="E2900" i="12"/>
  <c r="E183" i="12"/>
  <c r="E2793" i="12"/>
  <c r="E3030" i="12"/>
  <c r="E3359" i="12"/>
  <c r="E3510" i="12"/>
  <c r="E2440" i="12"/>
  <c r="E85" i="12"/>
  <c r="E2794" i="12"/>
  <c r="E1798" i="12"/>
  <c r="E124" i="12"/>
  <c r="E2412" i="12"/>
  <c r="E1800" i="12"/>
  <c r="E1864" i="12"/>
  <c r="E2980" i="12"/>
  <c r="E2454" i="12"/>
  <c r="E1437" i="12"/>
  <c r="E2765" i="12"/>
  <c r="E2786" i="12"/>
  <c r="E1110" i="12"/>
  <c r="E1819" i="12"/>
  <c r="E675" i="12"/>
  <c r="E1108" i="12"/>
  <c r="E3321" i="12"/>
  <c r="E1566" i="12"/>
  <c r="E2100" i="12"/>
  <c r="E2418" i="12"/>
  <c r="E22" i="12"/>
  <c r="E3252" i="12"/>
  <c r="E1677" i="12"/>
  <c r="E1248" i="12"/>
  <c r="E2381" i="12"/>
  <c r="E3302" i="12"/>
  <c r="E2084" i="12"/>
  <c r="E2137" i="12"/>
  <c r="E359" i="12"/>
  <c r="E790" i="12"/>
  <c r="E551" i="12"/>
  <c r="E2920" i="12"/>
  <c r="E2207" i="12"/>
  <c r="E2724" i="12"/>
  <c r="E543" i="12"/>
  <c r="E2410" i="12"/>
  <c r="E2534" i="12"/>
  <c r="E1155" i="12"/>
  <c r="E2214" i="12"/>
  <c r="E158" i="12"/>
  <c r="E2817" i="12"/>
  <c r="E794" i="12"/>
  <c r="E546" i="12"/>
  <c r="E173" i="12"/>
  <c r="E2066" i="12"/>
  <c r="E2093" i="12"/>
  <c r="E3497" i="12"/>
  <c r="E1058" i="12"/>
  <c r="E1656" i="12"/>
  <c r="E3011" i="12"/>
  <c r="E319" i="12"/>
  <c r="E780" i="12"/>
  <c r="E571" i="12"/>
  <c r="E2428" i="12"/>
  <c r="E1368" i="12"/>
  <c r="E1966" i="12"/>
  <c r="E1664" i="12"/>
  <c r="E2330" i="12"/>
  <c r="E1407" i="12"/>
  <c r="E856" i="12"/>
  <c r="E714" i="12"/>
  <c r="E1478" i="12"/>
  <c r="E1960" i="12"/>
  <c r="E3298" i="12"/>
  <c r="E2295" i="12"/>
  <c r="E1690" i="12"/>
  <c r="E1178" i="12"/>
  <c r="E2761" i="12"/>
  <c r="E792" i="12"/>
  <c r="E1373" i="12"/>
  <c r="E3427" i="12"/>
  <c r="E594" i="12"/>
  <c r="E3195" i="12"/>
  <c r="E557" i="12"/>
  <c r="E1634" i="12"/>
  <c r="E2632" i="12"/>
  <c r="E330" i="12"/>
  <c r="E3360" i="12"/>
  <c r="E1761" i="12"/>
  <c r="E3068" i="12"/>
  <c r="E659" i="12"/>
  <c r="E440" i="12"/>
  <c r="E2449" i="12"/>
  <c r="E2003" i="12"/>
  <c r="E3185" i="12"/>
  <c r="E1535" i="12"/>
  <c r="E3029" i="12"/>
  <c r="E2203" i="12"/>
  <c r="E2655" i="12"/>
  <c r="E956" i="12"/>
  <c r="E1838" i="12"/>
  <c r="E2875" i="12"/>
  <c r="E1878" i="12"/>
  <c r="E538" i="12"/>
  <c r="E746" i="12"/>
  <c r="E1231" i="12"/>
  <c r="E488" i="12"/>
  <c r="E267" i="12"/>
  <c r="E1146" i="12"/>
  <c r="E1106" i="12"/>
  <c r="E2851" i="12"/>
  <c r="E2083" i="12"/>
  <c r="E1611" i="12"/>
  <c r="E1995" i="12"/>
  <c r="E2373" i="12"/>
  <c r="E3036" i="12"/>
  <c r="E1065" i="12"/>
  <c r="E3026" i="12"/>
  <c r="E3529" i="12"/>
  <c r="E3378" i="12"/>
  <c r="E1977" i="12"/>
  <c r="E1724" i="12"/>
  <c r="E1515" i="12"/>
  <c r="E888" i="12"/>
  <c r="E285" i="12"/>
  <c r="E590" i="12"/>
  <c r="E2740" i="12"/>
  <c r="E2711" i="12"/>
  <c r="E2109" i="12"/>
  <c r="E2453" i="12"/>
  <c r="E2329" i="12"/>
  <c r="E3174" i="12"/>
  <c r="E1252" i="12"/>
  <c r="E2552" i="12"/>
  <c r="E3236" i="12"/>
  <c r="E820" i="12"/>
  <c r="E2616" i="12"/>
  <c r="E3371" i="12"/>
  <c r="E284" i="12"/>
  <c r="E1280" i="12"/>
  <c r="E795" i="12"/>
  <c r="E890" i="12"/>
  <c r="E140" i="12"/>
  <c r="E948" i="12"/>
  <c r="E3523" i="12"/>
  <c r="E3182" i="12"/>
  <c r="E3102" i="12"/>
  <c r="E2263" i="12"/>
  <c r="E283" i="12"/>
  <c r="E2139" i="12"/>
  <c r="E1354" i="12"/>
  <c r="E1262" i="12"/>
  <c r="E509" i="12"/>
  <c r="E333" i="12"/>
  <c r="E572" i="12"/>
  <c r="E1116" i="12"/>
  <c r="E3299" i="12"/>
  <c r="E1038" i="12"/>
  <c r="E2399" i="12"/>
  <c r="E1090" i="12"/>
  <c r="E1531" i="12"/>
  <c r="E1042" i="12"/>
  <c r="E1119" i="12"/>
  <c r="E1903" i="12"/>
  <c r="E545" i="12"/>
  <c r="E2112" i="12"/>
  <c r="E491" i="12"/>
  <c r="E923" i="12"/>
  <c r="E391" i="12"/>
  <c r="E3344" i="12"/>
  <c r="E547" i="12"/>
  <c r="E2848" i="12"/>
  <c r="E988" i="12"/>
  <c r="E1854" i="12"/>
  <c r="E1452" i="12"/>
  <c r="E383" i="12"/>
  <c r="E2684" i="12"/>
  <c r="E767" i="12"/>
  <c r="E81" i="12"/>
  <c r="E1642" i="12"/>
  <c r="E2628" i="12"/>
  <c r="E889" i="12"/>
  <c r="E1890" i="12"/>
  <c r="E1056" i="12"/>
  <c r="E2903" i="12"/>
  <c r="E1358" i="12"/>
  <c r="E2386" i="12"/>
  <c r="E439" i="12"/>
  <c r="E2713" i="12"/>
  <c r="E2110" i="12"/>
  <c r="E1077" i="12"/>
  <c r="E2202" i="12"/>
  <c r="E1115" i="12"/>
  <c r="E434" i="12"/>
  <c r="E215" i="12"/>
  <c r="E739" i="12"/>
  <c r="E1261" i="12"/>
  <c r="E893" i="12"/>
  <c r="E2106" i="12"/>
  <c r="E3060" i="12"/>
  <c r="E3216" i="12"/>
  <c r="E405" i="12"/>
  <c r="E1952" i="12"/>
  <c r="E2576" i="12"/>
  <c r="E243" i="12"/>
  <c r="E531" i="12"/>
  <c r="E1971" i="12"/>
  <c r="E2077" i="12"/>
  <c r="E1445" i="12"/>
  <c r="E2636" i="12"/>
  <c r="E289" i="12"/>
  <c r="E2847" i="12"/>
  <c r="E3162" i="12"/>
  <c r="E1662" i="12"/>
  <c r="E1122" i="12"/>
  <c r="E67" i="12"/>
  <c r="E1787" i="12"/>
  <c r="E1554" i="12"/>
  <c r="E2528" i="12"/>
  <c r="E816" i="12"/>
  <c r="E3054" i="12"/>
  <c r="E2266" i="12"/>
  <c r="E2738" i="12"/>
  <c r="E1933" i="12"/>
  <c r="E854" i="12"/>
  <c r="E2076" i="12"/>
  <c r="E757" i="12"/>
  <c r="E21" i="12"/>
  <c r="E564" i="12"/>
  <c r="E2687" i="12"/>
  <c r="E3400" i="12"/>
  <c r="E2589" i="12"/>
  <c r="E1067" i="12"/>
  <c r="E567" i="12"/>
  <c r="E850" i="12"/>
  <c r="E264" i="12"/>
  <c r="E2068" i="12"/>
  <c r="E2758" i="12"/>
  <c r="E128" i="12"/>
  <c r="E2813" i="12"/>
  <c r="E226" i="12"/>
  <c r="E1853" i="12"/>
  <c r="E1766" i="12"/>
  <c r="E3320" i="12"/>
  <c r="E1541" i="12"/>
  <c r="E2060" i="12"/>
  <c r="E2653" i="12"/>
  <c r="E406" i="12"/>
  <c r="E866" i="12"/>
  <c r="E1068" i="12"/>
  <c r="E1911" i="12"/>
  <c r="E2934" i="12"/>
  <c r="E1432" i="12"/>
  <c r="E3438" i="12"/>
  <c r="E3020" i="12"/>
  <c r="E1125" i="12"/>
  <c r="E3474" i="12"/>
  <c r="E2208" i="12"/>
  <c r="E1409" i="12"/>
  <c r="E1079" i="12"/>
  <c r="E1460" i="12"/>
  <c r="E2443" i="12"/>
  <c r="E3303" i="12"/>
  <c r="E3346" i="12"/>
  <c r="E118" i="12"/>
  <c r="E3145" i="12"/>
  <c r="E1453" i="12"/>
  <c r="E1438" i="12"/>
  <c r="E2867" i="12"/>
  <c r="E1986" i="12"/>
  <c r="E303" i="12"/>
  <c r="E3341" i="12"/>
  <c r="E3258" i="12"/>
  <c r="E82" i="12"/>
  <c r="E1332" i="12"/>
  <c r="E3224" i="12"/>
  <c r="E802" i="12"/>
  <c r="E3454" i="12"/>
  <c r="E673" i="12"/>
  <c r="E2114" i="12"/>
  <c r="E882" i="12"/>
  <c r="E147" i="12"/>
  <c r="E941" i="12"/>
  <c r="E783" i="12"/>
  <c r="E1849" i="12"/>
  <c r="E2335" i="12"/>
  <c r="E2367" i="12"/>
  <c r="E3132" i="12"/>
  <c r="E2051" i="12"/>
  <c r="E334" i="12"/>
  <c r="E846" i="12"/>
  <c r="E1682" i="12"/>
  <c r="E2491" i="12"/>
  <c r="E166" i="12"/>
  <c r="E99" i="12"/>
  <c r="E2896" i="12"/>
  <c r="E3466" i="12"/>
  <c r="E9" i="12"/>
  <c r="E229" i="12"/>
  <c r="E203" i="12"/>
  <c r="E1037" i="12"/>
  <c r="E2940" i="12"/>
  <c r="E1737" i="12"/>
  <c r="E1323" i="12"/>
  <c r="E12" i="12"/>
  <c r="E2626" i="12"/>
  <c r="E2150" i="12"/>
  <c r="E1442" i="12"/>
  <c r="E1650" i="12"/>
  <c r="E734" i="12"/>
  <c r="E2357" i="12"/>
  <c r="E1718" i="12"/>
  <c r="E1827" i="12"/>
  <c r="E2016" i="12"/>
  <c r="E694" i="12"/>
  <c r="E2438" i="12"/>
  <c r="E1307" i="12"/>
  <c r="E2639" i="12"/>
  <c r="E3432" i="12"/>
  <c r="E2744" i="12"/>
  <c r="E3050" i="12"/>
  <c r="E3325" i="12"/>
  <c r="E197" i="12"/>
  <c r="E3381" i="12"/>
  <c r="E2038" i="12"/>
  <c r="E1898" i="12"/>
  <c r="E250" i="12"/>
  <c r="E2377" i="12"/>
  <c r="E458" i="12"/>
  <c r="E2031" i="12"/>
  <c r="E3324" i="12"/>
  <c r="E2325" i="12"/>
  <c r="E1538" i="12"/>
  <c r="E2419" i="12"/>
  <c r="E2695" i="12"/>
  <c r="E1773" i="12"/>
  <c r="E2380" i="12"/>
  <c r="E3166" i="12"/>
  <c r="E2679" i="12"/>
  <c r="E900" i="12"/>
  <c r="E2205" i="12"/>
  <c r="E109" i="12"/>
  <c r="E1771" i="12"/>
  <c r="E1947" i="12"/>
  <c r="E511" i="12"/>
  <c r="E2571" i="12"/>
  <c r="E860" i="12"/>
  <c r="E1162" i="12"/>
  <c r="E1235" i="12"/>
  <c r="E162" i="12"/>
  <c r="E2930" i="12"/>
  <c r="E1104" i="12"/>
  <c r="E2720" i="12"/>
  <c r="E1050" i="12"/>
  <c r="E2728" i="12"/>
  <c r="E177" i="12"/>
  <c r="E2515" i="12"/>
  <c r="E2390" i="12"/>
  <c r="E2546" i="12"/>
  <c r="E3416" i="12"/>
  <c r="E1335" i="12"/>
  <c r="E71" i="12"/>
  <c r="E1072" i="12"/>
  <c r="E2156" i="12"/>
  <c r="E2675" i="12"/>
  <c r="E123" i="12"/>
  <c r="E1021" i="12"/>
  <c r="E1906" i="12"/>
  <c r="E3263" i="12"/>
  <c r="E51" i="12"/>
  <c r="E113" i="12"/>
  <c r="E2682" i="12"/>
  <c r="E157" i="12"/>
  <c r="E2579" i="12"/>
  <c r="E1386" i="12"/>
  <c r="E103" i="12"/>
  <c r="E1553" i="12"/>
  <c r="E1939" i="12"/>
  <c r="E2692" i="12"/>
  <c r="E2597" i="12"/>
  <c r="E1670" i="12"/>
  <c r="E3125" i="12"/>
  <c r="E1891" i="12"/>
  <c r="E684" i="12"/>
  <c r="E883" i="12"/>
  <c r="E1955" i="12"/>
  <c r="E1324" i="12"/>
  <c r="E2197" i="12"/>
  <c r="E2169" i="12"/>
  <c r="E624" i="12"/>
  <c r="E3184" i="12"/>
  <c r="E3477" i="12"/>
  <c r="E925" i="12"/>
  <c r="E3356" i="12"/>
  <c r="E2200" i="12"/>
  <c r="E1001" i="12"/>
  <c r="E254" i="12"/>
  <c r="E195" i="12"/>
  <c r="E1356" i="12"/>
  <c r="E26" i="12"/>
  <c r="E473" i="12"/>
  <c r="E3209" i="12"/>
  <c r="E1130" i="12"/>
  <c r="E752" i="12"/>
  <c r="E1788" i="12"/>
  <c r="E784" i="12"/>
  <c r="E3177" i="12"/>
  <c r="E255" i="12"/>
  <c r="E3280" i="12"/>
  <c r="E1276" i="12"/>
  <c r="E2860" i="12"/>
  <c r="E2852" i="12"/>
  <c r="E2025" i="12"/>
  <c r="E1160" i="12"/>
  <c r="E2782" i="12"/>
  <c r="E2434" i="12"/>
  <c r="E2274" i="12"/>
  <c r="E2384" i="12"/>
  <c r="E79" i="12"/>
  <c r="E1114" i="12"/>
  <c r="E455" i="12"/>
  <c r="E2131" i="12"/>
  <c r="E1545" i="12"/>
  <c r="E8" i="12"/>
  <c r="E1916" i="12"/>
  <c r="E419" i="12"/>
  <c r="E2975" i="12"/>
  <c r="E1791" i="12"/>
  <c r="E1080" i="12"/>
  <c r="E1416" i="12"/>
  <c r="E1321" i="12"/>
  <c r="E1431" i="12"/>
  <c r="E1521" i="12"/>
  <c r="E237" i="12"/>
  <c r="E2010" i="12"/>
  <c r="E2757" i="12"/>
  <c r="E2328" i="12"/>
  <c r="E1382" i="12"/>
  <c r="E3419" i="12"/>
  <c r="E3262" i="12"/>
  <c r="E3168" i="12"/>
  <c r="E2355" i="12"/>
  <c r="E1549" i="12"/>
  <c r="E1254" i="12"/>
  <c r="E2040" i="12"/>
  <c r="E661" i="12"/>
  <c r="E3420" i="12"/>
  <c r="E1653" i="12"/>
  <c r="E864" i="12"/>
  <c r="E2269" i="12"/>
  <c r="E2581" i="12"/>
  <c r="E1226" i="12"/>
  <c r="E1720" i="12"/>
  <c r="E2267" i="12"/>
  <c r="E2305" i="12"/>
  <c r="E2842" i="12"/>
  <c r="E1957" i="12"/>
  <c r="E2583" i="12"/>
  <c r="E2227" i="12"/>
  <c r="E1127" i="12"/>
  <c r="E1752" i="12"/>
  <c r="E1277" i="12"/>
  <c r="E1030" i="12"/>
  <c r="E3157" i="12"/>
  <c r="E3527" i="12"/>
  <c r="E649" i="12"/>
  <c r="E1161" i="12"/>
  <c r="E729" i="12"/>
  <c r="E2297" i="12"/>
  <c r="E1111" i="12"/>
  <c r="E2350" i="12"/>
  <c r="E1348" i="12"/>
  <c r="E53" i="12"/>
  <c r="E2356" i="12"/>
  <c r="E3409" i="12"/>
  <c r="E1756" i="12"/>
  <c r="E1928" i="12"/>
  <c r="E2603" i="12"/>
  <c r="E1510" i="12"/>
  <c r="E2000" i="12"/>
  <c r="E1039" i="12"/>
  <c r="E3244" i="12"/>
  <c r="E991" i="12"/>
  <c r="E500" i="12"/>
  <c r="E2255" i="12"/>
  <c r="E506" i="12"/>
  <c r="E3178" i="12"/>
  <c r="E985" i="12"/>
  <c r="E3200" i="12"/>
  <c r="E55" i="12"/>
  <c r="E2354" i="12"/>
  <c r="E2657" i="12"/>
  <c r="E2134" i="12"/>
  <c r="E513" i="12"/>
  <c r="E3314" i="12"/>
  <c r="E2195" i="12"/>
  <c r="E3016" i="12"/>
  <c r="E2737" i="12"/>
  <c r="E1121" i="12"/>
  <c r="E1742" i="12"/>
  <c r="E2578" i="12"/>
  <c r="E971" i="12"/>
  <c r="E1085" i="12"/>
  <c r="E3417" i="12"/>
  <c r="E2152" i="12"/>
  <c r="E1048" i="12"/>
  <c r="E347" i="12"/>
  <c r="E902" i="12"/>
  <c r="E1157" i="12"/>
  <c r="E1565" i="12"/>
  <c r="E387" i="12"/>
  <c r="E2783" i="12"/>
  <c r="E924" i="12"/>
  <c r="E2483" i="12"/>
  <c r="E3337" i="12"/>
  <c r="E2441" i="12"/>
  <c r="E3128" i="12"/>
  <c r="E487" i="12"/>
  <c r="E1136" i="12"/>
  <c r="E2574" i="12"/>
  <c r="E577" i="12"/>
  <c r="E1651" i="12"/>
  <c r="E1247" i="12"/>
  <c r="E1905" i="12"/>
  <c r="E2590" i="12"/>
  <c r="E1637" i="12"/>
  <c r="E499" i="12"/>
  <c r="E2020" i="12"/>
  <c r="E2472" i="12"/>
  <c r="E3418" i="12"/>
  <c r="E95" i="12"/>
  <c r="E1607" i="12"/>
  <c r="E2411" i="12"/>
  <c r="E1658" i="12"/>
  <c r="E616" i="12"/>
  <c r="E1946" i="12"/>
  <c r="E2065" i="12"/>
  <c r="E1825" i="12"/>
  <c r="E3206" i="12"/>
  <c r="E2057" i="12"/>
  <c r="E2671" i="12"/>
  <c r="E3066" i="12"/>
  <c r="E2554" i="12"/>
  <c r="E1491" i="12"/>
  <c r="E1564" i="12"/>
  <c r="E1998" i="12"/>
  <c r="E1132" i="12"/>
  <c r="E1345" i="12"/>
  <c r="E2710" i="12"/>
  <c r="E566" i="12"/>
  <c r="E940" i="12"/>
  <c r="E2341" i="12"/>
  <c r="E1645" i="12"/>
  <c r="E1855" i="12"/>
  <c r="E106" i="12"/>
  <c r="E2810" i="12"/>
  <c r="E2587" i="12"/>
  <c r="E2253" i="12"/>
  <c r="E2951" i="12"/>
  <c r="E1547" i="12"/>
  <c r="E2912" i="12"/>
  <c r="E702" i="12"/>
  <c r="E814" i="12"/>
  <c r="E1135" i="12"/>
  <c r="E400" i="12"/>
  <c r="E1182" i="12"/>
  <c r="E2548" i="12"/>
  <c r="E2133" i="12"/>
  <c r="E1143" i="12"/>
  <c r="E75" i="12"/>
  <c r="E1747" i="12"/>
  <c r="E1840" i="12"/>
  <c r="E459" i="12"/>
  <c r="E761" i="12"/>
  <c r="E3163" i="12"/>
  <c r="E2276" i="12"/>
  <c r="E1070" i="12"/>
  <c r="E1830" i="12"/>
  <c r="E2631" i="12"/>
  <c r="E294" i="12"/>
  <c r="E1109" i="12"/>
  <c r="E1978" i="12"/>
  <c r="E297" i="12"/>
  <c r="E2293" i="12"/>
  <c r="E1171" i="12"/>
  <c r="E785" i="12"/>
  <c r="E192" i="12"/>
  <c r="E3274" i="12"/>
  <c r="E3407" i="12"/>
  <c r="E1856" i="12"/>
  <c r="E841" i="12"/>
  <c r="E1459" i="12"/>
  <c r="E842" i="12"/>
  <c r="E1789" i="12"/>
  <c r="E804" i="12"/>
  <c r="E2719" i="12"/>
  <c r="E3228" i="12"/>
  <c r="E2696" i="12"/>
  <c r="E1060" i="12"/>
  <c r="E2663" i="12"/>
  <c r="E3220" i="12"/>
  <c r="E718" i="12"/>
  <c r="E1519" i="12"/>
  <c r="E3439" i="12"/>
  <c r="E3276" i="12"/>
  <c r="E1192" i="12"/>
  <c r="E1604" i="12"/>
  <c r="E2177" i="12"/>
  <c r="E1436" i="12"/>
  <c r="E2464" i="12"/>
  <c r="E486" i="12"/>
  <c r="E3294" i="12"/>
  <c r="E47" i="12"/>
  <c r="E2623" i="12"/>
  <c r="E3301" i="12"/>
  <c r="E1369" i="12"/>
  <c r="E3222" i="12"/>
  <c r="E1149" i="12"/>
  <c r="E576" i="12"/>
  <c r="E424" i="12"/>
  <c r="E3175" i="12"/>
  <c r="E3213" i="12"/>
  <c r="E1577" i="12"/>
  <c r="E1362" i="12"/>
  <c r="E1851" i="12"/>
  <c r="E1974" i="12"/>
  <c r="E2022" i="12"/>
  <c r="E463" i="12"/>
  <c r="E2673" i="12"/>
  <c r="E2265" i="12"/>
  <c r="E476" i="12"/>
  <c r="E782" i="12"/>
  <c r="E585" i="12"/>
  <c r="E3164" i="12"/>
  <c r="E931" i="12"/>
  <c r="E1326" i="12"/>
  <c r="E3435" i="12"/>
  <c r="E1573" i="12"/>
  <c r="E479" i="12"/>
  <c r="E2944" i="12"/>
  <c r="E3152" i="12"/>
  <c r="E2634" i="12"/>
  <c r="E759" i="12"/>
  <c r="E29" i="12"/>
  <c r="E2233" i="12"/>
  <c r="E3405" i="12"/>
  <c r="E944" i="12"/>
  <c r="E2346" i="12"/>
  <c r="E933" i="12"/>
  <c r="E607" i="12"/>
  <c r="E2220" i="12"/>
  <c r="E481" i="12"/>
  <c r="E3218" i="12"/>
  <c r="E2369" i="12"/>
  <c r="E3491" i="12"/>
  <c r="E2973" i="12"/>
  <c r="E119" i="12"/>
  <c r="E185" i="12"/>
  <c r="E845" i="12"/>
  <c r="E1636" i="12"/>
  <c r="E1714" i="12"/>
  <c r="E1965" i="12"/>
  <c r="E345" i="12"/>
  <c r="E2375" i="12"/>
  <c r="E2196" i="12"/>
  <c r="E534" i="12"/>
  <c r="E2994" i="12"/>
  <c r="E799" i="12"/>
  <c r="E282" i="12"/>
  <c r="E596" i="12"/>
  <c r="E1703" i="12"/>
  <c r="E1886" i="12"/>
  <c r="E3506" i="12"/>
  <c r="E3310" i="12"/>
  <c r="E858" i="12"/>
  <c r="E2497" i="12"/>
  <c r="E1811" i="12"/>
  <c r="E2183" i="12"/>
  <c r="E3025" i="12"/>
  <c r="E3023" i="12"/>
  <c r="E3511" i="12"/>
  <c r="E1603" i="12"/>
  <c r="E2996" i="12"/>
  <c r="E1338" i="12"/>
  <c r="E1616" i="12"/>
  <c r="E906" i="12"/>
  <c r="E352" i="12"/>
  <c r="E2306" i="12"/>
  <c r="E2385" i="12"/>
  <c r="E165" i="12"/>
  <c r="E1180" i="12"/>
  <c r="E1888" i="12"/>
  <c r="E1239" i="12"/>
  <c r="E2714" i="12"/>
  <c r="E876" i="12"/>
  <c r="E997" i="12"/>
  <c r="E2768" i="12"/>
  <c r="E921" i="12"/>
  <c r="E748" i="12"/>
  <c r="E2005" i="12"/>
  <c r="E84" i="12"/>
  <c r="E2517" i="12"/>
  <c r="E2729" i="12"/>
  <c r="E2837" i="12"/>
  <c r="E3487" i="12"/>
  <c r="E1138" i="12"/>
  <c r="E2902" i="12"/>
  <c r="E322" i="12"/>
  <c r="E1504" i="12"/>
  <c r="E2132" i="12"/>
  <c r="E2917" i="12"/>
  <c r="E2974" i="12"/>
  <c r="E2275" i="12"/>
  <c r="E3101" i="12"/>
  <c r="E2665" i="12"/>
  <c r="E3191" i="12"/>
  <c r="E2070" i="12"/>
  <c r="E498" i="12"/>
  <c r="E2147" i="12"/>
  <c r="E2302" i="12"/>
  <c r="E161" i="12"/>
  <c r="E3249" i="12"/>
  <c r="E899" i="12"/>
  <c r="E621" i="12"/>
  <c r="E148" i="12"/>
  <c r="E1303" i="12"/>
  <c r="E2394" i="12"/>
  <c r="E1486" i="12"/>
  <c r="E2749" i="12"/>
  <c r="E3495" i="12"/>
  <c r="E2704" i="12"/>
  <c r="E2189" i="12"/>
  <c r="E57" i="12"/>
  <c r="E2856" i="12"/>
  <c r="E2676" i="12"/>
  <c r="E707" i="12"/>
  <c r="E2570" i="12"/>
  <c r="E851" i="12"/>
  <c r="E2808" i="12"/>
  <c r="E735" i="12"/>
  <c r="E2014" i="12"/>
  <c r="E2092" i="12"/>
  <c r="E430" i="12"/>
  <c r="E2379" i="12"/>
  <c r="E212" i="12"/>
  <c r="E2865" i="12"/>
  <c r="E3022" i="12"/>
  <c r="E3398" i="12"/>
  <c r="E935" i="12"/>
  <c r="E314" i="12"/>
  <c r="E1643" i="12"/>
  <c r="E1244" i="12"/>
  <c r="E380" i="12"/>
  <c r="E2264" i="12"/>
  <c r="E1743" i="12"/>
  <c r="E1457" i="12"/>
  <c r="E3445" i="12"/>
  <c r="E1455" i="12"/>
  <c r="E1061" i="12"/>
  <c r="E2193" i="12"/>
  <c r="E2845" i="12"/>
  <c r="E3433" i="12"/>
  <c r="E1590" i="12"/>
  <c r="E1875" i="12"/>
  <c r="E2128" i="12"/>
  <c r="E891" i="12"/>
  <c r="E180" i="12"/>
  <c r="E2983" i="12"/>
  <c r="E1829" i="12"/>
  <c r="E635" i="12"/>
  <c r="E1010" i="12"/>
  <c r="E1440" i="12"/>
  <c r="E3219" i="12"/>
  <c r="E652" i="12"/>
  <c r="E540" i="12"/>
  <c r="E443" i="12"/>
  <c r="E2870" i="12"/>
  <c r="E3464" i="12"/>
  <c r="E3264" i="12"/>
  <c r="E292" i="12"/>
  <c r="E1142" i="12"/>
  <c r="E595" i="12"/>
  <c r="E2914" i="12"/>
  <c r="E2966" i="12"/>
  <c r="E482" i="12"/>
  <c r="E2474" i="12"/>
  <c r="E3489" i="12"/>
  <c r="E492" i="12"/>
  <c r="E1173" i="12"/>
  <c r="E1103" i="12"/>
  <c r="E1241" i="12"/>
  <c r="E627" i="12"/>
  <c r="E2360" i="12"/>
  <c r="E2392" i="12"/>
  <c r="E2121" i="12"/>
  <c r="E747" i="12"/>
  <c r="E3342" i="12"/>
  <c r="E175" i="12"/>
  <c r="E1413" i="12"/>
  <c r="E1387" i="12"/>
  <c r="E331" i="12"/>
  <c r="E478" i="12"/>
  <c r="E1679" i="12"/>
  <c r="E2071" i="12"/>
  <c r="E2666" i="12"/>
  <c r="E939" i="12"/>
  <c r="E3361" i="12"/>
  <c r="E775" i="12"/>
  <c r="E3046" i="12"/>
  <c r="E766" i="12"/>
  <c r="E2777" i="12"/>
  <c r="E726" i="12"/>
  <c r="E2257" i="12"/>
  <c r="E3002" i="12"/>
  <c r="E2911" i="12"/>
  <c r="E2002" i="12"/>
  <c r="E1295" i="12"/>
  <c r="E186" i="12"/>
  <c r="E117" i="12"/>
  <c r="E1120" i="12"/>
  <c r="E1892" i="12"/>
  <c r="E853" i="12"/>
  <c r="E3144" i="12"/>
  <c r="E1397" i="12"/>
  <c r="E3292" i="12"/>
  <c r="E2955" i="12"/>
  <c r="E1822" i="12"/>
  <c r="E392" i="12"/>
  <c r="E2769" i="12"/>
  <c r="E3494" i="12"/>
  <c r="E1016" i="12"/>
  <c r="E1435" i="12"/>
  <c r="E3112" i="12"/>
  <c r="E3481" i="12"/>
  <c r="E1506" i="12"/>
  <c r="E503" i="12"/>
  <c r="E395" i="12"/>
  <c r="E2805" i="12"/>
  <c r="E2506" i="12"/>
  <c r="E3259" i="12"/>
  <c r="E490" i="12"/>
  <c r="E554" i="12"/>
  <c r="E2952" i="12"/>
  <c r="E909" i="12"/>
  <c r="E3225" i="12"/>
  <c r="E2272" i="12"/>
  <c r="E682" i="12"/>
  <c r="E1686" i="12"/>
  <c r="E78" i="12"/>
  <c r="E3161" i="12"/>
  <c r="E2372" i="12"/>
  <c r="E2125" i="12"/>
  <c r="E1233" i="12"/>
  <c r="E2446" i="12"/>
  <c r="E1057" i="12"/>
  <c r="E3286" i="12"/>
  <c r="E3188" i="12"/>
  <c r="E3471" i="12"/>
  <c r="E428" i="12"/>
  <c r="E2559" i="12"/>
  <c r="E1640" i="12"/>
  <c r="E2781" i="12"/>
  <c r="E1158" i="12"/>
  <c r="E1223" i="12"/>
  <c r="E320" i="12"/>
  <c r="E2096" i="12"/>
  <c r="E42" i="12"/>
  <c r="E2332" i="12"/>
  <c r="E3422" i="12"/>
  <c r="E3459" i="12"/>
  <c r="E2102" i="12"/>
  <c r="E2505" i="12"/>
  <c r="E1719" i="12"/>
  <c r="E821" i="12"/>
  <c r="E770" i="12"/>
  <c r="E779" i="12"/>
  <c r="E2699" i="12"/>
  <c r="E3028" i="12"/>
  <c r="E457" i="12"/>
  <c r="E104" i="12"/>
  <c r="E2844" i="12"/>
  <c r="E1485" i="12"/>
  <c r="E955" i="12"/>
  <c r="E1493" i="12"/>
  <c r="E1813" i="12"/>
  <c r="E2104" i="12"/>
  <c r="E1612" i="12"/>
  <c r="E1673" i="12"/>
  <c r="E2126" i="12"/>
  <c r="E3343" i="12"/>
  <c r="E1765" i="12"/>
  <c r="E274" i="12"/>
  <c r="E2317" i="12"/>
  <c r="E959" i="12"/>
  <c r="E414" i="12"/>
  <c r="E2299" i="12"/>
  <c r="E671" i="12"/>
  <c r="E296" i="12"/>
  <c r="E3085" i="12"/>
  <c r="E2887" i="12"/>
  <c r="E2999" i="12"/>
  <c r="E1568" i="12"/>
  <c r="E2748" i="12"/>
  <c r="E2625" i="12"/>
  <c r="E2788" i="12"/>
  <c r="E462" i="12"/>
  <c r="E3024" i="12"/>
  <c r="E657" i="12"/>
  <c r="E1027" i="12"/>
  <c r="E1820" i="12"/>
  <c r="E1555" i="12"/>
  <c r="E1865" i="12"/>
  <c r="E1652" i="12"/>
  <c r="E2249" i="12"/>
  <c r="E3349" i="12"/>
  <c r="E1675" i="12"/>
  <c r="E313" i="12"/>
  <c r="E20" i="12"/>
  <c r="E972" i="12"/>
  <c r="E2037" i="12"/>
  <c r="E2466" i="12"/>
  <c r="E429" i="12"/>
  <c r="E3288" i="12"/>
  <c r="E87" i="12"/>
  <c r="E3204" i="12"/>
  <c r="E1975" i="12"/>
  <c r="E2321" i="12"/>
  <c r="E2621" i="12"/>
  <c r="E2549" i="12"/>
  <c r="E2323" i="12"/>
  <c r="E877" i="12"/>
  <c r="E3223" i="12"/>
  <c r="E1003" i="12"/>
  <c r="E1270" i="12"/>
  <c r="E1256" i="12"/>
  <c r="E898" i="12"/>
  <c r="E3429" i="12"/>
  <c r="E2661" i="12"/>
  <c r="E1083" i="12"/>
  <c r="E1287" i="12"/>
  <c r="E2219" i="12"/>
  <c r="E2855" i="12"/>
  <c r="E1064" i="12"/>
  <c r="E1249" i="12"/>
  <c r="E2815" i="12"/>
  <c r="E1623" i="12"/>
  <c r="E2463" i="12"/>
  <c r="E645" i="12"/>
  <c r="E1976" i="12"/>
  <c r="E3488" i="12"/>
  <c r="E2584" i="12"/>
  <c r="E3456" i="12"/>
  <c r="E796" i="12"/>
  <c r="E2337" i="12"/>
  <c r="E28" i="12"/>
  <c r="E1352" i="12"/>
  <c r="E1970" i="12"/>
  <c r="E1706" i="12"/>
  <c r="E1681" i="12"/>
  <c r="E1026" i="12"/>
  <c r="E233" i="12"/>
  <c r="E967" i="12"/>
  <c r="E2958" i="12"/>
  <c r="E3305" i="12"/>
  <c r="E2674" i="12"/>
  <c r="E2697" i="12"/>
  <c r="E1361" i="12"/>
  <c r="E1556" i="12"/>
  <c r="E1520" i="12"/>
  <c r="E1774" i="12"/>
  <c r="E25" i="12"/>
  <c r="E563" i="12"/>
  <c r="E1745" i="12"/>
  <c r="E2730" i="12"/>
  <c r="E3214" i="12"/>
  <c r="E1479" i="12"/>
  <c r="E1507" i="12"/>
  <c r="E2069" i="12"/>
  <c r="E826" i="12"/>
  <c r="E327" i="12"/>
  <c r="E2712" i="12"/>
  <c r="E2282" i="12"/>
  <c r="E1066" i="12"/>
  <c r="E3120" i="12"/>
  <c r="E2485" i="12"/>
  <c r="E1299" i="12"/>
  <c r="E2383" i="12"/>
  <c r="E3010" i="12"/>
  <c r="E2178" i="12"/>
  <c r="E298" i="12"/>
  <c r="E2691" i="12"/>
  <c r="E3340" i="12"/>
  <c r="E934" i="12"/>
  <c r="E1710" i="12"/>
  <c r="E1388" i="12"/>
  <c r="E1508" i="12"/>
  <c r="E1350" i="12"/>
  <c r="E1289" i="12"/>
  <c r="E3121" i="12"/>
  <c r="E353" i="12"/>
  <c r="E1019" i="12"/>
  <c r="E89" i="12"/>
  <c r="E407" i="12"/>
  <c r="E1191" i="12"/>
  <c r="E2248" i="12"/>
  <c r="E227" i="12"/>
  <c r="E2181" i="12"/>
  <c r="E789" i="12"/>
  <c r="E1676" i="12"/>
  <c r="E1371" i="12"/>
  <c r="E3229" i="12"/>
  <c r="E1420" i="12"/>
  <c r="E2841" i="12"/>
  <c r="E2913" i="12"/>
  <c r="E1412" i="12"/>
  <c r="E968" i="12"/>
  <c r="E3463" i="12"/>
  <c r="E2689" i="12"/>
  <c r="E191" i="12"/>
  <c r="E2111" i="12"/>
  <c r="E1145" i="12"/>
  <c r="E3408" i="12"/>
  <c r="E2042" i="12"/>
  <c r="E1907" i="12"/>
  <c r="E379" i="12"/>
  <c r="E974" i="12"/>
  <c r="E2319" i="12"/>
  <c r="E1260" i="12"/>
  <c r="E664" i="12"/>
  <c r="E1337" i="12"/>
  <c r="E687" i="12"/>
  <c r="E91" i="12"/>
  <c r="E2521" i="12"/>
  <c r="E338" i="12"/>
  <c r="E1589" i="12"/>
  <c r="E1869" i="12"/>
  <c r="E1989" i="12"/>
  <c r="E610" i="12"/>
  <c r="E3290" i="12"/>
  <c r="E2374" i="12"/>
  <c r="E308" i="12"/>
  <c r="E2774" i="12"/>
  <c r="E2829" i="12"/>
  <c r="E1683" i="12"/>
  <c r="E847" i="12"/>
  <c r="E1031" i="12"/>
  <c r="E669" i="12"/>
  <c r="E3190" i="12"/>
  <c r="E1353" i="12"/>
  <c r="E2285" i="12"/>
  <c r="E1613" i="12"/>
  <c r="E151" i="12"/>
  <c r="E2541" i="12"/>
  <c r="E2240" i="12"/>
  <c r="E605" i="12"/>
  <c r="E1927" i="12"/>
  <c r="E3117" i="12"/>
  <c r="E2490" i="12"/>
  <c r="E2705" i="12"/>
  <c r="E1803" i="12"/>
  <c r="E2993" i="12"/>
  <c r="E880" i="12"/>
  <c r="E354" i="12"/>
  <c r="E523" i="12"/>
  <c r="E1795" i="12"/>
  <c r="E1238" i="12"/>
  <c r="E654" i="12"/>
  <c r="E1272" i="12"/>
  <c r="E325" i="12"/>
  <c r="E211" i="12"/>
  <c r="E2162" i="12"/>
  <c r="E189" i="12"/>
  <c r="E681" i="12"/>
  <c r="E1342" i="12"/>
  <c r="E1950" i="12"/>
  <c r="E3131" i="12"/>
  <c r="E3074" i="12"/>
  <c r="E1164" i="12"/>
  <c r="E1870" i="12"/>
  <c r="E1292" i="12"/>
  <c r="E3127" i="12"/>
  <c r="E3485" i="12"/>
  <c r="E139" i="12"/>
  <c r="E2209" i="12"/>
  <c r="E919" i="12"/>
  <c r="E275" i="12"/>
  <c r="E2592" i="12"/>
  <c r="E3353" i="12"/>
  <c r="E977" i="12"/>
  <c r="E740" i="12"/>
  <c r="E3000" i="12"/>
  <c r="E2513" i="12"/>
  <c r="E1449" i="12"/>
  <c r="E857" i="12"/>
  <c r="E2763" i="12"/>
  <c r="E1723" i="12"/>
  <c r="E3451" i="12"/>
  <c r="E3411" i="12"/>
  <c r="E1885" i="12"/>
  <c r="E231" i="12"/>
  <c r="E2859" i="12"/>
  <c r="E2459" i="12"/>
  <c r="E1210" i="12"/>
  <c r="E2877" i="12"/>
  <c r="E112" i="12"/>
  <c r="E619" i="12"/>
  <c r="E3278" i="12"/>
  <c r="E1293" i="12"/>
  <c r="E1242" i="12"/>
  <c r="E1968" i="12"/>
  <c r="E2608" i="12"/>
  <c r="E1639" i="12"/>
  <c r="E737" i="12"/>
  <c r="E1169" i="12"/>
  <c r="E2819" i="12"/>
  <c r="E431" i="12"/>
  <c r="E3397" i="12"/>
  <c r="E3251" i="12"/>
  <c r="E1940" i="12"/>
  <c r="E144" i="12"/>
  <c r="E970" i="12"/>
  <c r="E836" i="12"/>
  <c r="E1394" i="12"/>
  <c r="E1728" i="12"/>
  <c r="E1217" i="12"/>
  <c r="E733" i="12"/>
  <c r="E980" i="12"/>
  <c r="E1461" i="12"/>
  <c r="E1770" i="12"/>
  <c r="E3012" i="12"/>
  <c r="E2946" i="12"/>
  <c r="E3412" i="12"/>
  <c r="E137" i="12"/>
  <c r="E3350" i="12"/>
  <c r="E1560" i="12"/>
  <c r="E1084" i="12"/>
  <c r="E1669" i="12"/>
  <c r="E1587" i="12"/>
  <c r="E200" i="12"/>
  <c r="E2901" i="12"/>
  <c r="E80" i="12"/>
  <c r="E1229" i="12"/>
  <c r="E2523" i="12"/>
  <c r="E2378" i="12"/>
  <c r="E361" i="12"/>
  <c r="E1936" i="12"/>
  <c r="E518" i="12"/>
  <c r="E3475" i="12"/>
  <c r="E3452" i="12"/>
  <c r="E544" i="12"/>
  <c r="E698" i="12"/>
  <c r="E1818" i="12"/>
  <c r="E1861" i="12"/>
  <c r="E958" i="12"/>
  <c r="E1625" i="12"/>
  <c r="E3129" i="12"/>
  <c r="E975" i="12"/>
  <c r="E3531" i="12"/>
  <c r="E1349" i="12"/>
  <c r="E2119" i="12"/>
  <c r="E1040" i="12"/>
  <c r="E2155" i="12"/>
  <c r="E3062" i="12"/>
  <c r="E1176" i="12"/>
  <c r="E86" i="12"/>
  <c r="E1711" i="12"/>
  <c r="E3333" i="12"/>
  <c r="E2635" i="12"/>
  <c r="E2422" i="12"/>
  <c r="E3147" i="12"/>
  <c r="E1909" i="12"/>
  <c r="E1184" i="12"/>
  <c r="E342" i="12"/>
  <c r="E2957" i="12"/>
  <c r="E2370" i="12"/>
  <c r="E3233" i="12"/>
  <c r="E2823" i="12"/>
  <c r="E1884" i="12"/>
  <c r="E823" i="12"/>
  <c r="E2061" i="12"/>
  <c r="E2157" i="12"/>
  <c r="E1243" i="12"/>
  <c r="E477" i="12"/>
  <c r="E1475" i="12"/>
  <c r="E465" i="12"/>
  <c r="E480" i="12"/>
  <c r="E1418" i="12"/>
  <c r="E1318" i="12"/>
  <c r="E2192" i="12"/>
  <c r="E74" i="12"/>
  <c r="E1657" i="12"/>
  <c r="E1661" i="12"/>
  <c r="E1076" i="12"/>
  <c r="E489" i="12"/>
  <c r="E2564" i="12"/>
  <c r="E2009" i="12"/>
  <c r="E1701" i="12"/>
  <c r="E30" i="12"/>
  <c r="E263" i="12"/>
  <c r="E962" i="12"/>
  <c r="E3122" i="12"/>
  <c r="E2926" i="12"/>
  <c r="E2750" i="12"/>
  <c r="E141" i="12"/>
  <c r="E2796" i="12"/>
  <c r="E2839" i="12"/>
  <c r="E2284" i="12"/>
  <c r="E2790" i="12"/>
  <c r="E2677" i="12"/>
  <c r="E3134" i="12"/>
  <c r="E3260" i="12"/>
  <c r="E2475" i="12"/>
  <c r="E709" i="12"/>
  <c r="E2651" i="12"/>
  <c r="E3055" i="12"/>
  <c r="E2511" i="12"/>
  <c r="E881" i="12"/>
  <c r="E3158" i="12"/>
  <c r="E674" i="12"/>
  <c r="E597" i="12"/>
  <c r="E279" i="12"/>
  <c r="E2735" i="12"/>
  <c r="E1329" i="12"/>
  <c r="E2895" i="12"/>
  <c r="E3160" i="12"/>
  <c r="E983" i="12"/>
  <c r="E145" i="12"/>
  <c r="E2262" i="12"/>
  <c r="E1148" i="12"/>
  <c r="E2664" i="12"/>
  <c r="E2204" i="12"/>
  <c r="E2862" i="12"/>
  <c r="E3379" i="12"/>
  <c r="E3518" i="12"/>
  <c r="E1320" i="12"/>
  <c r="E3315" i="12"/>
  <c r="E2550" i="12"/>
  <c r="E1882" i="12"/>
  <c r="E2935" i="12"/>
  <c r="E2426" i="12"/>
  <c r="E36" i="12"/>
  <c r="E454" i="12"/>
  <c r="E1963" i="12"/>
  <c r="E94" i="12"/>
  <c r="E403" i="12"/>
  <c r="E2120" i="12"/>
  <c r="E2938" i="12"/>
  <c r="E3079" i="12"/>
  <c r="E2508" i="12"/>
  <c r="E3088" i="12"/>
  <c r="E2108" i="12"/>
  <c r="E1627" i="12"/>
  <c r="E2916" i="12"/>
  <c r="E153" i="12"/>
  <c r="E3247" i="12"/>
  <c r="E1141" i="12"/>
  <c r="E1331" i="12"/>
  <c r="E3486" i="12"/>
  <c r="E1550" i="12"/>
  <c r="E2883" i="12"/>
  <c r="E3372" i="12"/>
  <c r="E2043" i="12"/>
  <c r="E2501" i="12"/>
  <c r="E1518" i="12"/>
  <c r="E1516" i="12"/>
  <c r="E712" i="12"/>
  <c r="E1296" i="12"/>
  <c r="E609" i="12"/>
  <c r="E3099" i="12"/>
  <c r="E706" i="12"/>
  <c r="E2481" i="12"/>
  <c r="E127" i="12"/>
  <c r="E2322" i="12"/>
  <c r="E3458" i="12"/>
  <c r="E3245" i="12"/>
  <c r="E2885" i="12"/>
  <c r="E1680" i="12"/>
  <c r="E1779" i="12"/>
  <c r="E1715" i="12"/>
  <c r="E3289" i="12"/>
  <c r="E155" i="12"/>
  <c r="E3033" i="12"/>
  <c r="E451" i="12"/>
  <c r="E1959" i="12"/>
  <c r="E1433" i="12"/>
  <c r="E651" i="12"/>
  <c r="E336" i="12"/>
  <c r="E773" i="12"/>
  <c r="E3155" i="12"/>
  <c r="E1024" i="12"/>
  <c r="E1005" i="12"/>
  <c r="E1716" i="12"/>
  <c r="E1776" i="12"/>
  <c r="E981" i="12"/>
  <c r="E2915" i="12"/>
  <c r="E2593" i="12"/>
  <c r="E1929" i="12"/>
  <c r="E3526" i="12"/>
  <c r="E678" i="12"/>
  <c r="E1629" i="12"/>
  <c r="E1692" i="12"/>
  <c r="E2612" i="12"/>
  <c r="E2512" i="12"/>
  <c r="E1339" i="12"/>
  <c r="E1466" i="12"/>
  <c r="E2972" i="12"/>
  <c r="E3169" i="12"/>
  <c r="E2945" i="12"/>
  <c r="E677" i="12"/>
  <c r="E1422" i="12"/>
  <c r="E2048" i="12"/>
  <c r="E1717" i="12"/>
  <c r="E474" i="12"/>
  <c r="E1088" i="12"/>
  <c r="E136" i="12"/>
  <c r="E2838" i="12"/>
  <c r="E346" i="12"/>
  <c r="E3476" i="12"/>
  <c r="E2290" i="12"/>
  <c r="E2292" i="12"/>
  <c r="E2742" i="12"/>
  <c r="E386" i="12"/>
  <c r="E1381" i="12"/>
  <c r="E3369" i="12"/>
  <c r="E1847" i="12"/>
  <c r="E1772" i="12"/>
  <c r="E3430" i="12"/>
  <c r="E1041" i="12"/>
  <c r="E606" i="12"/>
  <c r="E622" i="12"/>
  <c r="E3279" i="12"/>
  <c r="E3326" i="12"/>
  <c r="E1393" i="12"/>
  <c r="E570" i="12"/>
  <c r="E1552" i="12"/>
  <c r="E2906" i="12"/>
  <c r="E1489" i="12"/>
  <c r="E1562" i="12"/>
  <c r="E2033" i="12"/>
  <c r="E1899" i="12"/>
  <c r="E699" i="12"/>
  <c r="E2573" i="12"/>
  <c r="E1586" i="12"/>
  <c r="E1034" i="12"/>
  <c r="E2244" i="12"/>
  <c r="E1107" i="12"/>
  <c r="E394" i="12"/>
  <c r="E2082" i="12"/>
  <c r="E2298" i="12"/>
  <c r="E1264" i="12"/>
  <c r="E131" i="12"/>
  <c r="E1237" i="12"/>
  <c r="E685" i="12"/>
  <c r="E3468" i="12"/>
  <c r="E738" i="12"/>
  <c r="E626" i="12"/>
  <c r="E242" i="12"/>
  <c r="E37" i="12"/>
  <c r="E1584" i="12"/>
  <c r="E3198" i="12"/>
  <c r="E2406" i="12"/>
  <c r="E356" i="12"/>
  <c r="E1609" i="12"/>
  <c r="E1759" i="12"/>
  <c r="E1202" i="12"/>
  <c r="E3441" i="12"/>
  <c r="E1618" i="12"/>
  <c r="E1602" i="12"/>
  <c r="E2979" i="12"/>
  <c r="E502" i="12"/>
  <c r="E2961" i="12"/>
  <c r="E3318" i="12"/>
  <c r="E1619" i="12"/>
  <c r="E1593" i="12"/>
  <c r="E2929" i="12"/>
  <c r="E3473" i="12"/>
  <c r="E3192" i="12"/>
  <c r="E208" i="12"/>
  <c r="E2524" i="12"/>
  <c r="E1271" i="12"/>
  <c r="E105" i="12"/>
  <c r="E530" i="12"/>
  <c r="E3402" i="12"/>
  <c r="E1464" i="12"/>
  <c r="E2477" i="12"/>
  <c r="E409" i="12"/>
  <c r="E1935" i="12"/>
  <c r="E1462" i="12"/>
  <c r="E517" i="12"/>
  <c r="E3530" i="12"/>
  <c r="E1447" i="12"/>
  <c r="E125" i="12"/>
  <c r="E1203" i="12"/>
  <c r="E807" i="12"/>
  <c r="E3113" i="12"/>
  <c r="E2004" i="12"/>
  <c r="E2863" i="12"/>
  <c r="E2226" i="12"/>
  <c r="E1600" i="12"/>
  <c r="E2709" i="12"/>
  <c r="E2869" i="12"/>
  <c r="E938" i="12"/>
  <c r="E417" i="12"/>
  <c r="E632" i="12"/>
  <c r="E510" i="12"/>
  <c r="E2881" i="12"/>
  <c r="E1483" i="12"/>
  <c r="E727" i="12"/>
  <c r="E3045" i="12"/>
  <c r="E216" i="12"/>
  <c r="E1981" i="12"/>
  <c r="E1468" i="12"/>
  <c r="E1309" i="12"/>
  <c r="E468" i="12"/>
  <c r="E2087" i="12"/>
  <c r="E521" i="12"/>
  <c r="E3500" i="12"/>
  <c r="E1069" i="12"/>
  <c r="E1428" i="12"/>
  <c r="E1044" i="12"/>
  <c r="E1821" i="12"/>
  <c r="E562" i="12"/>
  <c r="E50" i="12"/>
  <c r="E1227" i="12"/>
  <c r="E995" i="12"/>
  <c r="E1751" i="12"/>
  <c r="E532" i="12"/>
  <c r="E1327" i="12"/>
  <c r="E3205" i="12"/>
  <c r="E721" i="12"/>
  <c r="E1862" i="12"/>
  <c r="E1632" i="12"/>
  <c r="E329" i="12"/>
  <c r="E2171" i="12"/>
  <c r="E418" i="12"/>
  <c r="E381" i="12"/>
  <c r="E3053" i="12"/>
  <c r="E2465" i="12"/>
  <c r="E1487" i="12"/>
  <c r="E304" i="12"/>
  <c r="E1098" i="12"/>
  <c r="E1492" i="12"/>
  <c r="E2117" i="12"/>
  <c r="E2701" i="12"/>
  <c r="E135" i="12"/>
  <c r="E2124" i="12"/>
  <c r="E340" i="12"/>
  <c r="E2543" i="12"/>
  <c r="E2416" i="12"/>
  <c r="E892" i="12"/>
  <c r="E2404" i="12"/>
  <c r="E2978" i="12"/>
  <c r="E2760" i="12"/>
  <c r="E2397" i="12"/>
  <c r="E2857" i="12"/>
  <c r="E2734" i="12"/>
  <c r="E1826" i="12"/>
  <c r="E1836" i="12"/>
  <c r="E2309" i="12"/>
  <c r="E1269" i="12"/>
  <c r="E2211" i="12"/>
  <c r="E485" i="12"/>
  <c r="E1973" i="12"/>
  <c r="E2116" i="12"/>
  <c r="E120" i="12"/>
  <c r="E1399" i="12"/>
  <c r="E3505" i="12"/>
  <c r="E2798" i="12"/>
  <c r="E3057" i="12"/>
  <c r="E107" i="12"/>
  <c r="E1900" i="12"/>
  <c r="E1166" i="12"/>
  <c r="E3365" i="12"/>
  <c r="E884" i="12"/>
  <c r="E656" i="12"/>
  <c r="E2732" i="12"/>
  <c r="E366" i="12"/>
  <c r="E2035" i="12"/>
  <c r="E2694" i="12"/>
  <c r="E2488" i="12"/>
  <c r="E2780" i="12"/>
  <c r="E371" i="12"/>
  <c r="E1032" i="12"/>
  <c r="E3255" i="12"/>
  <c r="E3265" i="12"/>
  <c r="E2775" i="12"/>
  <c r="E1860" i="12"/>
  <c r="E3212" i="12"/>
  <c r="E1901" i="12"/>
  <c r="E1282" i="12"/>
  <c r="E514" i="12"/>
  <c r="E2301" i="12"/>
  <c r="E3508" i="12"/>
  <c r="E3309" i="12"/>
  <c r="E1685" i="12"/>
  <c r="E1258" i="12"/>
  <c r="E3208" i="12"/>
  <c r="E1733" i="12"/>
  <c r="E1018" i="12"/>
  <c r="E630" i="12"/>
  <c r="E1920" i="12"/>
  <c r="E2933" i="12"/>
  <c r="E2123" i="12"/>
  <c r="E437" i="12"/>
  <c r="E3277" i="12"/>
  <c r="E2707" i="12"/>
  <c r="E1917" i="12"/>
  <c r="E758" i="12"/>
  <c r="E1029" i="12"/>
  <c r="E3031" i="12"/>
  <c r="E2094" i="12"/>
  <c r="E725" i="12"/>
  <c r="E1363" i="12"/>
  <c r="E2064" i="12"/>
  <c r="E3083" i="12"/>
  <c r="E2239" i="12"/>
  <c r="E964" i="12"/>
  <c r="E2073" i="12"/>
  <c r="E1775" i="12"/>
  <c r="E1446" i="12"/>
  <c r="E2007" i="12"/>
  <c r="E3180" i="12"/>
  <c r="E2927" i="12"/>
  <c r="E1713" i="12"/>
  <c r="E1615" i="12"/>
  <c r="E2213" i="12"/>
  <c r="E1972" i="12"/>
  <c r="E1450" i="12"/>
  <c r="E2646" i="12"/>
  <c r="E1843" i="12"/>
  <c r="E2672" i="12"/>
  <c r="E1204" i="12"/>
  <c r="E399" i="12"/>
  <c r="E3306" i="12"/>
  <c r="E648" i="12"/>
  <c r="E1979" i="12"/>
  <c r="E949" i="12"/>
  <c r="E159" i="12"/>
  <c r="E3362" i="12"/>
  <c r="E768" i="12"/>
  <c r="E3484" i="12"/>
  <c r="E3455" i="12"/>
  <c r="E2311" i="12"/>
  <c r="E1347" i="12"/>
  <c r="E629" i="12"/>
  <c r="E3502" i="12"/>
  <c r="E3186" i="12"/>
  <c r="E3077" i="12"/>
  <c r="E2892" i="12"/>
  <c r="E1792" i="12"/>
  <c r="E1131" i="12"/>
  <c r="E2668" i="12"/>
  <c r="E2937" i="12"/>
  <c r="E753" i="12"/>
  <c r="E193" i="12"/>
  <c r="E2619" i="12"/>
  <c r="E2752" i="12"/>
  <c r="E2401" i="12"/>
  <c r="E3354" i="12"/>
  <c r="E1889" i="12"/>
  <c r="E187" i="12"/>
  <c r="E1167" i="12"/>
  <c r="E703" i="12"/>
  <c r="E928" i="12"/>
  <c r="E1833" i="12"/>
  <c r="E936" i="12"/>
  <c r="E1059" i="12"/>
  <c r="E2499" i="12"/>
  <c r="E3434" i="12"/>
  <c r="E3376" i="12"/>
  <c r="E556" i="12"/>
  <c r="E2685" i="12"/>
  <c r="E501" i="12"/>
  <c r="E412" i="12"/>
  <c r="E3086" i="12"/>
  <c r="E2278" i="12"/>
  <c r="E1398" i="12"/>
  <c r="E62" i="12"/>
  <c r="E1962" i="12"/>
  <c r="E2142" i="12"/>
  <c r="E494" i="12"/>
  <c r="E1523" i="12"/>
  <c r="E306" i="12"/>
  <c r="E15" i="12"/>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<sst xmlns="http://schemas.openxmlformats.org/spreadsheetml/2006/main" count="437" uniqueCount="180">
  <si>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</si>
  <si>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</si>
  <si>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</si>
  <si>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</si>
  <si>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</si>
  <si>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</si>
  <si>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</si>
  <si>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</si>
  <si>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</si>
  <si>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</si>
  <si>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</si>
  <si>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</si>
  <si>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</si>
  <si>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</si>
  <si>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</si>
  <si>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</si>
  <si>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</si>
  <si>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</si>
  <si>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</si>
  <si>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</si>
  <si>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</si>
  <si>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</si>
  <si>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</si>
  <si>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</si>
  <si>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</si>
  <si>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</si>
  <si>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</si>
  <si>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</si>
  <si>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</si>
  <si>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</si>
  <si>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</si>
  <si>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</si>
  <si>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</si>
  <si>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</si>
  <si>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</si>
  <si>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</si>
  <si>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</si>
  <si>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</si>
  <si>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</si>
  <si>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</si>
  <si>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</si>
  <si>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</si>
  <si>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</si>
  <si>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</si>
  <si>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</si>
  <si>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</si>
  <si>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</si>
  <si>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</si>
  <si>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</si>
  <si>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</si>
  <si>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</si>
  <si>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</si>
  <si>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</si>
  <si>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</si>
  <si>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</si>
  <si>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</si>
  <si>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</si>
  <si>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</si>
  <si>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</si>
  <si>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</si>
  <si>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</si>
  <si>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</si>
  <si>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</si>
  <si>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</si>
  <si>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</si>
  <si>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</si>
  <si>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</si>
  <si>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</si>
  <si>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</si>
  <si>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</si>
  <si>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</si>
  <si>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</si>
  <si>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</si>
  <si>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</si>
  <si>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</si>
  <si>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</si>
  <si>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</si>
  <si>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</si>
  <si>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</si>
  <si>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</si>
  <si>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</si>
  <si>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</si>
  <si>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</si>
  <si>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</si>
  <si>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</si>
  <si>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</si>
  <si>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</si>
  <si>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</si>
  <si>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</si>
  <si>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</si>
  <si>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</si>
  <si>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</si>
  <si>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</si>
  <si>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</si>
  <si>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</si>
  <si>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</si>
  <si>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</si>
  <si>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</si>
  <si>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</si>
  <si>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</si>
  <si>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</si>
  <si>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</si>
  <si>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</si>
  <si>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</si>
  <si>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</si>
  <si>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</si>
  <si>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</si>
  <si>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</si>
  <si>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</si>
  <si>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</si>
  <si>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</si>
  <si>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</si>
  <si>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</si>
  <si>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</si>
  <si>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</si>
  <si>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</si>
  <si>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</si>
  <si>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</si>
  <si>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</si>
  <si>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</si>
  <si>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</si>
  <si>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</si>
  <si>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</si>
  <si>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</si>
  <si>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</si>
  <si>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</si>
  <si>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</si>
  <si>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</si>
  <si>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</si>
  <si>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</si>
  <si>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</si>
  <si>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</si>
  <si>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</si>
  <si>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</si>
  <si>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</si>
  <si>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</si>
  <si>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</si>
  <si>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</si>
  <si>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</si>
  <si>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</si>
  <si>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</si>
  <si>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</si>
  <si>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</si>
  <si>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</si>
  <si>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</si>
  <si>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</si>
  <si>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</si>
  <si>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</si>
  <si>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</si>
  <si>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</si>
  <si>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</si>
  <si>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</si>
  <si>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</si>
  <si>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</si>
  <si>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</si>
  <si>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</si>
  <si>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</si>
  <si>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</si>
  <si>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</si>
  <si>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</si>
  <si>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</si>
  <si>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</si>
  <si>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Recalc</t>
  </si>
  <si>
    <t>Mkt FRAs</t>
  </si>
  <si>
    <t>Sampling Frequency</t>
  </si>
  <si>
    <t>Mkt Swps</t>
  </si>
  <si>
    <t>Swap Index</t>
  </si>
  <si>
    <t>Tenor</t>
  </si>
  <si>
    <t>12M</t>
  </si>
  <si>
    <t>Delta</t>
  </si>
  <si>
    <t>Extrapolation</t>
  </si>
  <si>
    <t>1w</t>
  </si>
  <si>
    <t>FWD 6M</t>
  </si>
  <si>
    <t>FWD ON</t>
  </si>
  <si>
    <t>Minimum x</t>
  </si>
  <si>
    <t>Maximum x</t>
  </si>
  <si>
    <t>Major unit x</t>
  </si>
  <si>
    <t>Minimum y</t>
  </si>
  <si>
    <t>Maximum y</t>
  </si>
  <si>
    <t>Major unit 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</si>
</sst>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5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0" fontId="6" fillId="0" borderId="0" xfId="1" applyFont="1" applyBorder="1" applyAlignment="1"/>
    <xf numFmtId="0" fontId="6" fillId="0" borderId="0" xfId="1" applyNumberFormat="1" applyFont="1" applyBorder="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4" fontId="6" fillId="0" borderId="0" xfId="1" applyNumberFormat="1" applyFont="1"/>
    <xf numFmtId="169" fontId="6" fillId="0" borderId="7" xfId="1" applyNumberFormat="1" applyFont="1" applyBorder="1" applyAlignment="1"/>
    <xf numFmtId="0" fontId="6" fillId="0" borderId="7" xfId="1" applyFont="1" applyBorder="1" applyAlignment="1">
      <alignment horizontal="center"/>
    </xf>
    <xf numFmtId="0" fontId="6" fillId="0" borderId="7" xfId="1" applyFont="1" applyBorder="1" applyAlignment="1">
      <alignment horizontal="center" vertical="center"/>
    </xf>
    <xf numFmtId="0" fontId="8" fillId="13" borderId="7" xfId="1" applyFont="1" applyFill="1" applyBorder="1" applyAlignment="1">
      <alignment horizontal="center"/>
    </xf>
    <xf numFmtId="0" fontId="8" fillId="13" borderId="7" xfId="1" applyFont="1" applyFill="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0" fontId="8" fillId="13" borderId="32" xfId="1" applyFont="1" applyFill="1" applyBorder="1" applyAlignment="1">
      <alignment horizontal="center" vertical="center"/>
    </xf>
    <xf numFmtId="169" fontId="6" fillId="0" borderId="37" xfId="1" applyNumberFormat="1" applyFont="1" applyBorder="1" applyAlignment="1"/>
    <xf numFmtId="165" fontId="6" fillId="0" borderId="38" xfId="2" quotePrefix="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6" fillId="0" borderId="0" xfId="1" applyFont="1" applyAlignment="1">
      <alignment horizontal="right" vertical="center"/>
    </xf>
    <xf numFmtId="0" fontId="6" fillId="0" borderId="0" xfId="1" applyNumberFormat="1" applyFont="1" applyAlignment="1">
      <alignment horizontal="right"/>
    </xf>
    <xf numFmtId="0" fontId="8" fillId="13" borderId="35" xfId="1" applyFont="1" applyFill="1" applyBorder="1" applyAlignment="1">
      <alignment horizontal="right"/>
    </xf>
    <xf numFmtId="1" fontId="6" fillId="0" borderId="0" xfId="1" applyNumberFormat="1" applyFont="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xf>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9" fontId="6" fillId="0" borderId="0" xfId="1" applyNumberFormat="1" applyFont="1" applyBorder="1"/>
    <xf numFmtId="178" fontId="6" fillId="0" borderId="0" xfId="1" applyNumberFormat="1" applyFont="1" applyBorder="1"/>
    <xf numFmtId="165" fontId="6" fillId="0" borderId="16" xfId="2" applyNumberFormat="1" applyFont="1" applyBorder="1"/>
    <xf numFmtId="165" fontId="6" fillId="0" borderId="13" xfId="2" applyNumberFormat="1" applyFont="1" applyBorder="1"/>
    <xf numFmtId="10" fontId="6" fillId="0" borderId="0" xfId="1" applyNumberFormat="1" applyFont="1" applyBorder="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6M Fwd</a:t>
            </a:r>
          </a:p>
        </c:rich>
      </c:tx>
      <c:layout>
        <c:manualLayout>
          <c:xMode val="edge"/>
          <c:yMode val="edge"/>
          <c:x val="0.4081596675415573"/>
          <c:y val="0"/>
        </c:manualLayout>
      </c:layout>
      <c:overlay val="1"/>
    </c:title>
    <c:autoTitleDeleted val="0"/>
    <c:plotArea>
      <c:layout/>
      <c:lineChart>
        <c:grouping val="standard"/>
        <c:varyColors val="0"/>
        <c:ser>
          <c:idx val="0"/>
          <c:order val="0"/>
          <c:tx>
            <c:strRef>
              <c:f>Monitor!$D$4</c:f>
              <c:strCache>
                <c:ptCount val="1"/>
                <c:pt idx="0">
                  <c:v>6M Fwd</c:v>
                </c:pt>
              </c:strCache>
            </c:strRef>
          </c:tx>
          <c:marker>
            <c:symbol val="none"/>
          </c:marker>
          <c:cat>
            <c:numRef>
              <c:f>Monitor!$C$5:$C$3538</c:f>
              <c:numCache>
                <c:formatCode>ddd\,\ dd\-mmm\-yyyy</c:formatCode>
                <c:ptCount val="3533"/>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numCache>
            </c:numRef>
          </c:cat>
          <c:val>
            <c:numRef>
              <c:f>Monitor!$D$5:$D$15377</c:f>
              <c:numCache>
                <c:formatCode>0.0000%</c:formatCode>
                <c:ptCount val="15372"/>
                <c:pt idx="0">
                  <c:v>3.8825524408421133E-3</c:v>
                </c:pt>
                <c:pt idx="1">
                  <c:v>3.8619352703961451E-3</c:v>
                </c:pt>
                <c:pt idx="2">
                  <c:v>3.762591618581898E-3</c:v>
                </c:pt>
                <c:pt idx="3">
                  <c:v>3.7360392201340751E-3</c:v>
                </c:pt>
                <c:pt idx="4">
                  <c:v>3.7103343107802362E-3</c:v>
                </c:pt>
                <c:pt idx="5">
                  <c:v>3.685194534659722E-3</c:v>
                </c:pt>
                <c:pt idx="6">
                  <c:v>3.6408363837411579E-3</c:v>
                </c:pt>
                <c:pt idx="7">
                  <c:v>3.589343934461402E-3</c:v>
                </c:pt>
                <c:pt idx="8">
                  <c:v>3.567278170357189E-3</c:v>
                </c:pt>
                <c:pt idx="9">
                  <c:v>3.5462884415623564E-3</c:v>
                </c:pt>
                <c:pt idx="10">
                  <c:v>3.5265333787186407E-3</c:v>
                </c:pt>
                <c:pt idx="11">
                  <c:v>3.4928412470990717E-3</c:v>
                </c:pt>
                <c:pt idx="12">
                  <c:v>3.4593856330838368E-3</c:v>
                </c:pt>
                <c:pt idx="13">
                  <c:v>3.4447075927059468E-3</c:v>
                </c:pt>
                <c:pt idx="14">
                  <c:v>3.4305066512951661E-3</c:v>
                </c:pt>
                <c:pt idx="15">
                  <c:v>3.4165995897766106E-3</c:v>
                </c:pt>
                <c:pt idx="16">
                  <c:v>3.3926100826588263E-3</c:v>
                </c:pt>
                <c:pt idx="17">
                  <c:v>3.3626594461545279E-3</c:v>
                </c:pt>
                <c:pt idx="18">
                  <c:v>3.3497740163817308E-3</c:v>
                </c:pt>
                <c:pt idx="19">
                  <c:v>3.3269906456359585E-3</c:v>
                </c:pt>
                <c:pt idx="20">
                  <c:v>3.3091371254391965E-3</c:v>
                </c:pt>
                <c:pt idx="21">
                  <c:v>3.2800000000011566E-3</c:v>
                </c:pt>
                <c:pt idx="22">
                  <c:v>3.2709129973088166E-3</c:v>
                </c:pt>
                <c:pt idx="23">
                  <c:v>3.2621584819208351E-3</c:v>
                </c:pt>
                <c:pt idx="24">
                  <c:v>3.2563956254829944E-3</c:v>
                </c:pt>
                <c:pt idx="25">
                  <c:v>3.2478786648384261E-3</c:v>
                </c:pt>
                <c:pt idx="26">
                  <c:v>3.2266008002222193E-3</c:v>
                </c:pt>
                <c:pt idx="27">
                  <c:v>3.2208347181747359E-3</c:v>
                </c:pt>
                <c:pt idx="28">
                  <c:v>3.2154572429643966E-3</c:v>
                </c:pt>
                <c:pt idx="29">
                  <c:v>3.2170760528976174E-3</c:v>
                </c:pt>
                <c:pt idx="30">
                  <c:v>3.2092218538407814E-3</c:v>
                </c:pt>
                <c:pt idx="31">
                  <c:v>3.1935008558963531E-3</c:v>
                </c:pt>
                <c:pt idx="32">
                  <c:v>3.1899161592311965E-3</c:v>
                </c:pt>
                <c:pt idx="33">
                  <c:v>3.1865404520265601E-3</c:v>
                </c:pt>
                <c:pt idx="34">
                  <c:v>3.1918223250334658E-3</c:v>
                </c:pt>
                <c:pt idx="35">
                  <c:v>3.1846043127112993E-3</c:v>
                </c:pt>
                <c:pt idx="36">
                  <c:v>3.1718987226428529E-3</c:v>
                </c:pt>
                <c:pt idx="37">
                  <c:v>3.1692381337301906E-3</c:v>
                </c:pt>
                <c:pt idx="38">
                  <c:v>3.1666069297824244E-3</c:v>
                </c:pt>
                <c:pt idx="39">
                  <c:v>3.1719279512115906E-3</c:v>
                </c:pt>
                <c:pt idx="40">
                  <c:v>3.1652726162406577E-3</c:v>
                </c:pt>
                <c:pt idx="41">
                  <c:v>3.1529936892840792E-3</c:v>
                </c:pt>
                <c:pt idx="42">
                  <c:v>3.1499999999997836E-3</c:v>
                </c:pt>
                <c:pt idx="43">
                  <c:v>3.1468616528002764E-3</c:v>
                </c:pt>
                <c:pt idx="44">
                  <c:v>3.1404984170714592E-3</c:v>
                </c:pt>
                <c:pt idx="45">
                  <c:v>3.1428119309527798E-3</c:v>
                </c:pt>
                <c:pt idx="46">
                  <c:v>3.1291851303949032E-3</c:v>
                </c:pt>
                <c:pt idx="47">
                  <c:v>3.1253065470204307E-3</c:v>
                </c:pt>
                <c:pt idx="48">
                  <c:v>3.1213314299753359E-3</c:v>
                </c:pt>
                <c:pt idx="49">
                  <c:v>3.120457054485768E-3</c:v>
                </c:pt>
                <c:pt idx="50">
                  <c:v>3.1146698453577175E-3</c:v>
                </c:pt>
                <c:pt idx="51">
                  <c:v>3.1002762241881957E-3</c:v>
                </c:pt>
                <c:pt idx="52">
                  <c:v>3.0958829350370277E-3</c:v>
                </c:pt>
                <c:pt idx="53">
                  <c:v>3.0914467883105452E-3</c:v>
                </c:pt>
                <c:pt idx="54">
                  <c:v>3.0886660339402372E-3</c:v>
                </c:pt>
                <c:pt idx="55">
                  <c:v>3.0832977761696334E-3</c:v>
                </c:pt>
                <c:pt idx="56">
                  <c:v>3.0688915604755273E-3</c:v>
                </c:pt>
                <c:pt idx="57">
                  <c:v>3.0643592889808995E-3</c:v>
                </c:pt>
                <c:pt idx="58">
                  <c:v>3.0598378328188141E-3</c:v>
                </c:pt>
                <c:pt idx="59">
                  <c:v>3.0562441148290582E-3</c:v>
                </c:pt>
                <c:pt idx="60">
                  <c:v>3.0513115802061697E-3</c:v>
                </c:pt>
                <c:pt idx="61">
                  <c:v>3.0376611342473824E-3</c:v>
                </c:pt>
                <c:pt idx="62">
                  <c:v>3.0333655804729628E-3</c:v>
                </c:pt>
                <c:pt idx="63">
                  <c:v>3.0291345115368816E-3</c:v>
                </c:pt>
                <c:pt idx="64">
                  <c:v>3.0245459272588413E-3</c:v>
                </c:pt>
                <c:pt idx="65">
                  <c:v>3.0200000000001961E-3</c:v>
                </c:pt>
                <c:pt idx="66">
                  <c:v>3.0081625230648202E-3</c:v>
                </c:pt>
                <c:pt idx="67">
                  <c:v>3.0038580247290798E-3</c:v>
                </c:pt>
                <c:pt idx="68">
                  <c:v>3.0001209726407455E-3</c:v>
                </c:pt>
                <c:pt idx="69">
                  <c:v>2.9964553740086017E-3</c:v>
                </c:pt>
                <c:pt idx="70">
                  <c:v>2.9928612901754027E-3</c:v>
                </c:pt>
                <c:pt idx="71">
                  <c:v>2.9831332901543882E-3</c:v>
                </c:pt>
                <c:pt idx="72">
                  <c:v>2.9792013299300337E-3</c:v>
                </c:pt>
                <c:pt idx="73">
                  <c:v>2.9759657404797432E-3</c:v>
                </c:pt>
                <c:pt idx="74">
                  <c:v>2.9728020340359612E-3</c:v>
                </c:pt>
                <c:pt idx="75">
                  <c:v>2.969710271991347E-3</c:v>
                </c:pt>
                <c:pt idx="76">
                  <c:v>2.961749161420695E-3</c:v>
                </c:pt>
                <c:pt idx="77">
                  <c:v>2.9580638959408297E-3</c:v>
                </c:pt>
                <c:pt idx="78">
                  <c:v>2.9553327770583996E-3</c:v>
                </c:pt>
                <c:pt idx="79">
                  <c:v>2.952673971093171E-3</c:v>
                </c:pt>
                <c:pt idx="80">
                  <c:v>2.9500875394921238E-3</c:v>
                </c:pt>
                <c:pt idx="81">
                  <c:v>2.9440310778621266E-3</c:v>
                </c:pt>
                <c:pt idx="82">
                  <c:v>2.9404667859051826E-3</c:v>
                </c:pt>
                <c:pt idx="83">
                  <c:v>2.938243148076176E-3</c:v>
                </c:pt>
                <c:pt idx="84">
                  <c:v>2.9360922534451537E-3</c:v>
                </c:pt>
                <c:pt idx="85">
                  <c:v>2.9340141635125342E-3</c:v>
                </c:pt>
                <c:pt idx="86">
                  <c:v>2.929999999999914E-3</c:v>
                </c:pt>
                <c:pt idx="87">
                  <c:v>2.928297314339317E-3</c:v>
                </c:pt>
                <c:pt idx="88">
                  <c:v>2.9266676683172331E-3</c:v>
                </c:pt>
                <c:pt idx="89">
                  <c:v>2.9251084284362865E-3</c:v>
                </c:pt>
                <c:pt idx="90">
                  <c:v>2.9315205622726377E-3</c:v>
                </c:pt>
                <c:pt idx="91">
                  <c:v>2.9215268503263443E-3</c:v>
                </c:pt>
                <c:pt idx="92">
                  <c:v>2.918276149787514E-3</c:v>
                </c:pt>
                <c:pt idx="93">
                  <c:v>2.9170840441306877E-3</c:v>
                </c:pt>
                <c:pt idx="94">
                  <c:v>2.9159439105282143E-3</c:v>
                </c:pt>
                <c:pt idx="95">
                  <c:v>2.9148531155872488E-3</c:v>
                </c:pt>
                <c:pt idx="96">
                  <c:v>2.911850428936279E-3</c:v>
                </c:pt>
                <c:pt idx="97">
                  <c:v>2.9109306548868274E-3</c:v>
                </c:pt>
                <c:pt idx="98">
                  <c:v>2.9100470526629112E-3</c:v>
                </c:pt>
                <c:pt idx="99">
                  <c:v>2.9091969889195588E-3</c:v>
                </c:pt>
                <c:pt idx="100">
                  <c:v>2.9083778303179491E-3</c:v>
                </c:pt>
                <c:pt idx="101">
                  <c:v>2.906079452066274E-3</c:v>
                </c:pt>
                <c:pt idx="102">
                  <c:v>2.9053575807598069E-3</c:v>
                </c:pt>
                <c:pt idx="103">
                  <c:v>2.9046534479839846E-3</c:v>
                </c:pt>
                <c:pt idx="104">
                  <c:v>2.9039644204307295E-3</c:v>
                </c:pt>
                <c:pt idx="105">
                  <c:v>2.903287864795039E-3</c:v>
                </c:pt>
                <c:pt idx="106">
                  <c:v>2.901306696410528E-3</c:v>
                </c:pt>
                <c:pt idx="107">
                  <c:v>2.900653695479398E-3</c:v>
                </c:pt>
                <c:pt idx="108">
                  <c:v>2.9000000000001126E-3</c:v>
                </c:pt>
                <c:pt idx="109">
                  <c:v>2.8993438283564988E-3</c:v>
                </c:pt>
                <c:pt idx="110">
                  <c:v>2.9015488427630025E-3</c:v>
                </c:pt>
                <c:pt idx="111">
                  <c:v>2.8967353977364281E-3</c:v>
                </c:pt>
                <c:pt idx="112">
                  <c:v>2.9001828011808307E-3</c:v>
                </c:pt>
                <c:pt idx="113">
                  <c:v>2.8998252603993188E-3</c:v>
                </c:pt>
                <c:pt idx="114">
                  <c:v>2.8994662882231353E-3</c:v>
                </c:pt>
                <c:pt idx="115">
                  <c:v>2.8991083750305713E-3</c:v>
                </c:pt>
                <c:pt idx="116">
                  <c:v>2.8926146418170808E-3</c:v>
                </c:pt>
                <c:pt idx="117">
                  <c:v>2.8977371195691264E-3</c:v>
                </c:pt>
                <c:pt idx="118">
                  <c:v>2.8974218568864262E-3</c:v>
                </c:pt>
                <c:pt idx="119">
                  <c:v>2.8971225954142485E-3</c:v>
                </c:pt>
                <c:pt idx="120">
                  <c:v>2.896841825518518E-3</c:v>
                </c:pt>
                <c:pt idx="121">
                  <c:v>2.8897871208788152E-3</c:v>
                </c:pt>
                <c:pt idx="122">
                  <c:v>2.8959534689969135E-3</c:v>
                </c:pt>
                <c:pt idx="123">
                  <c:v>2.8958025124537364E-3</c:v>
                </c:pt>
                <c:pt idx="124">
                  <c:v>2.8956849896746039E-3</c:v>
                </c:pt>
                <c:pt idx="125">
                  <c:v>2.8956033910258819E-3</c:v>
                </c:pt>
                <c:pt idx="126">
                  <c:v>2.8891023374198669E-3</c:v>
                </c:pt>
                <c:pt idx="127">
                  <c:v>2.8956860451145382E-3</c:v>
                </c:pt>
                <c:pt idx="128">
                  <c:v>2.89582142267475E-3</c:v>
                </c:pt>
                <c:pt idx="129">
                  <c:v>2.8960076666094993E-3</c:v>
                </c:pt>
                <c:pt idx="130">
                  <c:v>2.8900000014091616E-3</c:v>
                </c:pt>
                <c:pt idx="131">
                  <c:v>2.8913848270268566E-3</c:v>
                </c:pt>
                <c:pt idx="132">
                  <c:v>2.8919740438134271E-3</c:v>
                </c:pt>
                <c:pt idx="133">
                  <c:v>2.892621944050185E-3</c:v>
                </c:pt>
                <c:pt idx="134">
                  <c:v>2.8933254553363346E-3</c:v>
                </c:pt>
                <c:pt idx="135">
                  <c:v>2.8940815052702022E-3</c:v>
                </c:pt>
                <c:pt idx="136">
                  <c:v>2.8966341629422542E-3</c:v>
                </c:pt>
                <c:pt idx="137">
                  <c:v>2.8975696434410335E-3</c:v>
                </c:pt>
                <c:pt idx="138">
                  <c:v>2.8985423005629114E-3</c:v>
                </c:pt>
                <c:pt idx="139">
                  <c:v>2.8995490618947948E-3</c:v>
                </c:pt>
                <c:pt idx="140">
                  <c:v>2.9005868550174415E-3</c:v>
                </c:pt>
                <c:pt idx="141">
                  <c:v>2.9038557008751733E-3</c:v>
                </c:pt>
                <c:pt idx="142">
                  <c:v>2.9049868968762187E-3</c:v>
                </c:pt>
                <c:pt idx="143">
                  <c:v>2.9061337624958338E-3</c:v>
                </c:pt>
                <c:pt idx="144">
                  <c:v>2.9072932252800793E-3</c:v>
                </c:pt>
                <c:pt idx="145">
                  <c:v>2.9084622127693053E-3</c:v>
                </c:pt>
                <c:pt idx="146">
                  <c:v>2.9119955987544233E-3</c:v>
                </c:pt>
                <c:pt idx="147">
                  <c:v>2.9131719603159912E-3</c:v>
                </c:pt>
                <c:pt idx="148">
                  <c:v>2.9143424841718557E-3</c:v>
                </c:pt>
                <c:pt idx="149">
                  <c:v>2.9200000000021761E-3</c:v>
                </c:pt>
                <c:pt idx="150">
                  <c:v>2.9210662504545026E-3</c:v>
                </c:pt>
                <c:pt idx="151">
                  <c:v>2.9199090309147036E-3</c:v>
                </c:pt>
                <c:pt idx="152">
                  <c:v>2.9209681038077336E-3</c:v>
                </c:pt>
                <c:pt idx="153">
                  <c:v>2.9259605659954831E-3</c:v>
                </c:pt>
                <c:pt idx="154">
                  <c:v>2.922430038866932E-3</c:v>
                </c:pt>
                <c:pt idx="155">
                  <c:v>2.9226901859690244E-3</c:v>
                </c:pt>
                <c:pt idx="156">
                  <c:v>2.9229189551997657E-3</c:v>
                </c:pt>
                <c:pt idx="157">
                  <c:v>2.923121724964943E-3</c:v>
                </c:pt>
                <c:pt idx="158">
                  <c:v>2.9290122171013607E-3</c:v>
                </c:pt>
                <c:pt idx="159">
                  <c:v>2.9237803775829141E-3</c:v>
                </c:pt>
                <c:pt idx="160">
                  <c:v>2.9239338261989379E-3</c:v>
                </c:pt>
                <c:pt idx="161">
                  <c:v>2.9240935458353496E-3</c:v>
                </c:pt>
                <c:pt idx="162">
                  <c:v>2.924264914912952E-3</c:v>
                </c:pt>
                <c:pt idx="163">
                  <c:v>2.9309405980784595E-3</c:v>
                </c:pt>
                <c:pt idx="164">
                  <c:v>2.9251744541268416E-3</c:v>
                </c:pt>
                <c:pt idx="165">
                  <c:v>2.9254847468076729E-3</c:v>
                </c:pt>
                <c:pt idx="166">
                  <c:v>2.9258389595141318E-3</c:v>
                </c:pt>
                <c:pt idx="167">
                  <c:v>2.9262424706952852E-3</c:v>
                </c:pt>
                <c:pt idx="168">
                  <c:v>2.9335803898596705E-3</c:v>
                </c:pt>
                <c:pt idx="169">
                  <c:v>2.9284570694259821E-3</c:v>
                </c:pt>
                <c:pt idx="170">
                  <c:v>2.9291877500231146E-3</c:v>
                </c:pt>
                <c:pt idx="171">
                  <c:v>2.930000000000006E-3</c:v>
                </c:pt>
                <c:pt idx="172">
                  <c:v>2.9361395261322362E-3</c:v>
                </c:pt>
                <c:pt idx="173">
                  <c:v>2.9389091480618375E-3</c:v>
                </c:pt>
                <c:pt idx="174">
                  <c:v>2.9352983160078135E-3</c:v>
                </c:pt>
                <c:pt idx="175">
                  <c:v>2.936585732969801E-3</c:v>
                </c:pt>
                <c:pt idx="176">
                  <c:v>2.9379420487773119E-3</c:v>
                </c:pt>
                <c:pt idx="177">
                  <c:v>2.9393642552554221E-3</c:v>
                </c:pt>
                <c:pt idx="178">
                  <c:v>2.9479915464350015E-3</c:v>
                </c:pt>
                <c:pt idx="179">
                  <c:v>2.9456518242949861E-3</c:v>
                </c:pt>
                <c:pt idx="180">
                  <c:v>2.9473583614072719E-3</c:v>
                </c:pt>
                <c:pt idx="181">
                  <c:v>2.9491127400699474E-3</c:v>
                </c:pt>
                <c:pt idx="182">
                  <c:v>2.9509119520767318E-3</c:v>
                </c:pt>
                <c:pt idx="183">
                  <c:v>2.959911179190546E-3</c:v>
                </c:pt>
                <c:pt idx="184">
                  <c:v>2.9584969691318396E-3</c:v>
                </c:pt>
                <c:pt idx="185">
                  <c:v>2.9604752244695035E-3</c:v>
                </c:pt>
                <c:pt idx="186">
                  <c:v>2.9624802637289883E-3</c:v>
                </c:pt>
                <c:pt idx="187">
                  <c:v>2.964509078637326E-3</c:v>
                </c:pt>
                <c:pt idx="188">
                  <c:v>2.9736418884476058E-3</c:v>
                </c:pt>
                <c:pt idx="189">
                  <c:v>2.9728019289063548E-3</c:v>
                </c:pt>
                <c:pt idx="190">
                  <c:v>2.9749044975634362E-3</c:v>
                </c:pt>
                <c:pt idx="191">
                  <c:v>2.9770127919860143E-3</c:v>
                </c:pt>
                <c:pt idx="192">
                  <c:v>2.9900000000002524E-3</c:v>
                </c:pt>
                <c:pt idx="193">
                  <c:v>2.9935137662004761E-3</c:v>
                </c:pt>
                <c:pt idx="194">
                  <c:v>2.9956013431852316E-3</c:v>
                </c:pt>
                <c:pt idx="195">
                  <c:v>2.9977047085970746E-3</c:v>
                </c:pt>
                <c:pt idx="196">
                  <c:v>3.0050811905228455E-3</c:v>
                </c:pt>
                <c:pt idx="197">
                  <c:v>3.0046018717245445E-3</c:v>
                </c:pt>
                <c:pt idx="198">
                  <c:v>3.008480434634198E-3</c:v>
                </c:pt>
                <c:pt idx="199">
                  <c:v>3.0106917741973996E-3</c:v>
                </c:pt>
                <c:pt idx="200">
                  <c:v>3.0129233167481453E-3</c:v>
                </c:pt>
                <c:pt idx="201">
                  <c:v>3.0207107748674513E-3</c:v>
                </c:pt>
                <c:pt idx="202">
                  <c:v>3.0202418871046336E-3</c:v>
                </c:pt>
                <c:pt idx="203">
                  <c:v>3.0244061477146607E-3</c:v>
                </c:pt>
                <c:pt idx="204">
                  <c:v>3.0267721522817103E-3</c:v>
                </c:pt>
                <c:pt idx="205">
                  <c:v>3.0291627745679278E-3</c:v>
                </c:pt>
                <c:pt idx="206">
                  <c:v>3.0377318965112096E-3</c:v>
                </c:pt>
                <c:pt idx="207">
                  <c:v>3.0371352005956367E-3</c:v>
                </c:pt>
                <c:pt idx="208">
                  <c:v>3.0415072261301837E-3</c:v>
                </c:pt>
                <c:pt idx="209">
                  <c:v>3.0440587993959016E-3</c:v>
                </c:pt>
                <c:pt idx="210">
                  <c:v>3.046639405308341E-3</c:v>
                </c:pt>
                <c:pt idx="211">
                  <c:v>3.0563585688860428E-3</c:v>
                </c:pt>
                <c:pt idx="212">
                  <c:v>3.0554969762769725E-3</c:v>
                </c:pt>
                <c:pt idx="213">
                  <c:v>3.0599999999998025E-3</c:v>
                </c:pt>
                <c:pt idx="214">
                  <c:v>3.0588748200893112E-3</c:v>
                </c:pt>
                <c:pt idx="215">
                  <c:v>3.0615981836746653E-3</c:v>
                </c:pt>
                <c:pt idx="216">
                  <c:v>3.0643672263803968E-3</c:v>
                </c:pt>
                <c:pt idx="217">
                  <c:v>3.0788363440623127E-3</c:v>
                </c:pt>
                <c:pt idx="218">
                  <c:v>3.081842691791326E-3</c:v>
                </c:pt>
                <c:pt idx="219">
                  <c:v>3.0848824620008605E-3</c:v>
                </c:pt>
                <c:pt idx="220">
                  <c:v>3.095665519146841E-3</c:v>
                </c:pt>
                <c:pt idx="221">
                  <c:v>3.0973407478512393E-3</c:v>
                </c:pt>
                <c:pt idx="222">
                  <c:v>3.1005213655365331E-3</c:v>
                </c:pt>
                <c:pt idx="223">
                  <c:v>3.1037248996630298E-3</c:v>
                </c:pt>
                <c:pt idx="224">
                  <c:v>3.1069495991881409E-3</c:v>
                </c:pt>
                <c:pt idx="225">
                  <c:v>3.1158944075123144E-3</c:v>
                </c:pt>
                <c:pt idx="226">
                  <c:v>3.1200250300616925E-3</c:v>
                </c:pt>
                <c:pt idx="227">
                  <c:v>3.1233292905710527E-3</c:v>
                </c:pt>
                <c:pt idx="228">
                  <c:v>3.1266442099950379E-3</c:v>
                </c:pt>
                <c:pt idx="229">
                  <c:v>3.1299680372146171E-3</c:v>
                </c:pt>
                <c:pt idx="230">
                  <c:v>3.1354103193584506E-3</c:v>
                </c:pt>
                <c:pt idx="231">
                  <c:v>3.1433174012222686E-3</c:v>
                </c:pt>
                <c:pt idx="232">
                  <c:v>3.1466595001988511E-3</c:v>
                </c:pt>
                <c:pt idx="233">
                  <c:v>3.1499999999999974E-3</c:v>
                </c:pt>
                <c:pt idx="234">
                  <c:v>3.1533371548824844E-3</c:v>
                </c:pt>
                <c:pt idx="235">
                  <c:v>3.164409716034957E-3</c:v>
                </c:pt>
                <c:pt idx="236">
                  <c:v>3.1674071974202339E-3</c:v>
                </c:pt>
                <c:pt idx="237">
                  <c:v>3.1704046488029887E-3</c:v>
                </c:pt>
                <c:pt idx="238">
                  <c:v>3.1666872303134828E-3</c:v>
                </c:pt>
                <c:pt idx="239">
                  <c:v>3.1728898049172265E-3</c:v>
                </c:pt>
                <c:pt idx="240">
                  <c:v>3.1853316357820663E-3</c:v>
                </c:pt>
                <c:pt idx="241">
                  <c:v>3.1882930150638625E-3</c:v>
                </c:pt>
                <c:pt idx="242">
                  <c:v>3.1912424002173596E-3</c:v>
                </c:pt>
                <c:pt idx="243">
                  <c:v>3.1847823863683268E-3</c:v>
                </c:pt>
                <c:pt idx="244">
                  <c:v>3.1922945901782392E-3</c:v>
                </c:pt>
                <c:pt idx="245">
                  <c:v>3.2057495916489828E-3</c:v>
                </c:pt>
                <c:pt idx="246">
                  <c:v>3.2085911184493617E-3</c:v>
                </c:pt>
                <c:pt idx="247">
                  <c:v>3.2114086865034485E-3</c:v>
                </c:pt>
                <c:pt idx="248">
                  <c:v>3.2034448344391139E-3</c:v>
                </c:pt>
                <c:pt idx="249">
                  <c:v>3.2115256851801039E-3</c:v>
                </c:pt>
                <c:pt idx="250">
                  <c:v>3.2250773208856217E-3</c:v>
                </c:pt>
                <c:pt idx="251">
                  <c:v>3.2277152415266762E-3</c:v>
                </c:pt>
                <c:pt idx="252">
                  <c:v>3.230317238366406E-3</c:v>
                </c:pt>
                <c:pt idx="253">
                  <c:v>3.2220946381606779E-3</c:v>
                </c:pt>
                <c:pt idx="254">
                  <c:v>3.2300000000000965E-3</c:v>
                </c:pt>
                <c:pt idx="255">
                  <c:v>3.248098620899492E-3</c:v>
                </c:pt>
                <c:pt idx="256">
                  <c:v>3.2503980500768314E-3</c:v>
                </c:pt>
                <c:pt idx="257">
                  <c:v>3.2526627714673621E-3</c:v>
                </c:pt>
                <c:pt idx="258">
                  <c:v>3.254899084305879E-3</c:v>
                </c:pt>
                <c:pt idx="259">
                  <c:v>3.2475878299155787E-3</c:v>
                </c:pt>
                <c:pt idx="260">
                  <c:v>3.263686235878375E-3</c:v>
                </c:pt>
                <c:pt idx="261">
                  <c:v>3.2658749955113658E-3</c:v>
                </c:pt>
                <c:pt idx="262">
                  <c:v>3.2680731426122087E-3</c:v>
                </c:pt>
                <c:pt idx="263">
                  <c:v>3.2702869766170683E-3</c:v>
                </c:pt>
                <c:pt idx="264">
                  <c:v>3.2659731099128134E-3</c:v>
                </c:pt>
                <c:pt idx="265">
                  <c:v>3.2794251713967448E-3</c:v>
                </c:pt>
                <c:pt idx="266">
                  <c:v>3.2818119324775413E-3</c:v>
                </c:pt>
                <c:pt idx="267">
                  <c:v>3.2842521777039749E-3</c:v>
                </c:pt>
                <c:pt idx="268">
                  <c:v>3.286752206730614E-3</c:v>
                </c:pt>
                <c:pt idx="269">
                  <c:v>3.2872932555085953E-3</c:v>
                </c:pt>
                <c:pt idx="270">
                  <c:v>3.2974761552886332E-3</c:v>
                </c:pt>
                <c:pt idx="271">
                  <c:v>3.3003695995186379E-3</c:v>
                </c:pt>
                <c:pt idx="272">
                  <c:v>3.3033606263372091E-3</c:v>
                </c:pt>
                <c:pt idx="273">
                  <c:v>3.3117771007983689E-3</c:v>
                </c:pt>
                <c:pt idx="274">
                  <c:v>3.3136857848952094E-3</c:v>
                </c:pt>
                <c:pt idx="275">
                  <c:v>3.3200000000001718E-3</c:v>
                </c:pt>
                <c:pt idx="276">
                  <c:v>3.3274756266858845E-3</c:v>
                </c:pt>
                <c:pt idx="277">
                  <c:v>3.3468765135572856E-3</c:v>
                </c:pt>
                <c:pt idx="278">
                  <c:v>3.3466828279157001E-3</c:v>
                </c:pt>
                <c:pt idx="279">
                  <c:v>3.3461400249676565E-3</c:v>
                </c:pt>
                <c:pt idx="280">
                  <c:v>3.3546572823660728E-3</c:v>
                </c:pt>
                <c:pt idx="281">
                  <c:v>3.3594603488875377E-3</c:v>
                </c:pt>
                <c:pt idx="282">
                  <c:v>3.3643251681002239E-3</c:v>
                </c:pt>
                <c:pt idx="283">
                  <c:v>3.38398325937839E-3</c:v>
                </c:pt>
                <c:pt idx="284">
                  <c:v>3.3817200158036227E-3</c:v>
                </c:pt>
                <c:pt idx="285">
                  <c:v>3.389363087859025E-3</c:v>
                </c:pt>
                <c:pt idx="286">
                  <c:v>3.3944709424022675E-3</c:v>
                </c:pt>
                <c:pt idx="287">
                  <c:v>3.39959805547767E-3</c:v>
                </c:pt>
                <c:pt idx="288">
                  <c:v>3.4213292329479399E-3</c:v>
                </c:pt>
                <c:pt idx="289">
                  <c:v>3.4182359700743446E-3</c:v>
                </c:pt>
                <c:pt idx="290">
                  <c:v>3.4253100172816934E-3</c:v>
                </c:pt>
                <c:pt idx="291">
                  <c:v>3.430425191727446E-3</c:v>
                </c:pt>
                <c:pt idx="292">
                  <c:v>3.4355171275052519E-3</c:v>
                </c:pt>
                <c:pt idx="293">
                  <c:v>3.4566606976794661E-3</c:v>
                </c:pt>
                <c:pt idx="294">
                  <c:v>3.4536167744661072E-3</c:v>
                </c:pt>
                <c:pt idx="295">
                  <c:v>3.4604157293946385E-3</c:v>
                </c:pt>
                <c:pt idx="296">
                  <c:v>3.465240734140384E-3</c:v>
                </c:pt>
                <c:pt idx="297">
                  <c:v>3.4699999999983177E-3</c:v>
                </c:pt>
                <c:pt idx="298">
                  <c:v>3.4675861145541075E-3</c:v>
                </c:pt>
                <c:pt idx="299">
                  <c:v>3.4652872935844099E-3</c:v>
                </c:pt>
                <c:pt idx="300">
                  <c:v>3.4927945418480274E-3</c:v>
                </c:pt>
                <c:pt idx="301">
                  <c:v>3.4971751432435667E-3</c:v>
                </c:pt>
                <c:pt idx="302">
                  <c:v>3.5015041841332411E-3</c:v>
                </c:pt>
                <c:pt idx="303">
                  <c:v>3.5164121384230695E-3</c:v>
                </c:pt>
                <c:pt idx="304">
                  <c:v>3.5152672983693495E-3</c:v>
                </c:pt>
                <c:pt idx="305">
                  <c:v>3.5224941118587295E-3</c:v>
                </c:pt>
                <c:pt idx="306">
                  <c:v>3.5265846686806926E-3</c:v>
                </c:pt>
                <c:pt idx="307">
                  <c:v>3.5306472916126715E-3</c:v>
                </c:pt>
                <c:pt idx="308">
                  <c:v>3.5433394385851699E-3</c:v>
                </c:pt>
                <c:pt idx="309">
                  <c:v>3.5429844999501701E-3</c:v>
                </c:pt>
                <c:pt idx="310">
                  <c:v>3.5506595362597513E-3</c:v>
                </c:pt>
                <c:pt idx="311">
                  <c:v>3.5546254392509785E-3</c:v>
                </c:pt>
                <c:pt idx="312">
                  <c:v>3.5585870364139029E-3</c:v>
                </c:pt>
                <c:pt idx="313">
                  <c:v>3.5699834695301553E-3</c:v>
                </c:pt>
                <c:pt idx="314">
                  <c:v>3.5702076219934912E-3</c:v>
                </c:pt>
                <c:pt idx="315">
                  <c:v>3.5784485799450487E-3</c:v>
                </c:pt>
                <c:pt idx="316">
                  <c:v>3.5824552296062268E-3</c:v>
                </c:pt>
                <c:pt idx="317">
                  <c:v>3.5864812028523112E-3</c:v>
                </c:pt>
                <c:pt idx="318">
                  <c:v>3.5974896347930551E-3</c:v>
                </c:pt>
                <c:pt idx="319">
                  <c:v>3.5980882393140622E-3</c:v>
                </c:pt>
                <c:pt idx="320">
                  <c:v>3.5999999999994279E-3</c:v>
                </c:pt>
                <c:pt idx="321">
                  <c:v>3.6041913891907539E-3</c:v>
                </c:pt>
                <c:pt idx="322">
                  <c:v>3.6084093754999943E-3</c:v>
                </c:pt>
                <c:pt idx="323">
                  <c:v>3.612656052736671E-3</c:v>
                </c:pt>
                <c:pt idx="324">
                  <c:v>3.6169335147300695E-3</c:v>
                </c:pt>
                <c:pt idx="325">
                  <c:v>3.6299715478342095E-3</c:v>
                </c:pt>
                <c:pt idx="326">
                  <c:v>3.6343930875386882E-3</c:v>
                </c:pt>
                <c:pt idx="327">
                  <c:v>3.6388558814436623E-3</c:v>
                </c:pt>
                <c:pt idx="328">
                  <c:v>3.6433620235000784E-3</c:v>
                </c:pt>
                <c:pt idx="329">
                  <c:v>3.6479136076817222E-3</c:v>
                </c:pt>
                <c:pt idx="330">
                  <c:v>3.6618619530417672E-3</c:v>
                </c:pt>
                <c:pt idx="331">
                  <c:v>3.6666162459057781E-3</c:v>
                </c:pt>
                <c:pt idx="332">
                  <c:v>3.6714264511030137E-3</c:v>
                </c:pt>
                <c:pt idx="333">
                  <c:v>3.676294662748685E-3</c:v>
                </c:pt>
                <c:pt idx="334">
                  <c:v>3.6812229749830379E-3</c:v>
                </c:pt>
                <c:pt idx="335">
                  <c:v>3.6963894570119804E-3</c:v>
                </c:pt>
                <c:pt idx="336">
                  <c:v>3.7015791135327652E-3</c:v>
                </c:pt>
                <c:pt idx="337">
                  <c:v>3.7068393417470937E-3</c:v>
                </c:pt>
                <c:pt idx="338">
                  <c:v>3.7121722359629902E-3</c:v>
                </c:pt>
                <c:pt idx="339">
                  <c:v>3.7393974032362909E-3</c:v>
                </c:pt>
                <c:pt idx="340">
                  <c:v>3.7399922739104145E-3</c:v>
                </c:pt>
                <c:pt idx="341">
                  <c:v>3.739999999978736E-3</c:v>
                </c:pt>
                <c:pt idx="342">
                  <c:v>3.7518180954700178E-3</c:v>
                </c:pt>
                <c:pt idx="343">
                  <c:v>3.7578094649479373E-3</c:v>
                </c:pt>
                <c:pt idx="344">
                  <c:v>3.776396911289069E-3</c:v>
                </c:pt>
                <c:pt idx="345">
                  <c:v>3.7821363040938839E-3</c:v>
                </c:pt>
                <c:pt idx="346">
                  <c:v>3.7882925931811383E-3</c:v>
                </c:pt>
                <c:pt idx="347">
                  <c:v>3.7944724094534019E-3</c:v>
                </c:pt>
                <c:pt idx="348">
                  <c:v>3.8006726005763241E-3</c:v>
                </c:pt>
                <c:pt idx="349">
                  <c:v>3.8193085848834533E-3</c:v>
                </c:pt>
                <c:pt idx="350">
                  <c:v>3.8256140655120968E-3</c:v>
                </c:pt>
                <c:pt idx="351">
                  <c:v>3.8318688444958083E-3</c:v>
                </c:pt>
                <c:pt idx="352">
                  <c:v>3.8381250834950164E-3</c:v>
                </c:pt>
                <c:pt idx="353">
                  <c:v>3.844379629898434E-3</c:v>
                </c:pt>
                <c:pt idx="354">
                  <c:v>3.8610269564204537E-3</c:v>
                </c:pt>
                <c:pt idx="355">
                  <c:v>3.8693178359136414E-3</c:v>
                </c:pt>
                <c:pt idx="356">
                  <c:v>3.8755166287600968E-3</c:v>
                </c:pt>
                <c:pt idx="357">
                  <c:v>3.8816948125021834E-3</c:v>
                </c:pt>
                <c:pt idx="358">
                  <c:v>3.8878492342512413E-3</c:v>
                </c:pt>
                <c:pt idx="359">
                  <c:v>3.9004822350491393E-3</c:v>
                </c:pt>
                <c:pt idx="360">
                  <c:v>3.9121662421881167E-3</c:v>
                </c:pt>
                <c:pt idx="361">
                  <c:v>3.9181545592971868E-3</c:v>
                </c:pt>
                <c:pt idx="362">
                  <c:v>3.9241001962836515E-3</c:v>
                </c:pt>
                <c:pt idx="363">
                  <c:v>3.9299999999985111E-3</c:v>
                </c:pt>
                <c:pt idx="364">
                  <c:v>3.934803230393082E-3</c:v>
                </c:pt>
                <c:pt idx="365">
                  <c:v>3.9533317883864673E-3</c:v>
                </c:pt>
                <c:pt idx="366">
                  <c:v>3.9593966951070409E-3</c:v>
                </c:pt>
                <c:pt idx="367">
                  <c:v>3.9654111947596453E-3</c:v>
                </c:pt>
                <c:pt idx="368">
                  <c:v>3.971378426949777E-3</c:v>
                </c:pt>
                <c:pt idx="369">
                  <c:v>3.9773015313251002E-3</c:v>
                </c:pt>
                <c:pt idx="370">
                  <c:v>3.9948374746383653E-3</c:v>
                </c:pt>
                <c:pt idx="371">
                  <c:v>4.0006154650286839E-3</c:v>
                </c:pt>
                <c:pt idx="372">
                  <c:v>4.0063650264371966E-3</c:v>
                </c:pt>
                <c:pt idx="373">
                  <c:v>4.0120892987452264E-3</c:v>
                </c:pt>
                <c:pt idx="374">
                  <c:v>4.0177914218723042E-3</c:v>
                </c:pt>
                <c:pt idx="375">
                  <c:v>4.0347962959130547E-3</c:v>
                </c:pt>
                <c:pt idx="376">
                  <c:v>4.0404412222429442E-3</c:v>
                </c:pt>
                <c:pt idx="377">
                  <c:v>4.0460796995368037E-3</c:v>
                </c:pt>
                <c:pt idx="378">
                  <c:v>4.0517148679315735E-3</c:v>
                </c:pt>
                <c:pt idx="379">
                  <c:v>4.0573498676002113E-3</c:v>
                </c:pt>
                <c:pt idx="380">
                  <c:v>4.0742852565103464E-3</c:v>
                </c:pt>
                <c:pt idx="381">
                  <c:v>4.0799509837159825E-3</c:v>
                </c:pt>
                <c:pt idx="382">
                  <c:v>4.0856322435956676E-3</c:v>
                </c:pt>
                <c:pt idx="383">
                  <c:v>4.0913321765388873E-3</c:v>
                </c:pt>
                <c:pt idx="384">
                  <c:v>4.0970539229698262E-3</c:v>
                </c:pt>
                <c:pt idx="385">
                  <c:v>4.1100000000000841E-3</c:v>
                </c:pt>
                <c:pt idx="386">
                  <c:v>4.1159299088193643E-3</c:v>
                </c:pt>
                <c:pt idx="387">
                  <c:v>4.1218944074503158E-3</c:v>
                </c:pt>
                <c:pt idx="388">
                  <c:v>4.1278771351458627E-3</c:v>
                </c:pt>
                <c:pt idx="389">
                  <c:v>4.1263287277008044E-3</c:v>
                </c:pt>
                <c:pt idx="390">
                  <c:v>4.151663114678102E-3</c:v>
                </c:pt>
                <c:pt idx="391">
                  <c:v>4.1574915695522466E-3</c:v>
                </c:pt>
                <c:pt idx="392">
                  <c:v>4.1632400848693411E-3</c:v>
                </c:pt>
                <c:pt idx="393">
                  <c:v>4.1688922985264557E-3</c:v>
                </c:pt>
                <c:pt idx="394">
                  <c:v>4.1681605179008071E-3</c:v>
                </c:pt>
                <c:pt idx="395">
                  <c:v>4.1902108885926177E-3</c:v>
                </c:pt>
                <c:pt idx="396">
                  <c:v>4.1951361566330246E-3</c:v>
                </c:pt>
                <c:pt idx="397">
                  <c:v>4.1998669470791842E-3</c:v>
                </c:pt>
                <c:pt idx="398">
                  <c:v>4.2043868968344262E-3</c:v>
                </c:pt>
                <c:pt idx="399">
                  <c:v>4.2037166234296357E-3</c:v>
                </c:pt>
                <c:pt idx="400">
                  <c:v>4.220031024389349E-3</c:v>
                </c:pt>
                <c:pt idx="401">
                  <c:v>4.2232513218947278E-3</c:v>
                </c:pt>
                <c:pt idx="402">
                  <c:v>4.2261625990083172E-3</c:v>
                </c:pt>
                <c:pt idx="403">
                  <c:v>4.2287484924622186E-3</c:v>
                </c:pt>
                <c:pt idx="404">
                  <c:v>4.2355109673600918E-3</c:v>
                </c:pt>
                <c:pt idx="405">
                  <c:v>4.2362244969408672E-3</c:v>
                </c:pt>
                <c:pt idx="406">
                  <c:v>4.236521235647479E-3</c:v>
                </c:pt>
                <c:pt idx="407">
                  <c:v>4.2377164347545499E-3</c:v>
                </c:pt>
                <c:pt idx="408">
                  <c:v>4.2333047938984056E-3</c:v>
                </c:pt>
                <c:pt idx="409">
                  <c:v>4.2314426214048375E-3</c:v>
                </c:pt>
                <c:pt idx="410">
                  <c:v>4.2293255262941887E-3</c:v>
                </c:pt>
                <c:pt idx="411">
                  <c:v>4.2269778997509142E-3</c:v>
                </c:pt>
                <c:pt idx="412">
                  <c:v>4.2244241329296058E-3</c:v>
                </c:pt>
                <c:pt idx="413">
                  <c:v>4.2157699013705341E-3</c:v>
                </c:pt>
                <c:pt idx="414">
                  <c:v>4.2126354835292125E-3</c:v>
                </c:pt>
                <c:pt idx="415">
                  <c:v>4.2094168799139348E-3</c:v>
                </c:pt>
                <c:pt idx="416">
                  <c:v>4.2061384810441948E-3</c:v>
                </c:pt>
                <c:pt idx="417">
                  <c:v>4.2028246772883998E-3</c:v>
                </c:pt>
                <c:pt idx="418">
                  <c:v>4.1929147379559609E-3</c:v>
                </c:pt>
                <c:pt idx="419">
                  <c:v>4.1897032150977629E-3</c:v>
                </c:pt>
                <c:pt idx="420">
                  <c:v>4.1865782367750586E-3</c:v>
                </c:pt>
                <c:pt idx="421">
                  <c:v>4.1835641924123949E-3</c:v>
                </c:pt>
                <c:pt idx="422">
                  <c:v>4.1806854713003581E-3</c:v>
                </c:pt>
                <c:pt idx="423">
                  <c:v>4.1731051387483686E-3</c:v>
                </c:pt>
                <c:pt idx="424">
                  <c:v>4.1710116015102952E-3</c:v>
                </c:pt>
                <c:pt idx="425">
                  <c:v>4.1691753326357573E-3</c:v>
                </c:pt>
                <c:pt idx="426">
                  <c:v>4.167620721046407E-3</c:v>
                </c:pt>
                <c:pt idx="427">
                  <c:v>4.1663721557016666E-3</c:v>
                </c:pt>
                <c:pt idx="428">
                  <c:v>4.1645609593522837E-3</c:v>
                </c:pt>
                <c:pt idx="429">
                  <c:v>4.1645808505429566E-3</c:v>
                </c:pt>
                <c:pt idx="430">
                  <c:v>4.1648992512386554E-3</c:v>
                </c:pt>
                <c:pt idx="431">
                  <c:v>4.1655081803576516E-3</c:v>
                </c:pt>
                <c:pt idx="432">
                  <c:v>4.166399656937241E-3</c:v>
                </c:pt>
                <c:pt idx="433">
                  <c:v>4.1706895633756742E-3</c:v>
                </c:pt>
                <c:pt idx="434">
                  <c:v>4.1726314221799789E-3</c:v>
                </c:pt>
                <c:pt idx="435">
                  <c:v>4.1748159250434144E-3</c:v>
                </c:pt>
                <c:pt idx="436">
                  <c:v>4.1772350914951913E-3</c:v>
                </c:pt>
                <c:pt idx="437">
                  <c:v>4.1798809411084407E-3</c:v>
                </c:pt>
                <c:pt idx="438">
                  <c:v>4.1890987851718724E-3</c:v>
                </c:pt>
                <c:pt idx="439">
                  <c:v>4.1925715637886355E-3</c:v>
                </c:pt>
                <c:pt idx="440">
                  <c:v>4.1962311238212275E-3</c:v>
                </c:pt>
                <c:pt idx="441">
                  <c:v>4.2000694849380878E-3</c:v>
                </c:pt>
                <c:pt idx="442">
                  <c:v>4.2040786667962363E-3</c:v>
                </c:pt>
                <c:pt idx="443">
                  <c:v>4.2170513330587666E-3</c:v>
                </c:pt>
                <c:pt idx="444">
                  <c:v>4.2216639939687004E-3</c:v>
                </c:pt>
                <c:pt idx="445">
                  <c:v>4.2264075734882141E-3</c:v>
                </c:pt>
                <c:pt idx="446">
                  <c:v>4.2312740910657029E-3</c:v>
                </c:pt>
                <c:pt idx="447">
                  <c:v>4.2362555660951018E-3</c:v>
                </c:pt>
                <c:pt idx="448">
                  <c:v>4.2624402229144483E-3</c:v>
                </c:pt>
                <c:pt idx="449">
                  <c:v>4.2679511651239795E-3</c:v>
                </c:pt>
                <c:pt idx="450">
                  <c:v>4.2735378818380071E-3</c:v>
                </c:pt>
                <c:pt idx="451">
                  <c:v>4.290438790668873E-3</c:v>
                </c:pt>
                <c:pt idx="452">
                  <c:v>4.2905875129445837E-3</c:v>
                </c:pt>
                <c:pt idx="453">
                  <c:v>4.3024009993010487E-3</c:v>
                </c:pt>
                <c:pt idx="454">
                  <c:v>4.3083181119496017E-3</c:v>
                </c:pt>
                <c:pt idx="455">
                  <c:v>4.3142695814659396E-3</c:v>
                </c:pt>
                <c:pt idx="456">
                  <c:v>4.332464108845701E-3</c:v>
                </c:pt>
                <c:pt idx="457">
                  <c:v>4.3324099273052384E-3</c:v>
                </c:pt>
                <c:pt idx="458">
                  <c:v>4.344335181995145E-3</c:v>
                </c:pt>
                <c:pt idx="459">
                  <c:v>4.3503685316715265E-3</c:v>
                </c:pt>
                <c:pt idx="460">
                  <c:v>4.3563948171938642E-3</c:v>
                </c:pt>
                <c:pt idx="461">
                  <c:v>4.3755597117814135E-3</c:v>
                </c:pt>
                <c:pt idx="462">
                  <c:v>4.3750308111168831E-3</c:v>
                </c:pt>
                <c:pt idx="463">
                  <c:v>4.3862131647019681E-3</c:v>
                </c:pt>
                <c:pt idx="464">
                  <c:v>4.392072793627088E-3</c:v>
                </c:pt>
                <c:pt idx="465">
                  <c:v>4.3978839338487197E-3</c:v>
                </c:pt>
                <c:pt idx="466">
                  <c:v>4.4177176815550449E-3</c:v>
                </c:pt>
                <c:pt idx="467">
                  <c:v>4.4314010960487477E-3</c:v>
                </c:pt>
                <c:pt idx="468">
                  <c:v>4.436711262678205E-3</c:v>
                </c:pt>
                <c:pt idx="469">
                  <c:v>4.4344677360117889E-3</c:v>
                </c:pt>
                <c:pt idx="470">
                  <c:v>4.4547043874193894E-3</c:v>
                </c:pt>
                <c:pt idx="471">
                  <c:v>4.4548214407076608E-3</c:v>
                </c:pt>
                <c:pt idx="472">
                  <c:v>4.4599234888009582E-3</c:v>
                </c:pt>
                <c:pt idx="473">
                  <c:v>4.4650692398336663E-3</c:v>
                </c:pt>
                <c:pt idx="474">
                  <c:v>4.4702778212429035E-3</c:v>
                </c:pt>
                <c:pt idx="475">
                  <c:v>4.4916302982085741E-3</c:v>
                </c:pt>
                <c:pt idx="476">
                  <c:v>4.4921230067857983E-3</c:v>
                </c:pt>
                <c:pt idx="477">
                  <c:v>4.4979326591594029E-3</c:v>
                </c:pt>
                <c:pt idx="478">
                  <c:v>4.503919911189082E-3</c:v>
                </c:pt>
                <c:pt idx="479">
                  <c:v>4.5101038919731409E-3</c:v>
                </c:pt>
                <c:pt idx="480">
                  <c:v>4.5334344710472058E-3</c:v>
                </c:pt>
                <c:pt idx="481">
                  <c:v>4.5371896953931776E-3</c:v>
                </c:pt>
                <c:pt idx="482">
                  <c:v>4.5446442675011935E-3</c:v>
                </c:pt>
                <c:pt idx="483">
                  <c:v>4.5524103499214007E-3</c:v>
                </c:pt>
                <c:pt idx="484">
                  <c:v>4.5605070743026301E-3</c:v>
                </c:pt>
                <c:pt idx="485">
                  <c:v>4.5866074247793978E-3</c:v>
                </c:pt>
                <c:pt idx="486">
                  <c:v>4.5965830417610178E-3</c:v>
                </c:pt>
                <c:pt idx="487">
                  <c:v>4.6066199685021146E-3</c:v>
                </c:pt>
                <c:pt idx="488">
                  <c:v>4.6171023382878462E-3</c:v>
                </c:pt>
                <c:pt idx="489">
                  <c:v>4.6280492868464081E-3</c:v>
                </c:pt>
                <c:pt idx="490">
                  <c:v>4.6576405307020719E-3</c:v>
                </c:pt>
                <c:pt idx="491">
                  <c:v>4.6858555915854283E-3</c:v>
                </c:pt>
                <c:pt idx="492">
                  <c:v>4.6992070590222848E-3</c:v>
                </c:pt>
                <c:pt idx="493">
                  <c:v>4.712990878681861E-3</c:v>
                </c:pt>
                <c:pt idx="494">
                  <c:v>4.7455523935327568E-3</c:v>
                </c:pt>
                <c:pt idx="495">
                  <c:v>4.7509838871409573E-3</c:v>
                </c:pt>
                <c:pt idx="496">
                  <c:v>4.7878041336724617E-3</c:v>
                </c:pt>
                <c:pt idx="497">
                  <c:v>4.8038273868663021E-3</c:v>
                </c:pt>
                <c:pt idx="498">
                  <c:v>4.820164762869646E-3</c:v>
                </c:pt>
                <c:pt idx="499">
                  <c:v>4.8552038995050466E-3</c:v>
                </c:pt>
                <c:pt idx="500">
                  <c:v>4.8629181890582638E-3</c:v>
                </c:pt>
                <c:pt idx="501">
                  <c:v>4.9059722736759905E-3</c:v>
                </c:pt>
                <c:pt idx="502">
                  <c:v>4.9238396531302237E-3</c:v>
                </c:pt>
                <c:pt idx="503">
                  <c:v>4.941902906344278E-3</c:v>
                </c:pt>
                <c:pt idx="504">
                  <c:v>4.97842335313348E-3</c:v>
                </c:pt>
                <c:pt idx="505">
                  <c:v>4.9876810270213442E-3</c:v>
                </c:pt>
                <c:pt idx="506">
                  <c:v>5.0345659400869124E-3</c:v>
                </c:pt>
                <c:pt idx="507">
                  <c:v>5.0534496242480593E-3</c:v>
                </c:pt>
                <c:pt idx="508">
                  <c:v>5.0724109059493384E-3</c:v>
                </c:pt>
                <c:pt idx="509">
                  <c:v>5.1094782879324719E-3</c:v>
                </c:pt>
                <c:pt idx="510">
                  <c:v>5.1195088626804853E-3</c:v>
                </c:pt>
                <c:pt idx="511">
                  <c:v>5.1677897862470101E-3</c:v>
                </c:pt>
                <c:pt idx="512">
                  <c:v>5.1779175915888662E-3</c:v>
                </c:pt>
                <c:pt idx="513">
                  <c:v>5.1969717486903934E-3</c:v>
                </c:pt>
                <c:pt idx="514">
                  <c:v>5.2159851949299162E-3</c:v>
                </c:pt>
                <c:pt idx="515">
                  <c:v>5.2527123871314819E-3</c:v>
                </c:pt>
                <c:pt idx="516">
                  <c:v>5.2916318476846471E-3</c:v>
                </c:pt>
                <c:pt idx="517">
                  <c:v>5.4224458507273667E-3</c:v>
                </c:pt>
                <c:pt idx="518">
                  <c:v>5.5512643358181122E-3</c:v>
                </c:pt>
                <c:pt idx="519">
                  <c:v>5.6780869108945461E-3</c:v>
                </c:pt>
                <c:pt idx="520">
                  <c:v>5.8111742691189048E-3</c:v>
                </c:pt>
                <c:pt idx="521">
                  <c:v>5.9338631975803663E-3</c:v>
                </c:pt>
                <c:pt idx="522">
                  <c:v>6.0545550584991869E-3</c:v>
                </c:pt>
                <c:pt idx="523">
                  <c:v>6.1732494824786798E-3</c:v>
                </c:pt>
                <c:pt idx="524">
                  <c:v>6.289946106219889E-3</c:v>
                </c:pt>
                <c:pt idx="525">
                  <c:v>6.4046445725246303E-3</c:v>
                </c:pt>
                <c:pt idx="526">
                  <c:v>6.5173445302980984E-3</c:v>
                </c:pt>
                <c:pt idx="527">
                  <c:v>6.6280456345479974E-3</c:v>
                </c:pt>
                <c:pt idx="528">
                  <c:v>6.7296124458008132E-3</c:v>
                </c:pt>
                <c:pt idx="529">
                  <c:v>6.8294480942362621E-3</c:v>
                </c:pt>
                <c:pt idx="530">
                  <c:v>6.9344324017052142E-3</c:v>
                </c:pt>
                <c:pt idx="531">
                  <c:v>7.0374165979612503E-3</c:v>
                </c:pt>
                <c:pt idx="532">
                  <c:v>7.1384003711224223E-3</c:v>
                </c:pt>
                <c:pt idx="533">
                  <c:v>7.2373834153546908E-3</c:v>
                </c:pt>
                <c:pt idx="534">
                  <c:v>7.3343654308723636E-3</c:v>
                </c:pt>
                <c:pt idx="535">
                  <c:v>7.4355079295129571E-3</c:v>
                </c:pt>
                <c:pt idx="536">
                  <c:v>7.5223252068795966E-3</c:v>
                </c:pt>
                <c:pt idx="537">
                  <c:v>7.5955833068602858E-3</c:v>
                </c:pt>
                <c:pt idx="538">
                  <c:v>7.7022774219055023E-3</c:v>
                </c:pt>
                <c:pt idx="539">
                  <c:v>7.7892500089032984E-3</c:v>
                </c:pt>
                <c:pt idx="540">
                  <c:v>7.8742198955926487E-3</c:v>
                </c:pt>
                <c:pt idx="541">
                  <c:v>7.9571868245741743E-3</c:v>
                </c:pt>
                <c:pt idx="542">
                  <c:v>8.0381677641085201E-3</c:v>
                </c:pt>
                <c:pt idx="543">
                  <c:v>8.1172485724028201E-3</c:v>
                </c:pt>
                <c:pt idx="544">
                  <c:v>8.1945323479534118E-3</c:v>
                </c:pt>
                <c:pt idx="545">
                  <c:v>8.2807884973114462E-3</c:v>
                </c:pt>
                <c:pt idx="546">
                  <c:v>8.3441212996664595E-3</c:v>
                </c:pt>
                <c:pt idx="547">
                  <c:v>8.416632775007097E-3</c:v>
                </c:pt>
                <c:pt idx="548">
                  <c:v>8.4877598143085174E-3</c:v>
                </c:pt>
                <c:pt idx="549">
                  <c:v>8.5576056132908238E-3</c:v>
                </c:pt>
                <c:pt idx="550">
                  <c:v>8.6262733848256716E-3</c:v>
                </c:pt>
                <c:pt idx="551">
                  <c:v>8.6938663582976621E-3</c:v>
                </c:pt>
                <c:pt idx="552">
                  <c:v>8.7604877790179968E-3</c:v>
                </c:pt>
                <c:pt idx="553">
                  <c:v>8.8262409076930327E-3</c:v>
                </c:pt>
                <c:pt idx="554">
                  <c:v>8.8912290199437954E-3</c:v>
                </c:pt>
                <c:pt idx="555">
                  <c:v>8.9646159839122854E-3</c:v>
                </c:pt>
                <c:pt idx="556">
                  <c:v>9.0284102008765105E-3</c:v>
                </c:pt>
                <c:pt idx="557">
                  <c:v>9.0917616731693764E-3</c:v>
                </c:pt>
                <c:pt idx="558">
                  <c:v>9.1547726150640139E-3</c:v>
                </c:pt>
                <c:pt idx="559">
                  <c:v>9.2129254435119965E-3</c:v>
                </c:pt>
                <c:pt idx="560">
                  <c:v>9.2755274389639715E-3</c:v>
                </c:pt>
                <c:pt idx="561">
                  <c:v>9.3559746649110008E-3</c:v>
                </c:pt>
                <c:pt idx="562">
                  <c:v>9.4007210567434857E-3</c:v>
                </c:pt>
                <c:pt idx="563">
                  <c:v>9.4772951202820362E-3</c:v>
                </c:pt>
                <c:pt idx="564">
                  <c:v>9.5314127923343869E-3</c:v>
                </c:pt>
                <c:pt idx="565">
                  <c:v>9.5949031284768022E-3</c:v>
                </c:pt>
                <c:pt idx="566">
                  <c:v>9.6588711223169598E-3</c:v>
                </c:pt>
                <c:pt idx="567">
                  <c:v>9.7234191071406198E-3</c:v>
                </c:pt>
                <c:pt idx="568">
                  <c:v>9.7836066576141283E-3</c:v>
                </c:pt>
                <c:pt idx="569">
                  <c:v>9.8494517934129798E-3</c:v>
                </c:pt>
                <c:pt idx="570">
                  <c:v>9.9159793667373385E-3</c:v>
                </c:pt>
                <c:pt idx="571">
                  <c:v>9.9883669088729962E-3</c:v>
                </c:pt>
                <c:pt idx="572">
                  <c:v>1.0056310216239341E-2</c:v>
                </c:pt>
                <c:pt idx="573">
                  <c:v>1.0124936206499381E-2</c:v>
                </c:pt>
                <c:pt idx="574">
                  <c:v>1.0194244950957816E-2</c:v>
                </c:pt>
                <c:pt idx="575">
                  <c:v>1.0264236521629647E-2</c:v>
                </c:pt>
                <c:pt idx="576">
                  <c:v>1.0334910991241486E-2</c:v>
                </c:pt>
                <c:pt idx="577">
                  <c:v>1.0406268433231974E-2</c:v>
                </c:pt>
                <c:pt idx="578">
                  <c:v>1.0478308921749628E-2</c:v>
                </c:pt>
                <c:pt idx="579">
                  <c:v>1.0551032531656302E-2</c:v>
                </c:pt>
                <c:pt idx="580">
                  <c:v>1.0624439338524591E-2</c:v>
                </c:pt>
                <c:pt idx="581">
                  <c:v>1.0687162988613637E-2</c:v>
                </c:pt>
                <c:pt idx="582">
                  <c:v>1.0761834339611941E-2</c:v>
                </c:pt>
                <c:pt idx="583">
                  <c:v>1.0837189035428777E-2</c:v>
                </c:pt>
                <c:pt idx="584">
                  <c:v>1.0913227153527017E-2</c:v>
                </c:pt>
                <c:pt idx="585">
                  <c:v>1.0995833897902371E-2</c:v>
                </c:pt>
                <c:pt idx="586">
                  <c:v>1.1067353969935941E-2</c:v>
                </c:pt>
                <c:pt idx="587">
                  <c:v>1.1145442826694824E-2</c:v>
                </c:pt>
                <c:pt idx="588">
                  <c:v>1.1224215422629316E-2</c:v>
                </c:pt>
                <c:pt idx="589">
                  <c:v>1.1303671838724744E-2</c:v>
                </c:pt>
                <c:pt idx="590">
                  <c:v>1.1383812156673122E-2</c:v>
                </c:pt>
                <c:pt idx="591">
                  <c:v>1.1464636458870959E-2</c:v>
                </c:pt>
                <c:pt idx="592">
                  <c:v>1.1546144828420131E-2</c:v>
                </c:pt>
                <c:pt idx="593">
                  <c:v>1.1628337349127887E-2</c:v>
                </c:pt>
                <c:pt idx="594">
                  <c:v>1.1711209955152057E-2</c:v>
                </c:pt>
                <c:pt idx="595">
                  <c:v>1.179473296650538E-2</c:v>
                </c:pt>
                <c:pt idx="596">
                  <c:v>1.1878866937016695E-2</c:v>
                </c:pt>
                <c:pt idx="597">
                  <c:v>1.1987873397385619E-2</c:v>
                </c:pt>
                <c:pt idx="598">
                  <c:v>1.2054535600123324E-2</c:v>
                </c:pt>
                <c:pt idx="599">
                  <c:v>1.2134539857442077E-2</c:v>
                </c:pt>
                <c:pt idx="600">
                  <c:v>1.2220722887009009E-2</c:v>
                </c:pt>
                <c:pt idx="601">
                  <c:v>1.2307319455069941E-2</c:v>
                </c:pt>
                <c:pt idx="602">
                  <c:v>1.2394290058033263E-2</c:v>
                </c:pt>
                <c:pt idx="603">
                  <c:v>1.2481595185619532E-2</c:v>
                </c:pt>
                <c:pt idx="604">
                  <c:v>1.2569195320790753E-2</c:v>
                </c:pt>
                <c:pt idx="605">
                  <c:v>1.2657050939691095E-2</c:v>
                </c:pt>
                <c:pt idx="606">
                  <c:v>1.2745122511587581E-2</c:v>
                </c:pt>
                <c:pt idx="607">
                  <c:v>1.2846514061778778E-2</c:v>
                </c:pt>
                <c:pt idx="608">
                  <c:v>1.2934885314947875E-2</c:v>
                </c:pt>
                <c:pt idx="609">
                  <c:v>1.3023349143205002E-2</c:v>
                </c:pt>
                <c:pt idx="610">
                  <c:v>1.3111866414453902E-2</c:v>
                </c:pt>
                <c:pt idx="611">
                  <c:v>1.3219163647381528E-2</c:v>
                </c:pt>
                <c:pt idx="612">
                  <c:v>1.3282389407766979E-2</c:v>
                </c:pt>
                <c:pt idx="613">
                  <c:v>1.3370848700183518E-2</c:v>
                </c:pt>
                <c:pt idx="614">
                  <c:v>1.3459206135425561E-2</c:v>
                </c:pt>
                <c:pt idx="615">
                  <c:v>1.3553884299976157E-2</c:v>
                </c:pt>
                <c:pt idx="616">
                  <c:v>1.3641900061463945E-2</c:v>
                </c:pt>
                <c:pt idx="617">
                  <c:v>1.3729695144610046E-2</c:v>
                </c:pt>
                <c:pt idx="618">
                  <c:v>1.3817230361329941E-2</c:v>
                </c:pt>
                <c:pt idx="619">
                  <c:v>1.3904466516673306E-2</c:v>
                </c:pt>
                <c:pt idx="620">
                  <c:v>1.3985010148932917E-2</c:v>
                </c:pt>
                <c:pt idx="621">
                  <c:v>1.4071589476678525E-2</c:v>
                </c:pt>
                <c:pt idx="622">
                  <c:v>1.4157824852167733E-2</c:v>
                </c:pt>
                <c:pt idx="623">
                  <c:v>1.4256303874814932E-2</c:v>
                </c:pt>
                <c:pt idx="624">
                  <c:v>1.4335537123084519E-2</c:v>
                </c:pt>
                <c:pt idx="625">
                  <c:v>1.4420719176627057E-2</c:v>
                </c:pt>
                <c:pt idx="626">
                  <c:v>1.4505557101052217E-2</c:v>
                </c:pt>
                <c:pt idx="627">
                  <c:v>1.4590050851605803E-2</c:v>
                </c:pt>
                <c:pt idx="628">
                  <c:v>1.4674200383713034E-2</c:v>
                </c:pt>
                <c:pt idx="629">
                  <c:v>1.475800565297942E-2</c:v>
                </c:pt>
                <c:pt idx="630">
                  <c:v>1.4841466615192069E-2</c:v>
                </c:pt>
                <c:pt idx="631">
                  <c:v>1.4924583226316639E-2</c:v>
                </c:pt>
                <c:pt idx="632">
                  <c:v>1.5007355442500817E-2</c:v>
                </c:pt>
                <c:pt idx="633">
                  <c:v>1.5077615566521438E-2</c:v>
                </c:pt>
                <c:pt idx="634">
                  <c:v>1.5159741213383831E-2</c:v>
                </c:pt>
                <c:pt idx="635">
                  <c:v>1.5241522332841817E-2</c:v>
                </c:pt>
                <c:pt idx="636">
                  <c:v>1.5322958882211735E-2</c:v>
                </c:pt>
                <c:pt idx="637">
                  <c:v>1.5404050818985611E-2</c:v>
                </c:pt>
                <c:pt idx="638">
                  <c:v>1.5484798100835548E-2</c:v>
                </c:pt>
                <c:pt idx="639">
                  <c:v>1.5565200685612839E-2</c:v>
                </c:pt>
                <c:pt idx="640">
                  <c:v>1.565119506987081E-2</c:v>
                </c:pt>
                <c:pt idx="641">
                  <c:v>1.572497159624496E-2</c:v>
                </c:pt>
                <c:pt idx="642">
                  <c:v>1.5804339838695738E-2</c:v>
                </c:pt>
                <c:pt idx="643">
                  <c:v>1.5883363217264451E-2</c:v>
                </c:pt>
                <c:pt idx="644">
                  <c:v>1.5962041690697062E-2</c:v>
                </c:pt>
                <c:pt idx="645">
                  <c:v>1.6040375217916101E-2</c:v>
                </c:pt>
                <c:pt idx="646">
                  <c:v>1.6118364338375327E-2</c:v>
                </c:pt>
                <c:pt idx="647">
                  <c:v>1.6196015293374524E-2</c:v>
                </c:pt>
                <c:pt idx="648">
                  <c:v>1.6273337561644896E-2</c:v>
                </c:pt>
                <c:pt idx="649">
                  <c:v>1.63503406607086E-2</c:v>
                </c:pt>
                <c:pt idx="650">
                  <c:v>1.6409809295437863E-2</c:v>
                </c:pt>
                <c:pt idx="651">
                  <c:v>1.6503427429448436E-2</c:v>
                </c:pt>
                <c:pt idx="652">
                  <c:v>1.6579530142267897E-2</c:v>
                </c:pt>
                <c:pt idx="653">
                  <c:v>1.6655351772140548E-2</c:v>
                </c:pt>
                <c:pt idx="654">
                  <c:v>1.6730901844601919E-2</c:v>
                </c:pt>
                <c:pt idx="655">
                  <c:v>1.6806189886750676E-2</c:v>
                </c:pt>
                <c:pt idx="656">
                  <c:v>1.68812254272337E-2</c:v>
                </c:pt>
                <c:pt idx="657">
                  <c:v>1.6956017996233794E-2</c:v>
                </c:pt>
                <c:pt idx="658">
                  <c:v>1.7030577125459561E-2</c:v>
                </c:pt>
                <c:pt idx="659">
                  <c:v>1.7116193536538166E-2</c:v>
                </c:pt>
                <c:pt idx="660">
                  <c:v>1.7190300344452712E-2</c:v>
                </c:pt>
                <c:pt idx="661">
                  <c:v>1.7264203497658941E-2</c:v>
                </c:pt>
                <c:pt idx="662">
                  <c:v>1.7337912430774729E-2</c:v>
                </c:pt>
                <c:pt idx="663">
                  <c:v>1.7405820837362262E-2</c:v>
                </c:pt>
                <c:pt idx="664">
                  <c:v>1.7479174599609151E-2</c:v>
                </c:pt>
                <c:pt idx="665">
                  <c:v>1.7552362072172815E-2</c:v>
                </c:pt>
                <c:pt idx="666">
                  <c:v>1.7646231182616781E-2</c:v>
                </c:pt>
                <c:pt idx="667">
                  <c:v>1.7698276116536904E-2</c:v>
                </c:pt>
                <c:pt idx="668">
                  <c:v>1.7776615930495954E-2</c:v>
                </c:pt>
                <c:pt idx="669">
                  <c:v>1.7849229614818777E-2</c:v>
                </c:pt>
                <c:pt idx="670">
                  <c:v>1.7921724608274466E-2</c:v>
                </c:pt>
                <c:pt idx="671">
                  <c:v>1.7994110358438349E-2</c:v>
                </c:pt>
                <c:pt idx="672">
                  <c:v>1.8060815175335393E-2</c:v>
                </c:pt>
                <c:pt idx="673">
                  <c:v>1.8133006742401096E-2</c:v>
                </c:pt>
                <c:pt idx="674">
                  <c:v>1.8205101187728823E-2</c:v>
                </c:pt>
                <c:pt idx="675">
                  <c:v>1.8277098500547741E-2</c:v>
                </c:pt>
                <c:pt idx="676">
                  <c:v>1.8360133171612277E-2</c:v>
                </c:pt>
                <c:pt idx="677">
                  <c:v>1.8426365711913927E-2</c:v>
                </c:pt>
                <c:pt idx="678">
                  <c:v>1.8498068280705902E-2</c:v>
                </c:pt>
                <c:pt idx="679">
                  <c:v>1.8569673682442171E-2</c:v>
                </c:pt>
                <c:pt idx="680">
                  <c:v>1.8641181906366121E-2</c:v>
                </c:pt>
                <c:pt idx="681">
                  <c:v>1.8712592941735474E-2</c:v>
                </c:pt>
                <c:pt idx="682">
                  <c:v>1.8783906777821425E-2</c:v>
                </c:pt>
                <c:pt idx="683">
                  <c:v>1.8855123403909498E-2</c:v>
                </c:pt>
                <c:pt idx="684">
                  <c:v>1.8926242809299991E-2</c:v>
                </c:pt>
                <c:pt idx="685">
                  <c:v>1.8986188859878513E-2</c:v>
                </c:pt>
                <c:pt idx="686">
                  <c:v>1.9057120226124151E-2</c:v>
                </c:pt>
                <c:pt idx="687">
                  <c:v>1.9127954323777053E-2</c:v>
                </c:pt>
                <c:pt idx="688">
                  <c:v>1.9198691142308492E-2</c:v>
                </c:pt>
                <c:pt idx="689">
                  <c:v>1.9274855968763865E-2</c:v>
                </c:pt>
                <c:pt idx="690">
                  <c:v>1.9345395011129318E-2</c:v>
                </c:pt>
                <c:pt idx="691">
                  <c:v>1.9415836750590242E-2</c:v>
                </c:pt>
                <c:pt idx="692">
                  <c:v>1.9486181176618225E-2</c:v>
                </c:pt>
                <c:pt idx="693">
                  <c:v>1.955642827869971E-2</c:v>
                </c:pt>
                <c:pt idx="694">
                  <c:v>1.9621068604140143E-2</c:v>
                </c:pt>
                <c:pt idx="695">
                  <c:v>1.9691124175215333E-2</c:v>
                </c:pt>
                <c:pt idx="696">
                  <c:v>1.9761082383452731E-2</c:v>
                </c:pt>
                <c:pt idx="697">
                  <c:v>1.9830943218450546E-2</c:v>
                </c:pt>
                <c:pt idx="698">
                  <c:v>1.9906203444970808E-2</c:v>
                </c:pt>
                <c:pt idx="699">
                  <c:v>1.99758640484579E-2</c:v>
                </c:pt>
                <c:pt idx="700">
                  <c:v>2.0045421294593468E-2</c:v>
                </c:pt>
                <c:pt idx="701">
                  <c:v>2.0114871379466E-2</c:v>
                </c:pt>
                <c:pt idx="702">
                  <c:v>2.0188628300898202E-2</c:v>
                </c:pt>
                <c:pt idx="703">
                  <c:v>2.0257841553493812E-2</c:v>
                </c:pt>
                <c:pt idx="704">
                  <c:v>2.0326936106582493E-2</c:v>
                </c:pt>
                <c:pt idx="705">
                  <c:v>2.0395908133633067E-2</c:v>
                </c:pt>
                <c:pt idx="706">
                  <c:v>2.0464753807610144E-2</c:v>
                </c:pt>
                <c:pt idx="707">
                  <c:v>2.0533469300975875E-2</c:v>
                </c:pt>
                <c:pt idx="708">
                  <c:v>2.0602050785692591E-2</c:v>
                </c:pt>
                <c:pt idx="709">
                  <c:v>2.0670494433225446E-2</c:v>
                </c:pt>
                <c:pt idx="710">
                  <c:v>2.0738796414545912E-2</c:v>
                </c:pt>
                <c:pt idx="711">
                  <c:v>2.081778141827852E-2</c:v>
                </c:pt>
                <c:pt idx="712">
                  <c:v>2.0885771253787072E-2</c:v>
                </c:pt>
                <c:pt idx="713">
                  <c:v>2.0953607464279874E-2</c:v>
                </c:pt>
                <c:pt idx="714">
                  <c:v>2.1021286259574844E-2</c:v>
                </c:pt>
                <c:pt idx="715">
                  <c:v>2.1083425934099276E-2</c:v>
                </c:pt>
                <c:pt idx="716">
                  <c:v>2.1150788007266413E-2</c:v>
                </c:pt>
                <c:pt idx="717">
                  <c:v>2.1237148060931164E-2</c:v>
                </c:pt>
                <c:pt idx="718">
                  <c:v>2.1304119076988547E-2</c:v>
                </c:pt>
                <c:pt idx="719">
                  <c:v>2.1370912741721922E-2</c:v>
                </c:pt>
                <c:pt idx="720">
                  <c:v>2.1453501955248571E-2</c:v>
                </c:pt>
                <c:pt idx="721">
                  <c:v>2.1519899312140333E-2</c:v>
                </c:pt>
                <c:pt idx="722">
                  <c:v>2.1586107743213449E-2</c:v>
                </c:pt>
                <c:pt idx="723">
                  <c:v>2.1652123493874728E-2</c:v>
                </c:pt>
                <c:pt idx="724">
                  <c:v>2.1702087707703745E-2</c:v>
                </c:pt>
                <c:pt idx="725">
                  <c:v>2.1767740820426686E-2</c:v>
                </c:pt>
                <c:pt idx="726">
                  <c:v>2.183319692851975E-2</c:v>
                </c:pt>
                <c:pt idx="727">
                  <c:v>2.1914220314350499E-2</c:v>
                </c:pt>
                <c:pt idx="728">
                  <c:v>2.1979251947737224E-2</c:v>
                </c:pt>
                <c:pt idx="729">
                  <c:v>2.204408651259256E-2</c:v>
                </c:pt>
                <c:pt idx="730">
                  <c:v>2.2108723989191215E-2</c:v>
                </c:pt>
                <c:pt idx="731">
                  <c:v>2.2173164357868487E-2</c:v>
                </c:pt>
                <c:pt idx="732">
                  <c:v>2.2221795386773616E-2</c:v>
                </c:pt>
                <c:pt idx="733">
                  <c:v>2.2301453693094903E-2</c:v>
                </c:pt>
                <c:pt idx="734">
                  <c:v>2.2365302620611611E-2</c:v>
                </c:pt>
                <c:pt idx="735">
                  <c:v>2.2428954362141641E-2</c:v>
                </c:pt>
                <c:pt idx="736">
                  <c:v>2.2476918473470338E-2</c:v>
                </c:pt>
                <c:pt idx="737">
                  <c:v>2.2529895800909874E-2</c:v>
                </c:pt>
                <c:pt idx="738">
                  <c:v>2.2593006657250572E-2</c:v>
                </c:pt>
                <c:pt idx="739">
                  <c:v>2.265592026431977E-2</c:v>
                </c:pt>
                <c:pt idx="740">
                  <c:v>2.2718636603485297E-2</c:v>
                </c:pt>
                <c:pt idx="741">
                  <c:v>2.278627061470238E-2</c:v>
                </c:pt>
                <c:pt idx="742">
                  <c:v>2.2848582193261319E-2</c:v>
                </c:pt>
                <c:pt idx="743">
                  <c:v>2.2910696445236613E-2</c:v>
                </c:pt>
                <c:pt idx="744">
                  <c:v>2.297261335213141E-2</c:v>
                </c:pt>
                <c:pt idx="745">
                  <c:v>2.3034332895506833E-2</c:v>
                </c:pt>
                <c:pt idx="746">
                  <c:v>2.3090790976468708E-2</c:v>
                </c:pt>
                <c:pt idx="747">
                  <c:v>2.3152125923509567E-2</c:v>
                </c:pt>
                <c:pt idx="748">
                  <c:v>2.3213263455686303E-2</c:v>
                </c:pt>
                <c:pt idx="749">
                  <c:v>2.327420355489053E-2</c:v>
                </c:pt>
                <c:pt idx="750">
                  <c:v>2.333996944891216E-2</c:v>
                </c:pt>
                <c:pt idx="751">
                  <c:v>2.3400501926384865E-2</c:v>
                </c:pt>
                <c:pt idx="752">
                  <c:v>2.3460829356052461E-2</c:v>
                </c:pt>
                <c:pt idx="753">
                  <c:v>2.3520946429416253E-2</c:v>
                </c:pt>
                <c:pt idx="754">
                  <c:v>2.3575872145434031E-2</c:v>
                </c:pt>
                <c:pt idx="755">
                  <c:v>2.3635566135019229E-2</c:v>
                </c:pt>
                <c:pt idx="756">
                  <c:v>2.3695034447175859E-2</c:v>
                </c:pt>
                <c:pt idx="757">
                  <c:v>2.3754271742449075E-2</c:v>
                </c:pt>
                <c:pt idx="758">
                  <c:v>2.3813272680835964E-2</c:v>
                </c:pt>
                <c:pt idx="759">
                  <c:v>2.3872031921792165E-2</c:v>
                </c:pt>
                <c:pt idx="760">
                  <c:v>2.3930544124237611E-2</c:v>
                </c:pt>
                <c:pt idx="761">
                  <c:v>2.3988803946563605E-2</c:v>
                </c:pt>
                <c:pt idx="762">
                  <c:v>2.4046806046639425E-2</c:v>
                </c:pt>
                <c:pt idx="763">
                  <c:v>2.4128700072982411E-2</c:v>
                </c:pt>
                <c:pt idx="764">
                  <c:v>2.4186080490974978E-2</c:v>
                </c:pt>
                <c:pt idx="765">
                  <c:v>2.4243185446237065E-2</c:v>
                </c:pt>
                <c:pt idx="766">
                  <c:v>2.4300009735107094E-2</c:v>
                </c:pt>
                <c:pt idx="767">
                  <c:v>2.43422825415004E-2</c:v>
                </c:pt>
                <c:pt idx="768">
                  <c:v>2.4398587646794662E-2</c:v>
                </c:pt>
                <c:pt idx="769">
                  <c:v>2.4454597154320586E-2</c:v>
                </c:pt>
                <c:pt idx="770">
                  <c:v>2.4510305775156081E-2</c:v>
                </c:pt>
                <c:pt idx="771">
                  <c:v>2.45657082199226E-2</c:v>
                </c:pt>
                <c:pt idx="772">
                  <c:v>2.4634770009373617E-2</c:v>
                </c:pt>
                <c:pt idx="773">
                  <c:v>2.4689483891506107E-2</c:v>
                </c:pt>
                <c:pt idx="774">
                  <c:v>2.4743875461270402E-2</c:v>
                </c:pt>
                <c:pt idx="775">
                  <c:v>2.4797939510952247E-2</c:v>
                </c:pt>
                <c:pt idx="776">
                  <c:v>2.4837942712837843E-2</c:v>
                </c:pt>
                <c:pt idx="777">
                  <c:v>2.4891399489063545E-2</c:v>
                </c:pt>
                <c:pt idx="778">
                  <c:v>2.4944520573179942E-2</c:v>
                </c:pt>
                <c:pt idx="779">
                  <c:v>2.4997305938256015E-2</c:v>
                </c:pt>
                <c:pt idx="780">
                  <c:v>2.5063239665859278E-2</c:v>
                </c:pt>
                <c:pt idx="781">
                  <c:v>2.5115292361757378E-2</c:v>
                </c:pt>
                <c:pt idx="782">
                  <c:v>2.5167009205564399E-2</c:v>
                </c:pt>
                <c:pt idx="783">
                  <c:v>2.5218390170630253E-2</c:v>
                </c:pt>
                <c:pt idx="784">
                  <c:v>2.5269435230477626E-2</c:v>
                </c:pt>
                <c:pt idx="785">
                  <c:v>2.5320144358801543E-2</c:v>
                </c:pt>
                <c:pt idx="786">
                  <c:v>2.5370517529470647E-2</c:v>
                </c:pt>
                <c:pt idx="787">
                  <c:v>2.5420554716524196E-2</c:v>
                </c:pt>
                <c:pt idx="788">
                  <c:v>2.5470255894176366E-2</c:v>
                </c:pt>
                <c:pt idx="789">
                  <c:v>2.5498059212368519E-2</c:v>
                </c:pt>
                <c:pt idx="790">
                  <c:v>2.554719102370126E-2</c:v>
                </c:pt>
                <c:pt idx="791">
                  <c:v>2.5595986843813739E-2</c:v>
                </c:pt>
                <c:pt idx="792">
                  <c:v>2.5644446648233159E-2</c:v>
                </c:pt>
                <c:pt idx="793">
                  <c:v>2.5696804030055195E-2</c:v>
                </c:pt>
                <c:pt idx="794">
                  <c:v>2.5744571113038302E-2</c:v>
                </c:pt>
                <c:pt idx="795">
                  <c:v>2.5792002088561302E-2</c:v>
                </c:pt>
                <c:pt idx="796">
                  <c:v>2.5839096932701797E-2</c:v>
                </c:pt>
                <c:pt idx="797">
                  <c:v>2.5885855621708233E-2</c:v>
                </c:pt>
                <c:pt idx="798">
                  <c:v>2.5928147795873879E-2</c:v>
                </c:pt>
                <c:pt idx="799">
                  <c:v>2.5974254819313314E-2</c:v>
                </c:pt>
                <c:pt idx="800">
                  <c:v>2.602002563732814E-2</c:v>
                </c:pt>
                <c:pt idx="801">
                  <c:v>2.6065460226957726E-2</c:v>
                </c:pt>
                <c:pt idx="802">
                  <c:v>2.6114605906183995E-2</c:v>
                </c:pt>
                <c:pt idx="803">
                  <c:v>2.6159346668844407E-2</c:v>
                </c:pt>
                <c:pt idx="804">
                  <c:v>2.6203749585222882E-2</c:v>
                </c:pt>
                <c:pt idx="805">
                  <c:v>2.6247813562079194E-2</c:v>
                </c:pt>
                <c:pt idx="806">
                  <c:v>2.6291537506251739E-2</c:v>
                </c:pt>
                <c:pt idx="807">
                  <c:v>2.633097920550348E-2</c:v>
                </c:pt>
                <c:pt idx="808">
                  <c:v>2.6374041502199477E-2</c:v>
                </c:pt>
                <c:pt idx="809">
                  <c:v>2.6416760624499613E-2</c:v>
                </c:pt>
                <c:pt idx="810">
                  <c:v>2.6459135473851918E-2</c:v>
                </c:pt>
                <c:pt idx="811">
                  <c:v>2.6501164951787014E-2</c:v>
                </c:pt>
                <c:pt idx="812">
                  <c:v>2.6542847959924728E-2</c:v>
                </c:pt>
                <c:pt idx="813">
                  <c:v>2.6584183399973656E-2</c:v>
                </c:pt>
                <c:pt idx="814">
                  <c:v>2.6625170173733372E-2</c:v>
                </c:pt>
                <c:pt idx="815">
                  <c:v>2.668460724956143E-2</c:v>
                </c:pt>
                <c:pt idx="816">
                  <c:v>2.6724780143455903E-2</c:v>
                </c:pt>
                <c:pt idx="817">
                  <c:v>2.6764600626580565E-2</c:v>
                </c:pt>
                <c:pt idx="818">
                  <c:v>2.6804067629133531E-2</c:v>
                </c:pt>
                <c:pt idx="819">
                  <c:v>2.6832179492523745E-2</c:v>
                </c:pt>
                <c:pt idx="820">
                  <c:v>2.6871005272691033E-2</c:v>
                </c:pt>
                <c:pt idx="821">
                  <c:v>2.690947456517043E-2</c:v>
                </c:pt>
                <c:pt idx="822">
                  <c:v>2.6947586283959823E-2</c:v>
                </c:pt>
                <c:pt idx="823">
                  <c:v>2.6985339343170239E-2</c:v>
                </c:pt>
                <c:pt idx="824">
                  <c:v>2.7033386657231356E-2</c:v>
                </c:pt>
                <c:pt idx="825">
                  <c:v>2.7070349350526719E-2</c:v>
                </c:pt>
                <c:pt idx="826">
                  <c:v>2.710695000883042E-2</c:v>
                </c:pt>
                <c:pt idx="827">
                  <c:v>2.7143187563368143E-2</c:v>
                </c:pt>
                <c:pt idx="828">
                  <c:v>2.7168686761322131E-2</c:v>
                </c:pt>
                <c:pt idx="829">
                  <c:v>2.7204265569536909E-2</c:v>
                </c:pt>
                <c:pt idx="830">
                  <c:v>2.7239479642352644E-2</c:v>
                </c:pt>
                <c:pt idx="831">
                  <c:v>2.7274328960426562E-2</c:v>
                </c:pt>
                <c:pt idx="832">
                  <c:v>2.7308813504617682E-2</c:v>
                </c:pt>
                <c:pt idx="833">
                  <c:v>2.7352955834676982E-2</c:v>
                </c:pt>
                <c:pt idx="834">
                  <c:v>2.7386640220455283E-2</c:v>
                </c:pt>
                <c:pt idx="835">
                  <c:v>2.7419959698775781E-2</c:v>
                </c:pt>
                <c:pt idx="836">
                  <c:v>2.7452914251035732E-2</c:v>
                </c:pt>
                <c:pt idx="837">
                  <c:v>2.748550385883694E-2</c:v>
                </c:pt>
                <c:pt idx="838">
                  <c:v>2.7517728503984075E-2</c:v>
                </c:pt>
                <c:pt idx="839">
                  <c:v>2.75495881684855E-2</c:v>
                </c:pt>
                <c:pt idx="840">
                  <c:v>2.7581082834552868E-2</c:v>
                </c:pt>
                <c:pt idx="841">
                  <c:v>2.7596441989178967E-2</c:v>
                </c:pt>
                <c:pt idx="842">
                  <c:v>2.7627325221406429E-2</c:v>
                </c:pt>
                <c:pt idx="843">
                  <c:v>2.7657843535232984E-2</c:v>
                </c:pt>
                <c:pt idx="844">
                  <c:v>2.7687996914076529E-2</c:v>
                </c:pt>
                <c:pt idx="845">
                  <c:v>2.7717785341552826E-2</c:v>
                </c:pt>
                <c:pt idx="846">
                  <c:v>2.7750248275749154E-2</c:v>
                </c:pt>
                <c:pt idx="847">
                  <c:v>2.7779282903271175E-2</c:v>
                </c:pt>
                <c:pt idx="848">
                  <c:v>2.7807952504673536E-2</c:v>
                </c:pt>
                <c:pt idx="849">
                  <c:v>2.7836257064293157E-2</c:v>
                </c:pt>
                <c:pt idx="850">
                  <c:v>2.7861252648868334E-2</c:v>
                </c:pt>
                <c:pt idx="851">
                  <c:v>2.7888851035180084E-2</c:v>
                </c:pt>
                <c:pt idx="852">
                  <c:v>2.7916084360986689E-2</c:v>
                </c:pt>
                <c:pt idx="853">
                  <c:v>2.7942952611489828E-2</c:v>
                </c:pt>
                <c:pt idx="854">
                  <c:v>2.797230392513643E-2</c:v>
                </c:pt>
                <c:pt idx="855">
                  <c:v>2.7998425981305562E-2</c:v>
                </c:pt>
                <c:pt idx="856">
                  <c:v>2.8024207261313556E-2</c:v>
                </c:pt>
                <c:pt idx="857">
                  <c:v>2.8049664810868558E-2</c:v>
                </c:pt>
                <c:pt idx="858">
                  <c:v>2.8074815676706454E-2</c:v>
                </c:pt>
                <c:pt idx="859">
                  <c:v>2.8096916891535043E-2</c:v>
                </c:pt>
                <c:pt idx="860">
                  <c:v>2.8121517020826894E-2</c:v>
                </c:pt>
                <c:pt idx="861">
                  <c:v>2.814585978672627E-2</c:v>
                </c:pt>
                <c:pt idx="862">
                  <c:v>2.8169962332717589E-2</c:v>
                </c:pt>
                <c:pt idx="863">
                  <c:v>2.8193841803192839E-2</c:v>
                </c:pt>
                <c:pt idx="864">
                  <c:v>2.8217515343436108E-2</c:v>
                </c:pt>
                <c:pt idx="865">
                  <c:v>2.8241000099602388E-2</c:v>
                </c:pt>
                <c:pt idx="866">
                  <c:v>2.8264313218702118E-2</c:v>
                </c:pt>
                <c:pt idx="867">
                  <c:v>2.8301047110564446E-2</c:v>
                </c:pt>
                <c:pt idx="868">
                  <c:v>2.832407173417344E-2</c:v>
                </c:pt>
                <c:pt idx="869">
                  <c:v>2.8346981464484115E-2</c:v>
                </c:pt>
                <c:pt idx="870">
                  <c:v>2.8369792997318836E-2</c:v>
                </c:pt>
                <c:pt idx="871">
                  <c:v>2.8384349678403926E-2</c:v>
                </c:pt>
                <c:pt idx="872">
                  <c:v>2.8407001726948152E-2</c:v>
                </c:pt>
                <c:pt idx="873">
                  <c:v>2.8429603604852711E-2</c:v>
                </c:pt>
                <c:pt idx="874">
                  <c:v>2.8452172280772722E-2</c:v>
                </c:pt>
                <c:pt idx="875">
                  <c:v>2.847472472413121E-2</c:v>
                </c:pt>
                <c:pt idx="876">
                  <c:v>2.8505535112421928E-2</c:v>
                </c:pt>
                <c:pt idx="877">
                  <c:v>2.8528126811747833E-2</c:v>
                </c:pt>
                <c:pt idx="878">
                  <c:v>2.855075390824581E-2</c:v>
                </c:pt>
                <c:pt idx="879">
                  <c:v>2.857343310471544E-2</c:v>
                </c:pt>
                <c:pt idx="880">
                  <c:v>2.8587837213409628E-2</c:v>
                </c:pt>
                <c:pt idx="881">
                  <c:v>2.8610640638281722E-2</c:v>
                </c:pt>
                <c:pt idx="882">
                  <c:v>2.8633522392357044E-2</c:v>
                </c:pt>
                <c:pt idx="883">
                  <c:v>2.8656482478323288E-2</c:v>
                </c:pt>
                <c:pt idx="884">
                  <c:v>2.8679520898878184E-2</c:v>
                </c:pt>
                <c:pt idx="885">
                  <c:v>2.8711092496226706E-2</c:v>
                </c:pt>
                <c:pt idx="886">
                  <c:v>2.8734309898175658E-2</c:v>
                </c:pt>
                <c:pt idx="887">
                  <c:v>2.8757605666514113E-2</c:v>
                </c:pt>
                <c:pt idx="888">
                  <c:v>2.8780979804022652E-2</c:v>
                </c:pt>
                <c:pt idx="889">
                  <c:v>2.8804432313493011E-2</c:v>
                </c:pt>
                <c:pt idx="890">
                  <c:v>2.8827963197726823E-2</c:v>
                </c:pt>
                <c:pt idx="891">
                  <c:v>2.8851572459532165E-2</c:v>
                </c:pt>
                <c:pt idx="892">
                  <c:v>2.8875260101729146E-2</c:v>
                </c:pt>
                <c:pt idx="893">
                  <c:v>2.8887515948225712E-2</c:v>
                </c:pt>
                <c:pt idx="894">
                  <c:v>2.8911330369399663E-2</c:v>
                </c:pt>
                <c:pt idx="895">
                  <c:v>2.8935223147435712E-2</c:v>
                </c:pt>
                <c:pt idx="896">
                  <c:v>2.8959194285125035E-2</c:v>
                </c:pt>
                <c:pt idx="897">
                  <c:v>2.8983243785268026E-2</c:v>
                </c:pt>
                <c:pt idx="898">
                  <c:v>2.9010285450897517E-2</c:v>
                </c:pt>
                <c:pt idx="899">
                  <c:v>2.9034499220232463E-2</c:v>
                </c:pt>
                <c:pt idx="900">
                  <c:v>2.9058791368568183E-2</c:v>
                </c:pt>
                <c:pt idx="901">
                  <c:v>2.9083161898758356E-2</c:v>
                </c:pt>
                <c:pt idx="902">
                  <c:v>2.9104666821474782E-2</c:v>
                </c:pt>
                <c:pt idx="903">
                  <c:v>2.9129186555677814E-2</c:v>
                </c:pt>
                <c:pt idx="904">
                  <c:v>2.9153784672199506E-2</c:v>
                </c:pt>
                <c:pt idx="905">
                  <c:v>2.9178461173913157E-2</c:v>
                </c:pt>
                <c:pt idx="906">
                  <c:v>2.9206190332753911E-2</c:v>
                </c:pt>
                <c:pt idx="907">
                  <c:v>2.9231027130067356E-2</c:v>
                </c:pt>
                <c:pt idx="908">
                  <c:v>2.9255927339612769E-2</c:v>
                </c:pt>
                <c:pt idx="909">
                  <c:v>2.928087930490934E-2</c:v>
                </c:pt>
                <c:pt idx="910">
                  <c:v>2.9306453383224743E-2</c:v>
                </c:pt>
                <c:pt idx="911">
                  <c:v>2.9331476729383868E-2</c:v>
                </c:pt>
                <c:pt idx="912">
                  <c:v>2.9356516516848015E-2</c:v>
                </c:pt>
                <c:pt idx="913">
                  <c:v>2.9381561023669376E-2</c:v>
                </c:pt>
                <c:pt idx="914">
                  <c:v>2.9406598527315992E-2</c:v>
                </c:pt>
                <c:pt idx="915">
                  <c:v>2.943161730467176E-2</c:v>
                </c:pt>
                <c:pt idx="916">
                  <c:v>2.9456605632035549E-2</c:v>
                </c:pt>
                <c:pt idx="917">
                  <c:v>2.9481551785123399E-2</c:v>
                </c:pt>
                <c:pt idx="918">
                  <c:v>2.950644403907203E-2</c:v>
                </c:pt>
                <c:pt idx="919">
                  <c:v>2.954012062428478E-2</c:v>
                </c:pt>
                <c:pt idx="920">
                  <c:v>2.9564841616561154E-2</c:v>
                </c:pt>
                <c:pt idx="921">
                  <c:v>2.9589471286188627E-2</c:v>
                </c:pt>
                <c:pt idx="922">
                  <c:v>2.9613998093144637E-2</c:v>
                </c:pt>
                <c:pt idx="923">
                  <c:v>2.9646503355596879E-2</c:v>
                </c:pt>
                <c:pt idx="924">
                  <c:v>2.9662696956171127E-2</c:v>
                </c:pt>
                <c:pt idx="925">
                  <c:v>2.9686845929433291E-2</c:v>
                </c:pt>
                <c:pt idx="926">
                  <c:v>2.9710845874422059E-2</c:v>
                </c:pt>
                <c:pt idx="927">
                  <c:v>2.9734685248395745E-2</c:v>
                </c:pt>
                <c:pt idx="928">
                  <c:v>2.9765603794932077E-2</c:v>
                </c:pt>
                <c:pt idx="929">
                  <c:v>2.9789019164510579E-2</c:v>
                </c:pt>
                <c:pt idx="930">
                  <c:v>2.9812234542877659E-2</c:v>
                </c:pt>
                <c:pt idx="931">
                  <c:v>2.9835238323365092E-2</c:v>
                </c:pt>
                <c:pt idx="932">
                  <c:v>2.9855238868210038E-2</c:v>
                </c:pt>
                <c:pt idx="933">
                  <c:v>2.9877807989530707E-2</c:v>
                </c:pt>
                <c:pt idx="934">
                  <c:v>2.9900150593999322E-2</c:v>
                </c:pt>
                <c:pt idx="935">
                  <c:v>2.9922266674006236E-2</c:v>
                </c:pt>
                <c:pt idx="936">
                  <c:v>2.9949601664464354E-2</c:v>
                </c:pt>
                <c:pt idx="937">
                  <c:v>2.9968528171400024E-2</c:v>
                </c:pt>
                <c:pt idx="938">
                  <c:v>2.9989950220522438E-2</c:v>
                </c:pt>
                <c:pt idx="939">
                  <c:v>3.0011145697522917E-2</c:v>
                </c:pt>
                <c:pt idx="940">
                  <c:v>3.0032114595144228E-2</c:v>
                </c:pt>
                <c:pt idx="941">
                  <c:v>3.0052856906205586E-2</c:v>
                </c:pt>
                <c:pt idx="942">
                  <c:v>3.0073372623606588E-2</c:v>
                </c:pt>
                <c:pt idx="943">
                  <c:v>3.009366174032068E-2</c:v>
                </c:pt>
                <c:pt idx="944">
                  <c:v>3.0113724249402115E-2</c:v>
                </c:pt>
                <c:pt idx="945">
                  <c:v>3.0128372626155316E-2</c:v>
                </c:pt>
                <c:pt idx="946">
                  <c:v>3.0148011012104393E-2</c:v>
                </c:pt>
                <c:pt idx="947">
                  <c:v>3.0167422806564162E-2</c:v>
                </c:pt>
                <c:pt idx="948">
                  <c:v>3.0186608002960538E-2</c:v>
                </c:pt>
                <c:pt idx="949">
                  <c:v>3.0205566594795428E-2</c:v>
                </c:pt>
                <c:pt idx="950">
                  <c:v>3.0224298575646711E-2</c:v>
                </c:pt>
                <c:pt idx="951">
                  <c:v>3.0242803939170896E-2</c:v>
                </c:pt>
                <c:pt idx="952">
                  <c:v>3.0263574792735112E-2</c:v>
                </c:pt>
                <c:pt idx="953">
                  <c:v>3.0279134789242129E-2</c:v>
                </c:pt>
                <c:pt idx="954">
                  <c:v>3.0296960263483417E-2</c:v>
                </c:pt>
                <c:pt idx="955">
                  <c:v>3.0314559095786082E-2</c:v>
                </c:pt>
                <c:pt idx="956">
                  <c:v>3.0331931280190058E-2</c:v>
                </c:pt>
                <c:pt idx="957">
                  <c:v>3.0349076810809939E-2</c:v>
                </c:pt>
                <c:pt idx="958">
                  <c:v>3.0365995727886067E-2</c:v>
                </c:pt>
                <c:pt idx="959">
                  <c:v>3.0382688845190346E-2</c:v>
                </c:pt>
                <c:pt idx="960">
                  <c:v>3.0399157618390453E-2</c:v>
                </c:pt>
                <c:pt idx="961">
                  <c:v>3.041540352270326E-2</c:v>
                </c:pt>
                <c:pt idx="962">
                  <c:v>3.0431353497334741E-2</c:v>
                </c:pt>
                <c:pt idx="963">
                  <c:v>3.0447140679151156E-2</c:v>
                </c:pt>
                <c:pt idx="964">
                  <c:v>3.0462709481320387E-2</c:v>
                </c:pt>
                <c:pt idx="965">
                  <c:v>3.0478061387631438E-2</c:v>
                </c:pt>
                <c:pt idx="966">
                  <c:v>3.0493197881988579E-2</c:v>
                </c:pt>
                <c:pt idx="967">
                  <c:v>3.0508120448410465E-2</c:v>
                </c:pt>
                <c:pt idx="968">
                  <c:v>3.0522830571029249E-2</c:v>
                </c:pt>
                <c:pt idx="969">
                  <c:v>3.0537329734085288E-2</c:v>
                </c:pt>
                <c:pt idx="970">
                  <c:v>3.0551619421929341E-2</c:v>
                </c:pt>
                <c:pt idx="971">
                  <c:v>3.0572374213148602E-2</c:v>
                </c:pt>
                <c:pt idx="972">
                  <c:v>3.0586210881908056E-2</c:v>
                </c:pt>
                <c:pt idx="973">
                  <c:v>3.0599842752026422E-2</c:v>
                </c:pt>
                <c:pt idx="974">
                  <c:v>3.0613271284320384E-2</c:v>
                </c:pt>
                <c:pt idx="975">
                  <c:v>3.0624325592141236E-2</c:v>
                </c:pt>
                <c:pt idx="976">
                  <c:v>3.0637364422592857E-2</c:v>
                </c:pt>
                <c:pt idx="977">
                  <c:v>3.0650204256564423E-2</c:v>
                </c:pt>
                <c:pt idx="978">
                  <c:v>3.0666422575836905E-2</c:v>
                </c:pt>
                <c:pt idx="979">
                  <c:v>3.0684799905527384E-2</c:v>
                </c:pt>
                <c:pt idx="980">
                  <c:v>3.0697324703925423E-2</c:v>
                </c:pt>
                <c:pt idx="981">
                  <c:v>3.0709290951660917E-2</c:v>
                </c:pt>
                <c:pt idx="982">
                  <c:v>3.0721065968723388E-2</c:v>
                </c:pt>
                <c:pt idx="983">
                  <c:v>3.0726448088755111E-2</c:v>
                </c:pt>
                <c:pt idx="984">
                  <c:v>3.0737882194962537E-2</c:v>
                </c:pt>
                <c:pt idx="985">
                  <c:v>3.0749128007146093E-2</c:v>
                </c:pt>
                <c:pt idx="986">
                  <c:v>3.0760185522125373E-2</c:v>
                </c:pt>
                <c:pt idx="987">
                  <c:v>3.0777107750280277E-2</c:v>
                </c:pt>
                <c:pt idx="988">
                  <c:v>3.0787751017840894E-2</c:v>
                </c:pt>
                <c:pt idx="989">
                  <c:v>3.0798205931326379E-2</c:v>
                </c:pt>
                <c:pt idx="990">
                  <c:v>3.080847248773225E-2</c:v>
                </c:pt>
                <c:pt idx="991">
                  <c:v>3.0818550684106896E-2</c:v>
                </c:pt>
                <c:pt idx="992">
                  <c:v>3.082257619933226E-2</c:v>
                </c:pt>
                <c:pt idx="993">
                  <c:v>3.0838141985230653E-2</c:v>
                </c:pt>
                <c:pt idx="994">
                  <c:v>3.0847655084347708E-2</c:v>
                </c:pt>
                <c:pt idx="995">
                  <c:v>3.0856979812171146E-2</c:v>
                </c:pt>
                <c:pt idx="996">
                  <c:v>3.0860403664109849E-2</c:v>
                </c:pt>
                <c:pt idx="997">
                  <c:v>3.0865601220658508E-2</c:v>
                </c:pt>
                <c:pt idx="998">
                  <c:v>3.0874424343966273E-2</c:v>
                </c:pt>
                <c:pt idx="999">
                  <c:v>3.0883059165548447E-2</c:v>
                </c:pt>
                <c:pt idx="1000">
                  <c:v>3.0891505682990608E-2</c:v>
                </c:pt>
                <c:pt idx="1001">
                  <c:v>3.0901607796775674E-2</c:v>
                </c:pt>
                <c:pt idx="1002">
                  <c:v>3.0909664934273079E-2</c:v>
                </c:pt>
                <c:pt idx="1003">
                  <c:v>3.0917533744675468E-2</c:v>
                </c:pt>
                <c:pt idx="1004">
                  <c:v>3.0925214225770103E-2</c:v>
                </c:pt>
                <c:pt idx="1005">
                  <c:v>3.0932706375396076E-2</c:v>
                </c:pt>
                <c:pt idx="1006">
                  <c:v>3.0938230272072865E-2</c:v>
                </c:pt>
                <c:pt idx="1007">
                  <c:v>3.0945358597327572E-2</c:v>
                </c:pt>
                <c:pt idx="1008">
                  <c:v>3.0952298601015324E-2</c:v>
                </c:pt>
                <c:pt idx="1009">
                  <c:v>3.0959050281194684E-2</c:v>
                </c:pt>
                <c:pt idx="1010">
                  <c:v>3.096734303970991E-2</c:v>
                </c:pt>
                <c:pt idx="1011">
                  <c:v>3.0973713963589351E-2</c:v>
                </c:pt>
                <c:pt idx="1012">
                  <c:v>3.0979913531092227E-2</c:v>
                </c:pt>
                <c:pt idx="1013">
                  <c:v>3.0989331497681245E-2</c:v>
                </c:pt>
                <c:pt idx="1014">
                  <c:v>3.0990974052500252E-2</c:v>
                </c:pt>
                <c:pt idx="1015">
                  <c:v>3.0995891494336961E-2</c:v>
                </c:pt>
                <c:pt idx="1016">
                  <c:v>3.1001502837633279E-2</c:v>
                </c:pt>
                <c:pt idx="1017">
                  <c:v>3.1006987600235382E-2</c:v>
                </c:pt>
                <c:pt idx="1018">
                  <c:v>3.1012354978769939E-2</c:v>
                </c:pt>
                <c:pt idx="1019">
                  <c:v>3.1017614169982409E-2</c:v>
                </c:pt>
                <c:pt idx="1020">
                  <c:v>3.1022774370732201E-2</c:v>
                </c:pt>
                <c:pt idx="1021">
                  <c:v>3.102784477798869E-2</c:v>
                </c:pt>
                <c:pt idx="1022">
                  <c:v>3.1032834588825914E-2</c:v>
                </c:pt>
                <c:pt idx="1023">
                  <c:v>3.1046066882387247E-2</c:v>
                </c:pt>
                <c:pt idx="1024">
                  <c:v>3.1050926074877777E-2</c:v>
                </c:pt>
                <c:pt idx="1025">
                  <c:v>3.1055734996652547E-2</c:v>
                </c:pt>
                <c:pt idx="1026">
                  <c:v>3.1060502601766255E-2</c:v>
                </c:pt>
                <c:pt idx="1027">
                  <c:v>3.1060231833684112E-2</c:v>
                </c:pt>
                <c:pt idx="1028">
                  <c:v>3.1064936144579045E-2</c:v>
                </c:pt>
                <c:pt idx="1029">
                  <c:v>3.1069624956754291E-2</c:v>
                </c:pt>
                <c:pt idx="1030">
                  <c:v>3.1074307369062231E-2</c:v>
                </c:pt>
                <c:pt idx="1031">
                  <c:v>3.1078992480441742E-2</c:v>
                </c:pt>
                <c:pt idx="1032">
                  <c:v>3.1088742020798255E-2</c:v>
                </c:pt>
                <c:pt idx="1033">
                  <c:v>3.1093471130213293E-2</c:v>
                </c:pt>
                <c:pt idx="1034">
                  <c:v>3.1098230558553333E-2</c:v>
                </c:pt>
                <c:pt idx="1035">
                  <c:v>3.1103029260653964E-2</c:v>
                </c:pt>
                <c:pt idx="1036">
                  <c:v>3.1102776037243551E-2</c:v>
                </c:pt>
                <c:pt idx="1037">
                  <c:v>3.1107659666905964E-2</c:v>
                </c:pt>
                <c:pt idx="1038">
                  <c:v>3.1112592792206132E-2</c:v>
                </c:pt>
                <c:pt idx="1039">
                  <c:v>3.1122710262525624E-2</c:v>
                </c:pt>
                <c:pt idx="1040">
                  <c:v>3.1127754284462097E-2</c:v>
                </c:pt>
                <c:pt idx="1041">
                  <c:v>3.1132847816177641E-2</c:v>
                </c:pt>
                <c:pt idx="1042">
                  <c:v>3.1137990858056467E-2</c:v>
                </c:pt>
                <c:pt idx="1043">
                  <c:v>3.114318341048708E-2</c:v>
                </c:pt>
                <c:pt idx="1044">
                  <c:v>3.1143230973163655E-2</c:v>
                </c:pt>
                <c:pt idx="1045">
                  <c:v>3.1153717048576605E-2</c:v>
                </c:pt>
                <c:pt idx="1046">
                  <c:v>3.115905813503015E-2</c:v>
                </c:pt>
                <c:pt idx="1047">
                  <c:v>3.1164448733626466E-2</c:v>
                </c:pt>
                <c:pt idx="1048">
                  <c:v>3.1164646387689524E-2</c:v>
                </c:pt>
                <c:pt idx="1049">
                  <c:v>3.116662342356644E-2</c:v>
                </c:pt>
                <c:pt idx="1050">
                  <c:v>3.1172142506198677E-2</c:v>
                </c:pt>
                <c:pt idx="1051">
                  <c:v>3.1177711080785757E-2</c:v>
                </c:pt>
                <c:pt idx="1052">
                  <c:v>3.118332914773796E-2</c:v>
                </c:pt>
                <c:pt idx="1053">
                  <c:v>3.1190762813581765E-2</c:v>
                </c:pt>
                <c:pt idx="1054">
                  <c:v>3.1196483893628831E-2</c:v>
                </c:pt>
                <c:pt idx="1055">
                  <c:v>3.1202254471666222E-2</c:v>
                </c:pt>
                <c:pt idx="1056">
                  <c:v>3.1208074548120406E-2</c:v>
                </c:pt>
                <c:pt idx="1057">
                  <c:v>3.1213944123421808E-2</c:v>
                </c:pt>
                <c:pt idx="1058">
                  <c:v>3.121807691247909E-2</c:v>
                </c:pt>
                <c:pt idx="1059">
                  <c:v>3.122404143774659E-2</c:v>
                </c:pt>
                <c:pt idx="1060">
                  <c:v>3.1230055458782456E-2</c:v>
                </c:pt>
                <c:pt idx="1061">
                  <c:v>3.1236118976029653E-2</c:v>
                </c:pt>
                <c:pt idx="1062">
                  <c:v>3.1244034297034363E-2</c:v>
                </c:pt>
                <c:pt idx="1063">
                  <c:v>3.1250193634633001E-2</c:v>
                </c:pt>
                <c:pt idx="1064">
                  <c:v>3.1256380597761632E-2</c:v>
                </c:pt>
                <c:pt idx="1065">
                  <c:v>3.1262579873158391E-2</c:v>
                </c:pt>
                <c:pt idx="1066">
                  <c:v>3.1266977021801326E-2</c:v>
                </c:pt>
                <c:pt idx="1067">
                  <c:v>3.1273160565708072E-2</c:v>
                </c:pt>
                <c:pt idx="1068">
                  <c:v>3.1279312224119907E-2</c:v>
                </c:pt>
                <c:pt idx="1069">
                  <c:v>3.1285416599765317E-2</c:v>
                </c:pt>
                <c:pt idx="1070">
                  <c:v>3.1291458295190817E-2</c:v>
                </c:pt>
                <c:pt idx="1071">
                  <c:v>3.1297421912762739E-2</c:v>
                </c:pt>
                <c:pt idx="1072">
                  <c:v>3.1303292054673859E-2</c:v>
                </c:pt>
                <c:pt idx="1073">
                  <c:v>3.130905332295001E-2</c:v>
                </c:pt>
                <c:pt idx="1074">
                  <c:v>3.1314690319457598E-2</c:v>
                </c:pt>
                <c:pt idx="1075">
                  <c:v>3.1328633822641609E-2</c:v>
                </c:pt>
                <c:pt idx="1076">
                  <c:v>3.1333884007485047E-2</c:v>
                </c:pt>
                <c:pt idx="1077">
                  <c:v>3.1338958859869391E-2</c:v>
                </c:pt>
                <c:pt idx="1078">
                  <c:v>3.1343843388500846E-2</c:v>
                </c:pt>
                <c:pt idx="1079">
                  <c:v>3.1343698875067105E-2</c:v>
                </c:pt>
                <c:pt idx="1080">
                  <c:v>3.1348223336223439E-2</c:v>
                </c:pt>
                <c:pt idx="1081">
                  <c:v>3.1352514420528374E-2</c:v>
                </c:pt>
                <c:pt idx="1082">
                  <c:v>3.1356556894625479E-2</c:v>
                </c:pt>
                <c:pt idx="1083">
                  <c:v>3.1360335525121623E-2</c:v>
                </c:pt>
                <c:pt idx="1084">
                  <c:v>3.1368314238834884E-2</c:v>
                </c:pt>
                <c:pt idx="1085">
                  <c:v>3.1371446738896379E-2</c:v>
                </c:pt>
                <c:pt idx="1086">
                  <c:v>3.1374268982788729E-2</c:v>
                </c:pt>
                <c:pt idx="1087">
                  <c:v>3.1376765978989071E-2</c:v>
                </c:pt>
                <c:pt idx="1088">
                  <c:v>3.1374738054885415E-2</c:v>
                </c:pt>
                <c:pt idx="1089">
                  <c:v>3.1376620924772086E-2</c:v>
                </c:pt>
                <c:pt idx="1090">
                  <c:v>3.137815507818404E-2</c:v>
                </c:pt>
                <c:pt idx="1091">
                  <c:v>3.1379340514318434E-2</c:v>
                </c:pt>
                <c:pt idx="1092">
                  <c:v>3.1384064542684421E-2</c:v>
                </c:pt>
                <c:pt idx="1093">
                  <c:v>3.1384477924352241E-2</c:v>
                </c:pt>
                <c:pt idx="1094">
                  <c:v>3.138454249697175E-2</c:v>
                </c:pt>
                <c:pt idx="1095">
                  <c:v>3.1384258260509425E-2</c:v>
                </c:pt>
                <c:pt idx="1096">
                  <c:v>3.1383625215116118E-2</c:v>
                </c:pt>
                <c:pt idx="1097">
                  <c:v>3.1382643361128754E-2</c:v>
                </c:pt>
                <c:pt idx="1098">
                  <c:v>3.1381312699069075E-2</c:v>
                </c:pt>
                <c:pt idx="1099">
                  <c:v>3.1379633229646188E-2</c:v>
                </c:pt>
                <c:pt idx="1100">
                  <c:v>3.1377604953752712E-2</c:v>
                </c:pt>
                <c:pt idx="1101">
                  <c:v>3.1370939861210756E-2</c:v>
                </c:pt>
                <c:pt idx="1102">
                  <c:v>3.1368314541434676E-2</c:v>
                </c:pt>
                <c:pt idx="1103">
                  <c:v>3.1365340538981143E-2</c:v>
                </c:pt>
                <c:pt idx="1104">
                  <c:v>3.1362017855398362E-2</c:v>
                </c:pt>
                <c:pt idx="1105">
                  <c:v>3.1359321290759558E-2</c:v>
                </c:pt>
                <c:pt idx="1106">
                  <c:v>3.1355275995485279E-2</c:v>
                </c:pt>
                <c:pt idx="1107">
                  <c:v>3.1354555334774291E-2</c:v>
                </c:pt>
                <c:pt idx="1108">
                  <c:v>3.1346139291330934E-2</c:v>
                </c:pt>
                <c:pt idx="1109">
                  <c:v>3.1341047887233922E-2</c:v>
                </c:pt>
                <c:pt idx="1110">
                  <c:v>3.133475955976979E-2</c:v>
                </c:pt>
                <c:pt idx="1111">
                  <c:v>3.1328996166882894E-2</c:v>
                </c:pt>
                <c:pt idx="1112">
                  <c:v>3.1322884111787005E-2</c:v>
                </c:pt>
                <c:pt idx="1113">
                  <c:v>3.1316423397664196E-2</c:v>
                </c:pt>
                <c:pt idx="1114">
                  <c:v>3.1310360872993187E-2</c:v>
                </c:pt>
                <c:pt idx="1115">
                  <c:v>3.1303185531371333E-2</c:v>
                </c:pt>
                <c:pt idx="1116">
                  <c:v>3.1295682450233085E-2</c:v>
                </c:pt>
                <c:pt idx="1117">
                  <c:v>3.1287864957765948E-2</c:v>
                </c:pt>
                <c:pt idx="1118">
                  <c:v>3.1279746382102402E-2</c:v>
                </c:pt>
                <c:pt idx="1119">
                  <c:v>3.127069466090257E-2</c:v>
                </c:pt>
                <c:pt idx="1120">
                  <c:v>3.1262029422392541E-2</c:v>
                </c:pt>
                <c:pt idx="1121">
                  <c:v>3.1253101673899969E-2</c:v>
                </c:pt>
                <c:pt idx="1122">
                  <c:v>3.1243924815192749E-2</c:v>
                </c:pt>
                <c:pt idx="1123">
                  <c:v>3.1234512245892063E-2</c:v>
                </c:pt>
                <c:pt idx="1124">
                  <c:v>3.122487736545133E-2</c:v>
                </c:pt>
                <c:pt idx="1125">
                  <c:v>3.1215033573146526E-2</c:v>
                </c:pt>
                <c:pt idx="1126">
                  <c:v>3.1204994268056861E-2</c:v>
                </c:pt>
                <c:pt idx="1127">
                  <c:v>3.1196997712081339E-2</c:v>
                </c:pt>
                <c:pt idx="1128">
                  <c:v>3.1186582908941007E-2</c:v>
                </c:pt>
                <c:pt idx="1129">
                  <c:v>3.1176016071888333E-2</c:v>
                </c:pt>
                <c:pt idx="1130">
                  <c:v>3.1165310315506286E-2</c:v>
                </c:pt>
                <c:pt idx="1131">
                  <c:v>3.1152870410212443E-2</c:v>
                </c:pt>
                <c:pt idx="1132">
                  <c:v>3.114193604909055E-2</c:v>
                </c:pt>
                <c:pt idx="1133">
                  <c:v>3.1130900508219483E-2</c:v>
                </c:pt>
                <c:pt idx="1134">
                  <c:v>3.1119777112651351E-2</c:v>
                </c:pt>
                <c:pt idx="1135">
                  <c:v>3.1108579187156506E-2</c:v>
                </c:pt>
                <c:pt idx="1136">
                  <c:v>3.1098892854943109E-2</c:v>
                </c:pt>
                <c:pt idx="1137">
                  <c:v>3.1087581849259201E-2</c:v>
                </c:pt>
                <c:pt idx="1138">
                  <c:v>3.1076236831138127E-2</c:v>
                </c:pt>
                <c:pt idx="1139">
                  <c:v>3.1064870912632835E-2</c:v>
                </c:pt>
                <c:pt idx="1140">
                  <c:v>3.1051937782419308E-2</c:v>
                </c:pt>
                <c:pt idx="1141">
                  <c:v>3.1040566182148482E-2</c:v>
                </c:pt>
                <c:pt idx="1142">
                  <c:v>3.1029194284583665E-2</c:v>
                </c:pt>
                <c:pt idx="1143">
                  <c:v>3.101782208973097E-2</c:v>
                </c:pt>
                <c:pt idx="1144">
                  <c:v>3.1006449597595201E-2</c:v>
                </c:pt>
                <c:pt idx="1145">
                  <c:v>3.0996621154402083E-2</c:v>
                </c:pt>
                <c:pt idx="1146">
                  <c:v>3.0985245089710966E-2</c:v>
                </c:pt>
                <c:pt idx="1147">
                  <c:v>3.0973868728741576E-2</c:v>
                </c:pt>
                <c:pt idx="1148">
                  <c:v>3.0962492071500359E-2</c:v>
                </c:pt>
                <c:pt idx="1149">
                  <c:v>3.0951115117992048E-2</c:v>
                </c:pt>
                <c:pt idx="1150">
                  <c:v>3.0939737868223516E-2</c:v>
                </c:pt>
                <c:pt idx="1151">
                  <c:v>3.0928360322199918E-2</c:v>
                </c:pt>
                <c:pt idx="1152">
                  <c:v>3.0916982479928135E-2</c:v>
                </c:pt>
                <c:pt idx="1153">
                  <c:v>3.0903069764078677E-2</c:v>
                </c:pt>
                <c:pt idx="1154">
                  <c:v>3.0891696279338594E-2</c:v>
                </c:pt>
                <c:pt idx="1155">
                  <c:v>3.0880322496722751E-2</c:v>
                </c:pt>
                <c:pt idx="1156">
                  <c:v>3.0868948416236011E-2</c:v>
                </c:pt>
                <c:pt idx="1157">
                  <c:v>3.0857574037884555E-2</c:v>
                </c:pt>
                <c:pt idx="1158">
                  <c:v>3.0846701461851294E-2</c:v>
                </c:pt>
                <c:pt idx="1159">
                  <c:v>3.0835325499501586E-2</c:v>
                </c:pt>
                <c:pt idx="1160">
                  <c:v>3.0823949239633386E-2</c:v>
                </c:pt>
                <c:pt idx="1161">
                  <c:v>3.0812572682252404E-2</c:v>
                </c:pt>
                <c:pt idx="1162">
                  <c:v>3.0800697678359235E-2</c:v>
                </c:pt>
                <c:pt idx="1163">
                  <c:v>3.0789321512940487E-2</c:v>
                </c:pt>
                <c:pt idx="1164">
                  <c:v>3.0777945049697213E-2</c:v>
                </c:pt>
                <c:pt idx="1165">
                  <c:v>3.0766568288635592E-2</c:v>
                </c:pt>
                <c:pt idx="1166">
                  <c:v>3.0755685398056152E-2</c:v>
                </c:pt>
                <c:pt idx="1167">
                  <c:v>3.0744303918884282E-2</c:v>
                </c:pt>
                <c:pt idx="1168">
                  <c:v>3.0732910630453785E-2</c:v>
                </c:pt>
                <c:pt idx="1169">
                  <c:v>3.0721496579376742E-2</c:v>
                </c:pt>
                <c:pt idx="1170">
                  <c:v>3.0708415040803044E-2</c:v>
                </c:pt>
                <c:pt idx="1171">
                  <c:v>3.0696454368809762E-2</c:v>
                </c:pt>
                <c:pt idx="1172">
                  <c:v>3.0684924435828796E-2</c:v>
                </c:pt>
                <c:pt idx="1173">
                  <c:v>3.0673337622254777E-2</c:v>
                </c:pt>
                <c:pt idx="1174">
                  <c:v>3.0661684927034982E-2</c:v>
                </c:pt>
                <c:pt idx="1175">
                  <c:v>3.0649957349328679E-2</c:v>
                </c:pt>
                <c:pt idx="1176">
                  <c:v>3.0638145888514622E-2</c:v>
                </c:pt>
                <c:pt idx="1177">
                  <c:v>3.0626241544189296E-2</c:v>
                </c:pt>
                <c:pt idx="1178">
                  <c:v>3.061423531617442E-2</c:v>
                </c:pt>
                <c:pt idx="1179">
                  <c:v>3.0603654131226343E-2</c:v>
                </c:pt>
                <c:pt idx="1180">
                  <c:v>3.0591360595192428E-2</c:v>
                </c:pt>
                <c:pt idx="1181">
                  <c:v>3.057893588248985E-2</c:v>
                </c:pt>
                <c:pt idx="1182">
                  <c:v>3.0566371185670002E-2</c:v>
                </c:pt>
                <c:pt idx="1183">
                  <c:v>3.0545695882174546E-2</c:v>
                </c:pt>
                <c:pt idx="1184">
                  <c:v>3.0540786611146186E-2</c:v>
                </c:pt>
                <c:pt idx="1185">
                  <c:v>3.0527749119831755E-2</c:v>
                </c:pt>
                <c:pt idx="1186">
                  <c:v>3.0514536417192525E-2</c:v>
                </c:pt>
                <c:pt idx="1187">
                  <c:v>3.0501139697108121E-2</c:v>
                </c:pt>
                <c:pt idx="1188">
                  <c:v>3.0487550153749831E-2</c:v>
                </c:pt>
                <c:pt idx="1189">
                  <c:v>3.0473758981583617E-2</c:v>
                </c:pt>
                <c:pt idx="1190">
                  <c:v>3.04597573753831E-2</c:v>
                </c:pt>
                <c:pt idx="1191">
                  <c:v>3.044553653023515E-2</c:v>
                </c:pt>
                <c:pt idx="1192">
                  <c:v>3.0431087757127023E-2</c:v>
                </c:pt>
                <c:pt idx="1193">
                  <c:v>3.0416406185576315E-2</c:v>
                </c:pt>
                <c:pt idx="1194">
                  <c:v>3.0401491546822885E-2</c:v>
                </c:pt>
                <c:pt idx="1195">
                  <c:v>3.0386343846145528E-2</c:v>
                </c:pt>
                <c:pt idx="1196">
                  <c:v>3.0370963088904291E-2</c:v>
                </c:pt>
                <c:pt idx="1197">
                  <c:v>3.0355349280543027E-2</c:v>
                </c:pt>
                <c:pt idx="1198">
                  <c:v>3.0339502426586833E-2</c:v>
                </c:pt>
                <c:pt idx="1199">
                  <c:v>3.0323422532643331E-2</c:v>
                </c:pt>
                <c:pt idx="1200">
                  <c:v>3.0307109604403536E-2</c:v>
                </c:pt>
                <c:pt idx="1201">
                  <c:v>3.0290563647640132E-2</c:v>
                </c:pt>
                <c:pt idx="1202">
                  <c:v>3.027378466820789E-2</c:v>
                </c:pt>
                <c:pt idx="1203">
                  <c:v>3.025677267204498E-2</c:v>
                </c:pt>
                <c:pt idx="1204">
                  <c:v>3.02395276651721E-2</c:v>
                </c:pt>
                <c:pt idx="1205">
                  <c:v>3.0222307971448426E-2</c:v>
                </c:pt>
                <c:pt idx="1206">
                  <c:v>3.020466940711157E-2</c:v>
                </c:pt>
                <c:pt idx="1207">
                  <c:v>3.0186797922928655E-2</c:v>
                </c:pt>
                <c:pt idx="1208">
                  <c:v>3.0168693525087872E-2</c:v>
                </c:pt>
                <c:pt idx="1209">
                  <c:v>3.0150221706413762E-2</c:v>
                </c:pt>
                <c:pt idx="1210">
                  <c:v>3.0131633320753599E-2</c:v>
                </c:pt>
                <c:pt idx="1211">
                  <c:v>3.0112812022562857E-2</c:v>
                </c:pt>
                <c:pt idx="1212">
                  <c:v>3.0092983848763587E-2</c:v>
                </c:pt>
                <c:pt idx="1213">
                  <c:v>3.007447071487717E-2</c:v>
                </c:pt>
                <c:pt idx="1214">
                  <c:v>3.0055176307875818E-2</c:v>
                </c:pt>
                <c:pt idx="1215">
                  <c:v>3.0035441694446437E-2</c:v>
                </c:pt>
                <c:pt idx="1216">
                  <c:v>3.0015474219760595E-2</c:v>
                </c:pt>
                <c:pt idx="1217">
                  <c:v>2.9995273890729885E-2</c:v>
                </c:pt>
                <c:pt idx="1218">
                  <c:v>2.9974542033600629E-2</c:v>
                </c:pt>
                <c:pt idx="1219">
                  <c:v>2.9953865667895339E-2</c:v>
                </c:pt>
                <c:pt idx="1220">
                  <c:v>2.9932985773788886E-2</c:v>
                </c:pt>
                <c:pt idx="1221">
                  <c:v>2.9911925163715405E-2</c:v>
                </c:pt>
                <c:pt idx="1222">
                  <c:v>2.988261122846364E-2</c:v>
                </c:pt>
                <c:pt idx="1223">
                  <c:v>2.986016579175026E-2</c:v>
                </c:pt>
                <c:pt idx="1224">
                  <c:v>2.9838658759776454E-2</c:v>
                </c:pt>
                <c:pt idx="1225">
                  <c:v>2.9817072027222006E-2</c:v>
                </c:pt>
                <c:pt idx="1226">
                  <c:v>2.9795428401418328E-2</c:v>
                </c:pt>
                <c:pt idx="1227">
                  <c:v>2.9773750688721342E-2</c:v>
                </c:pt>
                <c:pt idx="1228">
                  <c:v>2.9752061694505338E-2</c:v>
                </c:pt>
                <c:pt idx="1229">
                  <c:v>2.973038422315771E-2</c:v>
                </c:pt>
                <c:pt idx="1230">
                  <c:v>2.9708741078083332E-2</c:v>
                </c:pt>
                <c:pt idx="1231">
                  <c:v>2.9686570544955847E-2</c:v>
                </c:pt>
                <c:pt idx="1232">
                  <c:v>2.9665095160149736E-2</c:v>
                </c:pt>
                <c:pt idx="1233">
                  <c:v>2.9643725322113647E-2</c:v>
                </c:pt>
                <c:pt idx="1234">
                  <c:v>2.9622483586038771E-2</c:v>
                </c:pt>
                <c:pt idx="1235">
                  <c:v>2.9601614325551896E-2</c:v>
                </c:pt>
                <c:pt idx="1236">
                  <c:v>2.9580676182836298E-2</c:v>
                </c:pt>
                <c:pt idx="1237">
                  <c:v>2.9559932887493909E-2</c:v>
                </c:pt>
                <c:pt idx="1238">
                  <c:v>2.9533585730934269E-2</c:v>
                </c:pt>
                <c:pt idx="1239">
                  <c:v>2.9519121530121886E-2</c:v>
                </c:pt>
                <c:pt idx="1240">
                  <c:v>2.9498986284903727E-2</c:v>
                </c:pt>
                <c:pt idx="1241">
                  <c:v>2.9479272731030067E-2</c:v>
                </c:pt>
                <c:pt idx="1242">
                  <c:v>2.9459867688355602E-2</c:v>
                </c:pt>
                <c:pt idx="1243">
                  <c:v>2.9440793704371165E-2</c:v>
                </c:pt>
                <c:pt idx="1244">
                  <c:v>2.9422088596699019E-2</c:v>
                </c:pt>
                <c:pt idx="1245">
                  <c:v>2.9403702575915347E-2</c:v>
                </c:pt>
                <c:pt idx="1246">
                  <c:v>2.9385676555843759E-2</c:v>
                </c:pt>
                <c:pt idx="1247">
                  <c:v>2.9368010526737296E-2</c:v>
                </c:pt>
                <c:pt idx="1248">
                  <c:v>2.9350867680517385E-2</c:v>
                </c:pt>
                <c:pt idx="1249">
                  <c:v>2.9333863179473056E-2</c:v>
                </c:pt>
                <c:pt idx="1250">
                  <c:v>2.931730143802827E-2</c:v>
                </c:pt>
                <c:pt idx="1251">
                  <c:v>2.9301099679723303E-2</c:v>
                </c:pt>
                <c:pt idx="1252">
                  <c:v>2.9285257895751284E-2</c:v>
                </c:pt>
                <c:pt idx="1253">
                  <c:v>2.9269776077498238E-2</c:v>
                </c:pt>
                <c:pt idx="1254">
                  <c:v>2.9254654216546116E-2</c:v>
                </c:pt>
                <c:pt idx="1255">
                  <c:v>2.9239892304675837E-2</c:v>
                </c:pt>
                <c:pt idx="1256">
                  <c:v>2.9225490333859044E-2</c:v>
                </c:pt>
                <c:pt idx="1257">
                  <c:v>2.9210849540396884E-2</c:v>
                </c:pt>
                <c:pt idx="1258">
                  <c:v>2.9197118224184023E-2</c:v>
                </c:pt>
                <c:pt idx="1259">
                  <c:v>2.9183746768178285E-2</c:v>
                </c:pt>
                <c:pt idx="1260">
                  <c:v>2.9170735165188068E-2</c:v>
                </c:pt>
                <c:pt idx="1261">
                  <c:v>2.9158083408218082E-2</c:v>
                </c:pt>
                <c:pt idx="1262">
                  <c:v>2.9145791490462349E-2</c:v>
                </c:pt>
                <c:pt idx="1263">
                  <c:v>2.9134305632918852E-2</c:v>
                </c:pt>
                <c:pt idx="1264">
                  <c:v>2.9122287146352639E-2</c:v>
                </c:pt>
                <c:pt idx="1265">
                  <c:v>2.9111074707358228E-2</c:v>
                </c:pt>
                <c:pt idx="1266">
                  <c:v>2.9100222082301144E-2</c:v>
                </c:pt>
                <c:pt idx="1267">
                  <c:v>2.9089729265344737E-2</c:v>
                </c:pt>
                <c:pt idx="1268">
                  <c:v>2.9079596250846926E-2</c:v>
                </c:pt>
                <c:pt idx="1269">
                  <c:v>2.9069823033358443E-2</c:v>
                </c:pt>
                <c:pt idx="1270">
                  <c:v>2.9060408626068655E-2</c:v>
                </c:pt>
                <c:pt idx="1271">
                  <c:v>2.9051335555371708E-2</c:v>
                </c:pt>
                <c:pt idx="1272">
                  <c:v>2.9042572667842697E-2</c:v>
                </c:pt>
                <c:pt idx="1273">
                  <c:v>2.9034088396662584E-2</c:v>
                </c:pt>
                <c:pt idx="1274">
                  <c:v>2.902401715881562E-2</c:v>
                </c:pt>
                <c:pt idx="1275">
                  <c:v>2.9016019510962474E-2</c:v>
                </c:pt>
                <c:pt idx="1276">
                  <c:v>2.9008204796211804E-2</c:v>
                </c:pt>
                <c:pt idx="1277">
                  <c:v>2.9000541278355257E-2</c:v>
                </c:pt>
                <c:pt idx="1278">
                  <c:v>2.8992997221702954E-2</c:v>
                </c:pt>
                <c:pt idx="1279">
                  <c:v>2.8985540891067599E-2</c:v>
                </c:pt>
                <c:pt idx="1280">
                  <c:v>2.8978140551742835E-2</c:v>
                </c:pt>
                <c:pt idx="1281">
                  <c:v>2.8970764469497513E-2</c:v>
                </c:pt>
                <c:pt idx="1282">
                  <c:v>2.8963380910564634E-2</c:v>
                </c:pt>
                <c:pt idx="1283">
                  <c:v>2.8957751264199437E-2</c:v>
                </c:pt>
                <c:pt idx="1284">
                  <c:v>2.8950192953183244E-2</c:v>
                </c:pt>
                <c:pt idx="1285">
                  <c:v>2.8942526102944656E-2</c:v>
                </c:pt>
                <c:pt idx="1286">
                  <c:v>2.8934719491658548E-2</c:v>
                </c:pt>
                <c:pt idx="1287">
                  <c:v>2.8926244370429843E-2</c:v>
                </c:pt>
                <c:pt idx="1288">
                  <c:v>2.8918092967013979E-2</c:v>
                </c:pt>
                <c:pt idx="1289">
                  <c:v>2.8907267062362994E-2</c:v>
                </c:pt>
                <c:pt idx="1290">
                  <c:v>2.889853888168948E-2</c:v>
                </c:pt>
                <c:pt idx="1291">
                  <c:v>2.8888913167815871E-2</c:v>
                </c:pt>
                <c:pt idx="1292">
                  <c:v>2.888113558380077E-2</c:v>
                </c:pt>
                <c:pt idx="1293">
                  <c:v>2.8871302035447965E-2</c:v>
                </c:pt>
                <c:pt idx="1294">
                  <c:v>2.8861069320371829E-2</c:v>
                </c:pt>
                <c:pt idx="1295">
                  <c:v>2.884971169410628E-2</c:v>
                </c:pt>
                <c:pt idx="1296">
                  <c:v>2.8838694538955705E-2</c:v>
                </c:pt>
                <c:pt idx="1297">
                  <c:v>2.8827216563544925E-2</c:v>
                </c:pt>
                <c:pt idx="1298">
                  <c:v>2.8815277775823871E-2</c:v>
                </c:pt>
                <c:pt idx="1299">
                  <c:v>2.8803166809981566E-2</c:v>
                </c:pt>
                <c:pt idx="1300">
                  <c:v>2.8790204597559006E-2</c:v>
                </c:pt>
                <c:pt idx="1301">
                  <c:v>2.8776781492323933E-2</c:v>
                </c:pt>
                <c:pt idx="1302">
                  <c:v>2.8762897503724696E-2</c:v>
                </c:pt>
                <c:pt idx="1303">
                  <c:v>2.8748552641536706E-2</c:v>
                </c:pt>
                <c:pt idx="1304">
                  <c:v>2.873396847642902E-2</c:v>
                </c:pt>
                <c:pt idx="1305">
                  <c:v>2.8718480337112856E-2</c:v>
                </c:pt>
                <c:pt idx="1306">
                  <c:v>2.870275291604716E-2</c:v>
                </c:pt>
                <c:pt idx="1307">
                  <c:v>2.8686564663733465E-2</c:v>
                </c:pt>
                <c:pt idx="1308">
                  <c:v>2.8670547198843762E-2</c:v>
                </c:pt>
                <c:pt idx="1309">
                  <c:v>2.8653778301352597E-2</c:v>
                </c:pt>
                <c:pt idx="1310">
                  <c:v>2.8636344784413965E-2</c:v>
                </c:pt>
                <c:pt idx="1311">
                  <c:v>2.8618450622177605E-2</c:v>
                </c:pt>
                <c:pt idx="1312">
                  <c:v>2.8600095826969919E-2</c:v>
                </c:pt>
                <c:pt idx="1313">
                  <c:v>2.8580904865606944E-2</c:v>
                </c:pt>
                <c:pt idx="1314">
                  <c:v>2.856159442257436E-2</c:v>
                </c:pt>
                <c:pt idx="1315">
                  <c:v>2.8541823351209358E-2</c:v>
                </c:pt>
                <c:pt idx="1316">
                  <c:v>2.8521591665205469E-2</c:v>
                </c:pt>
                <c:pt idx="1317">
                  <c:v>2.8500899378575088E-2</c:v>
                </c:pt>
                <c:pt idx="1318">
                  <c:v>2.8480294493544014E-2</c:v>
                </c:pt>
                <c:pt idx="1319">
                  <c:v>2.8458715639308227E-2</c:v>
                </c:pt>
                <c:pt idx="1320">
                  <c:v>2.8436676262127383E-2</c:v>
                </c:pt>
                <c:pt idx="1321">
                  <c:v>2.8414176377182312E-2</c:v>
                </c:pt>
                <c:pt idx="1322">
                  <c:v>2.8390530621213741E-2</c:v>
                </c:pt>
                <c:pt idx="1323">
                  <c:v>2.8367098253335121E-2</c:v>
                </c:pt>
                <c:pt idx="1324">
                  <c:v>2.8343264634830771E-2</c:v>
                </c:pt>
                <c:pt idx="1325">
                  <c:v>2.8305091827552357E-2</c:v>
                </c:pt>
                <c:pt idx="1326">
                  <c:v>2.8291792647093746E-2</c:v>
                </c:pt>
                <c:pt idx="1327">
                  <c:v>2.8270517900690059E-2</c:v>
                </c:pt>
                <c:pt idx="1328">
                  <c:v>2.8245462582205925E-2</c:v>
                </c:pt>
                <c:pt idx="1329">
                  <c:v>2.8220190529105165E-2</c:v>
                </c:pt>
                <c:pt idx="1330">
                  <c:v>2.8194739651420692E-2</c:v>
                </c:pt>
                <c:pt idx="1331">
                  <c:v>2.8169147857317466E-2</c:v>
                </c:pt>
                <c:pt idx="1332">
                  <c:v>2.8143453053061304E-2</c:v>
                </c:pt>
                <c:pt idx="1333">
                  <c:v>2.8117693142998681E-2</c:v>
                </c:pt>
                <c:pt idx="1334">
                  <c:v>2.8091906029536966E-2</c:v>
                </c:pt>
                <c:pt idx="1335">
                  <c:v>2.8063216299646112E-2</c:v>
                </c:pt>
                <c:pt idx="1336">
                  <c:v>2.8037571137157033E-2</c:v>
                </c:pt>
                <c:pt idx="1337">
                  <c:v>2.8012021931958238E-2</c:v>
                </c:pt>
                <c:pt idx="1338">
                  <c:v>2.7986605774576939E-2</c:v>
                </c:pt>
                <c:pt idx="1339">
                  <c:v>2.7963251889906268E-2</c:v>
                </c:pt>
                <c:pt idx="1340">
                  <c:v>2.793812620543382E-2</c:v>
                </c:pt>
                <c:pt idx="1341">
                  <c:v>2.7913240167489133E-2</c:v>
                </c:pt>
                <c:pt idx="1342">
                  <c:v>2.7888631458959395E-2</c:v>
                </c:pt>
                <c:pt idx="1343">
                  <c:v>2.7864337760980639E-2</c:v>
                </c:pt>
                <c:pt idx="1344">
                  <c:v>2.7838979669033093E-2</c:v>
                </c:pt>
                <c:pt idx="1345">
                  <c:v>2.7815533226198098E-2</c:v>
                </c:pt>
                <c:pt idx="1346">
                  <c:v>2.7792516490359114E-2</c:v>
                </c:pt>
                <c:pt idx="1347">
                  <c:v>2.7769966536582161E-2</c:v>
                </c:pt>
                <c:pt idx="1348">
                  <c:v>2.7748912659480277E-2</c:v>
                </c:pt>
                <c:pt idx="1349">
                  <c:v>2.77272824195209E-2</c:v>
                </c:pt>
                <c:pt idx="1350">
                  <c:v>2.7706177074348394E-2</c:v>
                </c:pt>
                <c:pt idx="1351">
                  <c:v>2.7685596607306791E-2</c:v>
                </c:pt>
                <c:pt idx="1352">
                  <c:v>2.7664979156325625E-2</c:v>
                </c:pt>
                <c:pt idx="1353">
                  <c:v>2.7645556413439347E-2</c:v>
                </c:pt>
                <c:pt idx="1354">
                  <c:v>2.7626658621173247E-2</c:v>
                </c:pt>
                <c:pt idx="1355">
                  <c:v>2.7608285764371271E-2</c:v>
                </c:pt>
                <c:pt idx="1356">
                  <c:v>2.759043782829726E-2</c:v>
                </c:pt>
                <c:pt idx="1357">
                  <c:v>2.7573114798638353E-2</c:v>
                </c:pt>
                <c:pt idx="1358">
                  <c:v>2.7556316661500723E-2</c:v>
                </c:pt>
                <c:pt idx="1359">
                  <c:v>2.7540043403411707E-2</c:v>
                </c:pt>
                <c:pt idx="1360">
                  <c:v>2.7524295011320664E-2</c:v>
                </c:pt>
                <c:pt idx="1361">
                  <c:v>2.7508397881452529E-2</c:v>
                </c:pt>
                <c:pt idx="1362">
                  <c:v>2.7493517394053781E-2</c:v>
                </c:pt>
                <c:pt idx="1363">
                  <c:v>2.747916153804E-2</c:v>
                </c:pt>
                <c:pt idx="1364">
                  <c:v>2.7465330302207769E-2</c:v>
                </c:pt>
                <c:pt idx="1365">
                  <c:v>2.7452297051282347E-2</c:v>
                </c:pt>
                <c:pt idx="1366">
                  <c:v>2.743955152880272E-2</c:v>
                </c:pt>
                <c:pt idx="1367">
                  <c:v>2.7427330634833838E-2</c:v>
                </c:pt>
                <c:pt idx="1368">
                  <c:v>2.7415634359786886E-2</c:v>
                </c:pt>
                <c:pt idx="1369">
                  <c:v>2.7404462694482393E-2</c:v>
                </c:pt>
                <c:pt idx="1370">
                  <c:v>2.7393359335218821E-2</c:v>
                </c:pt>
                <c:pt idx="1371">
                  <c:v>2.73832001613507E-2</c:v>
                </c:pt>
                <c:pt idx="1372">
                  <c:v>2.7373565532775087E-2</c:v>
                </c:pt>
                <c:pt idx="1373">
                  <c:v>2.7364455441973135E-2</c:v>
                </c:pt>
                <c:pt idx="1374">
                  <c:v>2.7356472844978014E-2</c:v>
                </c:pt>
                <c:pt idx="1375">
                  <c:v>2.7348435093108654E-2</c:v>
                </c:pt>
                <c:pt idx="1376">
                  <c:v>2.7340880879518605E-2</c:v>
                </c:pt>
                <c:pt idx="1377">
                  <c:v>2.733378148565373E-2</c:v>
                </c:pt>
                <c:pt idx="1378">
                  <c:v>2.7327108193689435E-2</c:v>
                </c:pt>
                <c:pt idx="1379">
                  <c:v>2.7320099266851739E-2</c:v>
                </c:pt>
                <c:pt idx="1380">
                  <c:v>2.7314176371050082E-2</c:v>
                </c:pt>
                <c:pt idx="1381">
                  <c:v>2.7308596506336158E-2</c:v>
                </c:pt>
                <c:pt idx="1382">
                  <c:v>2.7303330800733334E-2</c:v>
                </c:pt>
                <c:pt idx="1383">
                  <c:v>2.7298350382725163E-2</c:v>
                </c:pt>
                <c:pt idx="1384">
                  <c:v>2.7293626381210336E-2</c:v>
                </c:pt>
                <c:pt idx="1385">
                  <c:v>2.7289129925462043E-2</c:v>
                </c:pt>
                <c:pt idx="1386">
                  <c:v>2.7284832145095316E-2</c:v>
                </c:pt>
                <c:pt idx="1387">
                  <c:v>2.728459899375513E-2</c:v>
                </c:pt>
                <c:pt idx="1388">
                  <c:v>2.7280587738440987E-2</c:v>
                </c:pt>
                <c:pt idx="1389">
                  <c:v>2.7276679608258934E-2</c:v>
                </c:pt>
                <c:pt idx="1390">
                  <c:v>2.7272846499446644E-2</c:v>
                </c:pt>
                <c:pt idx="1391">
                  <c:v>2.7266815849646492E-2</c:v>
                </c:pt>
                <c:pt idx="1392">
                  <c:v>2.7263081875754443E-2</c:v>
                </c:pt>
                <c:pt idx="1393">
                  <c:v>2.7259342102553378E-2</c:v>
                </c:pt>
                <c:pt idx="1394">
                  <c:v>2.7255567972867885E-2</c:v>
                </c:pt>
                <c:pt idx="1395">
                  <c:v>2.7251730929744433E-2</c:v>
                </c:pt>
                <c:pt idx="1396">
                  <c:v>2.7249849512853766E-2</c:v>
                </c:pt>
                <c:pt idx="1397">
                  <c:v>2.7245754667022747E-2</c:v>
                </c:pt>
                <c:pt idx="1398">
                  <c:v>2.7241510020529103E-2</c:v>
                </c:pt>
                <c:pt idx="1399">
                  <c:v>2.723708747170861E-2</c:v>
                </c:pt>
                <c:pt idx="1400">
                  <c:v>2.7230602910152644E-2</c:v>
                </c:pt>
                <c:pt idx="1401">
                  <c:v>2.7225802205209995E-2</c:v>
                </c:pt>
                <c:pt idx="1402">
                  <c:v>2.7220779490549199E-2</c:v>
                </c:pt>
                <c:pt idx="1403">
                  <c:v>2.7215534767846286E-2</c:v>
                </c:pt>
                <c:pt idx="1404">
                  <c:v>2.7210068038854177E-2</c:v>
                </c:pt>
                <c:pt idx="1405">
                  <c:v>2.7205991860321726E-2</c:v>
                </c:pt>
                <c:pt idx="1406">
                  <c:v>2.7200032211755251E-2</c:v>
                </c:pt>
                <c:pt idx="1407">
                  <c:v>2.7193850513381419E-2</c:v>
                </c:pt>
                <c:pt idx="1408">
                  <c:v>2.7187446767298767E-2</c:v>
                </c:pt>
                <c:pt idx="1409">
                  <c:v>2.7180820975680177E-2</c:v>
                </c:pt>
                <c:pt idx="1410">
                  <c:v>2.7173973140775895E-2</c:v>
                </c:pt>
                <c:pt idx="1411">
                  <c:v>2.7166903264909219E-2</c:v>
                </c:pt>
                <c:pt idx="1412">
                  <c:v>2.7159611350480384E-2</c:v>
                </c:pt>
                <c:pt idx="1413">
                  <c:v>2.7150056514209441E-2</c:v>
                </c:pt>
                <c:pt idx="1414">
                  <c:v>2.7142402692947362E-2</c:v>
                </c:pt>
                <c:pt idx="1415">
                  <c:v>2.7134526922081834E-2</c:v>
                </c:pt>
                <c:pt idx="1416">
                  <c:v>2.7126429204214531E-2</c:v>
                </c:pt>
                <c:pt idx="1417">
                  <c:v>2.7118109542019566E-2</c:v>
                </c:pt>
                <c:pt idx="1418">
                  <c:v>2.7109896915072623E-2</c:v>
                </c:pt>
                <c:pt idx="1419">
                  <c:v>2.7101116863614876E-2</c:v>
                </c:pt>
                <c:pt idx="1420">
                  <c:v>2.7092114860132896E-2</c:v>
                </c:pt>
                <c:pt idx="1421">
                  <c:v>2.7082890907615943E-2</c:v>
                </c:pt>
                <c:pt idx="1422">
                  <c:v>2.7073182164874591E-2</c:v>
                </c:pt>
                <c:pt idx="1423">
                  <c:v>2.706353089698673E-2</c:v>
                </c:pt>
                <c:pt idx="1424">
                  <c:v>2.7053657705546186E-2</c:v>
                </c:pt>
                <c:pt idx="1425">
                  <c:v>2.704356259381311E-2</c:v>
                </c:pt>
                <c:pt idx="1426">
                  <c:v>2.703344218413609E-2</c:v>
                </c:pt>
                <c:pt idx="1427">
                  <c:v>2.702289254434621E-2</c:v>
                </c:pt>
                <c:pt idx="1428">
                  <c:v>2.7012138926635187E-2</c:v>
                </c:pt>
                <c:pt idx="1429">
                  <c:v>2.7001193897947421E-2</c:v>
                </c:pt>
                <c:pt idx="1430">
                  <c:v>2.6990070025010793E-2</c:v>
                </c:pt>
                <c:pt idx="1431">
                  <c:v>2.697864269709193E-2</c:v>
                </c:pt>
                <c:pt idx="1432">
                  <c:v>2.6967206188954516E-2</c:v>
                </c:pt>
                <c:pt idx="1433">
                  <c:v>2.6955627186967895E-2</c:v>
                </c:pt>
                <c:pt idx="1434">
                  <c:v>2.6943918325369593E-2</c:v>
                </c:pt>
                <c:pt idx="1435">
                  <c:v>2.6932092238128619E-2</c:v>
                </c:pt>
                <c:pt idx="1436">
                  <c:v>2.6920161558941929E-2</c:v>
                </c:pt>
                <c:pt idx="1437">
                  <c:v>2.6908138921223401E-2</c:v>
                </c:pt>
                <c:pt idx="1438">
                  <c:v>2.6896036958100285E-2</c:v>
                </c:pt>
                <c:pt idx="1439">
                  <c:v>2.6884433455330831E-2</c:v>
                </c:pt>
                <c:pt idx="1440">
                  <c:v>2.6872218863723853E-2</c:v>
                </c:pt>
                <c:pt idx="1441">
                  <c:v>2.685996676147067E-2</c:v>
                </c:pt>
                <c:pt idx="1442">
                  <c:v>2.684768944542815E-2</c:v>
                </c:pt>
                <c:pt idx="1443">
                  <c:v>2.6835025660923287E-2</c:v>
                </c:pt>
                <c:pt idx="1444">
                  <c:v>2.6822721662354873E-2</c:v>
                </c:pt>
                <c:pt idx="1445">
                  <c:v>2.6810427809245141E-2</c:v>
                </c:pt>
                <c:pt idx="1446">
                  <c:v>2.6798156596068618E-2</c:v>
                </c:pt>
                <c:pt idx="1447">
                  <c:v>2.6785920516991874E-2</c:v>
                </c:pt>
                <c:pt idx="1448">
                  <c:v>2.6774184644819808E-2</c:v>
                </c:pt>
                <c:pt idx="1449">
                  <c:v>2.6762075118423122E-2</c:v>
                </c:pt>
                <c:pt idx="1450">
                  <c:v>2.675003874205097E-2</c:v>
                </c:pt>
                <c:pt idx="1451">
                  <c:v>2.6738087809823483E-2</c:v>
                </c:pt>
                <c:pt idx="1452">
                  <c:v>2.6725704243817556E-2</c:v>
                </c:pt>
                <c:pt idx="1453">
                  <c:v>2.6713935422882501E-2</c:v>
                </c:pt>
                <c:pt idx="1454">
                  <c:v>2.6702271338279838E-2</c:v>
                </c:pt>
                <c:pt idx="1455">
                  <c:v>2.6690711988173663E-2</c:v>
                </c:pt>
                <c:pt idx="1456">
                  <c:v>2.6679257370741605E-2</c:v>
                </c:pt>
                <c:pt idx="1457">
                  <c:v>2.6668537158877893E-2</c:v>
                </c:pt>
                <c:pt idx="1458">
                  <c:v>2.6657311965719674E-2</c:v>
                </c:pt>
                <c:pt idx="1459">
                  <c:v>2.6646191523634646E-2</c:v>
                </c:pt>
                <c:pt idx="1460">
                  <c:v>2.6635175830844019E-2</c:v>
                </c:pt>
                <c:pt idx="1461">
                  <c:v>2.6624264885582751E-2</c:v>
                </c:pt>
                <c:pt idx="1462">
                  <c:v>2.6613458686105144E-2</c:v>
                </c:pt>
                <c:pt idx="1463">
                  <c:v>2.6602757230680108E-2</c:v>
                </c:pt>
                <c:pt idx="1464">
                  <c:v>2.6592160517595463E-2</c:v>
                </c:pt>
                <c:pt idx="1465">
                  <c:v>2.6580355066289117E-2</c:v>
                </c:pt>
                <c:pt idx="1466">
                  <c:v>2.6569934248645625E-2</c:v>
                </c:pt>
                <c:pt idx="1467">
                  <c:v>2.6559618129024756E-2</c:v>
                </c:pt>
                <c:pt idx="1468">
                  <c:v>2.6549406705819848E-2</c:v>
                </c:pt>
                <c:pt idx="1469">
                  <c:v>2.6539299977439239E-2</c:v>
                </c:pt>
                <c:pt idx="1470">
                  <c:v>2.6529592979536436E-2</c:v>
                </c:pt>
                <c:pt idx="1471">
                  <c:v>2.6519702389993897E-2</c:v>
                </c:pt>
                <c:pt idx="1472">
                  <c:v>2.6509916498419897E-2</c:v>
                </c:pt>
                <c:pt idx="1473">
                  <c:v>2.6500235303282473E-2</c:v>
                </c:pt>
                <c:pt idx="1474">
                  <c:v>2.6490336703373737E-2</c:v>
                </c:pt>
                <c:pt idx="1475">
                  <c:v>2.6480858111449568E-2</c:v>
                </c:pt>
                <c:pt idx="1476">
                  <c:v>2.6471484203670952E-2</c:v>
                </c:pt>
                <c:pt idx="1477">
                  <c:v>2.6462214978578719E-2</c:v>
                </c:pt>
                <c:pt idx="1478">
                  <c:v>2.645339969775146E-2</c:v>
                </c:pt>
                <c:pt idx="1479">
                  <c:v>2.6444344497749326E-2</c:v>
                </c:pt>
                <c:pt idx="1480">
                  <c:v>2.6435386085569779E-2</c:v>
                </c:pt>
                <c:pt idx="1481">
                  <c:v>2.6426518316771827E-2</c:v>
                </c:pt>
                <c:pt idx="1482">
                  <c:v>2.6416486833836076E-2</c:v>
                </c:pt>
                <c:pt idx="1483">
                  <c:v>2.6407419955781559E-2</c:v>
                </c:pt>
                <c:pt idx="1484">
                  <c:v>2.6398794787978599E-2</c:v>
                </c:pt>
                <c:pt idx="1485">
                  <c:v>2.6390235468571544E-2</c:v>
                </c:pt>
                <c:pt idx="1486">
                  <c:v>2.6381735820223302E-2</c:v>
                </c:pt>
                <c:pt idx="1487">
                  <c:v>2.6373289665707188E-2</c:v>
                </c:pt>
                <c:pt idx="1488">
                  <c:v>2.6364890827902946E-2</c:v>
                </c:pt>
                <c:pt idx="1489">
                  <c:v>2.6356533129797646E-2</c:v>
                </c:pt>
                <c:pt idx="1490">
                  <c:v>2.6348210394485667E-2</c:v>
                </c:pt>
                <c:pt idx="1491">
                  <c:v>2.6341411874701851E-2</c:v>
                </c:pt>
                <c:pt idx="1492">
                  <c:v>2.6333132138992695E-2</c:v>
                </c:pt>
                <c:pt idx="1493">
                  <c:v>2.6324867295811395E-2</c:v>
                </c:pt>
                <c:pt idx="1494">
                  <c:v>2.6311531117820856E-2</c:v>
                </c:pt>
                <c:pt idx="1495">
                  <c:v>2.6307268822254998E-2</c:v>
                </c:pt>
                <c:pt idx="1496">
                  <c:v>2.6300101675061131E-2</c:v>
                </c:pt>
                <c:pt idx="1497">
                  <c:v>2.6291835956124152E-2</c:v>
                </c:pt>
                <c:pt idx="1498">
                  <c:v>2.6283554907287225E-2</c:v>
                </c:pt>
                <c:pt idx="1499">
                  <c:v>2.6275252484369845E-2</c:v>
                </c:pt>
                <c:pt idx="1500">
                  <c:v>2.6266922643293483E-2</c:v>
                </c:pt>
                <c:pt idx="1501">
                  <c:v>2.6258559340082002E-2</c:v>
                </c:pt>
                <c:pt idx="1502">
                  <c:v>2.6250156530863409E-2</c:v>
                </c:pt>
                <c:pt idx="1503">
                  <c:v>2.6241708171872425E-2</c:v>
                </c:pt>
                <c:pt idx="1504">
                  <c:v>2.6233208298746216E-2</c:v>
                </c:pt>
                <c:pt idx="1505">
                  <c:v>2.6224653566977837E-2</c:v>
                </c:pt>
                <c:pt idx="1506">
                  <c:v>2.6216043789319018E-2</c:v>
                </c:pt>
                <c:pt idx="1507">
                  <c:v>2.6207378966490481E-2</c:v>
                </c:pt>
                <c:pt idx="1508">
                  <c:v>2.6198659099218129E-2</c:v>
                </c:pt>
                <c:pt idx="1509">
                  <c:v>2.6189884188232621E-2</c:v>
                </c:pt>
                <c:pt idx="1510">
                  <c:v>2.6181054234268936E-2</c:v>
                </c:pt>
                <c:pt idx="1511">
                  <c:v>2.6172169238066811E-2</c:v>
                </c:pt>
                <c:pt idx="1512">
                  <c:v>2.6163229200370296E-2</c:v>
                </c:pt>
                <c:pt idx="1513">
                  <c:v>2.6154234121928199E-2</c:v>
                </c:pt>
                <c:pt idx="1514">
                  <c:v>2.6145184003494942E-2</c:v>
                </c:pt>
                <c:pt idx="1515">
                  <c:v>2.6136078845827974E-2</c:v>
                </c:pt>
                <c:pt idx="1516">
                  <c:v>2.612691864969036E-2</c:v>
                </c:pt>
                <c:pt idx="1517">
                  <c:v>2.6116904478961821E-2</c:v>
                </c:pt>
                <c:pt idx="1518">
                  <c:v>2.6107648002777151E-2</c:v>
                </c:pt>
                <c:pt idx="1519">
                  <c:v>2.609833650145419E-2</c:v>
                </c:pt>
                <c:pt idx="1520">
                  <c:v>2.6088969975761551E-2</c:v>
                </c:pt>
                <c:pt idx="1521">
                  <c:v>2.6080292118955371E-2</c:v>
                </c:pt>
                <c:pt idx="1522">
                  <c:v>2.6070801708267567E-2</c:v>
                </c:pt>
                <c:pt idx="1523">
                  <c:v>2.6061494072417545E-2</c:v>
                </c:pt>
                <c:pt idx="1524">
                  <c:v>2.6051655788683122E-2</c:v>
                </c:pt>
                <c:pt idx="1525">
                  <c:v>2.6042000281390393E-2</c:v>
                </c:pt>
                <c:pt idx="1526">
                  <c:v>2.6031615353365074E-2</c:v>
                </c:pt>
                <c:pt idx="1527">
                  <c:v>2.6021863678945462E-2</c:v>
                </c:pt>
                <c:pt idx="1528">
                  <c:v>2.6012056986456623E-2</c:v>
                </c:pt>
                <c:pt idx="1529">
                  <c:v>2.6002195276708027E-2</c:v>
                </c:pt>
                <c:pt idx="1530">
                  <c:v>2.5992278554421173E-2</c:v>
                </c:pt>
                <c:pt idx="1531">
                  <c:v>2.5982916743946653E-2</c:v>
                </c:pt>
                <c:pt idx="1532">
                  <c:v>2.5972893354041331E-2</c:v>
                </c:pt>
                <c:pt idx="1533">
                  <c:v>2.5962835296149473E-2</c:v>
                </c:pt>
                <c:pt idx="1534">
                  <c:v>2.5947828420876257E-2</c:v>
                </c:pt>
                <c:pt idx="1535">
                  <c:v>2.5937716842766932E-2</c:v>
                </c:pt>
                <c:pt idx="1536">
                  <c:v>2.5927595075967719E-2</c:v>
                </c:pt>
                <c:pt idx="1537">
                  <c:v>2.5917471165833324E-2</c:v>
                </c:pt>
                <c:pt idx="1538">
                  <c:v>2.5907353157556393E-2</c:v>
                </c:pt>
                <c:pt idx="1539">
                  <c:v>2.5897249096168383E-2</c:v>
                </c:pt>
                <c:pt idx="1540">
                  <c:v>2.5887167026537358E-2</c:v>
                </c:pt>
                <c:pt idx="1541">
                  <c:v>2.5877114993370639E-2</c:v>
                </c:pt>
                <c:pt idx="1542">
                  <c:v>2.5867101041214351E-2</c:v>
                </c:pt>
                <c:pt idx="1543">
                  <c:v>2.5857598678540223E-2</c:v>
                </c:pt>
                <c:pt idx="1544">
                  <c:v>2.5847699406202282E-2</c:v>
                </c:pt>
                <c:pt idx="1545">
                  <c:v>2.583786335628642E-2</c:v>
                </c:pt>
                <c:pt idx="1546">
                  <c:v>2.5828098486378098E-2</c:v>
                </c:pt>
                <c:pt idx="1547">
                  <c:v>2.5818147923276035E-2</c:v>
                </c:pt>
                <c:pt idx="1548">
                  <c:v>2.5808540326530755E-2</c:v>
                </c:pt>
                <c:pt idx="1549">
                  <c:v>2.5796328004934369E-2</c:v>
                </c:pt>
                <c:pt idx="1550">
                  <c:v>2.5789617298805877E-2</c:v>
                </c:pt>
                <c:pt idx="1551">
                  <c:v>2.5780317867565076E-2</c:v>
                </c:pt>
                <c:pt idx="1552">
                  <c:v>2.5770149726858482E-2</c:v>
                </c:pt>
                <c:pt idx="1553">
                  <c:v>2.5761124692307052E-2</c:v>
                </c:pt>
                <c:pt idx="1554">
                  <c:v>2.5752235629974758E-2</c:v>
                </c:pt>
                <c:pt idx="1555">
                  <c:v>2.5743490496217176E-2</c:v>
                </c:pt>
                <c:pt idx="1556">
                  <c:v>2.5734541543221731E-2</c:v>
                </c:pt>
                <c:pt idx="1557">
                  <c:v>2.5726091525722024E-2</c:v>
                </c:pt>
                <c:pt idx="1558">
                  <c:v>2.5717795651850891E-2</c:v>
                </c:pt>
                <c:pt idx="1559">
                  <c:v>2.5709653919684623E-2</c:v>
                </c:pt>
                <c:pt idx="1560">
                  <c:v>2.5702461206134536E-2</c:v>
                </c:pt>
                <c:pt idx="1561">
                  <c:v>2.5694240257868307E-2</c:v>
                </c:pt>
                <c:pt idx="1562">
                  <c:v>2.5686571405410894E-2</c:v>
                </c:pt>
                <c:pt idx="1563">
                  <c:v>2.5679056698279551E-2</c:v>
                </c:pt>
                <c:pt idx="1564">
                  <c:v>2.5671696134721329E-2</c:v>
                </c:pt>
                <c:pt idx="1565">
                  <c:v>2.566448971301934E-2</c:v>
                </c:pt>
                <c:pt idx="1566">
                  <c:v>2.5657437431491893E-2</c:v>
                </c:pt>
                <c:pt idx="1567">
                  <c:v>2.5650539288495078E-2</c:v>
                </c:pt>
                <c:pt idx="1568">
                  <c:v>2.5643795282419318E-2</c:v>
                </c:pt>
                <c:pt idx="1569">
                  <c:v>2.5635734254656189E-2</c:v>
                </c:pt>
                <c:pt idx="1570">
                  <c:v>2.5629266862442816E-2</c:v>
                </c:pt>
                <c:pt idx="1571">
                  <c:v>2.562295356980453E-2</c:v>
                </c:pt>
                <c:pt idx="1572">
                  <c:v>2.5616794375294096E-2</c:v>
                </c:pt>
                <c:pt idx="1573">
                  <c:v>2.5611320897535834E-2</c:v>
                </c:pt>
                <c:pt idx="1574">
                  <c:v>2.560548048892064E-2</c:v>
                </c:pt>
                <c:pt idx="1575">
                  <c:v>2.5599794185189904E-2</c:v>
                </c:pt>
                <c:pt idx="1576">
                  <c:v>2.5594261985030831E-2</c:v>
                </c:pt>
                <c:pt idx="1577">
                  <c:v>2.5588883887166635E-2</c:v>
                </c:pt>
                <c:pt idx="1578">
                  <c:v>2.5583075192227606E-2</c:v>
                </c:pt>
                <c:pt idx="1579">
                  <c:v>2.5577994647013904E-2</c:v>
                </c:pt>
                <c:pt idx="1580">
                  <c:v>2.5573068189611883E-2</c:v>
                </c:pt>
                <c:pt idx="1581">
                  <c:v>2.5568295818890512E-2</c:v>
                </c:pt>
                <c:pt idx="1582">
                  <c:v>2.5564304313036745E-2</c:v>
                </c:pt>
                <c:pt idx="1583">
                  <c:v>2.5559839380285748E-2</c:v>
                </c:pt>
                <c:pt idx="1584">
                  <c:v>2.5555499382789858E-2</c:v>
                </c:pt>
                <c:pt idx="1585">
                  <c:v>2.5551265763954573E-2</c:v>
                </c:pt>
                <c:pt idx="1586">
                  <c:v>2.5545889038221831E-2</c:v>
                </c:pt>
                <c:pt idx="1587">
                  <c:v>2.554182247834625E-2</c:v>
                </c:pt>
                <c:pt idx="1588">
                  <c:v>2.5537806053572049E-2</c:v>
                </c:pt>
                <c:pt idx="1589">
                  <c:v>2.5533821106766365E-2</c:v>
                </c:pt>
                <c:pt idx="1590">
                  <c:v>2.5529848980948268E-2</c:v>
                </c:pt>
                <c:pt idx="1591">
                  <c:v>2.552587101928212E-2</c:v>
                </c:pt>
                <c:pt idx="1592">
                  <c:v>2.5521868565080683E-2</c:v>
                </c:pt>
                <c:pt idx="1593">
                  <c:v>2.5517822961805978E-2</c:v>
                </c:pt>
                <c:pt idx="1594">
                  <c:v>2.5513715553071963E-2</c:v>
                </c:pt>
                <c:pt idx="1595">
                  <c:v>2.5511214629463569E-2</c:v>
                </c:pt>
                <c:pt idx="1596">
                  <c:v>2.5506877508564625E-2</c:v>
                </c:pt>
                <c:pt idx="1597">
                  <c:v>2.550241915593798E-2</c:v>
                </c:pt>
                <c:pt idx="1598">
                  <c:v>2.5497821216234222E-2</c:v>
                </c:pt>
                <c:pt idx="1599">
                  <c:v>2.5492578522177744E-2</c:v>
                </c:pt>
                <c:pt idx="1600">
                  <c:v>2.5486950070072043E-2</c:v>
                </c:pt>
                <c:pt idx="1601">
                  <c:v>2.5481815533259709E-2</c:v>
                </c:pt>
                <c:pt idx="1602">
                  <c:v>2.5476465999096302E-2</c:v>
                </c:pt>
                <c:pt idx="1603">
                  <c:v>2.5470883014379584E-2</c:v>
                </c:pt>
                <c:pt idx="1604">
                  <c:v>2.54661610551816E-2</c:v>
                </c:pt>
                <c:pt idx="1605">
                  <c:v>2.5459985200081591E-2</c:v>
                </c:pt>
                <c:pt idx="1606">
                  <c:v>2.5453519838771609E-2</c:v>
                </c:pt>
                <c:pt idx="1607">
                  <c:v>2.5446746813260413E-2</c:v>
                </c:pt>
                <c:pt idx="1608">
                  <c:v>2.5438822428575477E-2</c:v>
                </c:pt>
                <c:pt idx="1609">
                  <c:v>2.5431469004983907E-2</c:v>
                </c:pt>
                <c:pt idx="1610">
                  <c:v>2.5423787240271927E-2</c:v>
                </c:pt>
                <c:pt idx="1611">
                  <c:v>2.5416388613919792E-2</c:v>
                </c:pt>
                <c:pt idx="1612">
                  <c:v>2.5407978053896735E-2</c:v>
                </c:pt>
                <c:pt idx="1613">
                  <c:v>2.5399239097120451E-2</c:v>
                </c:pt>
                <c:pt idx="1614">
                  <c:v>2.5390171747981399E-2</c:v>
                </c:pt>
                <c:pt idx="1615">
                  <c:v>2.5380776011036367E-2</c:v>
                </c:pt>
                <c:pt idx="1616">
                  <c:v>2.5370801712499818E-2</c:v>
                </c:pt>
                <c:pt idx="1617">
                  <c:v>2.5360999392776352E-2</c:v>
                </c:pt>
                <c:pt idx="1618">
                  <c:v>2.5350618521397937E-2</c:v>
                </c:pt>
                <c:pt idx="1619">
                  <c:v>2.5339909282087108E-2</c:v>
                </c:pt>
                <c:pt idx="1620">
                  <c:v>2.532891174733936E-2</c:v>
                </c:pt>
                <c:pt idx="1621">
                  <c:v>2.5317682109883163E-2</c:v>
                </c:pt>
                <c:pt idx="1622">
                  <c:v>2.5306109107918678E-2</c:v>
                </c:pt>
                <c:pt idx="1623">
                  <c:v>2.5294207871098765E-2</c:v>
                </c:pt>
                <c:pt idx="1624">
                  <c:v>2.5281978405242416E-2</c:v>
                </c:pt>
                <c:pt idx="1625">
                  <c:v>2.5269292926560567E-2</c:v>
                </c:pt>
                <c:pt idx="1626">
                  <c:v>2.5256382677351537E-2</c:v>
                </c:pt>
                <c:pt idx="1627">
                  <c:v>2.5243144195585772E-2</c:v>
                </c:pt>
                <c:pt idx="1628">
                  <c:v>2.5229577487772346E-2</c:v>
                </c:pt>
                <c:pt idx="1629">
                  <c:v>2.5215682560581092E-2</c:v>
                </c:pt>
                <c:pt idx="1630">
                  <c:v>2.5201709146424309E-2</c:v>
                </c:pt>
                <c:pt idx="1631">
                  <c:v>2.5187182253723833E-2</c:v>
                </c:pt>
                <c:pt idx="1632">
                  <c:v>2.5172327184314128E-2</c:v>
                </c:pt>
                <c:pt idx="1633">
                  <c:v>2.5157143945458767E-2</c:v>
                </c:pt>
                <c:pt idx="1634">
                  <c:v>2.5141285266950798E-2</c:v>
                </c:pt>
                <c:pt idx="1635">
                  <c:v>2.5125435164350274E-2</c:v>
                </c:pt>
                <c:pt idx="1636">
                  <c:v>2.5109299170279695E-2</c:v>
                </c:pt>
                <c:pt idx="1637">
                  <c:v>2.5092906885258896E-2</c:v>
                </c:pt>
                <c:pt idx="1638">
                  <c:v>2.5076695844267704E-2</c:v>
                </c:pt>
                <c:pt idx="1639">
                  <c:v>2.5059885722069165E-2</c:v>
                </c:pt>
                <c:pt idx="1640">
                  <c:v>2.5042904752656237E-2</c:v>
                </c:pt>
                <c:pt idx="1641">
                  <c:v>2.502578269442092E-2</c:v>
                </c:pt>
                <c:pt idx="1642">
                  <c:v>2.5008549304780071E-2</c:v>
                </c:pt>
                <c:pt idx="1643">
                  <c:v>2.4991234340152896E-2</c:v>
                </c:pt>
                <c:pt idx="1644">
                  <c:v>2.4973867555947701E-2</c:v>
                </c:pt>
                <c:pt idx="1645">
                  <c:v>2.4956478706554378E-2</c:v>
                </c:pt>
                <c:pt idx="1646">
                  <c:v>2.4939097545334687E-2</c:v>
                </c:pt>
                <c:pt idx="1647">
                  <c:v>2.492000508692575E-2</c:v>
                </c:pt>
                <c:pt idx="1648">
                  <c:v>2.490282192272928E-2</c:v>
                </c:pt>
                <c:pt idx="1649">
                  <c:v>2.4885744993833371E-2</c:v>
                </c:pt>
                <c:pt idx="1650">
                  <c:v>2.4868803259313583E-2</c:v>
                </c:pt>
                <c:pt idx="1651">
                  <c:v>2.4852811175036557E-2</c:v>
                </c:pt>
                <c:pt idx="1652">
                  <c:v>2.483615104311291E-2</c:v>
                </c:pt>
                <c:pt idx="1653">
                  <c:v>2.4819709336829244E-2</c:v>
                </c:pt>
                <c:pt idx="1654">
                  <c:v>2.4803515480425212E-2</c:v>
                </c:pt>
                <c:pt idx="1655">
                  <c:v>2.4787598897268167E-2</c:v>
                </c:pt>
                <c:pt idx="1656">
                  <c:v>2.4771613522345103E-2</c:v>
                </c:pt>
                <c:pt idx="1657">
                  <c:v>2.4756428923825888E-2</c:v>
                </c:pt>
                <c:pt idx="1658">
                  <c:v>2.4741611159513986E-2</c:v>
                </c:pt>
                <c:pt idx="1659">
                  <c:v>2.4727189180848489E-2</c:v>
                </c:pt>
                <c:pt idx="1660">
                  <c:v>2.4713204456229612E-2</c:v>
                </c:pt>
                <c:pt idx="1661">
                  <c:v>2.4699555446628378E-2</c:v>
                </c:pt>
                <c:pt idx="1662">
                  <c:v>2.4686347613561574E-2</c:v>
                </c:pt>
                <c:pt idx="1663">
                  <c:v>2.467358094825458E-2</c:v>
                </c:pt>
                <c:pt idx="1664">
                  <c:v>2.4661610133528231E-2</c:v>
                </c:pt>
                <c:pt idx="1665">
                  <c:v>2.4649817900135887E-2</c:v>
                </c:pt>
                <c:pt idx="1666">
                  <c:v>2.4638466899531919E-2</c:v>
                </c:pt>
                <c:pt idx="1667">
                  <c:v>2.4627557124052773E-2</c:v>
                </c:pt>
                <c:pt idx="1668">
                  <c:v>2.4617088566330578E-2</c:v>
                </c:pt>
                <c:pt idx="1669">
                  <c:v>2.4607061219297014E-2</c:v>
                </c:pt>
                <c:pt idx="1670">
                  <c:v>2.4597475076181582E-2</c:v>
                </c:pt>
                <c:pt idx="1671">
                  <c:v>2.458833013051161E-2</c:v>
                </c:pt>
                <c:pt idx="1672">
                  <c:v>2.4579626376111392E-2</c:v>
                </c:pt>
                <c:pt idx="1673">
                  <c:v>2.4569400355179759E-2</c:v>
                </c:pt>
                <c:pt idx="1674">
                  <c:v>2.4561424110366836E-2</c:v>
                </c:pt>
                <c:pt idx="1675">
                  <c:v>2.4553888891406216E-2</c:v>
                </c:pt>
                <c:pt idx="1676">
                  <c:v>2.4546794693346721E-2</c:v>
                </c:pt>
                <c:pt idx="1677">
                  <c:v>2.4540652274794107E-2</c:v>
                </c:pt>
                <c:pt idx="1678">
                  <c:v>2.453447118641627E-2</c:v>
                </c:pt>
                <c:pt idx="1679">
                  <c:v>2.4528731135542534E-2</c:v>
                </c:pt>
                <c:pt idx="1680">
                  <c:v>2.4523432118381646E-2</c:v>
                </c:pt>
                <c:pt idx="1681">
                  <c:v>2.451857413143179E-2</c:v>
                </c:pt>
                <c:pt idx="1682">
                  <c:v>2.4513490703157878E-2</c:v>
                </c:pt>
                <c:pt idx="1683">
                  <c:v>2.4509483537115358E-2</c:v>
                </c:pt>
                <c:pt idx="1684">
                  <c:v>2.4505917362795972E-2</c:v>
                </c:pt>
                <c:pt idx="1685">
                  <c:v>2.4502792177858175E-2</c:v>
                </c:pt>
                <c:pt idx="1686">
                  <c:v>2.4500899009957222E-2</c:v>
                </c:pt>
                <c:pt idx="1687">
                  <c:v>2.4498667768052138E-2</c:v>
                </c:pt>
                <c:pt idx="1688">
                  <c:v>2.4496818984786319E-2</c:v>
                </c:pt>
                <c:pt idx="1689">
                  <c:v>2.4495311670451433E-2</c:v>
                </c:pt>
                <c:pt idx="1690">
                  <c:v>2.4494104835651866E-2</c:v>
                </c:pt>
                <c:pt idx="1691">
                  <c:v>2.4492287403665124E-2</c:v>
                </c:pt>
                <c:pt idx="1692">
                  <c:v>2.4491557606181245E-2</c:v>
                </c:pt>
                <c:pt idx="1693">
                  <c:v>2.4491009741072826E-2</c:v>
                </c:pt>
                <c:pt idx="1694">
                  <c:v>2.449060259595344E-2</c:v>
                </c:pt>
                <c:pt idx="1695">
                  <c:v>2.4490294958503779E-2</c:v>
                </c:pt>
                <c:pt idx="1696">
                  <c:v>2.449004561645092E-2</c:v>
                </c:pt>
                <c:pt idx="1697">
                  <c:v>2.4489813357548865E-2</c:v>
                </c:pt>
                <c:pt idx="1698">
                  <c:v>2.4489556969574146E-2</c:v>
                </c:pt>
                <c:pt idx="1699">
                  <c:v>2.4493033565469023E-2</c:v>
                </c:pt>
                <c:pt idx="1700">
                  <c:v>2.4492462764887597E-2</c:v>
                </c:pt>
                <c:pt idx="1701">
                  <c:v>2.4491731325110466E-2</c:v>
                </c:pt>
                <c:pt idx="1702">
                  <c:v>2.4490799128455115E-2</c:v>
                </c:pt>
                <c:pt idx="1703">
                  <c:v>2.4487744778998469E-2</c:v>
                </c:pt>
                <c:pt idx="1704">
                  <c:v>2.4486403435891063E-2</c:v>
                </c:pt>
                <c:pt idx="1705">
                  <c:v>2.4484746027107294E-2</c:v>
                </c:pt>
                <c:pt idx="1706">
                  <c:v>2.4482731786285947E-2</c:v>
                </c:pt>
                <c:pt idx="1707">
                  <c:v>2.4480319947409134E-2</c:v>
                </c:pt>
                <c:pt idx="1708">
                  <c:v>2.4478743486657576E-2</c:v>
                </c:pt>
                <c:pt idx="1709">
                  <c:v>2.4475282714424059E-2</c:v>
                </c:pt>
                <c:pt idx="1710">
                  <c:v>2.447130025338011E-2</c:v>
                </c:pt>
                <c:pt idx="1711">
                  <c:v>2.4466755989334191E-2</c:v>
                </c:pt>
                <c:pt idx="1712">
                  <c:v>2.4460870540838606E-2</c:v>
                </c:pt>
                <c:pt idx="1713">
                  <c:v>2.4455236331233074E-2</c:v>
                </c:pt>
                <c:pt idx="1714">
                  <c:v>2.4448977416259891E-2</c:v>
                </c:pt>
                <c:pt idx="1715">
                  <c:v>2.4442093801808111E-2</c:v>
                </c:pt>
                <c:pt idx="1716">
                  <c:v>2.4434585494356051E-2</c:v>
                </c:pt>
                <c:pt idx="1717">
                  <c:v>2.4426515886339924E-2</c:v>
                </c:pt>
                <c:pt idx="1718">
                  <c:v>2.4417622560276825E-2</c:v>
                </c:pt>
                <c:pt idx="1719">
                  <c:v>2.440810444057195E-2</c:v>
                </c:pt>
                <c:pt idx="1720">
                  <c:v>2.4397961536328134E-2</c:v>
                </c:pt>
                <c:pt idx="1721">
                  <c:v>2.4387193857246862E-2</c:v>
                </c:pt>
                <c:pt idx="1722">
                  <c:v>2.4375801413626132E-2</c:v>
                </c:pt>
                <c:pt idx="1723">
                  <c:v>2.4363784216361744E-2</c:v>
                </c:pt>
                <c:pt idx="1724">
                  <c:v>2.4351142276946441E-2</c:v>
                </c:pt>
                <c:pt idx="1725">
                  <c:v>2.4339233931065057E-2</c:v>
                </c:pt>
                <c:pt idx="1726">
                  <c:v>2.4325524712397961E-2</c:v>
                </c:pt>
                <c:pt idx="1727">
                  <c:v>2.4311190951176054E-2</c:v>
                </c:pt>
                <c:pt idx="1728">
                  <c:v>2.4296232660811459E-2</c:v>
                </c:pt>
                <c:pt idx="1729">
                  <c:v>2.428064985530309E-2</c:v>
                </c:pt>
                <c:pt idx="1730">
                  <c:v>2.426388145124922E-2</c:v>
                </c:pt>
                <c:pt idx="1731">
                  <c:v>2.4247003925762314E-2</c:v>
                </c:pt>
                <c:pt idx="1732">
                  <c:v>2.4229501890847629E-2</c:v>
                </c:pt>
                <c:pt idx="1733">
                  <c:v>2.4211375362971119E-2</c:v>
                </c:pt>
                <c:pt idx="1734">
                  <c:v>2.4193368631441534E-2</c:v>
                </c:pt>
                <c:pt idx="1735">
                  <c:v>2.4174039061751619E-2</c:v>
                </c:pt>
                <c:pt idx="1736">
                  <c:v>2.4154085091265577E-2</c:v>
                </c:pt>
                <c:pt idx="1737">
                  <c:v>2.4133506738654633E-2</c:v>
                </c:pt>
                <c:pt idx="1738">
                  <c:v>2.4111376622860361E-2</c:v>
                </c:pt>
                <c:pt idx="1739">
                  <c:v>2.4089527882737886E-2</c:v>
                </c:pt>
                <c:pt idx="1740">
                  <c:v>2.4067128406284114E-2</c:v>
                </c:pt>
                <c:pt idx="1741">
                  <c:v>2.4044229749317029E-2</c:v>
                </c:pt>
                <c:pt idx="1742">
                  <c:v>2.4020883465684588E-2</c:v>
                </c:pt>
                <c:pt idx="1743">
                  <c:v>2.3998201045242525E-2</c:v>
                </c:pt>
                <c:pt idx="1744">
                  <c:v>2.3974121975627389E-2</c:v>
                </c:pt>
                <c:pt idx="1745">
                  <c:v>2.3949744363388665E-2</c:v>
                </c:pt>
                <c:pt idx="1746">
                  <c:v>2.3925120033334094E-2</c:v>
                </c:pt>
                <c:pt idx="1747">
                  <c:v>2.390030080782941E-2</c:v>
                </c:pt>
                <c:pt idx="1748">
                  <c:v>2.3875338506737308E-2</c:v>
                </c:pt>
                <c:pt idx="1749">
                  <c:v>2.3850284947376132E-2</c:v>
                </c:pt>
                <c:pt idx="1750">
                  <c:v>2.3825191944490468E-2</c:v>
                </c:pt>
                <c:pt idx="1751">
                  <c:v>2.3796204091699968E-2</c:v>
                </c:pt>
                <c:pt idx="1752">
                  <c:v>2.3771304479676122E-2</c:v>
                </c:pt>
                <c:pt idx="1753">
                  <c:v>2.3746533941762387E-2</c:v>
                </c:pt>
                <c:pt idx="1754">
                  <c:v>2.3721943180747825E-2</c:v>
                </c:pt>
                <c:pt idx="1755">
                  <c:v>2.3700100578067821E-2</c:v>
                </c:pt>
                <c:pt idx="1756">
                  <c:v>2.3675899364043546E-2</c:v>
                </c:pt>
                <c:pt idx="1757">
                  <c:v>2.3652023543347292E-2</c:v>
                </c:pt>
                <c:pt idx="1758">
                  <c:v>2.3628524630743969E-2</c:v>
                </c:pt>
                <c:pt idx="1759">
                  <c:v>2.3605454138765962E-2</c:v>
                </c:pt>
                <c:pt idx="1760">
                  <c:v>2.3578453868400611E-2</c:v>
                </c:pt>
                <c:pt idx="1761">
                  <c:v>2.3556572626443239E-2</c:v>
                </c:pt>
                <c:pt idx="1762">
                  <c:v>2.3535283197204913E-2</c:v>
                </c:pt>
                <c:pt idx="1763">
                  <c:v>2.3514636534586193E-2</c:v>
                </c:pt>
                <c:pt idx="1764">
                  <c:v>2.3494682922211695E-2</c:v>
                </c:pt>
                <c:pt idx="1765">
                  <c:v>2.347545054951275E-2</c:v>
                </c:pt>
                <c:pt idx="1766">
                  <c:v>2.3456940980486281E-2</c:v>
                </c:pt>
                <c:pt idx="1767">
                  <c:v>2.3439154194755518E-2</c:v>
                </c:pt>
                <c:pt idx="1768">
                  <c:v>2.3422090172741307E-2</c:v>
                </c:pt>
                <c:pt idx="1769">
                  <c:v>2.3405748895656945E-2</c:v>
                </c:pt>
                <c:pt idx="1770">
                  <c:v>2.3390130345515091E-2</c:v>
                </c:pt>
                <c:pt idx="1771">
                  <c:v>2.3375234505121283E-2</c:v>
                </c:pt>
                <c:pt idx="1772">
                  <c:v>2.3361061358079124E-2</c:v>
                </c:pt>
                <c:pt idx="1773">
                  <c:v>2.3347610888784665E-2</c:v>
                </c:pt>
                <c:pt idx="1774">
                  <c:v>2.3334883082432884E-2</c:v>
                </c:pt>
                <c:pt idx="1775">
                  <c:v>2.332287792501336E-2</c:v>
                </c:pt>
                <c:pt idx="1776">
                  <c:v>2.3311595403309432E-2</c:v>
                </c:pt>
                <c:pt idx="1777">
                  <c:v>2.3300074745348533E-2</c:v>
                </c:pt>
                <c:pt idx="1778">
                  <c:v>2.3290033588086404E-2</c:v>
                </c:pt>
                <c:pt idx="1779">
                  <c:v>2.3280714847434787E-2</c:v>
                </c:pt>
                <c:pt idx="1780">
                  <c:v>2.3272118513360158E-2</c:v>
                </c:pt>
                <c:pt idx="1781">
                  <c:v>2.3264681552330916E-2</c:v>
                </c:pt>
                <c:pt idx="1782">
                  <c:v>2.3257581146426801E-2</c:v>
                </c:pt>
                <c:pt idx="1783">
                  <c:v>2.3251203167740951E-2</c:v>
                </c:pt>
                <c:pt idx="1784">
                  <c:v>2.3247959043768845E-2</c:v>
                </c:pt>
                <c:pt idx="1785">
                  <c:v>2.3240614465180033E-2</c:v>
                </c:pt>
                <c:pt idx="1786">
                  <c:v>2.3235710583007416E-2</c:v>
                </c:pt>
                <c:pt idx="1787">
                  <c:v>2.3232170879303786E-2</c:v>
                </c:pt>
                <c:pt idx="1788">
                  <c:v>2.3229353529896316E-2</c:v>
                </c:pt>
                <c:pt idx="1789">
                  <c:v>2.3227258531749201E-2</c:v>
                </c:pt>
                <c:pt idx="1790">
                  <c:v>2.3226784675496912E-2</c:v>
                </c:pt>
                <c:pt idx="1791">
                  <c:v>2.3226174940117365E-2</c:v>
                </c:pt>
                <c:pt idx="1792">
                  <c:v>2.3226247260182905E-2</c:v>
                </c:pt>
                <c:pt idx="1793">
                  <c:v>2.3226970261931046E-2</c:v>
                </c:pt>
                <c:pt idx="1794">
                  <c:v>2.3225831281964086E-2</c:v>
                </c:pt>
                <c:pt idx="1795">
                  <c:v>2.3231242272645454E-2</c:v>
                </c:pt>
                <c:pt idx="1796">
                  <c:v>2.3233958006109938E-2</c:v>
                </c:pt>
                <c:pt idx="1797">
                  <c:v>2.3237185486322254E-2</c:v>
                </c:pt>
                <c:pt idx="1798">
                  <c:v>2.3240893341703664E-2</c:v>
                </c:pt>
                <c:pt idx="1799">
                  <c:v>2.3245050200806753E-2</c:v>
                </c:pt>
                <c:pt idx="1800">
                  <c:v>2.3249624692236362E-2</c:v>
                </c:pt>
                <c:pt idx="1801">
                  <c:v>2.3254585444589439E-2</c:v>
                </c:pt>
                <c:pt idx="1802">
                  <c:v>2.3259901086386061E-2</c:v>
                </c:pt>
                <c:pt idx="1803">
                  <c:v>2.3268039172573793E-2</c:v>
                </c:pt>
                <c:pt idx="1804">
                  <c:v>2.327398161134963E-2</c:v>
                </c:pt>
                <c:pt idx="1805">
                  <c:v>2.3280181008796762E-2</c:v>
                </c:pt>
                <c:pt idx="1806">
                  <c:v>2.3286606329619118E-2</c:v>
                </c:pt>
                <c:pt idx="1807">
                  <c:v>2.3291965760770229E-2</c:v>
                </c:pt>
                <c:pt idx="1808">
                  <c:v>2.3298750902568152E-2</c:v>
                </c:pt>
                <c:pt idx="1809">
                  <c:v>2.3305670086749389E-2</c:v>
                </c:pt>
                <c:pt idx="1810">
                  <c:v>2.3314712922841561E-2</c:v>
                </c:pt>
                <c:pt idx="1811">
                  <c:v>2.331978576452795E-2</c:v>
                </c:pt>
                <c:pt idx="1812">
                  <c:v>2.3328164625118365E-2</c:v>
                </c:pt>
                <c:pt idx="1813">
                  <c:v>2.3335302391061449E-2</c:v>
                </c:pt>
                <c:pt idx="1814">
                  <c:v>2.3342417784415967E-2</c:v>
                </c:pt>
                <c:pt idx="1815">
                  <c:v>2.3349479766246583E-2</c:v>
                </c:pt>
                <c:pt idx="1816">
                  <c:v>2.3355238240207913E-2</c:v>
                </c:pt>
                <c:pt idx="1817">
                  <c:v>2.3362130678262961E-2</c:v>
                </c:pt>
                <c:pt idx="1818">
                  <c:v>2.3368929801263965E-2</c:v>
                </c:pt>
                <c:pt idx="1819">
                  <c:v>2.3375635608256499E-2</c:v>
                </c:pt>
                <c:pt idx="1820">
                  <c:v>2.3384639595588577E-2</c:v>
                </c:pt>
                <c:pt idx="1821">
                  <c:v>2.3389957046770906E-2</c:v>
                </c:pt>
                <c:pt idx="1822">
                  <c:v>2.3396376649034593E-2</c:v>
                </c:pt>
                <c:pt idx="1823">
                  <c:v>2.3402702925613274E-2</c:v>
                </c:pt>
                <c:pt idx="1824">
                  <c:v>2.3408935875614184E-2</c:v>
                </c:pt>
                <c:pt idx="1825">
                  <c:v>2.3415075498154119E-2</c:v>
                </c:pt>
                <c:pt idx="1826">
                  <c:v>2.3421121792365943E-2</c:v>
                </c:pt>
                <c:pt idx="1827">
                  <c:v>2.3427074757394258E-2</c:v>
                </c:pt>
                <c:pt idx="1828">
                  <c:v>2.343293439239582E-2</c:v>
                </c:pt>
                <c:pt idx="1829">
                  <c:v>2.3436420943806359E-2</c:v>
                </c:pt>
                <c:pt idx="1830">
                  <c:v>2.34421065135361E-2</c:v>
                </c:pt>
                <c:pt idx="1831">
                  <c:v>2.3447698762812504E-2</c:v>
                </c:pt>
                <c:pt idx="1832">
                  <c:v>2.3453197690854209E-2</c:v>
                </c:pt>
                <c:pt idx="1833">
                  <c:v>2.3458603296890406E-2</c:v>
                </c:pt>
                <c:pt idx="1834">
                  <c:v>2.3465024181812073E-2</c:v>
                </c:pt>
                <c:pt idx="1835">
                  <c:v>2.3469134539939009E-2</c:v>
                </c:pt>
                <c:pt idx="1836">
                  <c:v>2.3474260175476117E-2</c:v>
                </c:pt>
                <c:pt idx="1837">
                  <c:v>2.3479292486062817E-2</c:v>
                </c:pt>
                <c:pt idx="1838">
                  <c:v>2.3484231470993742E-2</c:v>
                </c:pt>
                <c:pt idx="1839">
                  <c:v>2.3489077129578897E-2</c:v>
                </c:pt>
                <c:pt idx="1840">
                  <c:v>2.34938294611397E-2</c:v>
                </c:pt>
                <c:pt idx="1841">
                  <c:v>2.3498488465012506E-2</c:v>
                </c:pt>
                <c:pt idx="1842">
                  <c:v>2.3503053828024974E-2</c:v>
                </c:pt>
                <c:pt idx="1843">
                  <c:v>2.3507519987667966E-2</c:v>
                </c:pt>
                <c:pt idx="1844">
                  <c:v>2.351187702564541E-2</c:v>
                </c:pt>
                <c:pt idx="1845">
                  <c:v>2.3516114891747843E-2</c:v>
                </c:pt>
                <c:pt idx="1846">
                  <c:v>2.3519782034203914E-2</c:v>
                </c:pt>
                <c:pt idx="1847">
                  <c:v>2.3523743765504496E-2</c:v>
                </c:pt>
                <c:pt idx="1848">
                  <c:v>2.3527555874223796E-2</c:v>
                </c:pt>
                <c:pt idx="1849">
                  <c:v>2.3531208255069738E-2</c:v>
                </c:pt>
                <c:pt idx="1850">
                  <c:v>2.3534690802711825E-2</c:v>
                </c:pt>
                <c:pt idx="1851">
                  <c:v>2.3537993411791743E-2</c:v>
                </c:pt>
                <c:pt idx="1852">
                  <c:v>2.3541105976932177E-2</c:v>
                </c:pt>
                <c:pt idx="1853">
                  <c:v>2.3544018392743456E-2</c:v>
                </c:pt>
                <c:pt idx="1854">
                  <c:v>2.3546720553837674E-2</c:v>
                </c:pt>
                <c:pt idx="1855">
                  <c:v>2.3551785829876208E-2</c:v>
                </c:pt>
                <c:pt idx="1856">
                  <c:v>2.3553973053411108E-2</c:v>
                </c:pt>
                <c:pt idx="1857">
                  <c:v>2.3555917799429244E-2</c:v>
                </c:pt>
                <c:pt idx="1858">
                  <c:v>2.3557610125462029E-2</c:v>
                </c:pt>
                <c:pt idx="1859">
                  <c:v>2.3558270331633498E-2</c:v>
                </c:pt>
                <c:pt idx="1860">
                  <c:v>2.3559737776111998E-2</c:v>
                </c:pt>
                <c:pt idx="1861">
                  <c:v>2.3560554851196749E-2</c:v>
                </c:pt>
                <c:pt idx="1862">
                  <c:v>2.3561077241695257E-2</c:v>
                </c:pt>
                <c:pt idx="1863">
                  <c:v>2.35626229922179E-2</c:v>
                </c:pt>
                <c:pt idx="1864">
                  <c:v>2.3563113637138543E-2</c:v>
                </c:pt>
                <c:pt idx="1865">
                  <c:v>2.3562616415846015E-2</c:v>
                </c:pt>
                <c:pt idx="1866">
                  <c:v>2.356178414039101E-2</c:v>
                </c:pt>
                <c:pt idx="1867">
                  <c:v>2.3558919081361537E-2</c:v>
                </c:pt>
                <c:pt idx="1868">
                  <c:v>2.355746512604168E-2</c:v>
                </c:pt>
                <c:pt idx="1869">
                  <c:v>2.3555656515101539E-2</c:v>
                </c:pt>
                <c:pt idx="1870">
                  <c:v>2.3553493249509963E-2</c:v>
                </c:pt>
                <c:pt idx="1871">
                  <c:v>2.3552357626547102E-2</c:v>
                </c:pt>
                <c:pt idx="1872">
                  <c:v>2.3549408483864352E-2</c:v>
                </c:pt>
                <c:pt idx="1873">
                  <c:v>2.3546104621874769E-2</c:v>
                </c:pt>
                <c:pt idx="1874">
                  <c:v>2.3542446042373481E-2</c:v>
                </c:pt>
                <c:pt idx="1875">
                  <c:v>2.3538432747346853E-2</c:v>
                </c:pt>
                <c:pt idx="1876">
                  <c:v>2.3533065986265551E-2</c:v>
                </c:pt>
                <c:pt idx="1877">
                  <c:v>2.3529342019633456E-2</c:v>
                </c:pt>
                <c:pt idx="1878">
                  <c:v>2.3524264591884243E-2</c:v>
                </c:pt>
                <c:pt idx="1879">
                  <c:v>2.351883245848652E-2</c:v>
                </c:pt>
                <c:pt idx="1880">
                  <c:v>2.3512354935873475E-2</c:v>
                </c:pt>
                <c:pt idx="1881">
                  <c:v>2.3505869329014453E-2</c:v>
                </c:pt>
                <c:pt idx="1882">
                  <c:v>2.3499501838839545E-2</c:v>
                </c:pt>
                <c:pt idx="1883">
                  <c:v>2.3492779769072429E-2</c:v>
                </c:pt>
                <c:pt idx="1884">
                  <c:v>2.3485703123266505E-2</c:v>
                </c:pt>
                <c:pt idx="1885">
                  <c:v>2.3478380656942913E-2</c:v>
                </c:pt>
                <c:pt idx="1886">
                  <c:v>2.3470569038382558E-2</c:v>
                </c:pt>
                <c:pt idx="1887">
                  <c:v>2.3462402833082013E-2</c:v>
                </c:pt>
                <c:pt idx="1888">
                  <c:v>2.3453882045382419E-2</c:v>
                </c:pt>
                <c:pt idx="1889">
                  <c:v>2.3445006679813342E-2</c:v>
                </c:pt>
                <c:pt idx="1890">
                  <c:v>2.3435797374222942E-2</c:v>
                </c:pt>
                <c:pt idx="1891">
                  <c:v>2.3426238811382696E-2</c:v>
                </c:pt>
                <c:pt idx="1892">
                  <c:v>2.3416325707676836E-2</c:v>
                </c:pt>
                <c:pt idx="1893">
                  <c:v>2.3406058068345365E-2</c:v>
                </c:pt>
                <c:pt idx="1894">
                  <c:v>2.3395314456101646E-2</c:v>
                </c:pt>
                <c:pt idx="1895">
                  <c:v>2.3384340164212349E-2</c:v>
                </c:pt>
                <c:pt idx="1896">
                  <c:v>2.3373066191753458E-2</c:v>
                </c:pt>
                <c:pt idx="1897">
                  <c:v>2.3354815535683963E-2</c:v>
                </c:pt>
                <c:pt idx="1898">
                  <c:v>2.3348220301234016E-2</c:v>
                </c:pt>
                <c:pt idx="1899">
                  <c:v>2.3337930951331087E-2</c:v>
                </c:pt>
                <c:pt idx="1900">
                  <c:v>2.3325756442618986E-2</c:v>
                </c:pt>
                <c:pt idx="1901">
                  <c:v>2.3313426858891519E-2</c:v>
                </c:pt>
                <c:pt idx="1902">
                  <c:v>2.3300971903583528E-2</c:v>
                </c:pt>
                <c:pt idx="1903">
                  <c:v>2.3288421279421927E-2</c:v>
                </c:pt>
                <c:pt idx="1904">
                  <c:v>2.3275804688409337E-2</c:v>
                </c:pt>
                <c:pt idx="1905">
                  <c:v>2.3263151831812622E-2</c:v>
                </c:pt>
                <c:pt idx="1906">
                  <c:v>2.3250492410156247E-2</c:v>
                </c:pt>
                <c:pt idx="1907">
                  <c:v>2.3237212955075116E-2</c:v>
                </c:pt>
                <c:pt idx="1908">
                  <c:v>2.3224719016641176E-2</c:v>
                </c:pt>
                <c:pt idx="1909">
                  <c:v>2.321231653643575E-2</c:v>
                </c:pt>
                <c:pt idx="1910">
                  <c:v>2.3200034422658982E-2</c:v>
                </c:pt>
                <c:pt idx="1911">
                  <c:v>2.3188034649659715E-2</c:v>
                </c:pt>
                <c:pt idx="1912">
                  <c:v>2.3176007537915155E-2</c:v>
                </c:pt>
                <c:pt idx="1913">
                  <c:v>2.3164184088734566E-2</c:v>
                </c:pt>
                <c:pt idx="1914">
                  <c:v>2.3152593676046374E-2</c:v>
                </c:pt>
                <c:pt idx="1915">
                  <c:v>2.3141265673167041E-2</c:v>
                </c:pt>
                <c:pt idx="1916">
                  <c:v>2.3130488208076495E-2</c:v>
                </c:pt>
                <c:pt idx="1917">
                  <c:v>2.3119858032623921E-2</c:v>
                </c:pt>
                <c:pt idx="1918">
                  <c:v>2.3109579465986529E-2</c:v>
                </c:pt>
                <c:pt idx="1919">
                  <c:v>2.3099681411085236E-2</c:v>
                </c:pt>
                <c:pt idx="1920">
                  <c:v>2.3089586751130452E-2</c:v>
                </c:pt>
                <c:pt idx="1921">
                  <c:v>2.3080421740485399E-2</c:v>
                </c:pt>
                <c:pt idx="1922">
                  <c:v>2.3071670183590274E-2</c:v>
                </c:pt>
                <c:pt idx="1923">
                  <c:v>2.306419587589667E-2</c:v>
                </c:pt>
                <c:pt idx="1924">
                  <c:v>2.3056358306071702E-2</c:v>
                </c:pt>
                <c:pt idx="1925">
                  <c:v>2.3048934252918818E-2</c:v>
                </c:pt>
                <c:pt idx="1926">
                  <c:v>2.3041923711736405E-2</c:v>
                </c:pt>
                <c:pt idx="1927">
                  <c:v>2.3035326678083286E-2</c:v>
                </c:pt>
                <c:pt idx="1928">
                  <c:v>2.3027843083597819E-2</c:v>
                </c:pt>
                <c:pt idx="1929">
                  <c:v>2.302337311691572E-2</c:v>
                </c:pt>
                <c:pt idx="1930">
                  <c:v>2.3018016581830555E-2</c:v>
                </c:pt>
                <c:pt idx="1931">
                  <c:v>2.3013073539131956E-2</c:v>
                </c:pt>
                <c:pt idx="1932">
                  <c:v>2.3008543985691247E-2</c:v>
                </c:pt>
                <c:pt idx="1933">
                  <c:v>2.3002115847466933E-2</c:v>
                </c:pt>
                <c:pt idx="1934">
                  <c:v>2.2998296097890954E-2</c:v>
                </c:pt>
                <c:pt idx="1935">
                  <c:v>2.2994889725104915E-2</c:v>
                </c:pt>
                <c:pt idx="1936">
                  <c:v>2.2991896726996659E-2</c:v>
                </c:pt>
                <c:pt idx="1937">
                  <c:v>2.2990008184865136E-2</c:v>
                </c:pt>
                <c:pt idx="1938">
                  <c:v>2.2987871321468963E-2</c:v>
                </c:pt>
                <c:pt idx="1939">
                  <c:v>2.2989175879709223E-2</c:v>
                </c:pt>
                <c:pt idx="1940">
                  <c:v>2.2984837781832645E-2</c:v>
                </c:pt>
                <c:pt idx="1941">
                  <c:v>2.2983941103701992E-2</c:v>
                </c:pt>
                <c:pt idx="1942">
                  <c:v>2.2982619520652423E-2</c:v>
                </c:pt>
                <c:pt idx="1943">
                  <c:v>2.2982520107702024E-2</c:v>
                </c:pt>
                <c:pt idx="1944">
                  <c:v>2.298283406176433E-2</c:v>
                </c:pt>
                <c:pt idx="1945">
                  <c:v>2.2983561383033039E-2</c:v>
                </c:pt>
                <c:pt idx="1946">
                  <c:v>2.2985658105529702E-2</c:v>
                </c:pt>
                <c:pt idx="1947">
                  <c:v>2.2987231697856745E-2</c:v>
                </c:pt>
                <c:pt idx="1948">
                  <c:v>2.2989192926280998E-2</c:v>
                </c:pt>
                <c:pt idx="1949">
                  <c:v>2.2991525399477443E-2</c:v>
                </c:pt>
                <c:pt idx="1950">
                  <c:v>2.2993159940706557E-2</c:v>
                </c:pt>
                <c:pt idx="1951">
                  <c:v>2.2996166621529993E-2</c:v>
                </c:pt>
                <c:pt idx="1952">
                  <c:v>2.2999497205986572E-2</c:v>
                </c:pt>
                <c:pt idx="1953">
                  <c:v>2.3003135214099357E-2</c:v>
                </c:pt>
                <c:pt idx="1954">
                  <c:v>2.3007064165917749E-2</c:v>
                </c:pt>
                <c:pt idx="1955">
                  <c:v>2.3011267581493799E-2</c:v>
                </c:pt>
                <c:pt idx="1956">
                  <c:v>2.3015728980858904E-2</c:v>
                </c:pt>
                <c:pt idx="1957">
                  <c:v>2.3020431884001425E-2</c:v>
                </c:pt>
                <c:pt idx="1958">
                  <c:v>2.3025359810846475E-2</c:v>
                </c:pt>
                <c:pt idx="1959">
                  <c:v>2.3035163237116719E-2</c:v>
                </c:pt>
                <c:pt idx="1960">
                  <c:v>2.3040514648080542E-2</c:v>
                </c:pt>
                <c:pt idx="1961">
                  <c:v>2.3046037584705137E-2</c:v>
                </c:pt>
                <c:pt idx="1962">
                  <c:v>2.3051715916815461E-2</c:v>
                </c:pt>
                <c:pt idx="1963">
                  <c:v>2.3053981741403457E-2</c:v>
                </c:pt>
                <c:pt idx="1964">
                  <c:v>2.3059915957633997E-2</c:v>
                </c:pt>
                <c:pt idx="1965">
                  <c:v>2.3065959158970063E-2</c:v>
                </c:pt>
                <c:pt idx="1966">
                  <c:v>2.3072094953269374E-2</c:v>
                </c:pt>
                <c:pt idx="1967">
                  <c:v>2.3078306948201812E-2</c:v>
                </c:pt>
                <c:pt idx="1968">
                  <c:v>2.3088145904861451E-2</c:v>
                </c:pt>
                <c:pt idx="1969">
                  <c:v>2.3094460346715574E-2</c:v>
                </c:pt>
                <c:pt idx="1970">
                  <c:v>2.3100801136493543E-2</c:v>
                </c:pt>
                <c:pt idx="1971">
                  <c:v>2.3107152142368297E-2</c:v>
                </c:pt>
                <c:pt idx="1972">
                  <c:v>2.3109936402016359E-2</c:v>
                </c:pt>
                <c:pt idx="1973">
                  <c:v>2.3116269101288868E-2</c:v>
                </c:pt>
                <c:pt idx="1974">
                  <c:v>2.3122586668628518E-2</c:v>
                </c:pt>
                <c:pt idx="1975">
                  <c:v>2.312888910389246E-2</c:v>
                </c:pt>
                <c:pt idx="1976">
                  <c:v>2.3135176406935246E-2</c:v>
                </c:pt>
                <c:pt idx="1977">
                  <c:v>2.3144999441531786E-2</c:v>
                </c:pt>
                <c:pt idx="1978">
                  <c:v>2.3151254436281899E-2</c:v>
                </c:pt>
                <c:pt idx="1979">
                  <c:v>2.3157494295771224E-2</c:v>
                </c:pt>
                <c:pt idx="1980">
                  <c:v>2.3163719019854073E-2</c:v>
                </c:pt>
                <c:pt idx="1981">
                  <c:v>2.3169928608386042E-2</c:v>
                </c:pt>
                <c:pt idx="1982">
                  <c:v>2.3176123061223596E-2</c:v>
                </c:pt>
                <c:pt idx="1983">
                  <c:v>2.3182302378222761E-2</c:v>
                </c:pt>
                <c:pt idx="1984">
                  <c:v>2.3188466559239562E-2</c:v>
                </c:pt>
                <c:pt idx="1985">
                  <c:v>2.3188724787381029E-2</c:v>
                </c:pt>
                <c:pt idx="1986">
                  <c:v>2.3194862136137528E-2</c:v>
                </c:pt>
                <c:pt idx="1987">
                  <c:v>2.3200984352865803E-2</c:v>
                </c:pt>
                <c:pt idx="1988">
                  <c:v>2.3207091437428058E-2</c:v>
                </c:pt>
                <c:pt idx="1989">
                  <c:v>2.3213183389686507E-2</c:v>
                </c:pt>
                <c:pt idx="1990">
                  <c:v>2.3220434956112774E-2</c:v>
                </c:pt>
                <c:pt idx="1991">
                  <c:v>2.3226495951135569E-2</c:v>
                </c:pt>
                <c:pt idx="1992">
                  <c:v>2.3232541812562891E-2</c:v>
                </c:pt>
                <c:pt idx="1993">
                  <c:v>2.3238572540257262E-2</c:v>
                </c:pt>
                <c:pt idx="1994">
                  <c:v>2.3243416161615307E-2</c:v>
                </c:pt>
                <c:pt idx="1995">
                  <c:v>2.3249417317172769E-2</c:v>
                </c:pt>
                <c:pt idx="1996">
                  <c:v>2.3255403339470283E-2</c:v>
                </c:pt>
                <c:pt idx="1997">
                  <c:v>2.3261374228373148E-2</c:v>
                </c:pt>
                <c:pt idx="1998">
                  <c:v>2.3268499167958055E-2</c:v>
                </c:pt>
                <c:pt idx="1999">
                  <c:v>2.327443909039285E-2</c:v>
                </c:pt>
                <c:pt idx="2000">
                  <c:v>2.3280363878143813E-2</c:v>
                </c:pt>
                <c:pt idx="2001">
                  <c:v>2.3286273531075659E-2</c:v>
                </c:pt>
                <c:pt idx="2002">
                  <c:v>2.3292168049054877E-2</c:v>
                </c:pt>
                <c:pt idx="2003">
                  <c:v>2.3296881752970188E-2</c:v>
                </c:pt>
                <c:pt idx="2004">
                  <c:v>2.3302746704352641E-2</c:v>
                </c:pt>
                <c:pt idx="2005">
                  <c:v>2.3308596521270802E-2</c:v>
                </c:pt>
                <c:pt idx="2006">
                  <c:v>2.3314431203593507E-2</c:v>
                </c:pt>
                <c:pt idx="2007">
                  <c:v>2.3320250751188269E-2</c:v>
                </c:pt>
                <c:pt idx="2008">
                  <c:v>2.3326055163923474E-2</c:v>
                </c:pt>
                <c:pt idx="2009">
                  <c:v>2.3331844441668845E-2</c:v>
                </c:pt>
                <c:pt idx="2010">
                  <c:v>2.3337618584292771E-2</c:v>
                </c:pt>
                <c:pt idx="2011">
                  <c:v>2.334917753128082E-2</c:v>
                </c:pt>
                <c:pt idx="2012">
                  <c:v>2.3354917848019324E-2</c:v>
                </c:pt>
                <c:pt idx="2013">
                  <c:v>2.3360643024771359E-2</c:v>
                </c:pt>
                <c:pt idx="2014">
                  <c:v>2.3366353061402841E-2</c:v>
                </c:pt>
                <c:pt idx="2015">
                  <c:v>2.3368576598656259E-2</c:v>
                </c:pt>
                <c:pt idx="2016">
                  <c:v>2.3374258498869975E-2</c:v>
                </c:pt>
                <c:pt idx="2017">
                  <c:v>2.3379925261261765E-2</c:v>
                </c:pt>
                <c:pt idx="2018">
                  <c:v>2.3385576885701462E-2</c:v>
                </c:pt>
                <c:pt idx="2019">
                  <c:v>2.3391213372061077E-2</c:v>
                </c:pt>
                <c:pt idx="2020">
                  <c:v>2.3400295331278444E-2</c:v>
                </c:pt>
                <c:pt idx="2021">
                  <c:v>2.3405899383379954E-2</c:v>
                </c:pt>
                <c:pt idx="2022">
                  <c:v>2.3411488294310997E-2</c:v>
                </c:pt>
                <c:pt idx="2023">
                  <c:v>2.3417062063942212E-2</c:v>
                </c:pt>
                <c:pt idx="2024">
                  <c:v>2.3419168728161469E-2</c:v>
                </c:pt>
                <c:pt idx="2025">
                  <c:v>2.3424714383348557E-2</c:v>
                </c:pt>
                <c:pt idx="2026">
                  <c:v>2.3430244899561418E-2</c:v>
                </c:pt>
                <c:pt idx="2027">
                  <c:v>2.3435760276674253E-2</c:v>
                </c:pt>
                <c:pt idx="2028">
                  <c:v>2.344126051456082E-2</c:v>
                </c:pt>
                <c:pt idx="2029">
                  <c:v>2.3450186707216981E-2</c:v>
                </c:pt>
                <c:pt idx="2030">
                  <c:v>2.3455654484147988E-2</c:v>
                </c:pt>
                <c:pt idx="2031">
                  <c:v>2.3461107118754185E-2</c:v>
                </c:pt>
                <c:pt idx="2032">
                  <c:v>2.3466544610909214E-2</c:v>
                </c:pt>
                <c:pt idx="2033">
                  <c:v>2.3471966960486732E-2</c:v>
                </c:pt>
                <c:pt idx="2034">
                  <c:v>2.3477374167360811E-2</c:v>
                </c:pt>
                <c:pt idx="2035">
                  <c:v>2.3482766231405966E-2</c:v>
                </c:pt>
                <c:pt idx="2036">
                  <c:v>2.3488143152497993E-2</c:v>
                </c:pt>
                <c:pt idx="2037">
                  <c:v>2.3487798891102907E-2</c:v>
                </c:pt>
                <c:pt idx="2038">
                  <c:v>2.3493149198651954E-2</c:v>
                </c:pt>
                <c:pt idx="2039">
                  <c:v>2.3498484367436942E-2</c:v>
                </c:pt>
                <c:pt idx="2040">
                  <c:v>2.3503804397338637E-2</c:v>
                </c:pt>
                <c:pt idx="2041">
                  <c:v>2.3509109288235588E-2</c:v>
                </c:pt>
                <c:pt idx="2042">
                  <c:v>2.3515536609014936E-2</c:v>
                </c:pt>
                <c:pt idx="2043">
                  <c:v>2.3520810482643296E-2</c:v>
                </c:pt>
                <c:pt idx="2044">
                  <c:v>2.3526069215993612E-2</c:v>
                </c:pt>
                <c:pt idx="2045">
                  <c:v>2.3531312808946419E-2</c:v>
                </c:pt>
                <c:pt idx="2046">
                  <c:v>2.3535406653480542E-2</c:v>
                </c:pt>
                <c:pt idx="2047">
                  <c:v>2.3540620707849801E-2</c:v>
                </c:pt>
                <c:pt idx="2048">
                  <c:v>2.3545819622384036E-2</c:v>
                </c:pt>
                <c:pt idx="2049">
                  <c:v>2.3551003396964452E-2</c:v>
                </c:pt>
                <c:pt idx="2050">
                  <c:v>2.3557303663594254E-2</c:v>
                </c:pt>
                <c:pt idx="2051">
                  <c:v>2.3562456411674339E-2</c:v>
                </c:pt>
                <c:pt idx="2052">
                  <c:v>2.3567594018529887E-2</c:v>
                </c:pt>
                <c:pt idx="2053">
                  <c:v>2.3572716484045825E-2</c:v>
                </c:pt>
                <c:pt idx="2054">
                  <c:v>2.3578552189783372E-2</c:v>
                </c:pt>
                <c:pt idx="2055">
                  <c:v>2.3582514424705169E-2</c:v>
                </c:pt>
                <c:pt idx="2056">
                  <c:v>2.358759005338186E-2</c:v>
                </c:pt>
                <c:pt idx="2057">
                  <c:v>2.3592650541162281E-2</c:v>
                </c:pt>
                <c:pt idx="2058">
                  <c:v>2.3597695887932486E-2</c:v>
                </c:pt>
                <c:pt idx="2059">
                  <c:v>2.3602726093578535E-2</c:v>
                </c:pt>
                <c:pt idx="2060">
                  <c:v>2.3607741157986046E-2</c:v>
                </c:pt>
                <c:pt idx="2061">
                  <c:v>2.3612741081042402E-2</c:v>
                </c:pt>
                <c:pt idx="2062">
                  <c:v>2.3617725862634983E-2</c:v>
                </c:pt>
                <c:pt idx="2063">
                  <c:v>2.3627182362494861E-2</c:v>
                </c:pt>
                <c:pt idx="2064">
                  <c:v>2.363213382657469E-2</c:v>
                </c:pt>
                <c:pt idx="2065">
                  <c:v>2.3637070145138977E-2</c:v>
                </c:pt>
                <c:pt idx="2066">
                  <c:v>2.3643677651549854E-2</c:v>
                </c:pt>
                <c:pt idx="2067">
                  <c:v>2.3643541356231743E-2</c:v>
                </c:pt>
                <c:pt idx="2068">
                  <c:v>2.3651788226591811E-2</c:v>
                </c:pt>
                <c:pt idx="2069">
                  <c:v>2.3656663961952779E-2</c:v>
                </c:pt>
                <c:pt idx="2070">
                  <c:v>2.3661524551230873E-2</c:v>
                </c:pt>
                <c:pt idx="2071">
                  <c:v>2.3666369994313749E-2</c:v>
                </c:pt>
                <c:pt idx="2072">
                  <c:v>2.367120029108993E-2</c:v>
                </c:pt>
                <c:pt idx="2073">
                  <c:v>2.3676015441447072E-2</c:v>
                </c:pt>
                <c:pt idx="2074">
                  <c:v>2.3680815445274995E-2</c:v>
                </c:pt>
                <c:pt idx="2075">
                  <c:v>2.368560030246222E-2</c:v>
                </c:pt>
                <c:pt idx="2076">
                  <c:v>2.3690370012898563E-2</c:v>
                </c:pt>
                <c:pt idx="2077">
                  <c:v>2.3695124576474276E-2</c:v>
                </c:pt>
                <c:pt idx="2078">
                  <c:v>2.369986399307961E-2</c:v>
                </c:pt>
                <c:pt idx="2079">
                  <c:v>2.3704588262604381E-2</c:v>
                </c:pt>
                <c:pt idx="2080">
                  <c:v>2.3709297384940133E-2</c:v>
                </c:pt>
                <c:pt idx="2081">
                  <c:v>2.3713991359977985E-2</c:v>
                </c:pt>
                <c:pt idx="2082">
                  <c:v>2.3718670187609911E-2</c:v>
                </c:pt>
                <c:pt idx="2083">
                  <c:v>2.3723333867727892E-2</c:v>
                </c:pt>
                <c:pt idx="2084">
                  <c:v>2.372798240022304E-2</c:v>
                </c:pt>
                <c:pt idx="2085">
                  <c:v>2.3732615784989929E-2</c:v>
                </c:pt>
                <c:pt idx="2086">
                  <c:v>2.3737234021921398E-2</c:v>
                </c:pt>
                <c:pt idx="2087">
                  <c:v>2.3741837110908565E-2</c:v>
                </c:pt>
                <c:pt idx="2088">
                  <c:v>2.3746425051847726E-2</c:v>
                </c:pt>
                <c:pt idx="2089">
                  <c:v>2.374659108898998E-2</c:v>
                </c:pt>
                <c:pt idx="2090">
                  <c:v>2.3751151865133026E-2</c:v>
                </c:pt>
                <c:pt idx="2091">
                  <c:v>2.3755697496685959E-2</c:v>
                </c:pt>
                <c:pt idx="2092">
                  <c:v>2.3760227983547204E-2</c:v>
                </c:pt>
                <c:pt idx="2093">
                  <c:v>2.3765841918051551E-2</c:v>
                </c:pt>
                <c:pt idx="2094">
                  <c:v>2.3770341328709234E-2</c:v>
                </c:pt>
                <c:pt idx="2095">
                  <c:v>2.3779213392867145E-2</c:v>
                </c:pt>
                <c:pt idx="2096">
                  <c:v>2.3779294712091177E-2</c:v>
                </c:pt>
                <c:pt idx="2097">
                  <c:v>2.3783748684611212E-2</c:v>
                </c:pt>
                <c:pt idx="2098">
                  <c:v>2.3787092860462523E-2</c:v>
                </c:pt>
                <c:pt idx="2099">
                  <c:v>2.3791517331630308E-2</c:v>
                </c:pt>
                <c:pt idx="2100">
                  <c:v>2.3795926657296441E-2</c:v>
                </c:pt>
                <c:pt idx="2101">
                  <c:v>2.3800320837360677E-2</c:v>
                </c:pt>
                <c:pt idx="2102">
                  <c:v>2.3805791351468718E-2</c:v>
                </c:pt>
                <c:pt idx="2103">
                  <c:v>2.3810154444991235E-2</c:v>
                </c:pt>
                <c:pt idx="2104">
                  <c:v>2.3814502391664705E-2</c:v>
                </c:pt>
                <c:pt idx="2105">
                  <c:v>2.3818835191391181E-2</c:v>
                </c:pt>
                <c:pt idx="2106">
                  <c:v>2.38217346887005E-2</c:v>
                </c:pt>
                <c:pt idx="2107">
                  <c:v>2.3829294643648892E-2</c:v>
                </c:pt>
                <c:pt idx="2108">
                  <c:v>2.3833575510240214E-2</c:v>
                </c:pt>
                <c:pt idx="2109">
                  <c:v>2.3837841229450599E-2</c:v>
                </c:pt>
                <c:pt idx="2110">
                  <c:v>2.3842091801184309E-2</c:v>
                </c:pt>
                <c:pt idx="2111">
                  <c:v>2.3846327225344712E-2</c:v>
                </c:pt>
                <c:pt idx="2112">
                  <c:v>2.3850547501834306E-2</c:v>
                </c:pt>
                <c:pt idx="2113">
                  <c:v>2.3854752630558661E-2</c:v>
                </c:pt>
                <c:pt idx="2114">
                  <c:v>2.3858942611421588E-2</c:v>
                </c:pt>
                <c:pt idx="2115">
                  <c:v>2.3865278802750228E-2</c:v>
                </c:pt>
                <c:pt idx="2116">
                  <c:v>2.3869436871544289E-2</c:v>
                </c:pt>
                <c:pt idx="2117">
                  <c:v>2.3873579790276715E-2</c:v>
                </c:pt>
                <c:pt idx="2118">
                  <c:v>2.3877707558853222E-2</c:v>
                </c:pt>
                <c:pt idx="2119">
                  <c:v>2.3880742750993191E-2</c:v>
                </c:pt>
                <c:pt idx="2120">
                  <c:v>2.3884841030897486E-2</c:v>
                </c:pt>
                <c:pt idx="2121">
                  <c:v>2.3890087987443669E-2</c:v>
                </c:pt>
                <c:pt idx="2122">
                  <c:v>2.3892992142172394E-2</c:v>
                </c:pt>
                <c:pt idx="2123">
                  <c:v>2.3897044973357363E-2</c:v>
                </c:pt>
                <c:pt idx="2124">
                  <c:v>2.3902156011744533E-2</c:v>
                </c:pt>
                <c:pt idx="2125">
                  <c:v>2.3906177726592634E-2</c:v>
                </c:pt>
                <c:pt idx="2126">
                  <c:v>2.3910184290535423E-2</c:v>
                </c:pt>
                <c:pt idx="2127">
                  <c:v>2.3914175703480801E-2</c:v>
                </c:pt>
                <c:pt idx="2128">
                  <c:v>2.3917081881068086E-2</c:v>
                </c:pt>
                <c:pt idx="2129">
                  <c:v>2.3921043812326782E-2</c:v>
                </c:pt>
                <c:pt idx="2130">
                  <c:v>2.3924990593278239E-2</c:v>
                </c:pt>
                <c:pt idx="2131">
                  <c:v>2.3928922223834224E-2</c:v>
                </c:pt>
                <c:pt idx="2132">
                  <c:v>2.3934972264347536E-2</c:v>
                </c:pt>
                <c:pt idx="2133">
                  <c:v>2.3937806005118408E-2</c:v>
                </c:pt>
                <c:pt idx="2134">
                  <c:v>2.3941691358540011E-2</c:v>
                </c:pt>
                <c:pt idx="2135">
                  <c:v>2.3945561560242173E-2</c:v>
                </c:pt>
                <c:pt idx="2136">
                  <c:v>2.3949416610135395E-2</c:v>
                </c:pt>
                <c:pt idx="2137">
                  <c:v>2.395325650813062E-2</c:v>
                </c:pt>
                <c:pt idx="2138">
                  <c:v>2.3957081254140093E-2</c:v>
                </c:pt>
                <c:pt idx="2139">
                  <c:v>2.3960890848076923E-2</c:v>
                </c:pt>
                <c:pt idx="2140">
                  <c:v>2.3964685289852055E-2</c:v>
                </c:pt>
                <c:pt idx="2141">
                  <c:v>2.3966345863656351E-2</c:v>
                </c:pt>
                <c:pt idx="2142">
                  <c:v>2.3970111667029659E-2</c:v>
                </c:pt>
                <c:pt idx="2143">
                  <c:v>2.3973862319921664E-2</c:v>
                </c:pt>
                <c:pt idx="2144">
                  <c:v>2.3977597822248467E-2</c:v>
                </c:pt>
                <c:pt idx="2145">
                  <c:v>2.3982374210321043E-2</c:v>
                </c:pt>
                <c:pt idx="2146">
                  <c:v>2.3986078574348372E-2</c:v>
                </c:pt>
                <c:pt idx="2147">
                  <c:v>2.3989767786583745E-2</c:v>
                </c:pt>
                <c:pt idx="2148">
                  <c:v>2.3993441846942864E-2</c:v>
                </c:pt>
                <c:pt idx="2149">
                  <c:v>2.3997100755343607E-2</c:v>
                </c:pt>
                <c:pt idx="2150">
                  <c:v>2.3999692669587007E-2</c:v>
                </c:pt>
                <c:pt idx="2151">
                  <c:v>2.4003322115593601E-2</c:v>
                </c:pt>
                <c:pt idx="2152">
                  <c:v>2.4006936410364763E-2</c:v>
                </c:pt>
                <c:pt idx="2153">
                  <c:v>2.4010535553818803E-2</c:v>
                </c:pt>
                <c:pt idx="2154">
                  <c:v>2.4015168015036312E-2</c:v>
                </c:pt>
                <c:pt idx="2155">
                  <c:v>2.4018736009935628E-2</c:v>
                </c:pt>
                <c:pt idx="2156">
                  <c:v>2.4022288852297794E-2</c:v>
                </c:pt>
                <c:pt idx="2157">
                  <c:v>2.4025826542042002E-2</c:v>
                </c:pt>
                <c:pt idx="2158">
                  <c:v>2.4028806102406697E-2</c:v>
                </c:pt>
                <c:pt idx="2159">
                  <c:v>2.4032312171703124E-2</c:v>
                </c:pt>
                <c:pt idx="2160">
                  <c:v>2.4035803089105308E-2</c:v>
                </c:pt>
                <c:pt idx="2161">
                  <c:v>2.4039278854534187E-2</c:v>
                </c:pt>
                <c:pt idx="2162">
                  <c:v>2.4042739467912026E-2</c:v>
                </c:pt>
                <c:pt idx="2163">
                  <c:v>2.4046184929158883E-2</c:v>
                </c:pt>
                <c:pt idx="2164">
                  <c:v>2.4049615238197024E-2</c:v>
                </c:pt>
                <c:pt idx="2165">
                  <c:v>2.4053030394949146E-2</c:v>
                </c:pt>
                <c:pt idx="2166">
                  <c:v>2.4056430399336626E-2</c:v>
                </c:pt>
                <c:pt idx="2167">
                  <c:v>2.4061889768288474E-2</c:v>
                </c:pt>
                <c:pt idx="2168">
                  <c:v>2.4065257750526793E-2</c:v>
                </c:pt>
                <c:pt idx="2169">
                  <c:v>2.40686105782075E-2</c:v>
                </c:pt>
                <c:pt idx="2170">
                  <c:v>2.4071948251254575E-2</c:v>
                </c:pt>
                <c:pt idx="2171">
                  <c:v>2.4074236969696777E-2</c:v>
                </c:pt>
                <c:pt idx="2172">
                  <c:v>2.4078487619935123E-2</c:v>
                </c:pt>
                <c:pt idx="2173">
                  <c:v>2.4081776362494717E-2</c:v>
                </c:pt>
                <c:pt idx="2174">
                  <c:v>2.408504995107744E-2</c:v>
                </c:pt>
                <c:pt idx="2175">
                  <c:v>2.4088308385609034E-2</c:v>
                </c:pt>
                <c:pt idx="2176">
                  <c:v>2.4094639242052504E-2</c:v>
                </c:pt>
                <c:pt idx="2177">
                  <c:v>2.4097864764525277E-2</c:v>
                </c:pt>
                <c:pt idx="2178">
                  <c:v>2.4101075129769028E-2</c:v>
                </c:pt>
                <c:pt idx="2179">
                  <c:v>2.410427033770984E-2</c:v>
                </c:pt>
                <c:pt idx="2180">
                  <c:v>2.4104373244900182E-2</c:v>
                </c:pt>
                <c:pt idx="2181">
                  <c:v>2.4107540753571272E-2</c:v>
                </c:pt>
                <c:pt idx="2182">
                  <c:v>2.4110693107677984E-2</c:v>
                </c:pt>
                <c:pt idx="2183">
                  <c:v>2.4116899594960148E-2</c:v>
                </c:pt>
                <c:pt idx="2184">
                  <c:v>2.41200190152779E-2</c:v>
                </c:pt>
                <c:pt idx="2185">
                  <c:v>2.4123123277852637E-2</c:v>
                </c:pt>
                <c:pt idx="2186">
                  <c:v>2.4126212382612582E-2</c:v>
                </c:pt>
                <c:pt idx="2187">
                  <c:v>2.412928632948597E-2</c:v>
                </c:pt>
                <c:pt idx="2188">
                  <c:v>2.4129288982439785E-2</c:v>
                </c:pt>
                <c:pt idx="2189">
                  <c:v>2.4135388749285558E-2</c:v>
                </c:pt>
                <c:pt idx="2190">
                  <c:v>2.4138417222071655E-2</c:v>
                </c:pt>
                <c:pt idx="2191">
                  <c:v>2.414143053668712E-2</c:v>
                </c:pt>
                <c:pt idx="2192">
                  <c:v>2.414138313199047E-2</c:v>
                </c:pt>
                <c:pt idx="2193">
                  <c:v>2.4142339977036444E-2</c:v>
                </c:pt>
                <c:pt idx="2194">
                  <c:v>2.4145312239617914E-2</c:v>
                </c:pt>
                <c:pt idx="2195">
                  <c:v>2.4148269348707667E-2</c:v>
                </c:pt>
                <c:pt idx="2196">
                  <c:v>2.4151211304238567E-2</c:v>
                </c:pt>
                <c:pt idx="2197">
                  <c:v>2.41551489847356E-2</c:v>
                </c:pt>
                <c:pt idx="2198">
                  <c:v>2.4158059744660999E-2</c:v>
                </c:pt>
                <c:pt idx="2199">
                  <c:v>2.4160955349837292E-2</c:v>
                </c:pt>
                <c:pt idx="2200">
                  <c:v>2.4163835800197722E-2</c:v>
                </c:pt>
                <c:pt idx="2201">
                  <c:v>2.4166701095678162E-2</c:v>
                </c:pt>
                <c:pt idx="2202">
                  <c:v>2.4168544808989872E-2</c:v>
                </c:pt>
                <c:pt idx="2203">
                  <c:v>2.4171380687767204E-2</c:v>
                </c:pt>
                <c:pt idx="2204">
                  <c:v>2.4174201412463674E-2</c:v>
                </c:pt>
                <c:pt idx="2205">
                  <c:v>2.4177006983016128E-2</c:v>
                </c:pt>
                <c:pt idx="2206">
                  <c:v>2.4180800237511537E-2</c:v>
                </c:pt>
                <c:pt idx="2207">
                  <c:v>2.4183574238659446E-2</c:v>
                </c:pt>
                <c:pt idx="2208">
                  <c:v>2.4186331985545682E-2</c:v>
                </c:pt>
                <c:pt idx="2209">
                  <c:v>2.4189072708849811E-2</c:v>
                </c:pt>
                <c:pt idx="2210">
                  <c:v>2.4190797374061799E-2</c:v>
                </c:pt>
                <c:pt idx="2211">
                  <c:v>2.4193503128957516E-2</c:v>
                </c:pt>
                <c:pt idx="2212">
                  <c:v>2.4196189640987811E-2</c:v>
                </c:pt>
                <c:pt idx="2213">
                  <c:v>2.4198856136619405E-2</c:v>
                </c:pt>
                <c:pt idx="2214">
                  <c:v>2.4201501842315915E-2</c:v>
                </c:pt>
                <c:pt idx="2215">
                  <c:v>2.420412598453877E-2</c:v>
                </c:pt>
                <c:pt idx="2216">
                  <c:v>2.4206727789743646E-2</c:v>
                </c:pt>
                <c:pt idx="2217">
                  <c:v>2.420930648438489E-2</c:v>
                </c:pt>
                <c:pt idx="2218">
                  <c:v>2.4211861294911118E-2</c:v>
                </c:pt>
                <c:pt idx="2219">
                  <c:v>2.4219304518289669E-2</c:v>
                </c:pt>
                <c:pt idx="2220">
                  <c:v>2.422179903415107E-2</c:v>
                </c:pt>
                <c:pt idx="2221">
                  <c:v>2.4224267095841141E-2</c:v>
                </c:pt>
                <c:pt idx="2222">
                  <c:v>2.4226707950336008E-2</c:v>
                </c:pt>
                <c:pt idx="2223">
                  <c:v>2.4226198874088726E-2</c:v>
                </c:pt>
                <c:pt idx="2224">
                  <c:v>2.4228589708543729E-2</c:v>
                </c:pt>
                <c:pt idx="2225">
                  <c:v>2.4230951176039593E-2</c:v>
                </c:pt>
                <c:pt idx="2226">
                  <c:v>2.4233282511356303E-2</c:v>
                </c:pt>
                <c:pt idx="2227">
                  <c:v>2.4235582949268159E-2</c:v>
                </c:pt>
                <c:pt idx="2228">
                  <c:v>2.4240739556506744E-2</c:v>
                </c:pt>
                <c:pt idx="2229">
                  <c:v>2.4242968875737899E-2</c:v>
                </c:pt>
                <c:pt idx="2230">
                  <c:v>2.4245164963492126E-2</c:v>
                </c:pt>
                <c:pt idx="2231">
                  <c:v>2.4247327066724059E-2</c:v>
                </c:pt>
                <c:pt idx="2232">
                  <c:v>2.424659490480794E-2</c:v>
                </c:pt>
                <c:pt idx="2233">
                  <c:v>2.4248694250215398E-2</c:v>
                </c:pt>
                <c:pt idx="2234">
                  <c:v>2.4250758434631797E-2</c:v>
                </c:pt>
                <c:pt idx="2235">
                  <c:v>2.4252787457947064E-2</c:v>
                </c:pt>
                <c:pt idx="2236">
                  <c:v>2.4257612357690934E-2</c:v>
                </c:pt>
                <c:pt idx="2237">
                  <c:v>2.4259563915897155E-2</c:v>
                </c:pt>
                <c:pt idx="2238">
                  <c:v>2.4261480305630509E-2</c:v>
                </c:pt>
                <c:pt idx="2239">
                  <c:v>2.4263361526786993E-2</c:v>
                </c:pt>
                <c:pt idx="2240">
                  <c:v>2.4265207579266479E-2</c:v>
                </c:pt>
                <c:pt idx="2241">
                  <c:v>2.4267018462969685E-2</c:v>
                </c:pt>
                <c:pt idx="2242">
                  <c:v>2.4268794177797766E-2</c:v>
                </c:pt>
                <c:pt idx="2243">
                  <c:v>2.4270534723655746E-2</c:v>
                </c:pt>
                <c:pt idx="2244">
                  <c:v>2.4272240100450794E-2</c:v>
                </c:pt>
                <c:pt idx="2245">
                  <c:v>2.4269298532553871E-2</c:v>
                </c:pt>
                <c:pt idx="2246">
                  <c:v>2.4270945579521631E-2</c:v>
                </c:pt>
                <c:pt idx="2247">
                  <c:v>2.4272557468930762E-2</c:v>
                </c:pt>
                <c:pt idx="2248">
                  <c:v>2.4274134200698232E-2</c:v>
                </c:pt>
                <c:pt idx="2249">
                  <c:v>2.4276588888175243E-2</c:v>
                </c:pt>
                <c:pt idx="2250">
                  <c:v>2.4278092893933859E-2</c:v>
                </c:pt>
                <c:pt idx="2251">
                  <c:v>2.4279561739452043E-2</c:v>
                </c:pt>
                <c:pt idx="2252">
                  <c:v>2.4280995424652053E-2</c:v>
                </c:pt>
                <c:pt idx="2253">
                  <c:v>2.4282393949458782E-2</c:v>
                </c:pt>
                <c:pt idx="2254">
                  <c:v>2.4282856276316003E-2</c:v>
                </c:pt>
                <c:pt idx="2255">
                  <c:v>2.4284186902377054E-2</c:v>
                </c:pt>
                <c:pt idx="2256">
                  <c:v>2.4285482370186542E-2</c:v>
                </c:pt>
                <c:pt idx="2257">
                  <c:v>2.4286742679676461E-2</c:v>
                </c:pt>
                <c:pt idx="2258">
                  <c:v>2.4288859165073961E-2</c:v>
                </c:pt>
                <c:pt idx="2259">
                  <c:v>2.4290046726036935E-2</c:v>
                </c:pt>
                <c:pt idx="2260">
                  <c:v>2.4291199126129648E-2</c:v>
                </c:pt>
                <c:pt idx="2261">
                  <c:v>2.4292316365291056E-2</c:v>
                </c:pt>
                <c:pt idx="2262">
                  <c:v>2.4293398443462295E-2</c:v>
                </c:pt>
                <c:pt idx="2263">
                  <c:v>2.4293566208337461E-2</c:v>
                </c:pt>
                <c:pt idx="2264">
                  <c:v>2.4294580407845042E-2</c:v>
                </c:pt>
                <c:pt idx="2265">
                  <c:v>2.4295559448556086E-2</c:v>
                </c:pt>
                <c:pt idx="2266">
                  <c:v>2.4296503330420688E-2</c:v>
                </c:pt>
                <c:pt idx="2267">
                  <c:v>2.4297412053387618E-2</c:v>
                </c:pt>
                <c:pt idx="2268">
                  <c:v>2.4298285617410063E-2</c:v>
                </c:pt>
                <c:pt idx="2269">
                  <c:v>2.4299124022442092E-2</c:v>
                </c:pt>
                <c:pt idx="2270">
                  <c:v>2.4299927268440866E-2</c:v>
                </c:pt>
                <c:pt idx="2271">
                  <c:v>2.4304991077320648E-2</c:v>
                </c:pt>
                <c:pt idx="2272">
                  <c:v>2.4305711689974498E-2</c:v>
                </c:pt>
                <c:pt idx="2273">
                  <c:v>2.4306397131671018E-2</c:v>
                </c:pt>
                <c:pt idx="2274">
                  <c:v>2.4307047402372821E-2</c:v>
                </c:pt>
                <c:pt idx="2275">
                  <c:v>2.4305115262644478E-2</c:v>
                </c:pt>
                <c:pt idx="2276">
                  <c:v>2.4305702609675819E-2</c:v>
                </c:pt>
                <c:pt idx="2277">
                  <c:v>2.4306254792696436E-2</c:v>
                </c:pt>
                <c:pt idx="2278">
                  <c:v>2.4306771811676633E-2</c:v>
                </c:pt>
                <c:pt idx="2279">
                  <c:v>2.4307253666588889E-2</c:v>
                </c:pt>
                <c:pt idx="2280">
                  <c:v>2.4310210433872336E-2</c:v>
                </c:pt>
                <c:pt idx="2281">
                  <c:v>2.4310614506739114E-2</c:v>
                </c:pt>
                <c:pt idx="2282">
                  <c:v>2.4310983408384262E-2</c:v>
                </c:pt>
                <c:pt idx="2283">
                  <c:v>2.4311317138787574E-2</c:v>
                </c:pt>
                <c:pt idx="2284">
                  <c:v>2.4309135479306781E-2</c:v>
                </c:pt>
                <c:pt idx="2285">
                  <c:v>2.4309406349342255E-2</c:v>
                </c:pt>
                <c:pt idx="2286">
                  <c:v>2.4309642055170007E-2</c:v>
                </c:pt>
                <c:pt idx="2287">
                  <c:v>2.430984259677868E-2</c:v>
                </c:pt>
                <c:pt idx="2288">
                  <c:v>2.4310007974156483E-2</c:v>
                </c:pt>
                <c:pt idx="2289">
                  <c:v>2.4312580924267281E-2</c:v>
                </c:pt>
                <c:pt idx="2290">
                  <c:v>2.4312668455583667E-2</c:v>
                </c:pt>
                <c:pt idx="2291">
                  <c:v>2.4312720815569264E-2</c:v>
                </c:pt>
                <c:pt idx="2292">
                  <c:v>2.4312738004219337E-2</c:v>
                </c:pt>
                <c:pt idx="2293">
                  <c:v>2.4312720021533459E-2</c:v>
                </c:pt>
                <c:pt idx="2294">
                  <c:v>2.4312666867512059E-2</c:v>
                </c:pt>
                <c:pt idx="2295">
                  <c:v>2.4312578542159863E-2</c:v>
                </c:pt>
                <c:pt idx="2296">
                  <c:v>2.4312455045479887E-2</c:v>
                </c:pt>
                <c:pt idx="2297">
                  <c:v>2.4308324685431145E-2</c:v>
                </c:pt>
                <c:pt idx="2298">
                  <c:v>2.4308143468116401E-2</c:v>
                </c:pt>
                <c:pt idx="2299">
                  <c:v>2.4307927091294968E-2</c:v>
                </c:pt>
                <c:pt idx="2300">
                  <c:v>2.4307675554977887E-2</c:v>
                </c:pt>
                <c:pt idx="2301">
                  <c:v>2.4307388859177527E-2</c:v>
                </c:pt>
                <c:pt idx="2302">
                  <c:v>2.4307849111491076E-2</c:v>
                </c:pt>
                <c:pt idx="2303">
                  <c:v>2.4307489561258853E-2</c:v>
                </c:pt>
                <c:pt idx="2304">
                  <c:v>2.4307094849237543E-2</c:v>
                </c:pt>
                <c:pt idx="2305">
                  <c:v>2.4306664975446913E-2</c:v>
                </c:pt>
                <c:pt idx="2306">
                  <c:v>2.4305427988536861E-2</c:v>
                </c:pt>
                <c:pt idx="2307">
                  <c:v>2.430493033622369E-2</c:v>
                </c:pt>
                <c:pt idx="2308">
                  <c:v>2.4304397524572096E-2</c:v>
                </c:pt>
                <c:pt idx="2309">
                  <c:v>2.43038295536099E-2</c:v>
                </c:pt>
                <c:pt idx="2310">
                  <c:v>2.4303988180826668E-2</c:v>
                </c:pt>
                <c:pt idx="2311">
                  <c:v>2.4303347336966492E-2</c:v>
                </c:pt>
                <c:pt idx="2312">
                  <c:v>2.4302671331534638E-2</c:v>
                </c:pt>
                <c:pt idx="2313">
                  <c:v>2.4301960164567565E-2</c:v>
                </c:pt>
                <c:pt idx="2314">
                  <c:v>2.4301213836102602E-2</c:v>
                </c:pt>
                <c:pt idx="2315">
                  <c:v>2.4299683384112446E-2</c:v>
                </c:pt>
                <c:pt idx="2316">
                  <c:v>2.4298869298913194E-2</c:v>
                </c:pt>
                <c:pt idx="2317">
                  <c:v>2.4298020054693493E-2</c:v>
                </c:pt>
                <c:pt idx="2318">
                  <c:v>2.4297135651497069E-2</c:v>
                </c:pt>
                <c:pt idx="2319">
                  <c:v>2.4296216089370295E-2</c:v>
                </c:pt>
                <c:pt idx="2320">
                  <c:v>2.4295261368361746E-2</c:v>
                </c:pt>
                <c:pt idx="2321">
                  <c:v>2.4294271488521771E-2</c:v>
                </c:pt>
                <c:pt idx="2322">
                  <c:v>2.429324644990204E-2</c:v>
                </c:pt>
                <c:pt idx="2323">
                  <c:v>2.4295825942687057E-2</c:v>
                </c:pt>
                <c:pt idx="2324">
                  <c:v>2.4294717658463093E-2</c:v>
                </c:pt>
                <c:pt idx="2325">
                  <c:v>2.4293574203872726E-2</c:v>
                </c:pt>
                <c:pt idx="2326">
                  <c:v>2.4292395578978269E-2</c:v>
                </c:pt>
                <c:pt idx="2327">
                  <c:v>2.428902968744303E-2</c:v>
                </c:pt>
                <c:pt idx="2328">
                  <c:v>2.4287788508277904E-2</c:v>
                </c:pt>
                <c:pt idx="2329">
                  <c:v>2.4286512166051242E-2</c:v>
                </c:pt>
                <c:pt idx="2330">
                  <c:v>2.428520066082944E-2</c:v>
                </c:pt>
                <c:pt idx="2331">
                  <c:v>2.4283853992683263E-2</c:v>
                </c:pt>
                <c:pt idx="2332">
                  <c:v>2.4284585256913474E-2</c:v>
                </c:pt>
                <c:pt idx="2333">
                  <c:v>2.4283160441773626E-2</c:v>
                </c:pt>
                <c:pt idx="2334">
                  <c:v>2.4281700456890098E-2</c:v>
                </c:pt>
                <c:pt idx="2335">
                  <c:v>2.42802053023424E-2</c:v>
                </c:pt>
                <c:pt idx="2336">
                  <c:v>2.4276593210635966E-2</c:v>
                </c:pt>
                <c:pt idx="2337">
                  <c:v>2.4275035566502071E-2</c:v>
                </c:pt>
                <c:pt idx="2338">
                  <c:v>2.4273442759981952E-2</c:v>
                </c:pt>
                <c:pt idx="2339">
                  <c:v>2.4271814791159033E-2</c:v>
                </c:pt>
                <c:pt idx="2340">
                  <c:v>2.4270151660120681E-2</c:v>
                </c:pt>
                <c:pt idx="2341">
                  <c:v>2.4270495816732469E-2</c:v>
                </c:pt>
                <c:pt idx="2342">
                  <c:v>2.4268754476891117E-2</c:v>
                </c:pt>
                <c:pt idx="2343">
                  <c:v>2.4266977968081381E-2</c:v>
                </c:pt>
                <c:pt idx="2344">
                  <c:v>2.4265166290399098E-2</c:v>
                </c:pt>
                <c:pt idx="2345">
                  <c:v>2.426331944394269E-2</c:v>
                </c:pt>
                <c:pt idx="2346">
                  <c:v>2.4261437428811424E-2</c:v>
                </c:pt>
                <c:pt idx="2347">
                  <c:v>2.4259520245105439E-2</c:v>
                </c:pt>
                <c:pt idx="2348">
                  <c:v>2.4257567892929169E-2</c:v>
                </c:pt>
                <c:pt idx="2349">
                  <c:v>2.4252941023930857E-2</c:v>
                </c:pt>
                <c:pt idx="2350">
                  <c:v>2.4250928922116465E-2</c:v>
                </c:pt>
                <c:pt idx="2351">
                  <c:v>2.4248881661492579E-2</c:v>
                </c:pt>
                <c:pt idx="2352">
                  <c:v>2.4246799242166373E-2</c:v>
                </c:pt>
                <c:pt idx="2353">
                  <c:v>2.4244681664248521E-2</c:v>
                </c:pt>
                <c:pt idx="2354">
                  <c:v>2.4243175845619164E-2</c:v>
                </c:pt>
                <c:pt idx="2355">
                  <c:v>2.4240985292954001E-2</c:v>
                </c:pt>
                <c:pt idx="2356">
                  <c:v>2.4241323719707233E-2</c:v>
                </c:pt>
                <c:pt idx="2357">
                  <c:v>2.4236498705994126E-2</c:v>
                </c:pt>
                <c:pt idx="2358">
                  <c:v>2.4233566399747178E-2</c:v>
                </c:pt>
                <c:pt idx="2359">
                  <c:v>2.4231237872684584E-2</c:v>
                </c:pt>
                <c:pt idx="2360">
                  <c:v>2.422887418784947E-2</c:v>
                </c:pt>
                <c:pt idx="2361">
                  <c:v>2.4226475345366573E-2</c:v>
                </c:pt>
                <c:pt idx="2362">
                  <c:v>2.4224666934709878E-2</c:v>
                </c:pt>
                <c:pt idx="2363">
                  <c:v>2.422219510078763E-2</c:v>
                </c:pt>
                <c:pt idx="2364">
                  <c:v>2.4219688107276482E-2</c:v>
                </c:pt>
                <c:pt idx="2365">
                  <c:v>2.4217145954310536E-2</c:v>
                </c:pt>
                <c:pt idx="2366">
                  <c:v>2.4213583098659452E-2</c:v>
                </c:pt>
                <c:pt idx="2367">
                  <c:v>2.4210968290610688E-2</c:v>
                </c:pt>
                <c:pt idx="2368">
                  <c:v>2.4208318325858E-2</c:v>
                </c:pt>
                <c:pt idx="2369">
                  <c:v>2.4205633204540181E-2</c:v>
                </c:pt>
                <c:pt idx="2370">
                  <c:v>2.4202912926799096E-2</c:v>
                </c:pt>
                <c:pt idx="2371">
                  <c:v>2.4200157492777485E-2</c:v>
                </c:pt>
                <c:pt idx="2372">
                  <c:v>2.419736690262073E-2</c:v>
                </c:pt>
                <c:pt idx="2373">
                  <c:v>2.4194541156476401E-2</c:v>
                </c:pt>
                <c:pt idx="2374">
                  <c:v>2.4191680254493395E-2</c:v>
                </c:pt>
                <c:pt idx="2375">
                  <c:v>2.4190554180382458E-2</c:v>
                </c:pt>
                <c:pt idx="2376">
                  <c:v>2.4187614845126399E-2</c:v>
                </c:pt>
                <c:pt idx="2377">
                  <c:v>2.4184640347552314E-2</c:v>
                </c:pt>
                <c:pt idx="2378">
                  <c:v>2.418163068781834E-2</c:v>
                </c:pt>
                <c:pt idx="2379">
                  <c:v>2.4178585866086514E-2</c:v>
                </c:pt>
                <c:pt idx="2380">
                  <c:v>2.4175505882519297E-2</c:v>
                </c:pt>
                <c:pt idx="2381">
                  <c:v>2.4172390737282615E-2</c:v>
                </c:pt>
                <c:pt idx="2382">
                  <c:v>2.4166285826460934E-2</c:v>
                </c:pt>
                <c:pt idx="2383">
                  <c:v>2.4166054962466689E-2</c:v>
                </c:pt>
                <c:pt idx="2384">
                  <c:v>2.4160879159336519E-2</c:v>
                </c:pt>
                <c:pt idx="2385">
                  <c:v>2.4157611029617498E-2</c:v>
                </c:pt>
                <c:pt idx="2386">
                  <c:v>2.4154307741458839E-2</c:v>
                </c:pt>
                <c:pt idx="2387">
                  <c:v>2.4150969295036486E-2</c:v>
                </c:pt>
                <c:pt idx="2388">
                  <c:v>2.4147042244465716E-2</c:v>
                </c:pt>
                <c:pt idx="2389">
                  <c:v>2.4143636220366013E-2</c:v>
                </c:pt>
                <c:pt idx="2390">
                  <c:v>2.4140195040839765E-2</c:v>
                </c:pt>
                <c:pt idx="2391">
                  <c:v>2.4136718706069114E-2</c:v>
                </c:pt>
                <c:pt idx="2392">
                  <c:v>2.4134291935847419E-2</c:v>
                </c:pt>
                <c:pt idx="2393">
                  <c:v>2.4130200303055047E-2</c:v>
                </c:pt>
                <c:pt idx="2394">
                  <c:v>2.4126615753871049E-2</c:v>
                </c:pt>
                <c:pt idx="2395">
                  <c:v>2.4122996047898266E-2</c:v>
                </c:pt>
                <c:pt idx="2396">
                  <c:v>2.411934118532915E-2</c:v>
                </c:pt>
                <c:pt idx="2397">
                  <c:v>2.4115651166358335E-2</c:v>
                </c:pt>
                <c:pt idx="2398">
                  <c:v>2.4111925991183052E-2</c:v>
                </c:pt>
                <c:pt idx="2399">
                  <c:v>2.4108165660001832E-2</c:v>
                </c:pt>
                <c:pt idx="2400">
                  <c:v>2.4104370173013655E-2</c:v>
                </c:pt>
                <c:pt idx="2401">
                  <c:v>2.4099503950820014E-2</c:v>
                </c:pt>
                <c:pt idx="2402">
                  <c:v>2.4095643688678427E-2</c:v>
                </c:pt>
                <c:pt idx="2403">
                  <c:v>2.4091748275907616E-2</c:v>
                </c:pt>
                <c:pt idx="2404">
                  <c:v>2.4087817712712255E-2</c:v>
                </c:pt>
                <c:pt idx="2405">
                  <c:v>2.4083851999300531E-2</c:v>
                </c:pt>
                <c:pt idx="2406">
                  <c:v>2.4080355184843527E-2</c:v>
                </c:pt>
                <c:pt idx="2407">
                  <c:v>2.4075815122662488E-2</c:v>
                </c:pt>
                <c:pt idx="2408">
                  <c:v>2.4071743959860007E-2</c:v>
                </c:pt>
                <c:pt idx="2409">
                  <c:v>2.406763764768664E-2</c:v>
                </c:pt>
                <c:pt idx="2410">
                  <c:v>2.4063496186360233E-2</c:v>
                </c:pt>
                <c:pt idx="2411">
                  <c:v>2.4059319576096881E-2</c:v>
                </c:pt>
                <c:pt idx="2412">
                  <c:v>2.4055107817118379E-2</c:v>
                </c:pt>
                <c:pt idx="2413">
                  <c:v>2.4050860909645651E-2</c:v>
                </c:pt>
                <c:pt idx="2414">
                  <c:v>2.4046578853902698E-2</c:v>
                </c:pt>
                <c:pt idx="2415">
                  <c:v>2.4042261650114388E-2</c:v>
                </c:pt>
                <c:pt idx="2416">
                  <c:v>2.4037909298509554E-2</c:v>
                </c:pt>
                <c:pt idx="2417">
                  <c:v>2.4033521799316584E-2</c:v>
                </c:pt>
                <c:pt idx="2418">
                  <c:v>2.4027994081191932E-2</c:v>
                </c:pt>
                <c:pt idx="2419">
                  <c:v>2.4023534072873467E-2</c:v>
                </c:pt>
                <c:pt idx="2420">
                  <c:v>2.4019038919957936E-2</c:v>
                </c:pt>
                <c:pt idx="2421">
                  <c:v>2.4014508622682496E-2</c:v>
                </c:pt>
                <c:pt idx="2422">
                  <c:v>2.4009943181283865E-2</c:v>
                </c:pt>
                <c:pt idx="2423">
                  <c:v>2.4005342596000526E-2</c:v>
                </c:pt>
                <c:pt idx="2424">
                  <c:v>2.4000706867074052E-2</c:v>
                </c:pt>
                <c:pt idx="2425">
                  <c:v>2.3996035994747346E-2</c:v>
                </c:pt>
                <c:pt idx="2426">
                  <c:v>2.3991329979265071E-2</c:v>
                </c:pt>
                <c:pt idx="2427">
                  <c:v>2.3987923241705261E-2</c:v>
                </c:pt>
                <c:pt idx="2428">
                  <c:v>2.3983138459722463E-2</c:v>
                </c:pt>
                <c:pt idx="2429">
                  <c:v>2.3978318528592158E-2</c:v>
                </c:pt>
                <c:pt idx="2430">
                  <c:v>2.3973463448571101E-2</c:v>
                </c:pt>
                <c:pt idx="2431">
                  <c:v>2.3968139986161902E-2</c:v>
                </c:pt>
                <c:pt idx="2432">
                  <c:v>2.3961804549843826E-2</c:v>
                </c:pt>
                <c:pt idx="2433">
                  <c:v>2.3956836821611118E-2</c:v>
                </c:pt>
                <c:pt idx="2434">
                  <c:v>2.3951833947845589E-2</c:v>
                </c:pt>
                <c:pt idx="2435">
                  <c:v>2.394691440150086E-2</c:v>
                </c:pt>
                <c:pt idx="2436">
                  <c:v>2.3942976653388005E-2</c:v>
                </c:pt>
                <c:pt idx="2437">
                  <c:v>2.39378597992605E-2</c:v>
                </c:pt>
                <c:pt idx="2438">
                  <c:v>2.3932707793979609E-2</c:v>
                </c:pt>
                <c:pt idx="2439">
                  <c:v>2.3926292405371117E-2</c:v>
                </c:pt>
                <c:pt idx="2440">
                  <c:v>2.3921078664040866E-2</c:v>
                </c:pt>
                <c:pt idx="2441">
                  <c:v>2.3915829779071356E-2</c:v>
                </c:pt>
                <c:pt idx="2442">
                  <c:v>2.3910545750742151E-2</c:v>
                </c:pt>
                <c:pt idx="2443">
                  <c:v>2.3906420510039036E-2</c:v>
                </c:pt>
                <c:pt idx="2444">
                  <c:v>2.3901057603724303E-2</c:v>
                </c:pt>
                <c:pt idx="2445">
                  <c:v>2.3895659548236969E-2</c:v>
                </c:pt>
                <c:pt idx="2446">
                  <c:v>2.389022634386798E-2</c:v>
                </c:pt>
                <c:pt idx="2447">
                  <c:v>2.3884757990908712E-2</c:v>
                </c:pt>
                <c:pt idx="2448">
                  <c:v>2.3878103585995174E-2</c:v>
                </c:pt>
                <c:pt idx="2449">
                  <c:v>2.387371584040035E-2</c:v>
                </c:pt>
                <c:pt idx="2450">
                  <c:v>2.3868142043446044E-2</c:v>
                </c:pt>
                <c:pt idx="2451">
                  <c:v>2.3862533099090619E-2</c:v>
                </c:pt>
                <c:pt idx="2452">
                  <c:v>2.3855772645106389E-2</c:v>
                </c:pt>
                <c:pt idx="2453">
                  <c:v>2.3849362287598458E-2</c:v>
                </c:pt>
                <c:pt idx="2454">
                  <c:v>2.3843662331898097E-2</c:v>
                </c:pt>
                <c:pt idx="2455">
                  <c:v>2.3837927241023408E-2</c:v>
                </c:pt>
                <c:pt idx="2456">
                  <c:v>2.3832157015275586E-2</c:v>
                </c:pt>
                <c:pt idx="2457">
                  <c:v>2.3826710116489569E-2</c:v>
                </c:pt>
                <c:pt idx="2458">
                  <c:v>2.3820866727981123E-2</c:v>
                </c:pt>
                <c:pt idx="2459">
                  <c:v>2.381498820331715E-2</c:v>
                </c:pt>
                <c:pt idx="2460">
                  <c:v>2.3809074542807295E-2</c:v>
                </c:pt>
                <c:pt idx="2461">
                  <c:v>2.3803125746763399E-2</c:v>
                </c:pt>
                <c:pt idx="2462">
                  <c:v>2.3796797845511933E-2</c:v>
                </c:pt>
                <c:pt idx="2463">
                  <c:v>2.3790781684218592E-2</c:v>
                </c:pt>
                <c:pt idx="2464">
                  <c:v>2.3784730390523069E-2</c:v>
                </c:pt>
                <c:pt idx="2465">
                  <c:v>2.3778643964740252E-2</c:v>
                </c:pt>
                <c:pt idx="2466">
                  <c:v>2.3772854981011362E-2</c:v>
                </c:pt>
                <c:pt idx="2467">
                  <c:v>2.3766697546944125E-2</c:v>
                </c:pt>
                <c:pt idx="2468">
                  <c:v>2.376050916337151E-2</c:v>
                </c:pt>
                <c:pt idx="2469">
                  <c:v>2.3750727449235686E-2</c:v>
                </c:pt>
                <c:pt idx="2470">
                  <c:v>2.374683067422384E-2</c:v>
                </c:pt>
                <c:pt idx="2471">
                  <c:v>2.3741458094571958E-2</c:v>
                </c:pt>
                <c:pt idx="2472">
                  <c:v>2.3735169583269555E-2</c:v>
                </c:pt>
                <c:pt idx="2473">
                  <c:v>2.372886115062478E-2</c:v>
                </c:pt>
                <c:pt idx="2474">
                  <c:v>2.372253506190098E-2</c:v>
                </c:pt>
                <c:pt idx="2475">
                  <c:v>2.3716193582335867E-2</c:v>
                </c:pt>
                <c:pt idx="2476">
                  <c:v>2.3709838977135373E-2</c:v>
                </c:pt>
                <c:pt idx="2477">
                  <c:v>2.3703473511479802E-2</c:v>
                </c:pt>
                <c:pt idx="2478">
                  <c:v>2.3697099450520755E-2</c:v>
                </c:pt>
                <c:pt idx="2479">
                  <c:v>2.3692317919148241E-2</c:v>
                </c:pt>
                <c:pt idx="2480">
                  <c:v>2.3685935617770524E-2</c:v>
                </c:pt>
                <c:pt idx="2481">
                  <c:v>2.3679552195000796E-2</c:v>
                </c:pt>
                <c:pt idx="2482">
                  <c:v>2.3673169855701587E-2</c:v>
                </c:pt>
                <c:pt idx="2483">
                  <c:v>2.3665823652248591E-2</c:v>
                </c:pt>
                <c:pt idx="2484">
                  <c:v>2.3659447377205767E-2</c:v>
                </c:pt>
                <c:pt idx="2485">
                  <c:v>2.3653078540103914E-2</c:v>
                </c:pt>
                <c:pt idx="2486">
                  <c:v>2.3646719381400907E-2</c:v>
                </c:pt>
                <c:pt idx="2487">
                  <c:v>2.3640372141524483E-2</c:v>
                </c:pt>
                <c:pt idx="2488">
                  <c:v>2.3635022041345578E-2</c:v>
                </c:pt>
                <c:pt idx="2489">
                  <c:v>2.3628709020024823E-2</c:v>
                </c:pt>
                <c:pt idx="2490">
                  <c:v>2.3622414720029201E-2</c:v>
                </c:pt>
                <c:pt idx="2491">
                  <c:v>2.3616141345964244E-2</c:v>
                </c:pt>
                <c:pt idx="2492">
                  <c:v>2.3608892902399588E-2</c:v>
                </c:pt>
                <c:pt idx="2493">
                  <c:v>2.3602662066249603E-2</c:v>
                </c:pt>
                <c:pt idx="2494">
                  <c:v>2.3596454670277503E-2</c:v>
                </c:pt>
                <c:pt idx="2495">
                  <c:v>2.359128011354699E-2</c:v>
                </c:pt>
                <c:pt idx="2496">
                  <c:v>2.3585123417201564E-2</c:v>
                </c:pt>
                <c:pt idx="2497">
                  <c:v>2.3578990165222156E-2</c:v>
                </c:pt>
                <c:pt idx="2498">
                  <c:v>2.3572880357390445E-2</c:v>
                </c:pt>
                <c:pt idx="2499">
                  <c:v>2.3566793993486393E-2</c:v>
                </c:pt>
                <c:pt idx="2500">
                  <c:v>2.3559702525971706E-2</c:v>
                </c:pt>
                <c:pt idx="2501">
                  <c:v>2.3554691596589711E-2</c:v>
                </c:pt>
                <c:pt idx="2502">
                  <c:v>2.3548675563163018E-2</c:v>
                </c:pt>
                <c:pt idx="2503">
                  <c:v>2.354268297279543E-2</c:v>
                </c:pt>
                <c:pt idx="2504">
                  <c:v>2.3535669872552029E-2</c:v>
                </c:pt>
                <c:pt idx="2505">
                  <c:v>2.352902245246254E-2</c:v>
                </c:pt>
                <c:pt idx="2506">
                  <c:v>2.3523093743985014E-2</c:v>
                </c:pt>
                <c:pt idx="2507">
                  <c:v>2.3517188469695562E-2</c:v>
                </c:pt>
                <c:pt idx="2508">
                  <c:v>2.3511306629385286E-2</c:v>
                </c:pt>
                <c:pt idx="2509">
                  <c:v>2.3505802244318207E-2</c:v>
                </c:pt>
                <c:pt idx="2510">
                  <c:v>2.3499968566552298E-2</c:v>
                </c:pt>
                <c:pt idx="2511">
                  <c:v>2.3494158323752446E-2</c:v>
                </c:pt>
                <c:pt idx="2512">
                  <c:v>2.3488371515714417E-2</c:v>
                </c:pt>
                <c:pt idx="2513">
                  <c:v>2.3482608142235732E-2</c:v>
                </c:pt>
                <c:pt idx="2514">
                  <c:v>2.3476507689669621E-2</c:v>
                </c:pt>
                <c:pt idx="2515">
                  <c:v>2.347078988151825E-2</c:v>
                </c:pt>
                <c:pt idx="2516">
                  <c:v>2.3465095505726577E-2</c:v>
                </c:pt>
                <c:pt idx="2517">
                  <c:v>2.345942456209631E-2</c:v>
                </c:pt>
                <c:pt idx="2518">
                  <c:v>2.3454142786170938E-2</c:v>
                </c:pt>
                <c:pt idx="2519">
                  <c:v>2.3448520015824471E-2</c:v>
                </c:pt>
                <c:pt idx="2520">
                  <c:v>2.344292067863803E-2</c:v>
                </c:pt>
                <c:pt idx="2521">
                  <c:v>2.3437344774415291E-2</c:v>
                </c:pt>
                <c:pt idx="2522">
                  <c:v>2.3431421319467252E-2</c:v>
                </c:pt>
                <c:pt idx="2523">
                  <c:v>2.3425890964676562E-2</c:v>
                </c:pt>
                <c:pt idx="2524">
                  <c:v>2.3420384040678643E-2</c:v>
                </c:pt>
                <c:pt idx="2525">
                  <c:v>2.3414900547281393E-2</c:v>
                </c:pt>
                <c:pt idx="2526">
                  <c:v>2.3409440484293133E-2</c:v>
                </c:pt>
                <c:pt idx="2527">
                  <c:v>2.3404003851523084E-2</c:v>
                </c:pt>
                <c:pt idx="2528">
                  <c:v>2.3398590648781338E-2</c:v>
                </c:pt>
                <c:pt idx="2529">
                  <c:v>2.339320087587932E-2</c:v>
                </c:pt>
                <c:pt idx="2530">
                  <c:v>2.3387834532628448E-2</c:v>
                </c:pt>
                <c:pt idx="2531">
                  <c:v>2.3384407474724627E-2</c:v>
                </c:pt>
                <c:pt idx="2532">
                  <c:v>2.3379094642963862E-2</c:v>
                </c:pt>
                <c:pt idx="2533">
                  <c:v>2.3373805248178895E-2</c:v>
                </c:pt>
                <c:pt idx="2534">
                  <c:v>2.3368539290178059E-2</c:v>
                </c:pt>
                <c:pt idx="2535">
                  <c:v>2.3362130826524257E-2</c:v>
                </c:pt>
                <c:pt idx="2536">
                  <c:v>2.3356907730365833E-2</c:v>
                </c:pt>
                <c:pt idx="2537">
                  <c:v>2.3351708065708961E-2</c:v>
                </c:pt>
                <c:pt idx="2538">
                  <c:v>2.3346531832371484E-2</c:v>
                </c:pt>
                <c:pt idx="2539">
                  <c:v>2.3341379030170823E-2</c:v>
                </c:pt>
                <c:pt idx="2540">
                  <c:v>2.3337435704139264E-2</c:v>
                </c:pt>
                <c:pt idx="2541">
                  <c:v>2.3332333798391069E-2</c:v>
                </c:pt>
                <c:pt idx="2542">
                  <c:v>2.332725532794002E-2</c:v>
                </c:pt>
                <c:pt idx="2543">
                  <c:v>2.332220029260389E-2</c:v>
                </c:pt>
                <c:pt idx="2544">
                  <c:v>2.3315966479873291E-2</c:v>
                </c:pt>
                <c:pt idx="2545">
                  <c:v>2.3310954260698943E-2</c:v>
                </c:pt>
                <c:pt idx="2546">
                  <c:v>2.3305965471406016E-2</c:v>
                </c:pt>
                <c:pt idx="2547">
                  <c:v>2.3301000111816732E-2</c:v>
                </c:pt>
                <c:pt idx="2548">
                  <c:v>2.3297276636329155E-2</c:v>
                </c:pt>
                <c:pt idx="2549">
                  <c:v>2.32923622079028E-2</c:v>
                </c:pt>
                <c:pt idx="2550">
                  <c:v>2.3287471213340752E-2</c:v>
                </c:pt>
                <c:pt idx="2551">
                  <c:v>2.3282603652465528E-2</c:v>
                </c:pt>
                <c:pt idx="2552">
                  <c:v>2.3277759525103497E-2</c:v>
                </c:pt>
                <c:pt idx="2553">
                  <c:v>2.3272938831080173E-2</c:v>
                </c:pt>
                <c:pt idx="2554">
                  <c:v>2.3268141570223659E-2</c:v>
                </c:pt>
                <c:pt idx="2555">
                  <c:v>2.3263367742361183E-2</c:v>
                </c:pt>
                <c:pt idx="2556">
                  <c:v>2.3258617347320841E-2</c:v>
                </c:pt>
                <c:pt idx="2557">
                  <c:v>2.3252216985173595E-2</c:v>
                </c:pt>
                <c:pt idx="2558">
                  <c:v>2.3247507969911471E-2</c:v>
                </c:pt>
                <c:pt idx="2559">
                  <c:v>2.3242822380752162E-2</c:v>
                </c:pt>
                <c:pt idx="2560">
                  <c:v>2.3238160217530529E-2</c:v>
                </c:pt>
                <c:pt idx="2561">
                  <c:v>2.3233521480084063E-2</c:v>
                </c:pt>
                <c:pt idx="2562">
                  <c:v>2.3229331165281485E-2</c:v>
                </c:pt>
                <c:pt idx="2563">
                  <c:v>2.3224740657686892E-2</c:v>
                </c:pt>
                <c:pt idx="2564">
                  <c:v>2.3220173576929595E-2</c:v>
                </c:pt>
                <c:pt idx="2565">
                  <c:v>2.3215629922848421E-2</c:v>
                </c:pt>
                <c:pt idx="2566">
                  <c:v>2.3210679173800673E-2</c:v>
                </c:pt>
                <c:pt idx="2567">
                  <c:v>2.3206180987610989E-2</c:v>
                </c:pt>
                <c:pt idx="2568">
                  <c:v>2.3201706226073416E-2</c:v>
                </c:pt>
                <c:pt idx="2569">
                  <c:v>2.3197254889030714E-2</c:v>
                </c:pt>
                <c:pt idx="2570">
                  <c:v>2.3193263046996648E-2</c:v>
                </c:pt>
                <c:pt idx="2571">
                  <c:v>2.3188859949631904E-2</c:v>
                </c:pt>
                <c:pt idx="2572">
                  <c:v>2.3184480277837712E-2</c:v>
                </c:pt>
                <c:pt idx="2573">
                  <c:v>2.318012403145988E-2</c:v>
                </c:pt>
                <c:pt idx="2574">
                  <c:v>2.3175791210344653E-2</c:v>
                </c:pt>
                <c:pt idx="2575">
                  <c:v>2.317103877247529E-2</c:v>
                </c:pt>
                <c:pt idx="2576">
                  <c:v>2.3166751402566965E-2</c:v>
                </c:pt>
                <c:pt idx="2577">
                  <c:v>2.3162487455927677E-2</c:v>
                </c:pt>
                <c:pt idx="2578">
                  <c:v>2.315824693240634E-2</c:v>
                </c:pt>
                <c:pt idx="2579">
                  <c:v>2.3154029831853624E-2</c:v>
                </c:pt>
                <c:pt idx="2580">
                  <c:v>2.3149836154122829E-2</c:v>
                </c:pt>
                <c:pt idx="2581">
                  <c:v>2.3145665899065946E-2</c:v>
                </c:pt>
                <c:pt idx="2582">
                  <c:v>2.3141519066535839E-2</c:v>
                </c:pt>
                <c:pt idx="2583">
                  <c:v>2.3139213685461416E-2</c:v>
                </c:pt>
                <c:pt idx="2584">
                  <c:v>2.3135119343335862E-2</c:v>
                </c:pt>
                <c:pt idx="2585">
                  <c:v>2.3131048429431821E-2</c:v>
                </c:pt>
                <c:pt idx="2586">
                  <c:v>2.3127000943603607E-2</c:v>
                </c:pt>
                <c:pt idx="2587">
                  <c:v>2.3121596166251566E-2</c:v>
                </c:pt>
                <c:pt idx="2588">
                  <c:v>2.3117591283125235E-2</c:v>
                </c:pt>
                <c:pt idx="2589">
                  <c:v>2.311360982305475E-2</c:v>
                </c:pt>
                <c:pt idx="2590">
                  <c:v>2.3109651785898144E-2</c:v>
                </c:pt>
                <c:pt idx="2591">
                  <c:v>2.3105717171517388E-2</c:v>
                </c:pt>
                <c:pt idx="2592">
                  <c:v>2.3103208010149621E-2</c:v>
                </c:pt>
                <c:pt idx="2593">
                  <c:v>2.3099324516831728E-2</c:v>
                </c:pt>
                <c:pt idx="2594">
                  <c:v>2.3095464450451644E-2</c:v>
                </c:pt>
                <c:pt idx="2595">
                  <c:v>2.3091627810870558E-2</c:v>
                </c:pt>
                <c:pt idx="2596">
                  <c:v>2.308639543639885E-2</c:v>
                </c:pt>
                <c:pt idx="2597">
                  <c:v>2.3082601355779334E-2</c:v>
                </c:pt>
                <c:pt idx="2598">
                  <c:v>2.3078830696979056E-2</c:v>
                </c:pt>
                <c:pt idx="2599">
                  <c:v>2.3075083459865666E-2</c:v>
                </c:pt>
                <c:pt idx="2600">
                  <c:v>2.3071359644306368E-2</c:v>
                </c:pt>
                <c:pt idx="2601">
                  <c:v>2.3069099928510559E-2</c:v>
                </c:pt>
                <c:pt idx="2602">
                  <c:v>2.3065427272716023E-2</c:v>
                </c:pt>
                <c:pt idx="2603">
                  <c:v>2.306177804264177E-2</c:v>
                </c:pt>
                <c:pt idx="2604">
                  <c:v>2.3058152238157593E-2</c:v>
                </c:pt>
                <c:pt idx="2605">
                  <c:v>2.3054549859134552E-2</c:v>
                </c:pt>
                <c:pt idx="2606">
                  <c:v>2.3050970905442437E-2</c:v>
                </c:pt>
                <c:pt idx="2607">
                  <c:v>2.3047415376952742E-2</c:v>
                </c:pt>
                <c:pt idx="2608">
                  <c:v>2.3043883273538689E-2</c:v>
                </c:pt>
                <c:pt idx="2609">
                  <c:v>2.3037916489326033E-2</c:v>
                </c:pt>
                <c:pt idx="2610">
                  <c:v>2.3034423980926866E-2</c:v>
                </c:pt>
                <c:pt idx="2611">
                  <c:v>2.3030954889653173E-2</c:v>
                </c:pt>
                <c:pt idx="2612">
                  <c:v>2.3027509215383948E-2</c:v>
                </c:pt>
                <c:pt idx="2613">
                  <c:v>2.3024086957998628E-2</c:v>
                </c:pt>
                <c:pt idx="2614">
                  <c:v>2.3021186687211689E-2</c:v>
                </c:pt>
                <c:pt idx="2615">
                  <c:v>2.3017812721348511E-2</c:v>
                </c:pt>
                <c:pt idx="2616">
                  <c:v>2.3014462173525145E-2</c:v>
                </c:pt>
                <c:pt idx="2617">
                  <c:v>2.3011135043623451E-2</c:v>
                </c:pt>
                <c:pt idx="2618">
                  <c:v>2.3007326920178719E-2</c:v>
                </c:pt>
                <c:pt idx="2619">
                  <c:v>2.3004045161617907E-2</c:v>
                </c:pt>
                <c:pt idx="2620">
                  <c:v>2.3000786819121759E-2</c:v>
                </c:pt>
                <c:pt idx="2621">
                  <c:v>2.2997551892576337E-2</c:v>
                </c:pt>
                <c:pt idx="2622">
                  <c:v>2.2994850658883886E-2</c:v>
                </c:pt>
                <c:pt idx="2623">
                  <c:v>2.2991664034089081E-2</c:v>
                </c:pt>
                <c:pt idx="2624">
                  <c:v>2.298850082641658E-2</c:v>
                </c:pt>
                <c:pt idx="2625">
                  <c:v>2.2985361035753511E-2</c:v>
                </c:pt>
                <c:pt idx="2626">
                  <c:v>2.2981801377317805E-2</c:v>
                </c:pt>
                <c:pt idx="2627">
                  <c:v>2.2978193911576513E-2</c:v>
                </c:pt>
                <c:pt idx="2628">
                  <c:v>2.2975126238590604E-2</c:v>
                </c:pt>
                <c:pt idx="2629">
                  <c:v>2.2972081980659781E-2</c:v>
                </c:pt>
                <c:pt idx="2630">
                  <c:v>2.2969061137678052E-2</c:v>
                </c:pt>
                <c:pt idx="2631">
                  <c:v>2.296606370953987E-2</c:v>
                </c:pt>
                <c:pt idx="2632">
                  <c:v>2.2963089696140124E-2</c:v>
                </c:pt>
                <c:pt idx="2633">
                  <c:v>2.2960139097376795E-2</c:v>
                </c:pt>
                <c:pt idx="2634">
                  <c:v>2.2957211913145214E-2</c:v>
                </c:pt>
                <c:pt idx="2635">
                  <c:v>2.2956428010763332E-2</c:v>
                </c:pt>
                <c:pt idx="2636">
                  <c:v>2.295355361629127E-2</c:v>
                </c:pt>
                <c:pt idx="2637">
                  <c:v>2.2950702642047127E-2</c:v>
                </c:pt>
                <c:pt idx="2638">
                  <c:v>2.2947875087927633E-2</c:v>
                </c:pt>
                <c:pt idx="2639">
                  <c:v>2.2943462894729635E-2</c:v>
                </c:pt>
                <c:pt idx="2640">
                  <c:v>2.2942290239661621E-2</c:v>
                </c:pt>
                <c:pt idx="2641">
                  <c:v>2.2939532945316345E-2</c:v>
                </c:pt>
                <c:pt idx="2642">
                  <c:v>2.2934164463776472E-2</c:v>
                </c:pt>
                <c:pt idx="2643">
                  <c:v>2.293408861570996E-2</c:v>
                </c:pt>
                <c:pt idx="2644">
                  <c:v>2.2931401580253551E-2</c:v>
                </c:pt>
                <c:pt idx="2645">
                  <c:v>2.2928737964234339E-2</c:v>
                </c:pt>
                <c:pt idx="2646">
                  <c:v>2.2926097767555977E-2</c:v>
                </c:pt>
                <c:pt idx="2647">
                  <c:v>2.2923480990126425E-2</c:v>
                </c:pt>
                <c:pt idx="2648">
                  <c:v>2.2920887631850621E-2</c:v>
                </c:pt>
                <c:pt idx="2649">
                  <c:v>2.2918317692636105E-2</c:v>
                </c:pt>
                <c:pt idx="2650">
                  <c:v>2.2915771172392133E-2</c:v>
                </c:pt>
                <c:pt idx="2651">
                  <c:v>2.2913248071027108E-2</c:v>
                </c:pt>
                <c:pt idx="2652">
                  <c:v>2.2910748388451151E-2</c:v>
                </c:pt>
                <c:pt idx="2653">
                  <c:v>2.2908272124574823E-2</c:v>
                </c:pt>
                <c:pt idx="2654">
                  <c:v>2.2905819279309975E-2</c:v>
                </c:pt>
                <c:pt idx="2655">
                  <c:v>2.2903389852569331E-2</c:v>
                </c:pt>
                <c:pt idx="2656">
                  <c:v>2.2900983844266039E-2</c:v>
                </c:pt>
                <c:pt idx="2657">
                  <c:v>2.2898601254313679E-2</c:v>
                </c:pt>
                <c:pt idx="2658">
                  <c:v>2.2896242082628863E-2</c:v>
                </c:pt>
                <c:pt idx="2659">
                  <c:v>2.28939063291256E-2</c:v>
                </c:pt>
                <c:pt idx="2660">
                  <c:v>2.2891593993720934E-2</c:v>
                </c:pt>
                <c:pt idx="2661">
                  <c:v>2.288702827808425E-2</c:v>
                </c:pt>
                <c:pt idx="2662">
                  <c:v>2.2884756662252679E-2</c:v>
                </c:pt>
                <c:pt idx="2663">
                  <c:v>2.2882508458322032E-2</c:v>
                </c:pt>
                <c:pt idx="2664">
                  <c:v>2.2880283666214144E-2</c:v>
                </c:pt>
                <c:pt idx="2665">
                  <c:v>2.2878657354237466E-2</c:v>
                </c:pt>
                <c:pt idx="2666">
                  <c:v>2.287648092028045E-2</c:v>
                </c:pt>
                <c:pt idx="2667">
                  <c:v>2.2876642170873668E-2</c:v>
                </c:pt>
                <c:pt idx="2668">
                  <c:v>2.2872198291527725E-2</c:v>
                </c:pt>
                <c:pt idx="2669">
                  <c:v>2.2870092096580485E-2</c:v>
                </c:pt>
                <c:pt idx="2670">
                  <c:v>2.2867426557537866E-2</c:v>
                </c:pt>
                <c:pt idx="2671">
                  <c:v>2.2865365646056176E-2</c:v>
                </c:pt>
                <c:pt idx="2672">
                  <c:v>2.2863328145797938E-2</c:v>
                </c:pt>
                <c:pt idx="2673">
                  <c:v>2.2861314056692943E-2</c:v>
                </c:pt>
                <c:pt idx="2674">
                  <c:v>2.2859912313205551E-2</c:v>
                </c:pt>
                <c:pt idx="2675">
                  <c:v>2.2857946594304051E-2</c:v>
                </c:pt>
                <c:pt idx="2676">
                  <c:v>2.2856004287828836E-2</c:v>
                </c:pt>
                <c:pt idx="2677">
                  <c:v>2.2854085393714019E-2</c:v>
                </c:pt>
                <c:pt idx="2678">
                  <c:v>2.2849597845448759E-2</c:v>
                </c:pt>
                <c:pt idx="2679">
                  <c:v>2.2849522693744087E-2</c:v>
                </c:pt>
                <c:pt idx="2680">
                  <c:v>2.2847684070070116E-2</c:v>
                </c:pt>
                <c:pt idx="2681">
                  <c:v>2.2845868858463597E-2</c:v>
                </c:pt>
                <c:pt idx="2682">
                  <c:v>2.2844077058861278E-2</c:v>
                </c:pt>
                <c:pt idx="2683">
                  <c:v>2.284230867119948E-2</c:v>
                </c:pt>
                <c:pt idx="2684">
                  <c:v>2.2840563695417149E-2</c:v>
                </c:pt>
                <c:pt idx="2685">
                  <c:v>2.2838842131451917E-2</c:v>
                </c:pt>
                <c:pt idx="2686">
                  <c:v>2.2837143979244495E-2</c:v>
                </c:pt>
                <c:pt idx="2687">
                  <c:v>2.2836689459679437E-2</c:v>
                </c:pt>
                <c:pt idx="2688">
                  <c:v>2.2835041267436317E-2</c:v>
                </c:pt>
                <c:pt idx="2689">
                  <c:v>2.2833416489732632E-2</c:v>
                </c:pt>
                <c:pt idx="2690">
                  <c:v>2.2831815126512781E-2</c:v>
                </c:pt>
                <c:pt idx="2691">
                  <c:v>2.282962069691076E-2</c:v>
                </c:pt>
                <c:pt idx="2692">
                  <c:v>2.2828064588152407E-2</c:v>
                </c:pt>
                <c:pt idx="2693">
                  <c:v>2.2826098279418647E-2</c:v>
                </c:pt>
                <c:pt idx="2694">
                  <c:v>2.2825022609089442E-2</c:v>
                </c:pt>
                <c:pt idx="2695">
                  <c:v>2.2823536738677815E-2</c:v>
                </c:pt>
                <c:pt idx="2696">
                  <c:v>2.2822698648208344E-2</c:v>
                </c:pt>
                <c:pt idx="2697">
                  <c:v>2.282126118482437E-2</c:v>
                </c:pt>
                <c:pt idx="2698">
                  <c:v>2.2819847135491525E-2</c:v>
                </c:pt>
                <c:pt idx="2699">
                  <c:v>2.2818456500159418E-2</c:v>
                </c:pt>
                <c:pt idx="2700">
                  <c:v>2.2816458575743794E-2</c:v>
                </c:pt>
                <c:pt idx="2701">
                  <c:v>2.2815113180631754E-2</c:v>
                </c:pt>
                <c:pt idx="2702">
                  <c:v>2.2813791197899072E-2</c:v>
                </c:pt>
                <c:pt idx="2703">
                  <c:v>2.28124926274977E-2</c:v>
                </c:pt>
                <c:pt idx="2704">
                  <c:v>2.2812491773372544E-2</c:v>
                </c:pt>
                <c:pt idx="2705">
                  <c:v>2.2810604379493137E-2</c:v>
                </c:pt>
                <c:pt idx="2706">
                  <c:v>2.2809377640836393E-2</c:v>
                </c:pt>
                <c:pt idx="2707">
                  <c:v>2.2808174315808512E-2</c:v>
                </c:pt>
                <c:pt idx="2708">
                  <c:v>2.280699440436822E-2</c:v>
                </c:pt>
                <c:pt idx="2709">
                  <c:v>2.2805837906473815E-2</c:v>
                </c:pt>
                <c:pt idx="2710">
                  <c:v>2.2804704822082283E-2</c:v>
                </c:pt>
                <c:pt idx="2711">
                  <c:v>2.280359515115583E-2</c:v>
                </c:pt>
                <c:pt idx="2712">
                  <c:v>2.2802508893654056E-2</c:v>
                </c:pt>
                <c:pt idx="2713">
                  <c:v>2.2800143315585809E-2</c:v>
                </c:pt>
                <c:pt idx="2714">
                  <c:v>2.2799100671382747E-2</c:v>
                </c:pt>
                <c:pt idx="2715">
                  <c:v>2.2798081437542122E-2</c:v>
                </c:pt>
                <c:pt idx="2716">
                  <c:v>2.2797085614027924E-2</c:v>
                </c:pt>
                <c:pt idx="2717">
                  <c:v>2.2793484170562921E-2</c:v>
                </c:pt>
                <c:pt idx="2718">
                  <c:v>2.2795164197841326E-2</c:v>
                </c:pt>
                <c:pt idx="2719">
                  <c:v>2.2794238605100416E-2</c:v>
                </c:pt>
                <c:pt idx="2720">
                  <c:v>2.2793336422551089E-2</c:v>
                </c:pt>
                <c:pt idx="2721">
                  <c:v>2.2792457650160847E-2</c:v>
                </c:pt>
                <c:pt idx="2722">
                  <c:v>2.2791602287901582E-2</c:v>
                </c:pt>
                <c:pt idx="2723">
                  <c:v>2.2790770335739917E-2</c:v>
                </c:pt>
                <c:pt idx="2724">
                  <c:v>2.2789961793649054E-2</c:v>
                </c:pt>
                <c:pt idx="2725">
                  <c:v>2.278917666159869E-2</c:v>
                </c:pt>
                <c:pt idx="2726">
                  <c:v>2.2788414939563791E-2</c:v>
                </c:pt>
                <c:pt idx="2727">
                  <c:v>2.2787676627514492E-2</c:v>
                </c:pt>
                <c:pt idx="2728">
                  <c:v>2.2786961725427074E-2</c:v>
                </c:pt>
                <c:pt idx="2729">
                  <c:v>2.2786270233276062E-2</c:v>
                </c:pt>
                <c:pt idx="2730">
                  <c:v>2.2784829783773015E-2</c:v>
                </c:pt>
                <c:pt idx="2731">
                  <c:v>2.278418682402172E-2</c:v>
                </c:pt>
                <c:pt idx="2732">
                  <c:v>2.2783567272660347E-2</c:v>
                </c:pt>
                <c:pt idx="2733">
                  <c:v>2.2782971129667255E-2</c:v>
                </c:pt>
                <c:pt idx="2734">
                  <c:v>2.2782398395021688E-2</c:v>
                </c:pt>
                <c:pt idx="2735">
                  <c:v>2.2781849068703775E-2</c:v>
                </c:pt>
                <c:pt idx="2736">
                  <c:v>2.2781323150694078E-2</c:v>
                </c:pt>
                <c:pt idx="2737">
                  <c:v>2.2780820640974499E-2</c:v>
                </c:pt>
                <c:pt idx="2738">
                  <c:v>2.2780341539526922E-2</c:v>
                </c:pt>
                <c:pt idx="2739">
                  <c:v>2.2781967133318724E-2</c:v>
                </c:pt>
                <c:pt idx="2740">
                  <c:v>2.2781539783756466E-2</c:v>
                </c:pt>
                <c:pt idx="2741">
                  <c:v>2.2781135846836033E-2</c:v>
                </c:pt>
                <c:pt idx="2742">
                  <c:v>2.2780755322543519E-2</c:v>
                </c:pt>
                <c:pt idx="2743">
                  <c:v>2.2779599468733074E-2</c:v>
                </c:pt>
                <c:pt idx="2744">
                  <c:v>2.2779270807319799E-2</c:v>
                </c:pt>
                <c:pt idx="2745">
                  <c:v>2.2778965557019568E-2</c:v>
                </c:pt>
                <c:pt idx="2746">
                  <c:v>2.2778683717823652E-2</c:v>
                </c:pt>
                <c:pt idx="2747">
                  <c:v>2.2779806195946932E-2</c:v>
                </c:pt>
                <c:pt idx="2748">
                  <c:v>2.2780318688145999E-2</c:v>
                </c:pt>
                <c:pt idx="2749">
                  <c:v>2.2780112059866353E-2</c:v>
                </c:pt>
                <c:pt idx="2750">
                  <c:v>2.2779928847072171E-2</c:v>
                </c:pt>
                <c:pt idx="2751">
                  <c:v>2.2777625688069791E-2</c:v>
                </c:pt>
                <c:pt idx="2752">
                  <c:v>2.2777484315312353E-2</c:v>
                </c:pt>
                <c:pt idx="2753">
                  <c:v>2.277736635360594E-2</c:v>
                </c:pt>
                <c:pt idx="2754">
                  <c:v>2.277727180294618E-2</c:v>
                </c:pt>
                <c:pt idx="2755">
                  <c:v>2.2779364015193267E-2</c:v>
                </c:pt>
                <c:pt idx="2756">
                  <c:v>2.2779321295207437E-2</c:v>
                </c:pt>
                <c:pt idx="2757">
                  <c:v>2.2779301990679568E-2</c:v>
                </c:pt>
                <c:pt idx="2758">
                  <c:v>2.277930610160837E-2</c:v>
                </c:pt>
                <c:pt idx="2759">
                  <c:v>2.2779333627994704E-2</c:v>
                </c:pt>
                <c:pt idx="2760">
                  <c:v>2.2777196130840224E-2</c:v>
                </c:pt>
                <c:pt idx="2761">
                  <c:v>2.2779458927142966E-2</c:v>
                </c:pt>
                <c:pt idx="2762">
                  <c:v>2.2779556699909619E-2</c:v>
                </c:pt>
                <c:pt idx="2763">
                  <c:v>2.2779677888143262E-2</c:v>
                </c:pt>
                <c:pt idx="2764">
                  <c:v>2.2777613903593882E-2</c:v>
                </c:pt>
                <c:pt idx="2765">
                  <c:v>2.2777039379338133E-2</c:v>
                </c:pt>
                <c:pt idx="2766">
                  <c:v>2.2777224077376534E-2</c:v>
                </c:pt>
                <c:pt idx="2767">
                  <c:v>2.2777432185009203E-2</c:v>
                </c:pt>
                <c:pt idx="2768">
                  <c:v>2.2777663702243597E-2</c:v>
                </c:pt>
                <c:pt idx="2769">
                  <c:v>2.2778662868355927E-2</c:v>
                </c:pt>
                <c:pt idx="2770">
                  <c:v>2.2778942894551821E-2</c:v>
                </c:pt>
                <c:pt idx="2771">
                  <c:v>2.2782238744480585E-2</c:v>
                </c:pt>
                <c:pt idx="2772">
                  <c:v>2.2779573180260908E-2</c:v>
                </c:pt>
                <c:pt idx="2773">
                  <c:v>2.2779923439796821E-2</c:v>
                </c:pt>
                <c:pt idx="2774">
                  <c:v>2.2779544407796646E-2</c:v>
                </c:pt>
                <c:pt idx="2775">
                  <c:v>2.2779939792516777E-2</c:v>
                </c:pt>
                <c:pt idx="2776">
                  <c:v>2.2780358586926036E-2</c:v>
                </c:pt>
                <c:pt idx="2777">
                  <c:v>2.2780800791039363E-2</c:v>
                </c:pt>
                <c:pt idx="2778">
                  <c:v>2.2782025904808524E-2</c:v>
                </c:pt>
                <c:pt idx="2779">
                  <c:v>2.2782516631380471E-2</c:v>
                </c:pt>
                <c:pt idx="2780">
                  <c:v>2.2783030769180784E-2</c:v>
                </c:pt>
                <c:pt idx="2781">
                  <c:v>2.2783886000292068E-2</c:v>
                </c:pt>
                <c:pt idx="2782">
                  <c:v>2.2783444762020856E-2</c:v>
                </c:pt>
                <c:pt idx="2783">
                  <c:v>2.2783945620441969E-2</c:v>
                </c:pt>
                <c:pt idx="2784">
                  <c:v>2.2784551692967323E-2</c:v>
                </c:pt>
                <c:pt idx="2785">
                  <c:v>2.2785181175344314E-2</c:v>
                </c:pt>
                <c:pt idx="2786">
                  <c:v>2.2785834067595347E-2</c:v>
                </c:pt>
                <c:pt idx="2787">
                  <c:v>2.2786510369741938E-2</c:v>
                </c:pt>
                <c:pt idx="2788">
                  <c:v>2.2787210081810005E-2</c:v>
                </c:pt>
                <c:pt idx="2789">
                  <c:v>2.2787933203822386E-2</c:v>
                </c:pt>
                <c:pt idx="2790">
                  <c:v>2.278867973580543E-2</c:v>
                </c:pt>
                <c:pt idx="2791">
                  <c:v>2.2792577878613499E-2</c:v>
                </c:pt>
                <c:pt idx="2792">
                  <c:v>2.2793378120667625E-2</c:v>
                </c:pt>
                <c:pt idx="2793">
                  <c:v>2.2794201778683396E-2</c:v>
                </c:pt>
                <c:pt idx="2794">
                  <c:v>2.2795048852690892E-2</c:v>
                </c:pt>
                <c:pt idx="2795">
                  <c:v>2.2793552197918437E-2</c:v>
                </c:pt>
                <c:pt idx="2796">
                  <c:v>2.2794440918404053E-2</c:v>
                </c:pt>
                <c:pt idx="2797">
                  <c:v>2.2795353050540871E-2</c:v>
                </c:pt>
                <c:pt idx="2798">
                  <c:v>2.2796288594357273E-2</c:v>
                </c:pt>
                <c:pt idx="2799">
                  <c:v>2.2797247549889526E-2</c:v>
                </c:pt>
                <c:pt idx="2800">
                  <c:v>2.2800623034318568E-2</c:v>
                </c:pt>
                <c:pt idx="2801">
                  <c:v>2.2801634021164634E-2</c:v>
                </c:pt>
                <c:pt idx="2802">
                  <c:v>2.2802668424268022E-2</c:v>
                </c:pt>
                <c:pt idx="2803">
                  <c:v>2.2803726243668269E-2</c:v>
                </c:pt>
                <c:pt idx="2804">
                  <c:v>2.2802393504481367E-2</c:v>
                </c:pt>
                <c:pt idx="2805">
                  <c:v>2.2803492931039032E-2</c:v>
                </c:pt>
                <c:pt idx="2806">
                  <c:v>2.2804615769567636E-2</c:v>
                </c:pt>
                <c:pt idx="2807">
                  <c:v>2.2805762020103433E-2</c:v>
                </c:pt>
                <c:pt idx="2808">
                  <c:v>2.2809366586452069E-2</c:v>
                </c:pt>
                <c:pt idx="2809">
                  <c:v>2.2810564904448726E-2</c:v>
                </c:pt>
                <c:pt idx="2810">
                  <c:v>2.2811786639025028E-2</c:v>
                </c:pt>
                <c:pt idx="2811">
                  <c:v>2.2813031790223089E-2</c:v>
                </c:pt>
                <c:pt idx="2812">
                  <c:v>2.2814300358088038E-2</c:v>
                </c:pt>
                <c:pt idx="2813">
                  <c:v>2.2815592342666283E-2</c:v>
                </c:pt>
                <c:pt idx="2814">
                  <c:v>2.2816907744002097E-2</c:v>
                </c:pt>
                <c:pt idx="2815">
                  <c:v>2.2818246562144897E-2</c:v>
                </c:pt>
                <c:pt idx="2816">
                  <c:v>2.2819608797141101E-2</c:v>
                </c:pt>
                <c:pt idx="2817">
                  <c:v>2.2816858374496703E-2</c:v>
                </c:pt>
                <c:pt idx="2818">
                  <c:v>2.2818258638817993E-2</c:v>
                </c:pt>
                <c:pt idx="2819">
                  <c:v>2.2819682312717648E-2</c:v>
                </c:pt>
                <c:pt idx="2820">
                  <c:v>2.2821129396246895E-2</c:v>
                </c:pt>
                <c:pt idx="2821">
                  <c:v>2.2823433749130213E-2</c:v>
                </c:pt>
                <c:pt idx="2822">
                  <c:v>2.2824929418481219E-2</c:v>
                </c:pt>
                <c:pt idx="2823">
                  <c:v>2.2826448499101194E-2</c:v>
                </c:pt>
                <c:pt idx="2824">
                  <c:v>2.2827990991043722E-2</c:v>
                </c:pt>
                <c:pt idx="2825">
                  <c:v>2.2829556894361502E-2</c:v>
                </c:pt>
                <c:pt idx="2826">
                  <c:v>2.2830303502518901E-2</c:v>
                </c:pt>
                <c:pt idx="2827">
                  <c:v>2.2831914454911818E-2</c:v>
                </c:pt>
                <c:pt idx="2828">
                  <c:v>2.2833548817360071E-2</c:v>
                </c:pt>
                <c:pt idx="2829">
                  <c:v>2.2835206589921948E-2</c:v>
                </c:pt>
                <c:pt idx="2830">
                  <c:v>2.2837737583551742E-2</c:v>
                </c:pt>
                <c:pt idx="2831">
                  <c:v>2.2839443956311756E-2</c:v>
                </c:pt>
                <c:pt idx="2832">
                  <c:v>2.284117374084934E-2</c:v>
                </c:pt>
                <c:pt idx="2833">
                  <c:v>2.2842926937226865E-2</c:v>
                </c:pt>
                <c:pt idx="2834">
                  <c:v>2.2844703545504063E-2</c:v>
                </c:pt>
                <c:pt idx="2835">
                  <c:v>2.2845644840965136E-2</c:v>
                </c:pt>
                <c:pt idx="2836">
                  <c:v>2.2847466485984718E-2</c:v>
                </c:pt>
                <c:pt idx="2837">
                  <c:v>2.2849311541602399E-2</c:v>
                </c:pt>
                <c:pt idx="2838">
                  <c:v>2.2851180007884424E-2</c:v>
                </c:pt>
                <c:pt idx="2839">
                  <c:v>2.2853071884894834E-2</c:v>
                </c:pt>
                <c:pt idx="2840">
                  <c:v>2.2854987172698991E-2</c:v>
                </c:pt>
                <c:pt idx="2841">
                  <c:v>2.2856925871365348E-2</c:v>
                </c:pt>
                <c:pt idx="2842">
                  <c:v>2.2858887980961029E-2</c:v>
                </c:pt>
                <c:pt idx="2843">
                  <c:v>2.2865240911399083E-2</c:v>
                </c:pt>
                <c:pt idx="2844">
                  <c:v>2.2867258841219314E-2</c:v>
                </c:pt>
                <c:pt idx="2845">
                  <c:v>2.2869300189651113E-2</c:v>
                </c:pt>
                <c:pt idx="2846">
                  <c:v>2.2871364956769256E-2</c:v>
                </c:pt>
                <c:pt idx="2847">
                  <c:v>2.2870810445400125E-2</c:v>
                </c:pt>
                <c:pt idx="2848">
                  <c:v>2.2872916632600729E-2</c:v>
                </c:pt>
                <c:pt idx="2849">
                  <c:v>2.2875046234221021E-2</c:v>
                </c:pt>
                <c:pt idx="2850">
                  <c:v>2.2877199250335704E-2</c:v>
                </c:pt>
                <c:pt idx="2851">
                  <c:v>2.2879375681020341E-2</c:v>
                </c:pt>
                <c:pt idx="2852">
                  <c:v>2.2884245356077249E-2</c:v>
                </c:pt>
                <c:pt idx="2853">
                  <c:v>2.2886474056115103E-2</c:v>
                </c:pt>
                <c:pt idx="2854">
                  <c:v>2.2888726175453435E-2</c:v>
                </c:pt>
                <c:pt idx="2855">
                  <c:v>2.2891001714174759E-2</c:v>
                </c:pt>
                <c:pt idx="2856">
                  <c:v>2.2890609055713298E-2</c:v>
                </c:pt>
                <c:pt idx="2857">
                  <c:v>2.2892925975461813E-2</c:v>
                </c:pt>
                <c:pt idx="2858">
                  <c:v>2.2895266310335033E-2</c:v>
                </c:pt>
                <c:pt idx="2859">
                  <c:v>2.2897630060415074E-2</c:v>
                </c:pt>
                <c:pt idx="2860">
                  <c:v>2.2900017225787991E-2</c:v>
                </c:pt>
                <c:pt idx="2861">
                  <c:v>2.2905146758161625E-2</c:v>
                </c:pt>
                <c:pt idx="2862">
                  <c:v>2.2907586234891922E-2</c:v>
                </c:pt>
                <c:pt idx="2863">
                  <c:v>2.291004913168123E-2</c:v>
                </c:pt>
                <c:pt idx="2864">
                  <c:v>2.2912535448618081E-2</c:v>
                </c:pt>
                <c:pt idx="2865">
                  <c:v>2.2915045185791003E-2</c:v>
                </c:pt>
                <c:pt idx="2866">
                  <c:v>2.2917578343290251E-2</c:v>
                </c:pt>
                <c:pt idx="2867">
                  <c:v>2.2920134921207359E-2</c:v>
                </c:pt>
                <c:pt idx="2868">
                  <c:v>2.2922714919633873E-2</c:v>
                </c:pt>
                <c:pt idx="2869">
                  <c:v>2.292071454093347E-2</c:v>
                </c:pt>
                <c:pt idx="2870">
                  <c:v>2.2923332187339843E-2</c:v>
                </c:pt>
                <c:pt idx="2871">
                  <c:v>2.2925973246993248E-2</c:v>
                </c:pt>
                <c:pt idx="2872">
                  <c:v>2.2928637719985986E-2</c:v>
                </c:pt>
                <c:pt idx="2873">
                  <c:v>2.2931325606411247E-2</c:v>
                </c:pt>
                <c:pt idx="2874">
                  <c:v>2.2934966443009866E-2</c:v>
                </c:pt>
                <c:pt idx="2875">
                  <c:v>2.2937703002340656E-2</c:v>
                </c:pt>
                <c:pt idx="2876">
                  <c:v>2.2940462976899004E-2</c:v>
                </c:pt>
                <c:pt idx="2877">
                  <c:v>2.2943246366780658E-2</c:v>
                </c:pt>
                <c:pt idx="2878">
                  <c:v>2.29451162433367E-2</c:v>
                </c:pt>
                <c:pt idx="2879">
                  <c:v>2.2947944612356354E-2</c:v>
                </c:pt>
                <c:pt idx="2880">
                  <c:v>2.2950796395482906E-2</c:v>
                </c:pt>
                <c:pt idx="2881">
                  <c:v>2.2953671592813953E-2</c:v>
                </c:pt>
                <c:pt idx="2882">
                  <c:v>2.295751454950521E-2</c:v>
                </c:pt>
                <c:pt idx="2883">
                  <c:v>2.2960438433414703E-2</c:v>
                </c:pt>
                <c:pt idx="2884">
                  <c:v>2.2963385733348482E-2</c:v>
                </c:pt>
                <c:pt idx="2885">
                  <c:v>2.2966356449411956E-2</c:v>
                </c:pt>
                <c:pt idx="2886">
                  <c:v>2.2969350581708778E-2</c:v>
                </c:pt>
                <c:pt idx="2887">
                  <c:v>2.2971414480810793E-2</c:v>
                </c:pt>
                <c:pt idx="2888">
                  <c:v>2.2974453580440427E-2</c:v>
                </c:pt>
                <c:pt idx="2889">
                  <c:v>2.2977516095103068E-2</c:v>
                </c:pt>
                <c:pt idx="2890">
                  <c:v>2.2980602024904265E-2</c:v>
                </c:pt>
                <c:pt idx="2891">
                  <c:v>2.2983711369952219E-2</c:v>
                </c:pt>
                <c:pt idx="2892">
                  <c:v>2.2986844130354692E-2</c:v>
                </c:pt>
                <c:pt idx="2893">
                  <c:v>2.2990000306222089E-2</c:v>
                </c:pt>
                <c:pt idx="2894">
                  <c:v>2.2993179897663939E-2</c:v>
                </c:pt>
                <c:pt idx="2895">
                  <c:v>2.3001228187727263E-2</c:v>
                </c:pt>
                <c:pt idx="2896">
                  <c:v>2.3004464001055942E-2</c:v>
                </c:pt>
                <c:pt idx="2897">
                  <c:v>2.3007723237918276E-2</c:v>
                </c:pt>
                <c:pt idx="2898">
                  <c:v>2.3011005898432014E-2</c:v>
                </c:pt>
                <c:pt idx="2899">
                  <c:v>2.3011381584382703E-2</c:v>
                </c:pt>
                <c:pt idx="2900">
                  <c:v>2.3014705439306896E-2</c:v>
                </c:pt>
                <c:pt idx="2901">
                  <c:v>2.3018052713654868E-2</c:v>
                </c:pt>
                <c:pt idx="2902">
                  <c:v>2.3021423407543682E-2</c:v>
                </c:pt>
                <c:pt idx="2903">
                  <c:v>2.3024817521094334E-2</c:v>
                </c:pt>
                <c:pt idx="2904">
                  <c:v>2.3031193764844551E-2</c:v>
                </c:pt>
                <c:pt idx="2905">
                  <c:v>2.3034640394261688E-2</c:v>
                </c:pt>
                <c:pt idx="2906">
                  <c:v>2.3038110448295051E-2</c:v>
                </c:pt>
                <c:pt idx="2907">
                  <c:v>2.304160392707056E-2</c:v>
                </c:pt>
                <c:pt idx="2908">
                  <c:v>2.3042139387975957E-2</c:v>
                </c:pt>
                <c:pt idx="2909">
                  <c:v>2.3045674022033752E-2</c:v>
                </c:pt>
                <c:pt idx="2910">
                  <c:v>2.3049232076609093E-2</c:v>
                </c:pt>
                <c:pt idx="2911">
                  <c:v>2.3052813551826035E-2</c:v>
                </c:pt>
                <c:pt idx="2912">
                  <c:v>2.3056418447812126E-2</c:v>
                </c:pt>
                <c:pt idx="2913">
                  <c:v>2.3063056726367555E-2</c:v>
                </c:pt>
                <c:pt idx="2914">
                  <c:v>2.3066714181888368E-2</c:v>
                </c:pt>
                <c:pt idx="2915">
                  <c:v>2.3070395063177169E-2</c:v>
                </c:pt>
                <c:pt idx="2916">
                  <c:v>2.3074099370365472E-2</c:v>
                </c:pt>
                <c:pt idx="2917">
                  <c:v>2.3077827103586069E-2</c:v>
                </c:pt>
                <c:pt idx="2918">
                  <c:v>2.3081578262973051E-2</c:v>
                </c:pt>
                <c:pt idx="2919">
                  <c:v>2.3085352848660933E-2</c:v>
                </c:pt>
                <c:pt idx="2920">
                  <c:v>2.3089150860784658E-2</c:v>
                </c:pt>
                <c:pt idx="2921">
                  <c:v>2.3087880378822052E-2</c:v>
                </c:pt>
                <c:pt idx="2922">
                  <c:v>2.3091715654406462E-2</c:v>
                </c:pt>
                <c:pt idx="2923">
                  <c:v>2.3095574349117843E-2</c:v>
                </c:pt>
                <c:pt idx="2924">
                  <c:v>2.3099456463088683E-2</c:v>
                </c:pt>
                <c:pt idx="2925">
                  <c:v>2.3103361996455889E-2</c:v>
                </c:pt>
                <c:pt idx="2926">
                  <c:v>2.3108318483390709E-2</c:v>
                </c:pt>
                <c:pt idx="2927">
                  <c:v>2.3112272781180578E-2</c:v>
                </c:pt>
                <c:pt idx="2928">
                  <c:v>2.3116250500324537E-2</c:v>
                </c:pt>
                <c:pt idx="2929">
                  <c:v>2.3120251640964443E-2</c:v>
                </c:pt>
                <c:pt idx="2930">
                  <c:v>2.3123240959029175E-2</c:v>
                </c:pt>
                <c:pt idx="2931">
                  <c:v>2.3127287011662882E-2</c:v>
                </c:pt>
                <c:pt idx="2932">
                  <c:v>2.3131356484664113E-2</c:v>
                </c:pt>
                <c:pt idx="2933">
                  <c:v>2.3135449378175073E-2</c:v>
                </c:pt>
                <c:pt idx="2934">
                  <c:v>2.3140608671532496E-2</c:v>
                </c:pt>
                <c:pt idx="2935">
                  <c:v>2.3144750344120241E-2</c:v>
                </c:pt>
                <c:pt idx="2936">
                  <c:v>2.3148915439203579E-2</c:v>
                </c:pt>
                <c:pt idx="2937">
                  <c:v>2.31531039569292E-2</c:v>
                </c:pt>
                <c:pt idx="2938">
                  <c:v>2.3157919515303681E-2</c:v>
                </c:pt>
                <c:pt idx="2939">
                  <c:v>2.3161105264184332E-2</c:v>
                </c:pt>
                <c:pt idx="2940">
                  <c:v>2.316536545125198E-2</c:v>
                </c:pt>
                <c:pt idx="2941">
                  <c:v>2.31696490600178E-2</c:v>
                </c:pt>
                <c:pt idx="2942">
                  <c:v>2.3173956090629739E-2</c:v>
                </c:pt>
                <c:pt idx="2943">
                  <c:v>2.3178286543237957E-2</c:v>
                </c:pt>
                <c:pt idx="2944">
                  <c:v>2.3182640417993929E-2</c:v>
                </c:pt>
                <c:pt idx="2945">
                  <c:v>2.3187017715050464E-2</c:v>
                </c:pt>
                <c:pt idx="2946">
                  <c:v>2.3191418434559047E-2</c:v>
                </c:pt>
                <c:pt idx="2947">
                  <c:v>2.3200118251051224E-2</c:v>
                </c:pt>
                <c:pt idx="2948">
                  <c:v>2.3204573649916637E-2</c:v>
                </c:pt>
                <c:pt idx="2949">
                  <c:v>2.3209052477966695E-2</c:v>
                </c:pt>
                <c:pt idx="2950">
                  <c:v>2.3213554735360405E-2</c:v>
                </c:pt>
                <c:pt idx="2951">
                  <c:v>2.3214849785751411E-2</c:v>
                </c:pt>
                <c:pt idx="2952">
                  <c:v>2.3222629538823036E-2</c:v>
                </c:pt>
                <c:pt idx="2953">
                  <c:v>2.3227661384925533E-2</c:v>
                </c:pt>
                <c:pt idx="2954">
                  <c:v>2.3231798061601215E-2</c:v>
                </c:pt>
                <c:pt idx="2955">
                  <c:v>2.3236417468141961E-2</c:v>
                </c:pt>
                <c:pt idx="2956">
                  <c:v>2.3241060305002875E-2</c:v>
                </c:pt>
                <c:pt idx="2957">
                  <c:v>2.3245726572350744E-2</c:v>
                </c:pt>
                <c:pt idx="2958">
                  <c:v>2.325041627035106E-2</c:v>
                </c:pt>
                <c:pt idx="2959">
                  <c:v>2.3255129399171473E-2</c:v>
                </c:pt>
                <c:pt idx="2960">
                  <c:v>2.3259865958979626E-2</c:v>
                </c:pt>
                <c:pt idx="2961">
                  <c:v>2.3264625949945338E-2</c:v>
                </c:pt>
                <c:pt idx="2962">
                  <c:v>2.3269409372237981E-2</c:v>
                </c:pt>
                <c:pt idx="2963">
                  <c:v>2.3274216226029095E-2</c:v>
                </c:pt>
                <c:pt idx="2964">
                  <c:v>2.3279046511489786E-2</c:v>
                </c:pt>
                <c:pt idx="2965">
                  <c:v>2.3283900228791163E-2</c:v>
                </c:pt>
                <c:pt idx="2966">
                  <c:v>2.3288777378108218E-2</c:v>
                </c:pt>
                <c:pt idx="2967">
                  <c:v>2.329367795961465E-2</c:v>
                </c:pt>
                <c:pt idx="2968">
                  <c:v>2.329860197348373E-2</c:v>
                </c:pt>
                <c:pt idx="2969">
                  <c:v>2.330354941989347E-2</c:v>
                </c:pt>
                <c:pt idx="2970">
                  <c:v>2.3308520299019305E-2</c:v>
                </c:pt>
                <c:pt idx="2971">
                  <c:v>2.3313514611038387E-2</c:v>
                </c:pt>
                <c:pt idx="2972">
                  <c:v>2.3318532356129601E-2</c:v>
                </c:pt>
                <c:pt idx="2973">
                  <c:v>2.3320212121941217E-2</c:v>
                </c:pt>
                <c:pt idx="2974">
                  <c:v>2.3325270734676069E-2</c:v>
                </c:pt>
                <c:pt idx="2975">
                  <c:v>2.3330352776245178E-2</c:v>
                </c:pt>
                <c:pt idx="2976">
                  <c:v>2.3335458246824228E-2</c:v>
                </c:pt>
                <c:pt idx="2977">
                  <c:v>2.3343972583956658E-2</c:v>
                </c:pt>
                <c:pt idx="2978">
                  <c:v>2.3350261897222377E-2</c:v>
                </c:pt>
                <c:pt idx="2979">
                  <c:v>2.3354312712920745E-2</c:v>
                </c:pt>
                <c:pt idx="2980">
                  <c:v>2.3359517929102284E-2</c:v>
                </c:pt>
                <c:pt idx="2981">
                  <c:v>2.3364746579997455E-2</c:v>
                </c:pt>
                <c:pt idx="2982">
                  <c:v>2.3366583089630622E-2</c:v>
                </c:pt>
                <c:pt idx="2983">
                  <c:v>2.3371852568353443E-2</c:v>
                </c:pt>
                <c:pt idx="2984">
                  <c:v>2.3377145477543937E-2</c:v>
                </c:pt>
                <c:pt idx="2985">
                  <c:v>2.3382461817388771E-2</c:v>
                </c:pt>
                <c:pt idx="2986">
                  <c:v>2.3387801587434243E-2</c:v>
                </c:pt>
                <c:pt idx="2987">
                  <c:v>2.339660978651267E-2</c:v>
                </c:pt>
                <c:pt idx="2988">
                  <c:v>2.34019996506655E-2</c:v>
                </c:pt>
                <c:pt idx="2989">
                  <c:v>2.3407409617797074E-2</c:v>
                </c:pt>
                <c:pt idx="2990">
                  <c:v>2.3411709821521239E-2</c:v>
                </c:pt>
                <c:pt idx="2991">
                  <c:v>2.3417159795475567E-2</c:v>
                </c:pt>
                <c:pt idx="2992">
                  <c:v>2.3422625861702902E-2</c:v>
                </c:pt>
                <c:pt idx="2993">
                  <c:v>2.3428106702951007E-2</c:v>
                </c:pt>
                <c:pt idx="2994">
                  <c:v>2.3433601001954463E-2</c:v>
                </c:pt>
                <c:pt idx="2995">
                  <c:v>2.3439107441430278E-2</c:v>
                </c:pt>
                <c:pt idx="2996">
                  <c:v>2.3444624704084933E-2</c:v>
                </c:pt>
                <c:pt idx="2997">
                  <c:v>2.3450151472607768E-2</c:v>
                </c:pt>
                <c:pt idx="2998">
                  <c:v>2.3455686429676267E-2</c:v>
                </c:pt>
                <c:pt idx="2999">
                  <c:v>2.3463546604459755E-2</c:v>
                </c:pt>
                <c:pt idx="3000">
                  <c:v>2.3469094179188479E-2</c:v>
                </c:pt>
                <c:pt idx="3001">
                  <c:v>2.3474645827444369E-2</c:v>
                </c:pt>
                <c:pt idx="3002">
                  <c:v>2.3480200245995123E-2</c:v>
                </c:pt>
                <c:pt idx="3003">
                  <c:v>2.3484597024432615E-2</c:v>
                </c:pt>
                <c:pt idx="3004">
                  <c:v>2.3491740616475326E-2</c:v>
                </c:pt>
                <c:pt idx="3005">
                  <c:v>2.3495708413442815E-2</c:v>
                </c:pt>
                <c:pt idx="3006">
                  <c:v>2.3501261167724986E-2</c:v>
                </c:pt>
                <c:pt idx="3007">
                  <c:v>2.3506810214740534E-2</c:v>
                </c:pt>
                <c:pt idx="3008">
                  <c:v>2.3514303415525638E-2</c:v>
                </c:pt>
                <c:pt idx="3009">
                  <c:v>2.3519839720470125E-2</c:v>
                </c:pt>
                <c:pt idx="3010">
                  <c:v>2.3525368183127792E-2</c:v>
                </c:pt>
                <c:pt idx="3011">
                  <c:v>2.3530887500131662E-2</c:v>
                </c:pt>
                <c:pt idx="3012">
                  <c:v>2.3535240408543632E-2</c:v>
                </c:pt>
                <c:pt idx="3013">
                  <c:v>2.3540738954833829E-2</c:v>
                </c:pt>
                <c:pt idx="3014">
                  <c:v>2.3546226680168088E-2</c:v>
                </c:pt>
                <c:pt idx="3015">
                  <c:v>2.3551703584455561E-2</c:v>
                </c:pt>
                <c:pt idx="3016">
                  <c:v>2.3559478422821242E-2</c:v>
                </c:pt>
                <c:pt idx="3017">
                  <c:v>2.3563778884054233E-2</c:v>
                </c:pt>
                <c:pt idx="3018">
                  <c:v>2.3569222905941437E-2</c:v>
                </c:pt>
                <c:pt idx="3019">
                  <c:v>2.3574656105797977E-2</c:v>
                </c:pt>
                <c:pt idx="3020">
                  <c:v>2.3580078483532187E-2</c:v>
                </c:pt>
                <c:pt idx="3021">
                  <c:v>2.3585490039055881E-2</c:v>
                </c:pt>
                <c:pt idx="3022">
                  <c:v>2.359089077228043E-2</c:v>
                </c:pt>
                <c:pt idx="3023">
                  <c:v>2.3596280683117647E-2</c:v>
                </c:pt>
                <c:pt idx="3024">
                  <c:v>2.3601659771478035E-2</c:v>
                </c:pt>
                <c:pt idx="3025">
                  <c:v>2.3603576304235332E-2</c:v>
                </c:pt>
                <c:pt idx="3026">
                  <c:v>2.3608935018497493E-2</c:v>
                </c:pt>
                <c:pt idx="3027">
                  <c:v>2.3614282911919297E-2</c:v>
                </c:pt>
                <c:pt idx="3028">
                  <c:v>2.3619619984412862E-2</c:v>
                </c:pt>
                <c:pt idx="3029">
                  <c:v>2.3626095105824765E-2</c:v>
                </c:pt>
                <c:pt idx="3030">
                  <c:v>2.3631410110031188E-2</c:v>
                </c:pt>
                <c:pt idx="3031">
                  <c:v>2.3636714292416809E-2</c:v>
                </c:pt>
                <c:pt idx="3032">
                  <c:v>2.364200765289598E-2</c:v>
                </c:pt>
                <c:pt idx="3033">
                  <c:v>2.3647290191382619E-2</c:v>
                </c:pt>
                <c:pt idx="3034">
                  <c:v>2.3651415175081462E-2</c:v>
                </c:pt>
                <c:pt idx="3035">
                  <c:v>2.3656676498678808E-2</c:v>
                </c:pt>
                <c:pt idx="3036">
                  <c:v>2.3661927000663378E-2</c:v>
                </c:pt>
                <c:pt idx="3037">
                  <c:v>2.3667166680952586E-2</c:v>
                </c:pt>
                <c:pt idx="3038">
                  <c:v>2.3673540550934614E-2</c:v>
                </c:pt>
                <c:pt idx="3039">
                  <c:v>2.3678758155671886E-2</c:v>
                </c:pt>
                <c:pt idx="3040">
                  <c:v>2.3683964937819303E-2</c:v>
                </c:pt>
                <c:pt idx="3041">
                  <c:v>2.3689160897293851E-2</c:v>
                </c:pt>
                <c:pt idx="3042">
                  <c:v>2.3693942666336863E-2</c:v>
                </c:pt>
                <c:pt idx="3043">
                  <c:v>2.3699115868638758E-2</c:v>
                </c:pt>
                <c:pt idx="3044">
                  <c:v>2.3704278248643778E-2</c:v>
                </c:pt>
                <c:pt idx="3045">
                  <c:v>2.3709429806267137E-2</c:v>
                </c:pt>
                <c:pt idx="3046">
                  <c:v>2.3714570541428007E-2</c:v>
                </c:pt>
                <c:pt idx="3047">
                  <c:v>2.3719700454041603E-2</c:v>
                </c:pt>
                <c:pt idx="3048">
                  <c:v>2.3724819544025333E-2</c:v>
                </c:pt>
                <c:pt idx="3049">
                  <c:v>2.3729927811297496E-2</c:v>
                </c:pt>
                <c:pt idx="3050">
                  <c:v>2.3735025255775068E-2</c:v>
                </c:pt>
                <c:pt idx="3051">
                  <c:v>2.3743529751843247E-2</c:v>
                </c:pt>
                <c:pt idx="3052">
                  <c:v>2.3748604229256735E-2</c:v>
                </c:pt>
                <c:pt idx="3053">
                  <c:v>2.3753667881695389E-2</c:v>
                </c:pt>
                <c:pt idx="3054">
                  <c:v>2.3758720709073634E-2</c:v>
                </c:pt>
                <c:pt idx="3055">
                  <c:v>2.3763344643613939E-2</c:v>
                </c:pt>
                <c:pt idx="3056">
                  <c:v>2.3768374717312704E-2</c:v>
                </c:pt>
                <c:pt idx="3057">
                  <c:v>2.3773393966338291E-2</c:v>
                </c:pt>
                <c:pt idx="3058">
                  <c:v>2.3778402390611197E-2</c:v>
                </c:pt>
                <c:pt idx="3059">
                  <c:v>2.3783399990047121E-2</c:v>
                </c:pt>
                <c:pt idx="3060">
                  <c:v>2.3791792528755771E-2</c:v>
                </c:pt>
                <c:pt idx="3061">
                  <c:v>2.3796767138880459E-2</c:v>
                </c:pt>
                <c:pt idx="3062">
                  <c:v>2.3801730921975985E-2</c:v>
                </c:pt>
                <c:pt idx="3063">
                  <c:v>2.380668387796241E-2</c:v>
                </c:pt>
                <c:pt idx="3064">
                  <c:v>2.3808225611837545E-2</c:v>
                </c:pt>
                <c:pt idx="3065">
                  <c:v>2.3813158260550638E-2</c:v>
                </c:pt>
                <c:pt idx="3066">
                  <c:v>2.3818080083860643E-2</c:v>
                </c:pt>
                <c:pt idx="3067">
                  <c:v>2.3826387429159056E-2</c:v>
                </c:pt>
                <c:pt idx="3068">
                  <c:v>2.3831286248363111E-2</c:v>
                </c:pt>
                <c:pt idx="3069">
                  <c:v>2.3836174239966843E-2</c:v>
                </c:pt>
                <c:pt idx="3070">
                  <c:v>2.3841051403888598E-2</c:v>
                </c:pt>
                <c:pt idx="3071">
                  <c:v>2.3845917740046723E-2</c:v>
                </c:pt>
                <c:pt idx="3072">
                  <c:v>2.3847383685760625E-2</c:v>
                </c:pt>
                <c:pt idx="3073">
                  <c:v>2.3855617928753622E-2</c:v>
                </c:pt>
                <c:pt idx="3074">
                  <c:v>2.3860451781140372E-2</c:v>
                </c:pt>
                <c:pt idx="3075">
                  <c:v>2.3865274805442031E-2</c:v>
                </c:pt>
                <c:pt idx="3076">
                  <c:v>2.38667029021844E-2</c:v>
                </c:pt>
                <c:pt idx="3077">
                  <c:v>2.3869250516969462E-2</c:v>
                </c:pt>
                <c:pt idx="3078">
                  <c:v>2.3874043343982961E-2</c:v>
                </c:pt>
                <c:pt idx="3079">
                  <c:v>2.3878825345874446E-2</c:v>
                </c:pt>
                <c:pt idx="3080">
                  <c:v>2.3883596522567069E-2</c:v>
                </c:pt>
                <c:pt idx="3081">
                  <c:v>2.3889482599714591E-2</c:v>
                </c:pt>
                <c:pt idx="3082">
                  <c:v>2.3894231665808376E-2</c:v>
                </c:pt>
                <c:pt idx="3083">
                  <c:v>2.3898969905814443E-2</c:v>
                </c:pt>
                <c:pt idx="3084">
                  <c:v>2.3903697319657247E-2</c:v>
                </c:pt>
                <c:pt idx="3085">
                  <c:v>2.3908413907258608E-2</c:v>
                </c:pt>
                <c:pt idx="3086">
                  <c:v>2.3911996249251881E-2</c:v>
                </c:pt>
                <c:pt idx="3087">
                  <c:v>2.3916691647407472E-2</c:v>
                </c:pt>
                <c:pt idx="3088">
                  <c:v>2.3921376219752537E-2</c:v>
                </c:pt>
                <c:pt idx="3089">
                  <c:v>2.3926049966211997E-2</c:v>
                </c:pt>
                <c:pt idx="3090">
                  <c:v>2.3931834448980869E-2</c:v>
                </c:pt>
                <c:pt idx="3091">
                  <c:v>2.3936486077535298E-2</c:v>
                </c:pt>
                <c:pt idx="3092">
                  <c:v>2.3941126879318601E-2</c:v>
                </c:pt>
                <c:pt idx="3093">
                  <c:v>2.3945756854250839E-2</c:v>
                </c:pt>
                <c:pt idx="3094">
                  <c:v>2.3949256307591361E-2</c:v>
                </c:pt>
                <c:pt idx="3095">
                  <c:v>2.3953865097159244E-2</c:v>
                </c:pt>
                <c:pt idx="3096">
                  <c:v>2.3958463060315981E-2</c:v>
                </c:pt>
                <c:pt idx="3097">
                  <c:v>2.3963050196987815E-2</c:v>
                </c:pt>
                <c:pt idx="3098">
                  <c:v>2.3967626507102758E-2</c:v>
                </c:pt>
                <c:pt idx="3099">
                  <c:v>2.3972191990583969E-2</c:v>
                </c:pt>
                <c:pt idx="3100">
                  <c:v>2.3976746647360346E-2</c:v>
                </c:pt>
                <c:pt idx="3101">
                  <c:v>2.398129047735548E-2</c:v>
                </c:pt>
                <c:pt idx="3102">
                  <c:v>2.3985823480499158E-2</c:v>
                </c:pt>
                <c:pt idx="3103">
                  <c:v>2.3995922963554281E-2</c:v>
                </c:pt>
                <c:pt idx="3104">
                  <c:v>2.4000431939320374E-2</c:v>
                </c:pt>
                <c:pt idx="3105">
                  <c:v>2.4004930084679358E-2</c:v>
                </c:pt>
                <c:pt idx="3106">
                  <c:v>2.4009417399557312E-2</c:v>
                </c:pt>
                <c:pt idx="3107">
                  <c:v>2.4010553197559084E-2</c:v>
                </c:pt>
                <c:pt idx="3108">
                  <c:v>2.401502028355855E-2</c:v>
                </c:pt>
                <c:pt idx="3109">
                  <c:v>2.401947654085964E-2</c:v>
                </c:pt>
                <c:pt idx="3110">
                  <c:v>2.4023921969389406E-2</c:v>
                </c:pt>
                <c:pt idx="3111">
                  <c:v>2.4028356569074469E-2</c:v>
                </c:pt>
                <c:pt idx="3112">
                  <c:v>2.4036113844545296E-2</c:v>
                </c:pt>
                <c:pt idx="3113">
                  <c:v>2.404052534397471E-2</c:v>
                </c:pt>
                <c:pt idx="3114">
                  <c:v>2.4044926012332171E-2</c:v>
                </c:pt>
                <c:pt idx="3115">
                  <c:v>2.404931584954376E-2</c:v>
                </c:pt>
                <c:pt idx="3116">
                  <c:v>2.4050367132317094E-2</c:v>
                </c:pt>
                <c:pt idx="3117">
                  <c:v>2.4054736757425619E-2</c:v>
                </c:pt>
                <c:pt idx="3118">
                  <c:v>2.4059095553185791E-2</c:v>
                </c:pt>
                <c:pt idx="3119">
                  <c:v>2.4063443519530353E-2</c:v>
                </c:pt>
                <c:pt idx="3120">
                  <c:v>2.4071102565879288E-2</c:v>
                </c:pt>
                <c:pt idx="3121">
                  <c:v>2.4075427414695136E-2</c:v>
                </c:pt>
                <c:pt idx="3122">
                  <c:v>2.4079741431859279E-2</c:v>
                </c:pt>
                <c:pt idx="3123">
                  <c:v>2.4084044617301237E-2</c:v>
                </c:pt>
                <c:pt idx="3124">
                  <c:v>2.4088336970947519E-2</c:v>
                </c:pt>
                <c:pt idx="3125">
                  <c:v>2.4092618492728504E-2</c:v>
                </c:pt>
                <c:pt idx="3126">
                  <c:v>2.4096889182572419E-2</c:v>
                </c:pt>
                <c:pt idx="3127">
                  <c:v>2.4101149040409216E-2</c:v>
                </c:pt>
                <c:pt idx="3128">
                  <c:v>2.4105398066167984E-2</c:v>
                </c:pt>
                <c:pt idx="3129">
                  <c:v>2.410412175163525E-2</c:v>
                </c:pt>
                <c:pt idx="3130">
                  <c:v>2.4108351573816598E-2</c:v>
                </c:pt>
                <c:pt idx="3131">
                  <c:v>2.4112570567094652E-2</c:v>
                </c:pt>
                <c:pt idx="3132">
                  <c:v>2.4116778731398746E-2</c:v>
                </c:pt>
                <c:pt idx="3133">
                  <c:v>2.4122076992576246E-2</c:v>
                </c:pt>
                <c:pt idx="3134">
                  <c:v>2.4126263004019655E-2</c:v>
                </c:pt>
                <c:pt idx="3135">
                  <c:v>2.4130438185609126E-2</c:v>
                </c:pt>
                <c:pt idx="3136">
                  <c:v>2.4134602537275705E-2</c:v>
                </c:pt>
                <c:pt idx="3137">
                  <c:v>2.4138756058953072E-2</c:v>
                </c:pt>
                <c:pt idx="3138">
                  <c:v>2.4141800305006064E-2</c:v>
                </c:pt>
                <c:pt idx="3139">
                  <c:v>2.4145932664609737E-2</c:v>
                </c:pt>
                <c:pt idx="3140">
                  <c:v>2.4150054194699774E-2</c:v>
                </c:pt>
                <c:pt idx="3141">
                  <c:v>2.4154164895213898E-2</c:v>
                </c:pt>
                <c:pt idx="3142">
                  <c:v>2.4159361215140958E-2</c:v>
                </c:pt>
                <c:pt idx="3143">
                  <c:v>2.4163449755470547E-2</c:v>
                </c:pt>
                <c:pt idx="3144">
                  <c:v>2.416752746534185E-2</c:v>
                </c:pt>
                <c:pt idx="3145">
                  <c:v>2.4171594344688983E-2</c:v>
                </c:pt>
                <c:pt idx="3146">
                  <c:v>2.4175650393445627E-2</c:v>
                </c:pt>
                <c:pt idx="3147">
                  <c:v>2.4178601673451518E-2</c:v>
                </c:pt>
                <c:pt idx="3148">
                  <c:v>2.418263656507013E-2</c:v>
                </c:pt>
                <c:pt idx="3149">
                  <c:v>2.4186660626585959E-2</c:v>
                </c:pt>
                <c:pt idx="3150">
                  <c:v>2.4190673857931437E-2</c:v>
                </c:pt>
                <c:pt idx="3151">
                  <c:v>2.4194676259042966E-2</c:v>
                </c:pt>
                <c:pt idx="3152">
                  <c:v>2.4198667829856954E-2</c:v>
                </c:pt>
                <c:pt idx="3153">
                  <c:v>2.4202648570307152E-2</c:v>
                </c:pt>
                <c:pt idx="3154">
                  <c:v>2.420661848033041E-2</c:v>
                </c:pt>
                <c:pt idx="3155">
                  <c:v>2.4216026982683742E-2</c:v>
                </c:pt>
                <c:pt idx="3156">
                  <c:v>2.4219972682281762E-2</c:v>
                </c:pt>
                <c:pt idx="3157">
                  <c:v>2.4223907547829562E-2</c:v>
                </c:pt>
                <c:pt idx="3158">
                  <c:v>2.4227831579260967E-2</c:v>
                </c:pt>
                <c:pt idx="3159">
                  <c:v>2.4228481255348887E-2</c:v>
                </c:pt>
                <c:pt idx="3160">
                  <c:v>2.4232385156465145E-2</c:v>
                </c:pt>
                <c:pt idx="3161">
                  <c:v>2.4236278225333512E-2</c:v>
                </c:pt>
                <c:pt idx="3162">
                  <c:v>2.4240160461892406E-2</c:v>
                </c:pt>
                <c:pt idx="3163">
                  <c:v>2.4244031866076741E-2</c:v>
                </c:pt>
                <c:pt idx="3164">
                  <c:v>2.4251148247801425E-2</c:v>
                </c:pt>
                <c:pt idx="3165">
                  <c:v>2.4254996438613452E-2</c:v>
                </c:pt>
                <c:pt idx="3166">
                  <c:v>2.4258833794794651E-2</c:v>
                </c:pt>
                <c:pt idx="3167">
                  <c:v>2.426266031628185E-2</c:v>
                </c:pt>
                <c:pt idx="3168">
                  <c:v>2.4263226399181114E-2</c:v>
                </c:pt>
                <c:pt idx="3169">
                  <c:v>2.4267032807800234E-2</c:v>
                </c:pt>
                <c:pt idx="3170">
                  <c:v>2.4270828383606672E-2</c:v>
                </c:pt>
                <c:pt idx="3171">
                  <c:v>2.4274613126537968E-2</c:v>
                </c:pt>
                <c:pt idx="3172">
                  <c:v>2.4278387036533407E-2</c:v>
                </c:pt>
                <c:pt idx="3173">
                  <c:v>2.4285391913065672E-2</c:v>
                </c:pt>
                <c:pt idx="3174">
                  <c:v>2.4289142589921219E-2</c:v>
                </c:pt>
                <c:pt idx="3175">
                  <c:v>2.4292882431578223E-2</c:v>
                </c:pt>
                <c:pt idx="3176">
                  <c:v>2.4296611437975225E-2</c:v>
                </c:pt>
                <c:pt idx="3177">
                  <c:v>2.4300329609051201E-2</c:v>
                </c:pt>
                <c:pt idx="3178">
                  <c:v>2.430403694474426E-2</c:v>
                </c:pt>
                <c:pt idx="3179">
                  <c:v>2.4307733444991233E-2</c:v>
                </c:pt>
                <c:pt idx="3180">
                  <c:v>2.431141910973281E-2</c:v>
                </c:pt>
                <c:pt idx="3181">
                  <c:v>2.4310788327980611E-2</c:v>
                </c:pt>
                <c:pt idx="3182">
                  <c:v>2.4314454432994025E-2</c:v>
                </c:pt>
                <c:pt idx="3183">
                  <c:v>2.4318109705097485E-2</c:v>
                </c:pt>
                <c:pt idx="3184">
                  <c:v>2.4321754144231697E-2</c:v>
                </c:pt>
                <c:pt idx="3185">
                  <c:v>2.4325387750338247E-2</c:v>
                </c:pt>
                <c:pt idx="3186">
                  <c:v>2.4330084283946184E-2</c:v>
                </c:pt>
                <c:pt idx="3187">
                  <c:v>2.433369569259853E-2</c:v>
                </c:pt>
                <c:pt idx="3188">
                  <c:v>2.4341587027845321E-2</c:v>
                </c:pt>
                <c:pt idx="3189">
                  <c:v>2.4340886008142375E-2</c:v>
                </c:pt>
                <c:pt idx="3190">
                  <c:v>2.4343393283383887E-2</c:v>
                </c:pt>
                <c:pt idx="3191">
                  <c:v>2.4346961890086335E-2</c:v>
                </c:pt>
                <c:pt idx="3192">
                  <c:v>2.4350519663352221E-2</c:v>
                </c:pt>
                <c:pt idx="3193">
                  <c:v>2.4354066603121807E-2</c:v>
                </c:pt>
                <c:pt idx="3194">
                  <c:v>2.4358672200655931E-2</c:v>
                </c:pt>
                <c:pt idx="3195">
                  <c:v>2.4362196936464509E-2</c:v>
                </c:pt>
                <c:pt idx="3196">
                  <c:v>2.4365710837905369E-2</c:v>
                </c:pt>
                <c:pt idx="3197">
                  <c:v>2.4369213904922596E-2</c:v>
                </c:pt>
                <c:pt idx="3198">
                  <c:v>2.4372706137458972E-2</c:v>
                </c:pt>
                <c:pt idx="3199">
                  <c:v>2.437512073512358E-2</c:v>
                </c:pt>
                <c:pt idx="3200">
                  <c:v>2.4378591838822558E-2</c:v>
                </c:pt>
                <c:pt idx="3201">
                  <c:v>2.4382052108569776E-2</c:v>
                </c:pt>
                <c:pt idx="3202">
                  <c:v>2.4385501544310337E-2</c:v>
                </c:pt>
                <c:pt idx="3203">
                  <c:v>2.438894014598714E-2</c:v>
                </c:pt>
                <c:pt idx="3204">
                  <c:v>2.4392367913544849E-2</c:v>
                </c:pt>
                <c:pt idx="3205">
                  <c:v>2.439578484692724E-2</c:v>
                </c:pt>
                <c:pt idx="3206">
                  <c:v>2.4399190946079417E-2</c:v>
                </c:pt>
                <c:pt idx="3207">
                  <c:v>2.4406836017186701E-2</c:v>
                </c:pt>
                <c:pt idx="3208">
                  <c:v>2.4410218263579767E-2</c:v>
                </c:pt>
                <c:pt idx="3209">
                  <c:v>2.4413589672765572E-2</c:v>
                </c:pt>
                <c:pt idx="3210">
                  <c:v>2.4416950244689106E-2</c:v>
                </c:pt>
                <c:pt idx="3211">
                  <c:v>2.4417119196960102E-2</c:v>
                </c:pt>
                <c:pt idx="3212">
                  <c:v>2.4420459740855813E-2</c:v>
                </c:pt>
                <c:pt idx="3213">
                  <c:v>2.4423789449434179E-2</c:v>
                </c:pt>
                <c:pt idx="3214">
                  <c:v>2.4427108322641475E-2</c:v>
                </c:pt>
                <c:pt idx="3215">
                  <c:v>2.4430416360420919E-2</c:v>
                </c:pt>
                <c:pt idx="3216">
                  <c:v>2.44362985732412E-2</c:v>
                </c:pt>
                <c:pt idx="3217">
                  <c:v>2.4439582287130109E-2</c:v>
                </c:pt>
                <c:pt idx="3218">
                  <c:v>2.4442855164014215E-2</c:v>
                </c:pt>
                <c:pt idx="3219">
                  <c:v>2.4446117203838203E-2</c:v>
                </c:pt>
                <c:pt idx="3220">
                  <c:v>2.4449368406547201E-2</c:v>
                </c:pt>
                <c:pt idx="3221">
                  <c:v>2.4452608772088064E-2</c:v>
                </c:pt>
                <c:pt idx="3222">
                  <c:v>2.4455838300408945E-2</c:v>
                </c:pt>
                <c:pt idx="3223">
                  <c:v>2.445905699145496E-2</c:v>
                </c:pt>
                <c:pt idx="3224">
                  <c:v>2.4462264845173401E-2</c:v>
                </c:pt>
                <c:pt idx="3225">
                  <c:v>2.446546186151155E-2</c:v>
                </c:pt>
                <c:pt idx="3226">
                  <c:v>2.4468648040415829E-2</c:v>
                </c:pt>
                <c:pt idx="3227">
                  <c:v>2.447182338183396E-2</c:v>
                </c:pt>
                <c:pt idx="3228">
                  <c:v>2.4474987885714519E-2</c:v>
                </c:pt>
                <c:pt idx="3229">
                  <c:v>2.4478141552003497E-2</c:v>
                </c:pt>
                <c:pt idx="3230">
                  <c:v>2.448128438065077E-2</c:v>
                </c:pt>
                <c:pt idx="3231">
                  <c:v>2.4484416371603198E-2</c:v>
                </c:pt>
                <c:pt idx="3232">
                  <c:v>2.4487537524810216E-2</c:v>
                </c:pt>
                <c:pt idx="3233">
                  <c:v>2.4486456033259787E-2</c:v>
                </c:pt>
                <c:pt idx="3234">
                  <c:v>2.4489557768466147E-2</c:v>
                </c:pt>
                <c:pt idx="3235">
                  <c:v>2.4492648668611481E-2</c:v>
                </c:pt>
                <c:pt idx="3236">
                  <c:v>2.4495728733646766E-2</c:v>
                </c:pt>
                <c:pt idx="3237">
                  <c:v>2.449984366401867E-2</c:v>
                </c:pt>
                <c:pt idx="3238">
                  <c:v>2.450290149156369E-2</c:v>
                </c:pt>
                <c:pt idx="3239">
                  <c:v>2.4510126672429845E-2</c:v>
                </c:pt>
                <c:pt idx="3240">
                  <c:v>2.4508984638693446E-2</c:v>
                </c:pt>
                <c:pt idx="3241">
                  <c:v>2.4512009958180682E-2</c:v>
                </c:pt>
                <c:pt idx="3242">
                  <c:v>2.451398158377624E-2</c:v>
                </c:pt>
                <c:pt idx="3243">
                  <c:v>2.4516985801657554E-2</c:v>
                </c:pt>
                <c:pt idx="3244">
                  <c:v>2.4519979184036651E-2</c:v>
                </c:pt>
                <c:pt idx="3245">
                  <c:v>2.4522961730863622E-2</c:v>
                </c:pt>
                <c:pt idx="3246">
                  <c:v>2.4526974012873192E-2</c:v>
                </c:pt>
                <c:pt idx="3247">
                  <c:v>2.4529934314922838E-2</c:v>
                </c:pt>
                <c:pt idx="3248">
                  <c:v>2.453288378056423E-2</c:v>
                </c:pt>
                <c:pt idx="3249">
                  <c:v>2.4535822409749494E-2</c:v>
                </c:pt>
                <c:pt idx="3250">
                  <c:v>2.4536887552258718E-2</c:v>
                </c:pt>
                <c:pt idx="3251">
                  <c:v>2.4542913965289213E-2</c:v>
                </c:pt>
                <c:pt idx="3252">
                  <c:v>2.454581544054751E-2</c:v>
                </c:pt>
                <c:pt idx="3253">
                  <c:v>2.4548706079138859E-2</c:v>
                </c:pt>
                <c:pt idx="3254">
                  <c:v>2.4551585881016261E-2</c:v>
                </c:pt>
                <c:pt idx="3255">
                  <c:v>2.4554454846133604E-2</c:v>
                </c:pt>
                <c:pt idx="3256">
                  <c:v>2.4557312974444769E-2</c:v>
                </c:pt>
                <c:pt idx="3257">
                  <c:v>2.4560160265902322E-2</c:v>
                </c:pt>
                <c:pt idx="3258">
                  <c:v>2.4562996720459269E-2</c:v>
                </c:pt>
                <c:pt idx="3259">
                  <c:v>2.4567887929808355E-2</c:v>
                </c:pt>
                <c:pt idx="3260">
                  <c:v>2.4570701543904411E-2</c:v>
                </c:pt>
                <c:pt idx="3261">
                  <c:v>2.4573504319528608E-2</c:v>
                </c:pt>
                <c:pt idx="3262">
                  <c:v>2.4576296256637504E-2</c:v>
                </c:pt>
                <c:pt idx="3263">
                  <c:v>2.4578046901391058E-2</c:v>
                </c:pt>
                <c:pt idx="3264">
                  <c:v>2.4580817747504487E-2</c:v>
                </c:pt>
                <c:pt idx="3265">
                  <c:v>2.4584364338799233E-2</c:v>
                </c:pt>
                <c:pt idx="3266">
                  <c:v>2.4586326925878314E-2</c:v>
                </c:pt>
                <c:pt idx="3267">
                  <c:v>2.4589065258048728E-2</c:v>
                </c:pt>
                <c:pt idx="3268">
                  <c:v>2.4592820267885063E-2</c:v>
                </c:pt>
                <c:pt idx="3269">
                  <c:v>2.4595536334103951E-2</c:v>
                </c:pt>
                <c:pt idx="3270">
                  <c:v>2.4598241561444349E-2</c:v>
                </c:pt>
                <c:pt idx="3271">
                  <c:v>2.4600935949861947E-2</c:v>
                </c:pt>
                <c:pt idx="3272">
                  <c:v>2.4602594346955824E-2</c:v>
                </c:pt>
                <c:pt idx="3273">
                  <c:v>2.4605267650039422E-2</c:v>
                </c:pt>
                <c:pt idx="3274">
                  <c:v>2.4607930114787329E-2</c:v>
                </c:pt>
                <c:pt idx="3275">
                  <c:v>2.4610581741155858E-2</c:v>
                </c:pt>
                <c:pt idx="3276">
                  <c:v>2.4615268073401461E-2</c:v>
                </c:pt>
                <c:pt idx="3277">
                  <c:v>2.4616874660526724E-2</c:v>
                </c:pt>
                <c:pt idx="3278">
                  <c:v>2.4619493175256985E-2</c:v>
                </c:pt>
                <c:pt idx="3279">
                  <c:v>2.4622100850715596E-2</c:v>
                </c:pt>
                <c:pt idx="3280">
                  <c:v>2.4624697686859976E-2</c:v>
                </c:pt>
                <c:pt idx="3281">
                  <c:v>2.4627283683647118E-2</c:v>
                </c:pt>
                <c:pt idx="3282">
                  <c:v>2.4629858841034014E-2</c:v>
                </c:pt>
                <c:pt idx="3283">
                  <c:v>2.4632423158979393E-2</c:v>
                </c:pt>
                <c:pt idx="3284">
                  <c:v>2.463497663744111E-2</c:v>
                </c:pt>
                <c:pt idx="3285">
                  <c:v>2.4635484481361582E-2</c:v>
                </c:pt>
                <c:pt idx="3286">
                  <c:v>2.4638017484674615E-2</c:v>
                </c:pt>
                <c:pt idx="3287">
                  <c:v>2.4640539649822997E-2</c:v>
                </c:pt>
                <c:pt idx="3288">
                  <c:v>2.4643050976767198E-2</c:v>
                </c:pt>
                <c:pt idx="3289">
                  <c:v>2.4641491382875913E-2</c:v>
                </c:pt>
                <c:pt idx="3290">
                  <c:v>2.4648041115878355E-2</c:v>
                </c:pt>
                <c:pt idx="3291">
                  <c:v>2.4650519927964496E-2</c:v>
                </c:pt>
                <c:pt idx="3292">
                  <c:v>2.4652987901682633E-2</c:v>
                </c:pt>
                <c:pt idx="3293">
                  <c:v>2.4655445036995433E-2</c:v>
                </c:pt>
                <c:pt idx="3294">
                  <c:v>2.4657891333860728E-2</c:v>
                </c:pt>
                <c:pt idx="3295">
                  <c:v>2.4660326792238119E-2</c:v>
                </c:pt>
                <c:pt idx="3296">
                  <c:v>2.4662751412091143E-2</c:v>
                </c:pt>
                <c:pt idx="3297">
                  <c:v>2.4665165193378077E-2</c:v>
                </c:pt>
                <c:pt idx="3298">
                  <c:v>2.4667568136060272E-2</c:v>
                </c:pt>
                <c:pt idx="3299">
                  <c:v>2.466996024009864E-2</c:v>
                </c:pt>
                <c:pt idx="3300">
                  <c:v>2.4672341505455407E-2</c:v>
                </c:pt>
                <c:pt idx="3301">
                  <c:v>2.467471193208929E-2</c:v>
                </c:pt>
                <c:pt idx="3302">
                  <c:v>2.4676400721785258E-2</c:v>
                </c:pt>
                <c:pt idx="3303">
                  <c:v>2.4678748536709833E-2</c:v>
                </c:pt>
                <c:pt idx="3304">
                  <c:v>2.4681085513519031E-2</c:v>
                </c:pt>
                <c:pt idx="3305">
                  <c:v>2.4683411652174428E-2</c:v>
                </c:pt>
                <c:pt idx="3306">
                  <c:v>2.4685726952638484E-2</c:v>
                </c:pt>
                <c:pt idx="3307">
                  <c:v>2.4688031414874991E-2</c:v>
                </c:pt>
                <c:pt idx="3308">
                  <c:v>2.469032503884596E-2</c:v>
                </c:pt>
                <c:pt idx="3309">
                  <c:v>2.4692607824514743E-2</c:v>
                </c:pt>
                <c:pt idx="3310">
                  <c:v>2.4694879771843356E-2</c:v>
                </c:pt>
                <c:pt idx="3311">
                  <c:v>2.4700145168119036E-2</c:v>
                </c:pt>
                <c:pt idx="3312">
                  <c:v>2.4702393576004563E-2</c:v>
                </c:pt>
                <c:pt idx="3313">
                  <c:v>2.4704631143255613E-2</c:v>
                </c:pt>
                <c:pt idx="3314">
                  <c:v>2.470685786983743E-2</c:v>
                </c:pt>
                <c:pt idx="3315">
                  <c:v>2.4708706126016375E-2</c:v>
                </c:pt>
                <c:pt idx="3316">
                  <c:v>2.4710908697889021E-2</c:v>
                </c:pt>
                <c:pt idx="3317">
                  <c:v>2.4713100429701457E-2</c:v>
                </c:pt>
                <c:pt idx="3318">
                  <c:v>2.4715281321418293E-2</c:v>
                </c:pt>
                <c:pt idx="3319">
                  <c:v>2.4719752797787917E-2</c:v>
                </c:pt>
                <c:pt idx="3320">
                  <c:v>2.4722597403214669E-2</c:v>
                </c:pt>
                <c:pt idx="3321">
                  <c:v>2.4724743890911501E-2</c:v>
                </c:pt>
                <c:pt idx="3322">
                  <c:v>2.4726879536181592E-2</c:v>
                </c:pt>
                <c:pt idx="3323">
                  <c:v>2.472602317732361E-2</c:v>
                </c:pt>
                <c:pt idx="3324">
                  <c:v>2.4728139027723851E-2</c:v>
                </c:pt>
                <c:pt idx="3325">
                  <c:v>2.4730244037783008E-2</c:v>
                </c:pt>
                <c:pt idx="3326">
                  <c:v>2.4732338207466138E-2</c:v>
                </c:pt>
                <c:pt idx="3327">
                  <c:v>2.4737395124900089E-2</c:v>
                </c:pt>
                <c:pt idx="3328">
                  <c:v>2.4739465714873118E-2</c:v>
                </c:pt>
                <c:pt idx="3329">
                  <c:v>2.4741525462175729E-2</c:v>
                </c:pt>
                <c:pt idx="3330">
                  <c:v>2.4743574366772252E-2</c:v>
                </c:pt>
                <c:pt idx="3331">
                  <c:v>2.4745612428630024E-2</c:v>
                </c:pt>
                <c:pt idx="3332">
                  <c:v>2.4744675575770377E-2</c:v>
                </c:pt>
                <c:pt idx="3333">
                  <c:v>2.4749656023994374E-2</c:v>
                </c:pt>
                <c:pt idx="3334">
                  <c:v>2.4751661557433052E-2</c:v>
                </c:pt>
                <c:pt idx="3335">
                  <c:v>2.4753656247998461E-2</c:v>
                </c:pt>
                <c:pt idx="3336">
                  <c:v>2.4752683676194473E-2</c:v>
                </c:pt>
                <c:pt idx="3337">
                  <c:v>2.4752688850603118E-2</c:v>
                </c:pt>
                <c:pt idx="3338">
                  <c:v>2.4754654213223169E-2</c:v>
                </c:pt>
                <c:pt idx="3339">
                  <c:v>2.4756608736501866E-2</c:v>
                </c:pt>
                <c:pt idx="3340">
                  <c:v>2.4758552420408728E-2</c:v>
                </c:pt>
                <c:pt idx="3341">
                  <c:v>2.4761467583202884E-2</c:v>
                </c:pt>
                <c:pt idx="3342">
                  <c:v>2.4763388945353584E-2</c:v>
                </c:pt>
                <c:pt idx="3343">
                  <c:v>2.4765299467305654E-2</c:v>
                </c:pt>
                <c:pt idx="3344">
                  <c:v>2.4767199149026156E-2</c:v>
                </c:pt>
                <c:pt idx="3345">
                  <c:v>2.4769087990484783E-2</c:v>
                </c:pt>
                <c:pt idx="3346">
                  <c:v>2.4769986895266077E-2</c:v>
                </c:pt>
                <c:pt idx="3347">
                  <c:v>2.4771854702691269E-2</c:v>
                </c:pt>
                <c:pt idx="3348">
                  <c:v>2.4773711670498636E-2</c:v>
                </c:pt>
                <c:pt idx="3349">
                  <c:v>2.4775557798655503E-2</c:v>
                </c:pt>
                <c:pt idx="3350">
                  <c:v>2.4778369592788219E-2</c:v>
                </c:pt>
                <c:pt idx="3351">
                  <c:v>2.4780193392039622E-2</c:v>
                </c:pt>
                <c:pt idx="3352">
                  <c:v>2.4782006350817887E-2</c:v>
                </c:pt>
                <c:pt idx="3353">
                  <c:v>2.478483338379088E-2</c:v>
                </c:pt>
                <c:pt idx="3354">
                  <c:v>2.4784880948707701E-2</c:v>
                </c:pt>
                <c:pt idx="3355">
                  <c:v>2.4786406933309583E-2</c:v>
                </c:pt>
                <c:pt idx="3356">
                  <c:v>2.4788177183097226E-2</c:v>
                </c:pt>
                <c:pt idx="3357">
                  <c:v>2.4789936593002507E-2</c:v>
                </c:pt>
                <c:pt idx="3358">
                  <c:v>2.4791685162996277E-2</c:v>
                </c:pt>
                <c:pt idx="3359">
                  <c:v>2.4793422893050716E-2</c:v>
                </c:pt>
                <c:pt idx="3360">
                  <c:v>2.4795149783137994E-2</c:v>
                </c:pt>
                <c:pt idx="3361">
                  <c:v>2.4796865833229414E-2</c:v>
                </c:pt>
                <c:pt idx="3362">
                  <c:v>2.4798571043296708E-2</c:v>
                </c:pt>
                <c:pt idx="3363">
                  <c:v>2.4805105247821497E-2</c:v>
                </c:pt>
                <c:pt idx="3364">
                  <c:v>2.4806785481393989E-2</c:v>
                </c:pt>
                <c:pt idx="3365">
                  <c:v>2.4808454871176958E-2</c:v>
                </c:pt>
                <c:pt idx="3366">
                  <c:v>2.4810113417144619E-2</c:v>
                </c:pt>
                <c:pt idx="3367">
                  <c:v>2.4808865200797701E-2</c:v>
                </c:pt>
                <c:pt idx="3368">
                  <c:v>2.4810504046005873E-2</c:v>
                </c:pt>
                <c:pt idx="3369">
                  <c:v>2.4812132049528028E-2</c:v>
                </c:pt>
                <c:pt idx="3370">
                  <c:v>2.4813749211336208E-2</c:v>
                </c:pt>
                <c:pt idx="3371">
                  <c:v>2.4815355531406829E-2</c:v>
                </c:pt>
                <c:pt idx="3372">
                  <c:v>2.4819836971288412E-2</c:v>
                </c:pt>
                <c:pt idx="3373">
                  <c:v>2.482141960978437E-2</c:v>
                </c:pt>
                <c:pt idx="3374">
                  <c:v>2.4822991404249702E-2</c:v>
                </c:pt>
                <c:pt idx="3375">
                  <c:v>2.4824552354657775E-2</c:v>
                </c:pt>
                <c:pt idx="3376">
                  <c:v>2.4823224504753851E-2</c:v>
                </c:pt>
                <c:pt idx="3377">
                  <c:v>2.4824765773843474E-2</c:v>
                </c:pt>
                <c:pt idx="3378">
                  <c:v>2.4826296201012951E-2</c:v>
                </c:pt>
                <c:pt idx="3379">
                  <c:v>2.4830687715203838E-2</c:v>
                </c:pt>
                <c:pt idx="3380">
                  <c:v>2.4832194444941374E-2</c:v>
                </c:pt>
                <c:pt idx="3381">
                  <c:v>2.4833690330468648E-2</c:v>
                </c:pt>
                <c:pt idx="3382">
                  <c:v>2.4835175371762885E-2</c:v>
                </c:pt>
                <c:pt idx="3383">
                  <c:v>2.4836649568797008E-2</c:v>
                </c:pt>
                <c:pt idx="3384">
                  <c:v>2.4835251082344269E-2</c:v>
                </c:pt>
                <c:pt idx="3385">
                  <c:v>2.4839565429988216E-2</c:v>
                </c:pt>
                <c:pt idx="3386">
                  <c:v>2.484100709409889E-2</c:v>
                </c:pt>
                <c:pt idx="3387">
                  <c:v>2.4842437913853179E-2</c:v>
                </c:pt>
                <c:pt idx="3388">
                  <c:v>2.4843857889226162E-2</c:v>
                </c:pt>
                <c:pt idx="3389">
                  <c:v>2.4841464718742035E-2</c:v>
                </c:pt>
                <c:pt idx="3390">
                  <c:v>2.4842865719351626E-2</c:v>
                </c:pt>
                <c:pt idx="3391">
                  <c:v>2.4844255878470875E-2</c:v>
                </c:pt>
                <c:pt idx="3392">
                  <c:v>2.4845635196076063E-2</c:v>
                </c:pt>
                <c:pt idx="3393">
                  <c:v>2.484795156169313E-2</c:v>
                </c:pt>
                <c:pt idx="3394">
                  <c:v>2.4853097128802442E-2</c:v>
                </c:pt>
                <c:pt idx="3395">
                  <c:v>2.4850654625743755E-2</c:v>
                </c:pt>
                <c:pt idx="3396">
                  <c:v>2.4851989894266829E-2</c:v>
                </c:pt>
                <c:pt idx="3397">
                  <c:v>2.4853314320426392E-2</c:v>
                </c:pt>
                <c:pt idx="3398">
                  <c:v>2.4853683428695313E-2</c:v>
                </c:pt>
                <c:pt idx="3399">
                  <c:v>2.4854986855092898E-2</c:v>
                </c:pt>
                <c:pt idx="3400">
                  <c:v>2.4856279439802054E-2</c:v>
                </c:pt>
                <c:pt idx="3401">
                  <c:v>2.4857561182803901E-2</c:v>
                </c:pt>
                <c:pt idx="3402">
                  <c:v>2.4859773815017628E-2</c:v>
                </c:pt>
                <c:pt idx="3403">
                  <c:v>2.4861033186546221E-2</c:v>
                </c:pt>
                <c:pt idx="3404">
                  <c:v>2.4862281715564535E-2</c:v>
                </c:pt>
                <c:pt idx="3405">
                  <c:v>2.4863519402050293E-2</c:v>
                </c:pt>
                <c:pt idx="3406">
                  <c:v>2.4863807271464693E-2</c:v>
                </c:pt>
                <c:pt idx="3407">
                  <c:v>2.4865023963785652E-2</c:v>
                </c:pt>
                <c:pt idx="3408">
                  <c:v>2.4866229814256118E-2</c:v>
                </c:pt>
                <c:pt idx="3409">
                  <c:v>2.4867424822857642E-2</c:v>
                </c:pt>
                <c:pt idx="3410">
                  <c:v>2.4868608989568705E-2</c:v>
                </c:pt>
                <c:pt idx="3411">
                  <c:v>2.4869782314371296E-2</c:v>
                </c:pt>
                <c:pt idx="3412">
                  <c:v>2.4870944797246532E-2</c:v>
                </c:pt>
                <c:pt idx="3413">
                  <c:v>2.4872096438175086E-2</c:v>
                </c:pt>
                <c:pt idx="3414">
                  <c:v>2.4873237237138513E-2</c:v>
                </c:pt>
                <c:pt idx="3415">
                  <c:v>2.4878097966914585E-2</c:v>
                </c:pt>
                <c:pt idx="3416">
                  <c:v>2.4879214290742798E-2</c:v>
                </c:pt>
                <c:pt idx="3417">
                  <c:v>2.488031976958073E-2</c:v>
                </c:pt>
                <c:pt idx="3418">
                  <c:v>2.4881414403410334E-2</c:v>
                </c:pt>
                <c:pt idx="3419">
                  <c:v>2.4879708536023788E-2</c:v>
                </c:pt>
                <c:pt idx="3420">
                  <c:v>2.4880783582206575E-2</c:v>
                </c:pt>
                <c:pt idx="3421">
                  <c:v>2.4881847785555841E-2</c:v>
                </c:pt>
                <c:pt idx="3422">
                  <c:v>2.4882901146054997E-2</c:v>
                </c:pt>
                <c:pt idx="3423">
                  <c:v>2.488394366368438E-2</c:v>
                </c:pt>
                <c:pt idx="3424">
                  <c:v>2.4887754460204303E-2</c:v>
                </c:pt>
                <c:pt idx="3425">
                  <c:v>2.4888773178474904E-2</c:v>
                </c:pt>
                <c:pt idx="3426">
                  <c:v>2.4889781051597931E-2</c:v>
                </c:pt>
                <c:pt idx="3427">
                  <c:v>2.48907780795549E-2</c:v>
                </c:pt>
                <c:pt idx="3428">
                  <c:v>2.4888993608215556E-2</c:v>
                </c:pt>
                <c:pt idx="3429">
                  <c:v>2.4889971068283414E-2</c:v>
                </c:pt>
                <c:pt idx="3430">
                  <c:v>2.4890937685367057E-2</c:v>
                </c:pt>
                <c:pt idx="3431">
                  <c:v>2.4891893459450323E-2</c:v>
                </c:pt>
                <c:pt idx="3432">
                  <c:v>2.4892838390519235E-2</c:v>
                </c:pt>
                <c:pt idx="3433">
                  <c:v>2.4896532497904463E-2</c:v>
                </c:pt>
                <c:pt idx="3434">
                  <c:v>2.4897453609248651E-2</c:v>
                </c:pt>
                <c:pt idx="3435">
                  <c:v>2.4898363875299576E-2</c:v>
                </c:pt>
                <c:pt idx="3436">
                  <c:v>2.4899263296043479E-2</c:v>
                </c:pt>
                <c:pt idx="3437">
                  <c:v>2.4900151871464892E-2</c:v>
                </c:pt>
                <c:pt idx="3438">
                  <c:v>2.4901029601547057E-2</c:v>
                </c:pt>
                <c:pt idx="3439">
                  <c:v>2.4901896486277938E-2</c:v>
                </c:pt>
                <c:pt idx="3440">
                  <c:v>2.4902752525642065E-2</c:v>
                </c:pt>
                <c:pt idx="3441">
                  <c:v>2.4899026107048243E-2</c:v>
                </c:pt>
                <c:pt idx="3442">
                  <c:v>2.4899864040970714E-2</c:v>
                </c:pt>
                <c:pt idx="3443">
                  <c:v>2.4900691133206296E-2</c:v>
                </c:pt>
                <c:pt idx="3444">
                  <c:v>2.4901507383743072E-2</c:v>
                </c:pt>
                <c:pt idx="3445">
                  <c:v>2.4902312792566023E-2</c:v>
                </c:pt>
                <c:pt idx="3446">
                  <c:v>2.4904018143668522E-2</c:v>
                </c:pt>
                <c:pt idx="3447">
                  <c:v>2.4904801148441631E-2</c:v>
                </c:pt>
                <c:pt idx="3448">
                  <c:v>2.4905573310718167E-2</c:v>
                </c:pt>
                <c:pt idx="3449">
                  <c:v>2.4906334630486714E-2</c:v>
                </c:pt>
                <c:pt idx="3450">
                  <c:v>2.4906177210532641E-2</c:v>
                </c:pt>
                <c:pt idx="3451">
                  <c:v>2.4906917568808983E-2</c:v>
                </c:pt>
                <c:pt idx="3452">
                  <c:v>2.4907647085285384E-2</c:v>
                </c:pt>
                <c:pt idx="3453">
                  <c:v>2.4908365759948588E-2</c:v>
                </c:pt>
                <c:pt idx="3454">
                  <c:v>2.4909978591268183E-2</c:v>
                </c:pt>
                <c:pt idx="3455">
                  <c:v>2.4910674855729655E-2</c:v>
                </c:pt>
                <c:pt idx="3456">
                  <c:v>2.4911360277599683E-2</c:v>
                </c:pt>
                <c:pt idx="3457">
                  <c:v>2.4912034856866855E-2</c:v>
                </c:pt>
                <c:pt idx="3458">
                  <c:v>2.4912698593520188E-2</c:v>
                </c:pt>
                <c:pt idx="3459">
                  <c:v>2.4912450129233363E-2</c:v>
                </c:pt>
                <c:pt idx="3460">
                  <c:v>2.4913092910895072E-2</c:v>
                </c:pt>
                <c:pt idx="3461">
                  <c:v>2.4913724850656585E-2</c:v>
                </c:pt>
                <c:pt idx="3462">
                  <c:v>2.4914345948507749E-2</c:v>
                </c:pt>
                <c:pt idx="3463">
                  <c:v>2.4914956204438399E-2</c:v>
                </c:pt>
                <c:pt idx="3464">
                  <c:v>2.4915555618437939E-2</c:v>
                </c:pt>
                <c:pt idx="3465">
                  <c:v>2.491614419049798E-2</c:v>
                </c:pt>
                <c:pt idx="3466">
                  <c:v>2.49167219206088E-2</c:v>
                </c:pt>
                <c:pt idx="3467">
                  <c:v>2.4921765992232048E-2</c:v>
                </c:pt>
                <c:pt idx="3468">
                  <c:v>2.4922318356218429E-2</c:v>
                </c:pt>
                <c:pt idx="3469">
                  <c:v>2.4922859874500256E-2</c:v>
                </c:pt>
                <c:pt idx="3470">
                  <c:v>2.4923390547066791E-2</c:v>
                </c:pt>
                <c:pt idx="3471">
                  <c:v>2.4921233003689685E-2</c:v>
                </c:pt>
                <c:pt idx="3472">
                  <c:v>2.4921744203380787E-2</c:v>
                </c:pt>
                <c:pt idx="3473">
                  <c:v>2.4922244559568745E-2</c:v>
                </c:pt>
                <c:pt idx="3474">
                  <c:v>2.4922734072245694E-2</c:v>
                </c:pt>
                <c:pt idx="3475">
                  <c:v>2.4923212741402904E-2</c:v>
                </c:pt>
                <c:pt idx="3476">
                  <c:v>2.4926346821979833E-2</c:v>
                </c:pt>
                <c:pt idx="3477">
                  <c:v>2.4926801574307669E-2</c:v>
                </c:pt>
                <c:pt idx="3478">
                  <c:v>2.4927245480855748E-2</c:v>
                </c:pt>
                <c:pt idx="3479">
                  <c:v>2.4927678541616764E-2</c:v>
                </c:pt>
                <c:pt idx="3480">
                  <c:v>2.4925443434141624E-2</c:v>
                </c:pt>
                <c:pt idx="3481">
                  <c:v>2.4925857042027488E-2</c:v>
                </c:pt>
                <c:pt idx="3482">
                  <c:v>2.4926259806344251E-2</c:v>
                </c:pt>
                <c:pt idx="3483">
                  <c:v>2.4926651727084047E-2</c:v>
                </c:pt>
                <c:pt idx="3484">
                  <c:v>2.4927032804241637E-2</c:v>
                </c:pt>
                <c:pt idx="3485">
                  <c:v>2.4930049144254826E-2</c:v>
                </c:pt>
                <c:pt idx="3486">
                  <c:v>2.4930406284312569E-2</c:v>
                </c:pt>
                <c:pt idx="3487">
                  <c:v>2.4930752578531244E-2</c:v>
                </c:pt>
                <c:pt idx="3488">
                  <c:v>2.4931088026903549E-2</c:v>
                </c:pt>
                <c:pt idx="3489">
                  <c:v>2.4931412629424325E-2</c:v>
                </c:pt>
                <c:pt idx="3490">
                  <c:v>2.4931726386088846E-2</c:v>
                </c:pt>
                <c:pt idx="3491">
                  <c:v>2.4932029296891953E-2</c:v>
                </c:pt>
                <c:pt idx="3492">
                  <c:v>2.4932321361828061E-2</c:v>
                </c:pt>
                <c:pt idx="3493">
                  <c:v>2.4928222346701785E-2</c:v>
                </c:pt>
                <c:pt idx="3494">
                  <c:v>2.4928496499075074E-2</c:v>
                </c:pt>
                <c:pt idx="3495">
                  <c:v>2.4928759809298644E-2</c:v>
                </c:pt>
                <c:pt idx="3496">
                  <c:v>2.4929012277369402E-2</c:v>
                </c:pt>
                <c:pt idx="3497">
                  <c:v>2.4929253903282052E-2</c:v>
                </c:pt>
                <c:pt idx="3498">
                  <c:v>2.4930357012321224E-2</c:v>
                </c:pt>
                <c:pt idx="3499">
                  <c:v>2.4930576194550514E-2</c:v>
                </c:pt>
                <c:pt idx="3500">
                  <c:v>2.4930784533864665E-2</c:v>
                </c:pt>
                <c:pt idx="3501">
                  <c:v>2.4930982030260167E-2</c:v>
                </c:pt>
                <c:pt idx="3502">
                  <c:v>2.4930299400355717E-2</c:v>
                </c:pt>
                <c:pt idx="3503">
                  <c:v>2.49304759732486E-2</c:v>
                </c:pt>
                <c:pt idx="3504">
                  <c:v>2.4930641703959963E-2</c:v>
                </c:pt>
                <c:pt idx="3505">
                  <c:v>2.4930796592487602E-2</c:v>
                </c:pt>
                <c:pt idx="3506">
                  <c:v>2.4931806869981088E-2</c:v>
                </c:pt>
                <c:pt idx="3507">
                  <c:v>2.4931939454911376E-2</c:v>
                </c:pt>
                <c:pt idx="3508">
                  <c:v>2.4932061733092804E-2</c:v>
                </c:pt>
                <c:pt idx="3509">
                  <c:v>2.4932174121562324E-2</c:v>
                </c:pt>
                <c:pt idx="3510">
                  <c:v>2.4932290990646404E-2</c:v>
                </c:pt>
                <c:pt idx="3511">
                  <c:v>2.4931520506621545E-2</c:v>
                </c:pt>
                <c:pt idx="3512">
                  <c:v>2.4931604986510706E-2</c:v>
                </c:pt>
                <c:pt idx="3513">
                  <c:v>2.4931681259874904E-2</c:v>
                </c:pt>
                <c:pt idx="3514">
                  <c:v>2.4931749746025578E-2</c:v>
                </c:pt>
                <c:pt idx="3515">
                  <c:v>2.4931810864271955E-2</c:v>
                </c:pt>
                <c:pt idx="3516">
                  <c:v>2.4931865033925908E-2</c:v>
                </c:pt>
                <c:pt idx="3517">
                  <c:v>2.4931912674298441E-2</c:v>
                </c:pt>
                <c:pt idx="3518">
                  <c:v>2.4931954204701866E-2</c:v>
                </c:pt>
                <c:pt idx="3519">
                  <c:v>2.4935432379795185E-2</c:v>
                </c:pt>
                <c:pt idx="3520">
                  <c:v>2.4935462295488459E-2</c:v>
                </c:pt>
                <c:pt idx="3521">
                  <c:v>2.4935487462748734E-2</c:v>
                </c:pt>
                <c:pt idx="3522">
                  <c:v>2.4935508291932734E-2</c:v>
                </c:pt>
                <c:pt idx="3523">
                  <c:v>2.4932944905283569E-2</c:v>
                </c:pt>
                <c:pt idx="3524">
                  <c:v>2.4935538577509159E-2</c:v>
                </c:pt>
                <c:pt idx="3525">
                  <c:v>2.4933833566490503E-2</c:v>
                </c:pt>
                <c:pt idx="3526">
                  <c:v>2.4935556435083606E-2</c:v>
                </c:pt>
                <c:pt idx="3527">
                  <c:v>2.4935561729266861E-2</c:v>
                </c:pt>
                <c:pt idx="3528">
                  <c:v>2.4935565147525401E-2</c:v>
                </c:pt>
                <c:pt idx="3529">
                  <c:v>2.493556710021811E-2</c:v>
                </c:pt>
                <c:pt idx="3530">
                  <c:v>2.4935567997702576E-2</c:v>
                </c:pt>
                <c:pt idx="3531">
                  <c:v>2.4935568250338543E-2</c:v>
                </c:pt>
                <c:pt idx="3532">
                  <c:v>2.4935568263099794E-2</c:v>
                </c:pt>
              </c:numCache>
            </c:numRef>
          </c:val>
          <c:smooth val="0"/>
        </c:ser>
        <c:dLbls>
          <c:showLegendKey val="0"/>
          <c:showVal val="0"/>
          <c:showCatName val="0"/>
          <c:showSerName val="0"/>
          <c:showPercent val="0"/>
          <c:showBubbleSize val="0"/>
        </c:dLbls>
        <c:marker val="1"/>
        <c:smooth val="0"/>
        <c:axId val="338041088"/>
        <c:axId val="338042880"/>
      </c:lineChart>
      <c:dateAx>
        <c:axId val="338041088"/>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38042880"/>
        <c:crosses val="autoZero"/>
        <c:auto val="1"/>
        <c:lblOffset val="100"/>
        <c:baseTimeUnit val="days"/>
        <c:majorUnit val="3"/>
        <c:majorTimeUnit val="months"/>
        <c:minorUnit val="1"/>
        <c:minorTimeUnit val="years"/>
      </c:dateAx>
      <c:valAx>
        <c:axId val="338042880"/>
        <c:scaling>
          <c:orientation val="minMax"/>
          <c:max val="4.4999999999999997E-3"/>
          <c:min val="2E-3"/>
        </c:scaling>
        <c:delete val="0"/>
        <c:axPos val="l"/>
        <c:majorGridlines/>
        <c:numFmt formatCode="0.00%" sourceLinked="0"/>
        <c:majorTickMark val="out"/>
        <c:minorTickMark val="none"/>
        <c:tickLblPos val="nextTo"/>
        <c:crossAx val="33804108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xVal>
            <c:numRef>
              <c:f>Monitor!$C$5:$C$349</c:f>
              <c:numCache>
                <c:formatCode>ddd\,\ dd\-mmm\-yyyy</c:formatCode>
                <c:ptCount val="344"/>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numCache>
            </c:numRef>
          </c:xVal>
          <c:yVal>
            <c:numRef>
              <c:f>Monitor!$E$5:$E$349</c:f>
              <c:numCache>
                <c:formatCode>0.0000%</c:formatCode>
                <c:ptCount val="344"/>
                <c:pt idx="0">
                  <c:v>7.6200000000259394E-3</c:v>
                </c:pt>
                <c:pt idx="1">
                  <c:v>7.0537627089439781E-3</c:v>
                </c:pt>
                <c:pt idx="2">
                  <c:v>6.5991672096465948E-3</c:v>
                </c:pt>
                <c:pt idx="3">
                  <c:v>6.4618119800563534E-3</c:v>
                </c:pt>
                <c:pt idx="4">
                  <c:v>6.3783807143202864E-3</c:v>
                </c:pt>
                <c:pt idx="5">
                  <c:v>6.3354477735177994E-3</c:v>
                </c:pt>
                <c:pt idx="6">
                  <c:v>6.1877738203719446E-3</c:v>
                </c:pt>
                <c:pt idx="7">
                  <c:v>5.9511216401997302E-3</c:v>
                </c:pt>
                <c:pt idx="8">
                  <c:v>5.7884660181883874E-3</c:v>
                </c:pt>
                <c:pt idx="9">
                  <c:v>5.5991808242694674E-3</c:v>
                </c:pt>
                <c:pt idx="10">
                  <c:v>5.3936750585048543E-3</c:v>
                </c:pt>
                <c:pt idx="11">
                  <c:v>5.0813313220832157E-3</c:v>
                </c:pt>
                <c:pt idx="12">
                  <c:v>4.8882579676057247E-3</c:v>
                </c:pt>
                <c:pt idx="13">
                  <c:v>4.851463963841951E-3</c:v>
                </c:pt>
                <c:pt idx="14">
                  <c:v>4.8504940297888766E-3</c:v>
                </c:pt>
                <c:pt idx="15">
                  <c:v>4.8784587430539261E-3</c:v>
                </c:pt>
                <c:pt idx="16">
                  <c:v>4.9298596575919618E-3</c:v>
                </c:pt>
                <c:pt idx="17">
                  <c:v>4.9627506883975769E-3</c:v>
                </c:pt>
                <c:pt idx="18">
                  <c:v>4.9700425217746869E-3</c:v>
                </c:pt>
                <c:pt idx="19">
                  <c:v>4.971821892745254E-3</c:v>
                </c:pt>
                <c:pt idx="20">
                  <c:v>4.9423155952066367E-3</c:v>
                </c:pt>
                <c:pt idx="21">
                  <c:v>4.8990148910377229E-3</c:v>
                </c:pt>
                <c:pt idx="22">
                  <c:v>4.8736179215502773E-3</c:v>
                </c:pt>
                <c:pt idx="23">
                  <c:v>4.8486069191611136E-3</c:v>
                </c:pt>
                <c:pt idx="24">
                  <c:v>4.8239818837103599E-3</c:v>
                </c:pt>
                <c:pt idx="25">
                  <c:v>4.7760817305597669E-3</c:v>
                </c:pt>
                <c:pt idx="26">
                  <c:v>4.729341409452914E-3</c:v>
                </c:pt>
                <c:pt idx="27">
                  <c:v>4.7066462074951687E-3</c:v>
                </c:pt>
                <c:pt idx="28">
                  <c:v>4.6843369719962169E-3</c:v>
                </c:pt>
                <c:pt idx="29">
                  <c:v>4.6624137028761226E-3</c:v>
                </c:pt>
                <c:pt idx="30">
                  <c:v>4.6199130050883497E-3</c:v>
                </c:pt>
                <c:pt idx="31">
                  <c:v>4.578580289145151E-3</c:v>
                </c:pt>
                <c:pt idx="32">
                  <c:v>4.5585868510400473E-3</c:v>
                </c:pt>
                <c:pt idx="33">
                  <c:v>4.5389793789141208E-3</c:v>
                </c:pt>
                <c:pt idx="34">
                  <c:v>4.5197578726874355E-3</c:v>
                </c:pt>
                <c:pt idx="35">
                  <c:v>4.482657229036846E-3</c:v>
                </c:pt>
                <c:pt idx="36">
                  <c:v>4.4467315062135526E-3</c:v>
                </c:pt>
                <c:pt idx="37">
                  <c:v>4.4294398288435843E-3</c:v>
                </c:pt>
                <c:pt idx="38">
                  <c:v>4.4125341170531129E-3</c:v>
                </c:pt>
                <c:pt idx="39">
                  <c:v>4.3960143707622024E-3</c:v>
                </c:pt>
                <c:pt idx="40">
                  <c:v>4.3643143374971771E-3</c:v>
                </c:pt>
                <c:pt idx="41">
                  <c:v>4.3337950400346159E-3</c:v>
                </c:pt>
                <c:pt idx="42">
                  <c:v>4.3191281056476072E-3</c:v>
                </c:pt>
                <c:pt idx="43">
                  <c:v>4.3044620617482821E-3</c:v>
                </c:pt>
                <c:pt idx="44">
                  <c:v>4.2897198933022906E-3</c:v>
                </c:pt>
                <c:pt idx="45">
                  <c:v>4.2600322174646266E-3</c:v>
                </c:pt>
                <c:pt idx="46">
                  <c:v>4.2299899741315983E-3</c:v>
                </c:pt>
                <c:pt idx="47">
                  <c:v>4.2148671831121476E-3</c:v>
                </c:pt>
                <c:pt idx="48">
                  <c:v>4.1996682676259667E-3</c:v>
                </c:pt>
                <c:pt idx="49">
                  <c:v>4.1843932275931195E-3</c:v>
                </c:pt>
                <c:pt idx="50">
                  <c:v>4.1536373224371204E-3</c:v>
                </c:pt>
                <c:pt idx="51">
                  <c:v>4.1225318229543007E-3</c:v>
                </c:pt>
                <c:pt idx="52">
                  <c:v>4.1068761608276105E-3</c:v>
                </c:pt>
                <c:pt idx="53">
                  <c:v>4.0911443740743181E-3</c:v>
                </c:pt>
                <c:pt idx="54">
                  <c:v>4.0753364630941036E-3</c:v>
                </c:pt>
                <c:pt idx="55">
                  <c:v>4.0435123085291735E-3</c:v>
                </c:pt>
                <c:pt idx="56">
                  <c:v>4.0113435749855597E-3</c:v>
                </c:pt>
                <c:pt idx="57">
                  <c:v>3.9951550419914383E-3</c:v>
                </c:pt>
                <c:pt idx="58">
                  <c:v>3.9788903846904589E-3</c:v>
                </c:pt>
                <c:pt idx="59">
                  <c:v>3.9625496030826213E-3</c:v>
                </c:pt>
                <c:pt idx="60">
                  <c:v>3.9296571860791829E-3</c:v>
                </c:pt>
                <c:pt idx="61">
                  <c:v>3.8964252334228178E-3</c:v>
                </c:pt>
                <c:pt idx="62">
                  <c:v>3.8797038302806897E-3</c:v>
                </c:pt>
                <c:pt idx="63">
                  <c:v>3.8629063028317034E-3</c:v>
                </c:pt>
                <c:pt idx="64">
                  <c:v>3.8460326511557952E-3</c:v>
                </c:pt>
                <c:pt idx="65">
                  <c:v>3.8129935666209036E-3</c:v>
                </c:pt>
                <c:pt idx="66">
                  <c:v>3.7815655253581326E-3</c:v>
                </c:pt>
                <c:pt idx="67">
                  <c:v>3.7667688023912405E-3</c:v>
                </c:pt>
                <c:pt idx="68">
                  <c:v>3.7525103426183648E-3</c:v>
                </c:pt>
                <c:pt idx="69">
                  <c:v>3.7387901459595696E-3</c:v>
                </c:pt>
                <c:pt idx="70">
                  <c:v>3.7131822606539799E-3</c:v>
                </c:pt>
                <c:pt idx="71">
                  <c:v>3.6892919879871755E-3</c:v>
                </c:pt>
                <c:pt idx="72">
                  <c:v>3.6782631056198056E-3</c:v>
                </c:pt>
                <c:pt idx="73">
                  <c:v>3.6677724858069638E-3</c:v>
                </c:pt>
                <c:pt idx="74">
                  <c:v>3.6578201287085221E-3</c:v>
                </c:pt>
                <c:pt idx="75">
                  <c:v>3.6397464217508002E-3</c:v>
                </c:pt>
                <c:pt idx="76">
                  <c:v>3.623393325939972E-3</c:v>
                </c:pt>
                <c:pt idx="77">
                  <c:v>3.6161322814542984E-3</c:v>
                </c:pt>
                <c:pt idx="78">
                  <c:v>3.6094094994432169E-3</c:v>
                </c:pt>
                <c:pt idx="79">
                  <c:v>3.6032249797468552E-3</c:v>
                </c:pt>
                <c:pt idx="80">
                  <c:v>3.5926860015234041E-3</c:v>
                </c:pt>
                <c:pt idx="81">
                  <c:v>3.5838695245082874E-3</c:v>
                </c:pt>
                <c:pt idx="82">
                  <c:v>3.5803763163855251E-3</c:v>
                </c:pt>
                <c:pt idx="83">
                  <c:v>3.5774213705774827E-3</c:v>
                </c:pt>
                <c:pt idx="84">
                  <c:v>3.575004687004224E-3</c:v>
                </c:pt>
                <c:pt idx="85">
                  <c:v>3.5720009689299559E-3</c:v>
                </c:pt>
                <c:pt idx="86">
                  <c:v>3.5702710623919387E-3</c:v>
                </c:pt>
                <c:pt idx="87">
                  <c:v>3.5678486143098098E-3</c:v>
                </c:pt>
                <c:pt idx="88">
                  <c:v>3.5632673528596115E-3</c:v>
                </c:pt>
                <c:pt idx="89">
                  <c:v>3.5565272781212798E-3</c:v>
                </c:pt>
                <c:pt idx="90">
                  <c:v>3.5358858134504345E-3</c:v>
                </c:pt>
                <c:pt idx="91">
                  <c:v>3.5079788492442532E-3</c:v>
                </c:pt>
                <c:pt idx="92">
                  <c:v>3.4904447106232084E-3</c:v>
                </c:pt>
                <c:pt idx="93">
                  <c:v>3.4707517601528792E-3</c:v>
                </c:pt>
                <c:pt idx="94">
                  <c:v>3.4488999979132018E-3</c:v>
                </c:pt>
                <c:pt idx="95">
                  <c:v>3.3980325096116815E-3</c:v>
                </c:pt>
                <c:pt idx="96">
                  <c:v>3.3399048413329524E-3</c:v>
                </c:pt>
                <c:pt idx="97">
                  <c:v>3.3072590277605229E-3</c:v>
                </c:pt>
                <c:pt idx="98">
                  <c:v>3.2724544053763793E-3</c:v>
                </c:pt>
                <c:pt idx="99">
                  <c:v>3.2354909750598182E-3</c:v>
                </c:pt>
                <c:pt idx="100">
                  <c:v>3.1543957282487156E-3</c:v>
                </c:pt>
                <c:pt idx="101">
                  <c:v>3.0660491868594875E-3</c:v>
                </c:pt>
                <c:pt idx="102">
                  <c:v>3.018291726952782E-3</c:v>
                </c:pt>
                <c:pt idx="103">
                  <c:v>2.9683754635101423E-3</c:v>
                </c:pt>
                <c:pt idx="104">
                  <c:v>2.9163003976506729E-3</c:v>
                </c:pt>
                <c:pt idx="105">
                  <c:v>2.804976113672808E-3</c:v>
                </c:pt>
                <c:pt idx="106">
                  <c:v>2.6864121271508168E-3</c:v>
                </c:pt>
                <c:pt idx="107">
                  <c:v>2.6235430630361378E-3</c:v>
                </c:pt>
                <c:pt idx="108">
                  <c:v>2.5592674251839753E-3</c:v>
                </c:pt>
                <c:pt idx="109">
                  <c:v>2.4965941037713435E-3</c:v>
                </c:pt>
                <c:pt idx="110">
                  <c:v>2.3791116387883449E-3</c:v>
                </c:pt>
                <c:pt idx="111">
                  <c:v>2.2694461870553795E-3</c:v>
                </c:pt>
                <c:pt idx="112">
                  <c:v>2.2185455444745372E-3</c:v>
                </c:pt>
                <c:pt idx="113">
                  <c:v>2.1699994344626106E-3</c:v>
                </c:pt>
                <c:pt idx="114">
                  <c:v>2.1238078559804308E-3</c:v>
                </c:pt>
                <c:pt idx="115">
                  <c:v>2.0392846836791989E-3</c:v>
                </c:pt>
                <c:pt idx="116">
                  <c:v>1.9625868409622882E-3</c:v>
                </c:pt>
                <c:pt idx="117">
                  <c:v>1.9281679079785619E-3</c:v>
                </c:pt>
                <c:pt idx="118">
                  <c:v>1.896103501808355E-3</c:v>
                </c:pt>
                <c:pt idx="119">
                  <c:v>1.866393621812179E-3</c:v>
                </c:pt>
                <c:pt idx="120">
                  <c:v>1.8148314283106259E-3</c:v>
                </c:pt>
                <c:pt idx="121">
                  <c:v>1.771099353575778E-3</c:v>
                </c:pt>
                <c:pt idx="122">
                  <c:v>1.7531620970157036E-3</c:v>
                </c:pt>
                <c:pt idx="123">
                  <c:v>1.7375793639118342E-3</c:v>
                </c:pt>
                <c:pt idx="124">
                  <c:v>1.7243511539444256E-3</c:v>
                </c:pt>
                <c:pt idx="125">
                  <c:v>1.7057512252804941E-3</c:v>
                </c:pt>
                <c:pt idx="126">
                  <c:v>1.6949835408031078E-3</c:v>
                </c:pt>
                <c:pt idx="127">
                  <c:v>1.693527943560369E-3</c:v>
                </c:pt>
                <c:pt idx="128">
                  <c:v>1.6944268684149222E-3</c:v>
                </c:pt>
                <c:pt idx="129">
                  <c:v>1.6976803156865117E-3</c:v>
                </c:pt>
                <c:pt idx="130">
                  <c:v>1.7120437599871252E-3</c:v>
                </c:pt>
                <c:pt idx="131">
                  <c:v>1.7342393294228486E-3</c:v>
                </c:pt>
                <c:pt idx="132">
                  <c:v>1.7492653899786603E-3</c:v>
                </c:pt>
                <c:pt idx="133">
                  <c:v>1.766645973910741E-3</c:v>
                </c:pt>
                <c:pt idx="134">
                  <c:v>1.7863810814588987E-3</c:v>
                </c:pt>
                <c:pt idx="135">
                  <c:v>1.8337090505760045E-3</c:v>
                </c:pt>
                <c:pt idx="136">
                  <c:v>1.8888667572447559E-3</c:v>
                </c:pt>
                <c:pt idx="137">
                  <c:v>1.9203744901474806E-3</c:v>
                </c:pt>
                <c:pt idx="138">
                  <c:v>1.9542367496239166E-3</c:v>
                </c:pt>
                <c:pt idx="139">
                  <c:v>1.9904535365533604E-3</c:v>
                </c:pt>
                <c:pt idx="140">
                  <c:v>2.0707474479664256E-3</c:v>
                </c:pt>
                <c:pt idx="141">
                  <c:v>2.1588659728699611E-3</c:v>
                </c:pt>
                <c:pt idx="142">
                  <c:v>2.2068554083354286E-3</c:v>
                </c:pt>
                <c:pt idx="143">
                  <c:v>2.2571993760500675E-3</c:v>
                </c:pt>
                <c:pt idx="144">
                  <c:v>2.3098978771329826E-3</c:v>
                </c:pt>
                <c:pt idx="145">
                  <c:v>2.4231596358514906E-3</c:v>
                </c:pt>
                <c:pt idx="146">
                  <c:v>2.5442372360107157E-3</c:v>
                </c:pt>
                <c:pt idx="147">
                  <c:v>2.6087084200820954E-3</c:v>
                </c:pt>
                <c:pt idx="148">
                  <c:v>2.8186478852862962E-3</c:v>
                </c:pt>
                <c:pt idx="149">
                  <c:v>3.0449809170107756E-3</c:v>
                </c:pt>
                <c:pt idx="150">
                  <c:v>3.1259339117983842E-3</c:v>
                </c:pt>
                <c:pt idx="151">
                  <c:v>3.2476325633146175E-3</c:v>
                </c:pt>
                <c:pt idx="152">
                  <c:v>3.4306766876124328E-3</c:v>
                </c:pt>
                <c:pt idx="153">
                  <c:v>3.5597555104427414E-3</c:v>
                </c:pt>
                <c:pt idx="154">
                  <c:v>3.6170990278971971E-3</c:v>
                </c:pt>
                <c:pt idx="155">
                  <c:v>3.6701151993501213E-3</c:v>
                </c:pt>
                <c:pt idx="156">
                  <c:v>3.7188040228031127E-3</c:v>
                </c:pt>
                <c:pt idx="157">
                  <c:v>3.8017973150417106E-3</c:v>
                </c:pt>
                <c:pt idx="158">
                  <c:v>3.8702858041617105E-3</c:v>
                </c:pt>
                <c:pt idx="159">
                  <c:v>3.8973378645934531E-3</c:v>
                </c:pt>
                <c:pt idx="160">
                  <c:v>3.9200625687918489E-3</c:v>
                </c:pt>
                <c:pt idx="161">
                  <c:v>3.9384599161174094E-3</c:v>
                </c:pt>
                <c:pt idx="162">
                  <c:v>3.9608736626828289E-3</c:v>
                </c:pt>
                <c:pt idx="163">
                  <c:v>3.9687757243811461E-3</c:v>
                </c:pt>
                <c:pt idx="164">
                  <c:v>3.965536279908477E-3</c:v>
                </c:pt>
                <c:pt idx="165">
                  <c:v>3.9579694768043794E-3</c:v>
                </c:pt>
                <c:pt idx="166">
                  <c:v>3.9460753153885975E-3</c:v>
                </c:pt>
                <c:pt idx="167">
                  <c:v>3.9079048872903144E-3</c:v>
                </c:pt>
                <c:pt idx="168">
                  <c:v>3.8552250970003143E-3</c:v>
                </c:pt>
                <c:pt idx="169">
                  <c:v>3.8216941533786297E-3</c:v>
                </c:pt>
                <c:pt idx="170">
                  <c:v>3.7838358563213603E-3</c:v>
                </c:pt>
                <c:pt idx="171">
                  <c:v>3.7425935135804167E-3</c:v>
                </c:pt>
                <c:pt idx="172">
                  <c:v>3.6627011018808275E-3</c:v>
                </c:pt>
                <c:pt idx="173">
                  <c:v>3.5871757859329279E-3</c:v>
                </c:pt>
                <c:pt idx="174">
                  <c:v>3.5516525691647871E-3</c:v>
                </c:pt>
                <c:pt idx="175">
                  <c:v>3.5174618377187272E-3</c:v>
                </c:pt>
                <c:pt idx="176">
                  <c:v>3.4846035910351958E-3</c:v>
                </c:pt>
                <c:pt idx="177">
                  <c:v>3.4233612647849299E-3</c:v>
                </c:pt>
                <c:pt idx="178">
                  <c:v>3.3664954461709584E-3</c:v>
                </c:pt>
                <c:pt idx="179">
                  <c:v>3.3402996186637779E-3</c:v>
                </c:pt>
                <c:pt idx="180">
                  <c:v>3.3154362741605325E-3</c:v>
                </c:pt>
                <c:pt idx="181">
                  <c:v>3.2919054123414782E-3</c:v>
                </c:pt>
                <c:pt idx="182">
                  <c:v>3.2493146230727632E-3</c:v>
                </c:pt>
                <c:pt idx="183">
                  <c:v>3.2111067859919018E-3</c:v>
                </c:pt>
                <c:pt idx="184">
                  <c:v>3.1942383336769353E-3</c:v>
                </c:pt>
                <c:pt idx="185">
                  <c:v>3.1787023625273747E-3</c:v>
                </c:pt>
                <c:pt idx="186">
                  <c:v>3.164498872623156E-3</c:v>
                </c:pt>
                <c:pt idx="187">
                  <c:v>3.1405608926515782E-3</c:v>
                </c:pt>
                <c:pt idx="188">
                  <c:v>3.1210097209033449E-3</c:v>
                </c:pt>
                <c:pt idx="189">
                  <c:v>3.1134686344280738E-3</c:v>
                </c:pt>
                <c:pt idx="190">
                  <c:v>3.1072600283188478E-3</c:v>
                </c:pt>
                <c:pt idx="191">
                  <c:v>3.1023839025756672E-3</c:v>
                </c:pt>
                <c:pt idx="192">
                  <c:v>3.0959252842688301E-3</c:v>
                </c:pt>
                <c:pt idx="193">
                  <c:v>3.0913753256456289E-3</c:v>
                </c:pt>
                <c:pt idx="194">
                  <c:v>3.090029356869195E-3</c:v>
                </c:pt>
                <c:pt idx="195">
                  <c:v>3.0892328073228725E-3</c:v>
                </c:pt>
                <c:pt idx="196">
                  <c:v>3.0889856770066615E-3</c:v>
                </c:pt>
                <c:pt idx="197">
                  <c:v>3.0903493415213035E-3</c:v>
                </c:pt>
                <c:pt idx="198">
                  <c:v>3.0934913471636349E-3</c:v>
                </c:pt>
                <c:pt idx="199">
                  <c:v>3.0959913125983007E-3</c:v>
                </c:pt>
                <c:pt idx="200">
                  <c:v>3.099040697263078E-3</c:v>
                </c:pt>
                <c:pt idx="201">
                  <c:v>3.1026395011579666E-3</c:v>
                </c:pt>
                <c:pt idx="202">
                  <c:v>3.1116954022802901E-3</c:v>
                </c:pt>
                <c:pt idx="203">
                  <c:v>3.1225289092784436E-3</c:v>
                </c:pt>
                <c:pt idx="204">
                  <c:v>3.1288748095636976E-3</c:v>
                </c:pt>
                <c:pt idx="205">
                  <c:v>3.135770129158999E-3</c:v>
                </c:pt>
                <c:pt idx="206">
                  <c:v>3.143214868144284E-3</c:v>
                </c:pt>
                <c:pt idx="207">
                  <c:v>3.1599634809076349E-3</c:v>
                </c:pt>
                <c:pt idx="208">
                  <c:v>3.1784880187046838E-3</c:v>
                </c:pt>
                <c:pt idx="209">
                  <c:v>3.1886798551195028E-3</c:v>
                </c:pt>
                <c:pt idx="210">
                  <c:v>3.1994211111641135E-3</c:v>
                </c:pt>
                <c:pt idx="211">
                  <c:v>3.2107117869983881E-3</c:v>
                </c:pt>
                <c:pt idx="212">
                  <c:v>3.2351536098840228E-3</c:v>
                </c:pt>
                <c:pt idx="213">
                  <c:v>3.2608375558940139E-3</c:v>
                </c:pt>
                <c:pt idx="214">
                  <c:v>3.271688539285833E-3</c:v>
                </c:pt>
                <c:pt idx="215">
                  <c:v>3.2799021508367332E-3</c:v>
                </c:pt>
                <c:pt idx="216">
                  <c:v>3.2861413721363419E-3</c:v>
                </c:pt>
                <c:pt idx="217">
                  <c:v>3.2737990058873123E-3</c:v>
                </c:pt>
                <c:pt idx="218">
                  <c:v>3.2635510128731227E-3</c:v>
                </c:pt>
                <c:pt idx="219">
                  <c:v>3.2506656481778862E-3</c:v>
                </c:pt>
                <c:pt idx="220">
                  <c:v>3.2161324128132662E-3</c:v>
                </c:pt>
                <c:pt idx="221">
                  <c:v>3.172750479620845E-3</c:v>
                </c:pt>
                <c:pt idx="222">
                  <c:v>3.1466782621958345E-3</c:v>
                </c:pt>
                <c:pt idx="223">
                  <c:v>3.117968675727667E-3</c:v>
                </c:pt>
                <c:pt idx="224">
                  <c:v>3.086621720695959E-3</c:v>
                </c:pt>
                <c:pt idx="225">
                  <c:v>3.0151618377782796E-3</c:v>
                </c:pt>
                <c:pt idx="226">
                  <c:v>2.9348602309209326E-3</c:v>
                </c:pt>
                <c:pt idx="227">
                  <c:v>2.8903264452218025E-3</c:v>
                </c:pt>
                <c:pt idx="228">
                  <c:v>2.8431552960750395E-3</c:v>
                </c:pt>
                <c:pt idx="229">
                  <c:v>2.7933467845198123E-3</c:v>
                </c:pt>
                <c:pt idx="230">
                  <c:v>2.6849585808008669E-3</c:v>
                </c:pt>
                <c:pt idx="231">
                  <c:v>2.567739136996039E-3</c:v>
                </c:pt>
                <c:pt idx="232">
                  <c:v>2.5047438309844239E-3</c:v>
                </c:pt>
                <c:pt idx="233">
                  <c:v>2.4400181697536993E-3</c:v>
                </c:pt>
                <c:pt idx="234">
                  <c:v>2.2899815740262675E-3</c:v>
                </c:pt>
                <c:pt idx="235">
                  <c:v>2.153924491166137E-3</c:v>
                </c:pt>
                <c:pt idx="236">
                  <c:v>2.1051196715404785E-3</c:v>
                </c:pt>
                <c:pt idx="237">
                  <c:v>2.0591194877184194E-3</c:v>
                </c:pt>
                <c:pt idx="238">
                  <c:v>2.0159239388206629E-3</c:v>
                </c:pt>
                <c:pt idx="239">
                  <c:v>1.938892059811792E-3</c:v>
                </c:pt>
                <c:pt idx="240">
                  <c:v>1.8711880716892892E-3</c:v>
                </c:pt>
                <c:pt idx="241">
                  <c:v>1.8420156829446199E-3</c:v>
                </c:pt>
                <c:pt idx="242">
                  <c:v>1.8156479238484735E-3</c:v>
                </c:pt>
                <c:pt idx="243">
                  <c:v>1.7920847938412976E-3</c:v>
                </c:pt>
                <c:pt idx="244">
                  <c:v>1.7543158436605921E-3</c:v>
                </c:pt>
                <c:pt idx="245">
                  <c:v>1.725878555030036E-3</c:v>
                </c:pt>
                <c:pt idx="246">
                  <c:v>1.7163385636731476E-3</c:v>
                </c:pt>
                <c:pt idx="247">
                  <c:v>1.7096031991670202E-3</c:v>
                </c:pt>
                <c:pt idx="248">
                  <c:v>1.7056724611919094E-3</c:v>
                </c:pt>
                <c:pt idx="249">
                  <c:v>1.7071678359226183E-3</c:v>
                </c:pt>
                <c:pt idx="250">
                  <c:v>1.7179957748414409E-3</c:v>
                </c:pt>
                <c:pt idx="251">
                  <c:v>1.7280881699210937E-3</c:v>
                </c:pt>
                <c:pt idx="252">
                  <c:v>1.7409851921712516E-3</c:v>
                </c:pt>
                <c:pt idx="253">
                  <c:v>1.7566868417517867E-3</c:v>
                </c:pt>
                <c:pt idx="254">
                  <c:v>1.7959351427343506E-3</c:v>
                </c:pt>
                <c:pt idx="255">
                  <c:v>1.8413207743339655E-3</c:v>
                </c:pt>
                <c:pt idx="256">
                  <c:v>1.8670116547170323E-3</c:v>
                </c:pt>
                <c:pt idx="257">
                  <c:v>1.8944986868874025E-3</c:v>
                </c:pt>
                <c:pt idx="258">
                  <c:v>1.9237818710848842E-3</c:v>
                </c:pt>
                <c:pt idx="259">
                  <c:v>1.9883463962511172E-3</c:v>
                </c:pt>
                <c:pt idx="260">
                  <c:v>2.0588761379780607E-3</c:v>
                </c:pt>
                <c:pt idx="261">
                  <c:v>2.0971400898250891E-3</c:v>
                </c:pt>
                <c:pt idx="262">
                  <c:v>2.1372001967367993E-3</c:v>
                </c:pt>
                <c:pt idx="263">
                  <c:v>2.1790564593526796E-3</c:v>
                </c:pt>
                <c:pt idx="264">
                  <c:v>2.2687704695734112E-3</c:v>
                </c:pt>
                <c:pt idx="265">
                  <c:v>2.3644430801272875E-3</c:v>
                </c:pt>
                <c:pt idx="266">
                  <c:v>2.4152801313359618E-3</c:v>
                </c:pt>
                <c:pt idx="267">
                  <c:v>2.4679133424854172E-3</c:v>
                </c:pt>
                <c:pt idx="268">
                  <c:v>2.5223427142151422E-3</c:v>
                </c:pt>
                <c:pt idx="269">
                  <c:v>2.6372079797809533E-3</c:v>
                </c:pt>
                <c:pt idx="270">
                  <c:v>2.758021824842416E-3</c:v>
                </c:pt>
                <c:pt idx="271">
                  <c:v>2.8214320126629389E-3</c:v>
                </c:pt>
                <c:pt idx="272">
                  <c:v>2.8866383665793194E-3</c:v>
                </c:pt>
                <c:pt idx="273">
                  <c:v>2.9536408873909181E-3</c:v>
                </c:pt>
                <c:pt idx="274">
                  <c:v>3.0936597374786601E-3</c:v>
                </c:pt>
                <c:pt idx="275">
                  <c:v>3.2387540883593857E-3</c:v>
                </c:pt>
                <c:pt idx="276">
                  <c:v>3.3095860251552978E-3</c:v>
                </c:pt>
                <c:pt idx="277">
                  <c:v>3.3770626981244334E-3</c:v>
                </c:pt>
                <c:pt idx="278">
                  <c:v>3.4411841051884551E-3</c:v>
                </c:pt>
                <c:pt idx="279">
                  <c:v>3.558277858308756E-3</c:v>
                </c:pt>
                <c:pt idx="280">
                  <c:v>3.6641170412998747E-3</c:v>
                </c:pt>
                <c:pt idx="281">
                  <c:v>3.7114620945377652E-3</c:v>
                </c:pt>
                <c:pt idx="282">
                  <c:v>3.755451872518023E-3</c:v>
                </c:pt>
                <c:pt idx="283">
                  <c:v>3.7960863742014794E-3</c:v>
                </c:pt>
                <c:pt idx="284">
                  <c:v>3.866212636891575E-3</c:v>
                </c:pt>
                <c:pt idx="285">
                  <c:v>3.9250715959049387E-3</c:v>
                </c:pt>
                <c:pt idx="286">
                  <c:v>3.9489297005967927E-3</c:v>
                </c:pt>
                <c:pt idx="287">
                  <c:v>3.9694325234762573E-3</c:v>
                </c:pt>
                <c:pt idx="288">
                  <c:v>3.9865800639837801E-3</c:v>
                </c:pt>
                <c:pt idx="289">
                  <c:v>4.0097355285428904E-3</c:v>
                </c:pt>
                <c:pt idx="290">
                  <c:v>4.0216173945406553E-3</c:v>
                </c:pt>
                <c:pt idx="291">
                  <c:v>4.0219885179926251E-3</c:v>
                </c:pt>
                <c:pt idx="292">
                  <c:v>4.0190043576338041E-3</c:v>
                </c:pt>
                <c:pt idx="293">
                  <c:v>4.0126649136240644E-3</c:v>
                </c:pt>
                <c:pt idx="294">
                  <c:v>3.9888459433345957E-3</c:v>
                </c:pt>
                <c:pt idx="295">
                  <c:v>3.9537543049927848E-3</c:v>
                </c:pt>
                <c:pt idx="296">
                  <c:v>3.9306384467252542E-3</c:v>
                </c:pt>
                <c:pt idx="297">
                  <c:v>3.9048579836808983E-3</c:v>
                </c:pt>
                <c:pt idx="298">
                  <c:v>3.879175621683828E-3</c:v>
                </c:pt>
                <c:pt idx="299">
                  <c:v>3.8304809115263794E-3</c:v>
                </c:pt>
                <c:pt idx="300">
                  <c:v>3.7843339463705661E-3</c:v>
                </c:pt>
                <c:pt idx="301">
                  <c:v>3.7625954699116448E-3</c:v>
                </c:pt>
                <c:pt idx="302">
                  <c:v>3.7416457700167882E-3</c:v>
                </c:pt>
                <c:pt idx="303">
                  <c:v>3.7214848466859962E-3</c:v>
                </c:pt>
                <c:pt idx="304">
                  <c:v>3.6838299494856841E-3</c:v>
                </c:pt>
                <c:pt idx="305">
                  <c:v>3.64872891564616E-3</c:v>
                </c:pt>
                <c:pt idx="306">
                  <c:v>3.6325118729774175E-3</c:v>
                </c:pt>
                <c:pt idx="307">
                  <c:v>3.617083605993443E-3</c:v>
                </c:pt>
                <c:pt idx="308">
                  <c:v>3.6024441146942365E-3</c:v>
                </c:pt>
                <c:pt idx="309">
                  <c:v>3.5758299014609918E-3</c:v>
                </c:pt>
                <c:pt idx="310">
                  <c:v>3.5517739046664332E-3</c:v>
                </c:pt>
                <c:pt idx="311">
                  <c:v>3.5410782904321536E-3</c:v>
                </c:pt>
                <c:pt idx="312">
                  <c:v>3.5311714514030257E-3</c:v>
                </c:pt>
                <c:pt idx="313">
                  <c:v>3.5220533874991133E-3</c:v>
                </c:pt>
                <c:pt idx="314">
                  <c:v>3.506480663135747E-3</c:v>
                </c:pt>
                <c:pt idx="315">
                  <c:v>3.493468882016515E-3</c:v>
                </c:pt>
                <c:pt idx="316">
                  <c:v>3.4882946929393199E-3</c:v>
                </c:pt>
                <c:pt idx="317">
                  <c:v>3.4839092786675963E-3</c:v>
                </c:pt>
                <c:pt idx="318">
                  <c:v>3.4803126392013439E-3</c:v>
                </c:pt>
                <c:pt idx="319">
                  <c:v>3.4757821674968881E-3</c:v>
                </c:pt>
                <c:pt idx="320">
                  <c:v>3.4737932452966191E-3</c:v>
                </c:pt>
                <c:pt idx="321">
                  <c:v>3.474016976889871E-3</c:v>
                </c:pt>
                <c:pt idx="322">
                  <c:v>3.4749059804006777E-3</c:v>
                </c:pt>
                <c:pt idx="323">
                  <c:v>3.4764602559889113E-3</c:v>
                </c:pt>
                <c:pt idx="324">
                  <c:v>3.4818200551534062E-3</c:v>
                </c:pt>
                <c:pt idx="325">
                  <c:v>3.4893300784766268E-3</c:v>
                </c:pt>
                <c:pt idx="326">
                  <c:v>3.494210714212187E-3</c:v>
                </c:pt>
                <c:pt idx="327">
                  <c:v>3.4997566221051102E-3</c:v>
                </c:pt>
                <c:pt idx="328">
                  <c:v>3.5059678021553964E-3</c:v>
                </c:pt>
                <c:pt idx="329">
                  <c:v>3.5206421657996145E-3</c:v>
                </c:pt>
                <c:pt idx="330">
                  <c:v>3.5374652441699794E-3</c:v>
                </c:pt>
                <c:pt idx="331">
                  <c:v>3.547002785486697E-3</c:v>
                </c:pt>
                <c:pt idx="332">
                  <c:v>3.5572055991206497E-3</c:v>
                </c:pt>
                <c:pt idx="333">
                  <c:v>3.5680736852317096E-3</c:v>
                </c:pt>
                <c:pt idx="334">
                  <c:v>3.5920632733343894E-3</c:v>
                </c:pt>
                <c:pt idx="335">
                  <c:v>3.6181987555661266E-3</c:v>
                </c:pt>
                <c:pt idx="336">
                  <c:v>3.6323932048620833E-3</c:v>
                </c:pt>
                <c:pt idx="337">
                  <c:v>3.6472529271147636E-3</c:v>
                </c:pt>
                <c:pt idx="338">
                  <c:v>3.6627779222442314E-3</c:v>
                </c:pt>
                <c:pt idx="339">
                  <c:v>3.6960834359778261E-3</c:v>
                </c:pt>
                <c:pt idx="340">
                  <c:v>3.7315306343277399E-3</c:v>
                </c:pt>
                <c:pt idx="341">
                  <c:v>3.7503819955997386E-3</c:v>
                </c:pt>
                <c:pt idx="342">
                  <c:v>3.769294862552286E-3</c:v>
                </c:pt>
                <c:pt idx="343">
                  <c:v>3.7858541633628562E-3</c:v>
                </c:pt>
              </c:numCache>
            </c:numRef>
          </c:yVal>
          <c:smooth val="0"/>
        </c:ser>
        <c:dLbls>
          <c:showLegendKey val="0"/>
          <c:showVal val="0"/>
          <c:showCatName val="0"/>
          <c:showSerName val="0"/>
          <c:showPercent val="0"/>
          <c:showBubbleSize val="0"/>
        </c:dLbls>
        <c:axId val="346921600"/>
        <c:axId val="346931584"/>
      </c:scatterChart>
      <c:valAx>
        <c:axId val="346921600"/>
        <c:scaling>
          <c:orientation val="minMax"/>
          <c:max val="42277"/>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46931584"/>
        <c:crosses val="autoZero"/>
        <c:crossBetween val="midCat"/>
        <c:majorUnit val="90"/>
      </c:valAx>
      <c:valAx>
        <c:axId val="346931584"/>
        <c:scaling>
          <c:orientation val="minMax"/>
          <c:max val="6.0000000000000001E-3"/>
          <c:min val="0"/>
        </c:scaling>
        <c:delete val="0"/>
        <c:axPos val="l"/>
        <c:majorGridlines/>
        <c:numFmt formatCode="0.00%" sourceLinked="0"/>
        <c:majorTickMark val="out"/>
        <c:minorTickMark val="none"/>
        <c:tickLblPos val="nextTo"/>
        <c:crossAx val="346921600"/>
        <c:crosses val="autoZero"/>
        <c:crossBetween val="midCat"/>
        <c:majorUnit val="1E-3"/>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6M Fwd</a:t>
            </a:r>
          </a:p>
        </c:rich>
      </c:tx>
      <c:layout>
        <c:manualLayout>
          <c:xMode val="edge"/>
          <c:yMode val="edge"/>
          <c:x val="0.54135923364909333"/>
          <c:y val="9.0314465408805028E-2"/>
        </c:manualLayout>
      </c:layout>
      <c:overlay val="1"/>
    </c:title>
    <c:autoTitleDeleted val="0"/>
    <c:plotArea>
      <c:layout>
        <c:manualLayout>
          <c:layoutTarget val="inner"/>
          <c:xMode val="edge"/>
          <c:yMode val="edge"/>
          <c:x val="8.6687372024486647E-2"/>
          <c:y val="7.1111419754426017E-2"/>
          <c:w val="0.87616165296177573"/>
          <c:h val="0.71555866127891177"/>
        </c:manualLayout>
      </c:layout>
      <c:scatterChart>
        <c:scatterStyle val="smoothMarker"/>
        <c:varyColors val="0"/>
        <c:ser>
          <c:idx val="0"/>
          <c:order val="0"/>
          <c:spPr>
            <a:ln w="28575">
              <a:noFill/>
            </a:ln>
          </c:spPr>
          <c:marker>
            <c:symbol val="diamond"/>
            <c:size val="2"/>
            <c:spPr>
              <a:solidFill>
                <a:srgbClr val="000080"/>
              </a:solidFill>
              <a:ln>
                <a:solidFill>
                  <a:srgbClr val="000080"/>
                </a:solidFill>
                <a:prstDash val="solid"/>
              </a:ln>
            </c:spPr>
          </c:marker>
          <c:xVal>
            <c:numRef>
              <c:f>Monitor!$C$5:$C$15377</c:f>
              <c:numCache>
                <c:formatCode>ddd\,\ dd\-mmm\-yyyy</c:formatCode>
                <c:ptCount val="15372"/>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numCache>
            </c:numRef>
          </c:xVal>
          <c:yVal>
            <c:numRef>
              <c:f>Monitor!$D$5:$D$15377</c:f>
              <c:numCache>
                <c:formatCode>0.0000%</c:formatCode>
                <c:ptCount val="15372"/>
                <c:pt idx="0">
                  <c:v>3.8825524408421133E-3</c:v>
                </c:pt>
                <c:pt idx="1">
                  <c:v>3.8619352703961451E-3</c:v>
                </c:pt>
                <c:pt idx="2">
                  <c:v>3.762591618581898E-3</c:v>
                </c:pt>
                <c:pt idx="3">
                  <c:v>3.7360392201340751E-3</c:v>
                </c:pt>
                <c:pt idx="4">
                  <c:v>3.7103343107802362E-3</c:v>
                </c:pt>
                <c:pt idx="5">
                  <c:v>3.685194534659722E-3</c:v>
                </c:pt>
                <c:pt idx="6">
                  <c:v>3.6408363837411579E-3</c:v>
                </c:pt>
                <c:pt idx="7">
                  <c:v>3.589343934461402E-3</c:v>
                </c:pt>
                <c:pt idx="8">
                  <c:v>3.567278170357189E-3</c:v>
                </c:pt>
                <c:pt idx="9">
                  <c:v>3.5462884415623564E-3</c:v>
                </c:pt>
                <c:pt idx="10">
                  <c:v>3.5265333787186407E-3</c:v>
                </c:pt>
                <c:pt idx="11">
                  <c:v>3.4928412470990717E-3</c:v>
                </c:pt>
                <c:pt idx="12">
                  <c:v>3.4593856330838368E-3</c:v>
                </c:pt>
                <c:pt idx="13">
                  <c:v>3.4447075927059468E-3</c:v>
                </c:pt>
                <c:pt idx="14">
                  <c:v>3.4305066512951661E-3</c:v>
                </c:pt>
                <c:pt idx="15">
                  <c:v>3.4165995897766106E-3</c:v>
                </c:pt>
                <c:pt idx="16">
                  <c:v>3.3926100826588263E-3</c:v>
                </c:pt>
                <c:pt idx="17">
                  <c:v>3.3626594461545279E-3</c:v>
                </c:pt>
                <c:pt idx="18">
                  <c:v>3.3497740163817308E-3</c:v>
                </c:pt>
                <c:pt idx="19">
                  <c:v>3.3269906456359585E-3</c:v>
                </c:pt>
                <c:pt idx="20">
                  <c:v>3.3091371254391965E-3</c:v>
                </c:pt>
                <c:pt idx="21">
                  <c:v>3.2800000000011566E-3</c:v>
                </c:pt>
                <c:pt idx="22">
                  <c:v>3.2709129973088166E-3</c:v>
                </c:pt>
                <c:pt idx="23">
                  <c:v>3.2621584819208351E-3</c:v>
                </c:pt>
                <c:pt idx="24">
                  <c:v>3.2563956254829944E-3</c:v>
                </c:pt>
                <c:pt idx="25">
                  <c:v>3.2478786648384261E-3</c:v>
                </c:pt>
                <c:pt idx="26">
                  <c:v>3.2266008002222193E-3</c:v>
                </c:pt>
                <c:pt idx="27">
                  <c:v>3.2208347181747359E-3</c:v>
                </c:pt>
                <c:pt idx="28">
                  <c:v>3.2154572429643966E-3</c:v>
                </c:pt>
                <c:pt idx="29">
                  <c:v>3.2170760528976174E-3</c:v>
                </c:pt>
                <c:pt idx="30">
                  <c:v>3.2092218538407814E-3</c:v>
                </c:pt>
                <c:pt idx="31">
                  <c:v>3.1935008558963531E-3</c:v>
                </c:pt>
                <c:pt idx="32">
                  <c:v>3.1899161592311965E-3</c:v>
                </c:pt>
                <c:pt idx="33">
                  <c:v>3.1865404520265601E-3</c:v>
                </c:pt>
                <c:pt idx="34">
                  <c:v>3.1918223250334658E-3</c:v>
                </c:pt>
                <c:pt idx="35">
                  <c:v>3.1846043127112993E-3</c:v>
                </c:pt>
                <c:pt idx="36">
                  <c:v>3.1718987226428529E-3</c:v>
                </c:pt>
                <c:pt idx="37">
                  <c:v>3.1692381337301906E-3</c:v>
                </c:pt>
                <c:pt idx="38">
                  <c:v>3.1666069297824244E-3</c:v>
                </c:pt>
                <c:pt idx="39">
                  <c:v>3.1719279512115906E-3</c:v>
                </c:pt>
                <c:pt idx="40">
                  <c:v>3.1652726162406577E-3</c:v>
                </c:pt>
                <c:pt idx="41">
                  <c:v>3.1529936892840792E-3</c:v>
                </c:pt>
                <c:pt idx="42">
                  <c:v>3.1499999999997836E-3</c:v>
                </c:pt>
                <c:pt idx="43">
                  <c:v>3.1468616528002764E-3</c:v>
                </c:pt>
                <c:pt idx="44">
                  <c:v>3.1404984170714592E-3</c:v>
                </c:pt>
                <c:pt idx="45">
                  <c:v>3.1428119309527798E-3</c:v>
                </c:pt>
                <c:pt idx="46">
                  <c:v>3.1291851303949032E-3</c:v>
                </c:pt>
                <c:pt idx="47">
                  <c:v>3.1253065470204307E-3</c:v>
                </c:pt>
                <c:pt idx="48">
                  <c:v>3.1213314299753359E-3</c:v>
                </c:pt>
                <c:pt idx="49">
                  <c:v>3.120457054485768E-3</c:v>
                </c:pt>
                <c:pt idx="50">
                  <c:v>3.1146698453577175E-3</c:v>
                </c:pt>
                <c:pt idx="51">
                  <c:v>3.1002762241881957E-3</c:v>
                </c:pt>
                <c:pt idx="52">
                  <c:v>3.0958829350370277E-3</c:v>
                </c:pt>
                <c:pt idx="53">
                  <c:v>3.0914467883105452E-3</c:v>
                </c:pt>
                <c:pt idx="54">
                  <c:v>3.0886660339402372E-3</c:v>
                </c:pt>
                <c:pt idx="55">
                  <c:v>3.0832977761696334E-3</c:v>
                </c:pt>
                <c:pt idx="56">
                  <c:v>3.0688915604755273E-3</c:v>
                </c:pt>
                <c:pt idx="57">
                  <c:v>3.0643592889808995E-3</c:v>
                </c:pt>
                <c:pt idx="58">
                  <c:v>3.0598378328188141E-3</c:v>
                </c:pt>
                <c:pt idx="59">
                  <c:v>3.0562441148290582E-3</c:v>
                </c:pt>
                <c:pt idx="60">
                  <c:v>3.0513115802061697E-3</c:v>
                </c:pt>
                <c:pt idx="61">
                  <c:v>3.0376611342473824E-3</c:v>
                </c:pt>
                <c:pt idx="62">
                  <c:v>3.0333655804729628E-3</c:v>
                </c:pt>
                <c:pt idx="63">
                  <c:v>3.0291345115368816E-3</c:v>
                </c:pt>
                <c:pt idx="64">
                  <c:v>3.0245459272588413E-3</c:v>
                </c:pt>
                <c:pt idx="65">
                  <c:v>3.0200000000001961E-3</c:v>
                </c:pt>
                <c:pt idx="66">
                  <c:v>3.0081625230648202E-3</c:v>
                </c:pt>
                <c:pt idx="67">
                  <c:v>3.0038580247290798E-3</c:v>
                </c:pt>
                <c:pt idx="68">
                  <c:v>3.0001209726407455E-3</c:v>
                </c:pt>
                <c:pt idx="69">
                  <c:v>2.9964553740086017E-3</c:v>
                </c:pt>
                <c:pt idx="70">
                  <c:v>2.9928612901754027E-3</c:v>
                </c:pt>
                <c:pt idx="71">
                  <c:v>2.9831332901543882E-3</c:v>
                </c:pt>
                <c:pt idx="72">
                  <c:v>2.9792013299300337E-3</c:v>
                </c:pt>
                <c:pt idx="73">
                  <c:v>2.9759657404797432E-3</c:v>
                </c:pt>
                <c:pt idx="74">
                  <c:v>2.9728020340359612E-3</c:v>
                </c:pt>
                <c:pt idx="75">
                  <c:v>2.969710271991347E-3</c:v>
                </c:pt>
                <c:pt idx="76">
                  <c:v>2.961749161420695E-3</c:v>
                </c:pt>
                <c:pt idx="77">
                  <c:v>2.9580638959408297E-3</c:v>
                </c:pt>
                <c:pt idx="78">
                  <c:v>2.9553327770583996E-3</c:v>
                </c:pt>
                <c:pt idx="79">
                  <c:v>2.952673971093171E-3</c:v>
                </c:pt>
                <c:pt idx="80">
                  <c:v>2.9500875394921238E-3</c:v>
                </c:pt>
                <c:pt idx="81">
                  <c:v>2.9440310778621266E-3</c:v>
                </c:pt>
                <c:pt idx="82">
                  <c:v>2.9404667859051826E-3</c:v>
                </c:pt>
                <c:pt idx="83">
                  <c:v>2.938243148076176E-3</c:v>
                </c:pt>
                <c:pt idx="84">
                  <c:v>2.9360922534451537E-3</c:v>
                </c:pt>
                <c:pt idx="85">
                  <c:v>2.9340141635125342E-3</c:v>
                </c:pt>
                <c:pt idx="86">
                  <c:v>2.929999999999914E-3</c:v>
                </c:pt>
                <c:pt idx="87">
                  <c:v>2.928297314339317E-3</c:v>
                </c:pt>
                <c:pt idx="88">
                  <c:v>2.9266676683172331E-3</c:v>
                </c:pt>
                <c:pt idx="89">
                  <c:v>2.9251084284362865E-3</c:v>
                </c:pt>
                <c:pt idx="90">
                  <c:v>2.9315205622726377E-3</c:v>
                </c:pt>
                <c:pt idx="91">
                  <c:v>2.9215268503263443E-3</c:v>
                </c:pt>
                <c:pt idx="92">
                  <c:v>2.918276149787514E-3</c:v>
                </c:pt>
                <c:pt idx="93">
                  <c:v>2.9170840441306877E-3</c:v>
                </c:pt>
                <c:pt idx="94">
                  <c:v>2.9159439105282143E-3</c:v>
                </c:pt>
                <c:pt idx="95">
                  <c:v>2.9148531155872488E-3</c:v>
                </c:pt>
                <c:pt idx="96">
                  <c:v>2.911850428936279E-3</c:v>
                </c:pt>
                <c:pt idx="97">
                  <c:v>2.9109306548868274E-3</c:v>
                </c:pt>
                <c:pt idx="98">
                  <c:v>2.9100470526629112E-3</c:v>
                </c:pt>
                <c:pt idx="99">
                  <c:v>2.9091969889195588E-3</c:v>
                </c:pt>
                <c:pt idx="100">
                  <c:v>2.9083778303179491E-3</c:v>
                </c:pt>
                <c:pt idx="101">
                  <c:v>2.906079452066274E-3</c:v>
                </c:pt>
                <c:pt idx="102">
                  <c:v>2.9053575807598069E-3</c:v>
                </c:pt>
                <c:pt idx="103">
                  <c:v>2.9046534479839846E-3</c:v>
                </c:pt>
                <c:pt idx="104">
                  <c:v>2.9039644204307295E-3</c:v>
                </c:pt>
                <c:pt idx="105">
                  <c:v>2.903287864795039E-3</c:v>
                </c:pt>
                <c:pt idx="106">
                  <c:v>2.901306696410528E-3</c:v>
                </c:pt>
                <c:pt idx="107">
                  <c:v>2.900653695479398E-3</c:v>
                </c:pt>
                <c:pt idx="108">
                  <c:v>2.9000000000001126E-3</c:v>
                </c:pt>
                <c:pt idx="109">
                  <c:v>2.8993438283564988E-3</c:v>
                </c:pt>
                <c:pt idx="110">
                  <c:v>2.9015488427630025E-3</c:v>
                </c:pt>
                <c:pt idx="111">
                  <c:v>2.8967353977364281E-3</c:v>
                </c:pt>
                <c:pt idx="112">
                  <c:v>2.9001828011808307E-3</c:v>
                </c:pt>
                <c:pt idx="113">
                  <c:v>2.8998252603993188E-3</c:v>
                </c:pt>
                <c:pt idx="114">
                  <c:v>2.8994662882231353E-3</c:v>
                </c:pt>
                <c:pt idx="115">
                  <c:v>2.8991083750305713E-3</c:v>
                </c:pt>
                <c:pt idx="116">
                  <c:v>2.8926146418170808E-3</c:v>
                </c:pt>
                <c:pt idx="117">
                  <c:v>2.8977371195691264E-3</c:v>
                </c:pt>
                <c:pt idx="118">
                  <c:v>2.8974218568864262E-3</c:v>
                </c:pt>
                <c:pt idx="119">
                  <c:v>2.8971225954142485E-3</c:v>
                </c:pt>
                <c:pt idx="120">
                  <c:v>2.896841825518518E-3</c:v>
                </c:pt>
                <c:pt idx="121">
                  <c:v>2.8897871208788152E-3</c:v>
                </c:pt>
                <c:pt idx="122">
                  <c:v>2.8959534689969135E-3</c:v>
                </c:pt>
                <c:pt idx="123">
                  <c:v>2.8958025124537364E-3</c:v>
                </c:pt>
                <c:pt idx="124">
                  <c:v>2.8956849896746039E-3</c:v>
                </c:pt>
                <c:pt idx="125">
                  <c:v>2.8956033910258819E-3</c:v>
                </c:pt>
                <c:pt idx="126">
                  <c:v>2.8891023374198669E-3</c:v>
                </c:pt>
                <c:pt idx="127">
                  <c:v>2.8956860451145382E-3</c:v>
                </c:pt>
                <c:pt idx="128">
                  <c:v>2.89582142267475E-3</c:v>
                </c:pt>
                <c:pt idx="129">
                  <c:v>2.8960076666094993E-3</c:v>
                </c:pt>
                <c:pt idx="130">
                  <c:v>2.8900000014091616E-3</c:v>
                </c:pt>
                <c:pt idx="131">
                  <c:v>2.8913848270268566E-3</c:v>
                </c:pt>
                <c:pt idx="132">
                  <c:v>2.8919740438134271E-3</c:v>
                </c:pt>
                <c:pt idx="133">
                  <c:v>2.892621944050185E-3</c:v>
                </c:pt>
                <c:pt idx="134">
                  <c:v>2.8933254553363346E-3</c:v>
                </c:pt>
                <c:pt idx="135">
                  <c:v>2.8940815052702022E-3</c:v>
                </c:pt>
                <c:pt idx="136">
                  <c:v>2.8966341629422542E-3</c:v>
                </c:pt>
                <c:pt idx="137">
                  <c:v>2.8975696434410335E-3</c:v>
                </c:pt>
                <c:pt idx="138">
                  <c:v>2.8985423005629114E-3</c:v>
                </c:pt>
                <c:pt idx="139">
                  <c:v>2.8995490618947948E-3</c:v>
                </c:pt>
                <c:pt idx="140">
                  <c:v>2.9005868550174415E-3</c:v>
                </c:pt>
                <c:pt idx="141">
                  <c:v>2.9038557008751733E-3</c:v>
                </c:pt>
                <c:pt idx="142">
                  <c:v>2.9049868968762187E-3</c:v>
                </c:pt>
                <c:pt idx="143">
                  <c:v>2.9061337624958338E-3</c:v>
                </c:pt>
                <c:pt idx="144">
                  <c:v>2.9072932252800793E-3</c:v>
                </c:pt>
                <c:pt idx="145">
                  <c:v>2.9084622127693053E-3</c:v>
                </c:pt>
                <c:pt idx="146">
                  <c:v>2.9119955987544233E-3</c:v>
                </c:pt>
                <c:pt idx="147">
                  <c:v>2.9131719603159912E-3</c:v>
                </c:pt>
                <c:pt idx="148">
                  <c:v>2.9143424841718557E-3</c:v>
                </c:pt>
                <c:pt idx="149">
                  <c:v>2.9200000000021761E-3</c:v>
                </c:pt>
                <c:pt idx="150">
                  <c:v>2.9210662504545026E-3</c:v>
                </c:pt>
                <c:pt idx="151">
                  <c:v>2.9199090309147036E-3</c:v>
                </c:pt>
                <c:pt idx="152">
                  <c:v>2.9209681038077336E-3</c:v>
                </c:pt>
                <c:pt idx="153">
                  <c:v>2.9259605659954831E-3</c:v>
                </c:pt>
                <c:pt idx="154">
                  <c:v>2.922430038866932E-3</c:v>
                </c:pt>
                <c:pt idx="155">
                  <c:v>2.9226901859690244E-3</c:v>
                </c:pt>
                <c:pt idx="156">
                  <c:v>2.9229189551997657E-3</c:v>
                </c:pt>
                <c:pt idx="157">
                  <c:v>2.923121724964943E-3</c:v>
                </c:pt>
                <c:pt idx="158">
                  <c:v>2.9290122171013607E-3</c:v>
                </c:pt>
                <c:pt idx="159">
                  <c:v>2.9237803775829141E-3</c:v>
                </c:pt>
                <c:pt idx="160">
                  <c:v>2.9239338261989379E-3</c:v>
                </c:pt>
                <c:pt idx="161">
                  <c:v>2.9240935458353496E-3</c:v>
                </c:pt>
                <c:pt idx="162">
                  <c:v>2.924264914912952E-3</c:v>
                </c:pt>
                <c:pt idx="163">
                  <c:v>2.9309405980784595E-3</c:v>
                </c:pt>
                <c:pt idx="164">
                  <c:v>2.9251744541268416E-3</c:v>
                </c:pt>
                <c:pt idx="165">
                  <c:v>2.9254847468076729E-3</c:v>
                </c:pt>
                <c:pt idx="166">
                  <c:v>2.9258389595141318E-3</c:v>
                </c:pt>
                <c:pt idx="167">
                  <c:v>2.9262424706952852E-3</c:v>
                </c:pt>
                <c:pt idx="168">
                  <c:v>2.9335803898596705E-3</c:v>
                </c:pt>
                <c:pt idx="169">
                  <c:v>2.9284570694259821E-3</c:v>
                </c:pt>
                <c:pt idx="170">
                  <c:v>2.9291877500231146E-3</c:v>
                </c:pt>
                <c:pt idx="171">
                  <c:v>2.930000000000006E-3</c:v>
                </c:pt>
                <c:pt idx="172">
                  <c:v>2.9361395261322362E-3</c:v>
                </c:pt>
                <c:pt idx="173">
                  <c:v>2.9389091480618375E-3</c:v>
                </c:pt>
                <c:pt idx="174">
                  <c:v>2.9352983160078135E-3</c:v>
                </c:pt>
                <c:pt idx="175">
                  <c:v>2.936585732969801E-3</c:v>
                </c:pt>
                <c:pt idx="176">
                  <c:v>2.9379420487773119E-3</c:v>
                </c:pt>
                <c:pt idx="177">
                  <c:v>2.9393642552554221E-3</c:v>
                </c:pt>
                <c:pt idx="178">
                  <c:v>2.9479915464350015E-3</c:v>
                </c:pt>
                <c:pt idx="179">
                  <c:v>2.9456518242949861E-3</c:v>
                </c:pt>
                <c:pt idx="180">
                  <c:v>2.9473583614072719E-3</c:v>
                </c:pt>
                <c:pt idx="181">
                  <c:v>2.9491127400699474E-3</c:v>
                </c:pt>
                <c:pt idx="182">
                  <c:v>2.9509119520767318E-3</c:v>
                </c:pt>
                <c:pt idx="183">
                  <c:v>2.959911179190546E-3</c:v>
                </c:pt>
                <c:pt idx="184">
                  <c:v>2.9584969691318396E-3</c:v>
                </c:pt>
                <c:pt idx="185">
                  <c:v>2.9604752244695035E-3</c:v>
                </c:pt>
                <c:pt idx="186">
                  <c:v>2.9624802637289883E-3</c:v>
                </c:pt>
                <c:pt idx="187">
                  <c:v>2.964509078637326E-3</c:v>
                </c:pt>
                <c:pt idx="188">
                  <c:v>2.9736418884476058E-3</c:v>
                </c:pt>
                <c:pt idx="189">
                  <c:v>2.9728019289063548E-3</c:v>
                </c:pt>
                <c:pt idx="190">
                  <c:v>2.9749044975634362E-3</c:v>
                </c:pt>
                <c:pt idx="191">
                  <c:v>2.9770127919860143E-3</c:v>
                </c:pt>
                <c:pt idx="192">
                  <c:v>2.9900000000002524E-3</c:v>
                </c:pt>
                <c:pt idx="193">
                  <c:v>2.9935137662004761E-3</c:v>
                </c:pt>
                <c:pt idx="194">
                  <c:v>2.9956013431852316E-3</c:v>
                </c:pt>
                <c:pt idx="195">
                  <c:v>2.9977047085970746E-3</c:v>
                </c:pt>
                <c:pt idx="196">
                  <c:v>3.0050811905228455E-3</c:v>
                </c:pt>
                <c:pt idx="197">
                  <c:v>3.0046018717245445E-3</c:v>
                </c:pt>
                <c:pt idx="198">
                  <c:v>3.008480434634198E-3</c:v>
                </c:pt>
                <c:pt idx="199">
                  <c:v>3.0106917741973996E-3</c:v>
                </c:pt>
                <c:pt idx="200">
                  <c:v>3.0129233167481453E-3</c:v>
                </c:pt>
                <c:pt idx="201">
                  <c:v>3.0207107748674513E-3</c:v>
                </c:pt>
                <c:pt idx="202">
                  <c:v>3.0202418871046336E-3</c:v>
                </c:pt>
                <c:pt idx="203">
                  <c:v>3.0244061477146607E-3</c:v>
                </c:pt>
                <c:pt idx="204">
                  <c:v>3.0267721522817103E-3</c:v>
                </c:pt>
                <c:pt idx="205">
                  <c:v>3.0291627745679278E-3</c:v>
                </c:pt>
                <c:pt idx="206">
                  <c:v>3.0377318965112096E-3</c:v>
                </c:pt>
                <c:pt idx="207">
                  <c:v>3.0371352005956367E-3</c:v>
                </c:pt>
                <c:pt idx="208">
                  <c:v>3.0415072261301837E-3</c:v>
                </c:pt>
                <c:pt idx="209">
                  <c:v>3.0440587993959016E-3</c:v>
                </c:pt>
                <c:pt idx="210">
                  <c:v>3.046639405308341E-3</c:v>
                </c:pt>
                <c:pt idx="211">
                  <c:v>3.0563585688860428E-3</c:v>
                </c:pt>
                <c:pt idx="212">
                  <c:v>3.0554969762769725E-3</c:v>
                </c:pt>
                <c:pt idx="213">
                  <c:v>3.0599999999998025E-3</c:v>
                </c:pt>
                <c:pt idx="214">
                  <c:v>3.0588748200893112E-3</c:v>
                </c:pt>
                <c:pt idx="215">
                  <c:v>3.0615981836746653E-3</c:v>
                </c:pt>
                <c:pt idx="216">
                  <c:v>3.0643672263803968E-3</c:v>
                </c:pt>
                <c:pt idx="217">
                  <c:v>3.0788363440623127E-3</c:v>
                </c:pt>
                <c:pt idx="218">
                  <c:v>3.081842691791326E-3</c:v>
                </c:pt>
                <c:pt idx="219">
                  <c:v>3.0848824620008605E-3</c:v>
                </c:pt>
                <c:pt idx="220">
                  <c:v>3.095665519146841E-3</c:v>
                </c:pt>
                <c:pt idx="221">
                  <c:v>3.0973407478512393E-3</c:v>
                </c:pt>
                <c:pt idx="222">
                  <c:v>3.1005213655365331E-3</c:v>
                </c:pt>
                <c:pt idx="223">
                  <c:v>3.1037248996630298E-3</c:v>
                </c:pt>
                <c:pt idx="224">
                  <c:v>3.1069495991881409E-3</c:v>
                </c:pt>
                <c:pt idx="225">
                  <c:v>3.1158944075123144E-3</c:v>
                </c:pt>
                <c:pt idx="226">
                  <c:v>3.1200250300616925E-3</c:v>
                </c:pt>
                <c:pt idx="227">
                  <c:v>3.1233292905710527E-3</c:v>
                </c:pt>
                <c:pt idx="228">
                  <c:v>3.1266442099950379E-3</c:v>
                </c:pt>
                <c:pt idx="229">
                  <c:v>3.1299680372146171E-3</c:v>
                </c:pt>
                <c:pt idx="230">
                  <c:v>3.1354103193584506E-3</c:v>
                </c:pt>
                <c:pt idx="231">
                  <c:v>3.1433174012222686E-3</c:v>
                </c:pt>
                <c:pt idx="232">
                  <c:v>3.1466595001988511E-3</c:v>
                </c:pt>
                <c:pt idx="233">
                  <c:v>3.1499999999999974E-3</c:v>
                </c:pt>
                <c:pt idx="234">
                  <c:v>3.1533371548824844E-3</c:v>
                </c:pt>
                <c:pt idx="235">
                  <c:v>3.164409716034957E-3</c:v>
                </c:pt>
                <c:pt idx="236">
                  <c:v>3.1674071974202339E-3</c:v>
                </c:pt>
                <c:pt idx="237">
                  <c:v>3.1704046488029887E-3</c:v>
                </c:pt>
                <c:pt idx="238">
                  <c:v>3.1666872303134828E-3</c:v>
                </c:pt>
                <c:pt idx="239">
                  <c:v>3.1728898049172265E-3</c:v>
                </c:pt>
                <c:pt idx="240">
                  <c:v>3.1853316357820663E-3</c:v>
                </c:pt>
                <c:pt idx="241">
                  <c:v>3.1882930150638625E-3</c:v>
                </c:pt>
                <c:pt idx="242">
                  <c:v>3.1912424002173596E-3</c:v>
                </c:pt>
                <c:pt idx="243">
                  <c:v>3.1847823863683268E-3</c:v>
                </c:pt>
                <c:pt idx="244">
                  <c:v>3.1922945901782392E-3</c:v>
                </c:pt>
                <c:pt idx="245">
                  <c:v>3.2057495916489828E-3</c:v>
                </c:pt>
                <c:pt idx="246">
                  <c:v>3.2085911184493617E-3</c:v>
                </c:pt>
                <c:pt idx="247">
                  <c:v>3.2114086865034485E-3</c:v>
                </c:pt>
                <c:pt idx="248">
                  <c:v>3.2034448344391139E-3</c:v>
                </c:pt>
                <c:pt idx="249">
                  <c:v>3.2115256851801039E-3</c:v>
                </c:pt>
                <c:pt idx="250">
                  <c:v>3.2250773208856217E-3</c:v>
                </c:pt>
                <c:pt idx="251">
                  <c:v>3.2277152415266762E-3</c:v>
                </c:pt>
                <c:pt idx="252">
                  <c:v>3.230317238366406E-3</c:v>
                </c:pt>
                <c:pt idx="253">
                  <c:v>3.2220946381606779E-3</c:v>
                </c:pt>
                <c:pt idx="254">
                  <c:v>3.2300000000000965E-3</c:v>
                </c:pt>
                <c:pt idx="255">
                  <c:v>3.248098620899492E-3</c:v>
                </c:pt>
                <c:pt idx="256">
                  <c:v>3.2503980500768314E-3</c:v>
                </c:pt>
                <c:pt idx="257">
                  <c:v>3.2526627714673621E-3</c:v>
                </c:pt>
                <c:pt idx="258">
                  <c:v>3.254899084305879E-3</c:v>
                </c:pt>
                <c:pt idx="259">
                  <c:v>3.2475878299155787E-3</c:v>
                </c:pt>
                <c:pt idx="260">
                  <c:v>3.263686235878375E-3</c:v>
                </c:pt>
                <c:pt idx="261">
                  <c:v>3.2658749955113658E-3</c:v>
                </c:pt>
                <c:pt idx="262">
                  <c:v>3.2680731426122087E-3</c:v>
                </c:pt>
                <c:pt idx="263">
                  <c:v>3.2702869766170683E-3</c:v>
                </c:pt>
                <c:pt idx="264">
                  <c:v>3.2659731099128134E-3</c:v>
                </c:pt>
                <c:pt idx="265">
                  <c:v>3.2794251713967448E-3</c:v>
                </c:pt>
                <c:pt idx="266">
                  <c:v>3.2818119324775413E-3</c:v>
                </c:pt>
                <c:pt idx="267">
                  <c:v>3.2842521777039749E-3</c:v>
                </c:pt>
                <c:pt idx="268">
                  <c:v>3.286752206730614E-3</c:v>
                </c:pt>
                <c:pt idx="269">
                  <c:v>3.2872932555085953E-3</c:v>
                </c:pt>
                <c:pt idx="270">
                  <c:v>3.2974761552886332E-3</c:v>
                </c:pt>
                <c:pt idx="271">
                  <c:v>3.3003695995186379E-3</c:v>
                </c:pt>
                <c:pt idx="272">
                  <c:v>3.3033606263372091E-3</c:v>
                </c:pt>
                <c:pt idx="273">
                  <c:v>3.3117771007983689E-3</c:v>
                </c:pt>
                <c:pt idx="274">
                  <c:v>3.3136857848952094E-3</c:v>
                </c:pt>
                <c:pt idx="275">
                  <c:v>3.3200000000001718E-3</c:v>
                </c:pt>
                <c:pt idx="276">
                  <c:v>3.3274756266858845E-3</c:v>
                </c:pt>
                <c:pt idx="277">
                  <c:v>3.3468765135572856E-3</c:v>
                </c:pt>
                <c:pt idx="278">
                  <c:v>3.3466828279157001E-3</c:v>
                </c:pt>
                <c:pt idx="279">
                  <c:v>3.3461400249676565E-3</c:v>
                </c:pt>
                <c:pt idx="280">
                  <c:v>3.3546572823660728E-3</c:v>
                </c:pt>
                <c:pt idx="281">
                  <c:v>3.3594603488875377E-3</c:v>
                </c:pt>
                <c:pt idx="282">
                  <c:v>3.3643251681002239E-3</c:v>
                </c:pt>
                <c:pt idx="283">
                  <c:v>3.38398325937839E-3</c:v>
                </c:pt>
                <c:pt idx="284">
                  <c:v>3.3817200158036227E-3</c:v>
                </c:pt>
                <c:pt idx="285">
                  <c:v>3.389363087859025E-3</c:v>
                </c:pt>
                <c:pt idx="286">
                  <c:v>3.3944709424022675E-3</c:v>
                </c:pt>
                <c:pt idx="287">
                  <c:v>3.39959805547767E-3</c:v>
                </c:pt>
                <c:pt idx="288">
                  <c:v>3.4213292329479399E-3</c:v>
                </c:pt>
                <c:pt idx="289">
                  <c:v>3.4182359700743446E-3</c:v>
                </c:pt>
                <c:pt idx="290">
                  <c:v>3.4253100172816934E-3</c:v>
                </c:pt>
                <c:pt idx="291">
                  <c:v>3.430425191727446E-3</c:v>
                </c:pt>
                <c:pt idx="292">
                  <c:v>3.4355171275052519E-3</c:v>
                </c:pt>
                <c:pt idx="293">
                  <c:v>3.4566606976794661E-3</c:v>
                </c:pt>
                <c:pt idx="294">
                  <c:v>3.4536167744661072E-3</c:v>
                </c:pt>
                <c:pt idx="295">
                  <c:v>3.4604157293946385E-3</c:v>
                </c:pt>
                <c:pt idx="296">
                  <c:v>3.465240734140384E-3</c:v>
                </c:pt>
                <c:pt idx="297">
                  <c:v>3.4699999999983177E-3</c:v>
                </c:pt>
                <c:pt idx="298">
                  <c:v>3.4675861145541075E-3</c:v>
                </c:pt>
                <c:pt idx="299">
                  <c:v>3.4652872935844099E-3</c:v>
                </c:pt>
                <c:pt idx="300">
                  <c:v>3.4927945418480274E-3</c:v>
                </c:pt>
                <c:pt idx="301">
                  <c:v>3.4971751432435667E-3</c:v>
                </c:pt>
                <c:pt idx="302">
                  <c:v>3.5015041841332411E-3</c:v>
                </c:pt>
                <c:pt idx="303">
                  <c:v>3.5164121384230695E-3</c:v>
                </c:pt>
                <c:pt idx="304">
                  <c:v>3.5152672983693495E-3</c:v>
                </c:pt>
                <c:pt idx="305">
                  <c:v>3.5224941118587295E-3</c:v>
                </c:pt>
                <c:pt idx="306">
                  <c:v>3.5265846686806926E-3</c:v>
                </c:pt>
                <c:pt idx="307">
                  <c:v>3.5306472916126715E-3</c:v>
                </c:pt>
                <c:pt idx="308">
                  <c:v>3.5433394385851699E-3</c:v>
                </c:pt>
                <c:pt idx="309">
                  <c:v>3.5429844999501701E-3</c:v>
                </c:pt>
                <c:pt idx="310">
                  <c:v>3.5506595362597513E-3</c:v>
                </c:pt>
                <c:pt idx="311">
                  <c:v>3.5546254392509785E-3</c:v>
                </c:pt>
                <c:pt idx="312">
                  <c:v>3.5585870364139029E-3</c:v>
                </c:pt>
                <c:pt idx="313">
                  <c:v>3.5699834695301553E-3</c:v>
                </c:pt>
                <c:pt idx="314">
                  <c:v>3.5702076219934912E-3</c:v>
                </c:pt>
                <c:pt idx="315">
                  <c:v>3.5784485799450487E-3</c:v>
                </c:pt>
                <c:pt idx="316">
                  <c:v>3.5824552296062268E-3</c:v>
                </c:pt>
                <c:pt idx="317">
                  <c:v>3.5864812028523112E-3</c:v>
                </c:pt>
                <c:pt idx="318">
                  <c:v>3.5974896347930551E-3</c:v>
                </c:pt>
                <c:pt idx="319">
                  <c:v>3.5980882393140622E-3</c:v>
                </c:pt>
                <c:pt idx="320">
                  <c:v>3.5999999999994279E-3</c:v>
                </c:pt>
                <c:pt idx="321">
                  <c:v>3.6041913891907539E-3</c:v>
                </c:pt>
                <c:pt idx="322">
                  <c:v>3.6084093754999943E-3</c:v>
                </c:pt>
                <c:pt idx="323">
                  <c:v>3.612656052736671E-3</c:v>
                </c:pt>
                <c:pt idx="324">
                  <c:v>3.6169335147300695E-3</c:v>
                </c:pt>
                <c:pt idx="325">
                  <c:v>3.6299715478342095E-3</c:v>
                </c:pt>
                <c:pt idx="326">
                  <c:v>3.6343930875386882E-3</c:v>
                </c:pt>
                <c:pt idx="327">
                  <c:v>3.6388558814436623E-3</c:v>
                </c:pt>
                <c:pt idx="328">
                  <c:v>3.6433620235000784E-3</c:v>
                </c:pt>
                <c:pt idx="329">
                  <c:v>3.6479136076817222E-3</c:v>
                </c:pt>
                <c:pt idx="330">
                  <c:v>3.6618619530417672E-3</c:v>
                </c:pt>
                <c:pt idx="331">
                  <c:v>3.6666162459057781E-3</c:v>
                </c:pt>
                <c:pt idx="332">
                  <c:v>3.6714264511030137E-3</c:v>
                </c:pt>
                <c:pt idx="333">
                  <c:v>3.676294662748685E-3</c:v>
                </c:pt>
                <c:pt idx="334">
                  <c:v>3.6812229749830379E-3</c:v>
                </c:pt>
                <c:pt idx="335">
                  <c:v>3.6963894570119804E-3</c:v>
                </c:pt>
                <c:pt idx="336">
                  <c:v>3.7015791135327652E-3</c:v>
                </c:pt>
                <c:pt idx="337">
                  <c:v>3.7068393417470937E-3</c:v>
                </c:pt>
                <c:pt idx="338">
                  <c:v>3.7121722359629902E-3</c:v>
                </c:pt>
                <c:pt idx="339">
                  <c:v>3.7393974032362909E-3</c:v>
                </c:pt>
                <c:pt idx="340">
                  <c:v>3.7399922739104145E-3</c:v>
                </c:pt>
                <c:pt idx="341">
                  <c:v>3.739999999978736E-3</c:v>
                </c:pt>
                <c:pt idx="342">
                  <c:v>3.7518180954700178E-3</c:v>
                </c:pt>
                <c:pt idx="343">
                  <c:v>3.7578094649479373E-3</c:v>
                </c:pt>
                <c:pt idx="344">
                  <c:v>3.776396911289069E-3</c:v>
                </c:pt>
                <c:pt idx="345">
                  <c:v>3.7821363040938839E-3</c:v>
                </c:pt>
                <c:pt idx="346">
                  <c:v>3.7882925931811383E-3</c:v>
                </c:pt>
                <c:pt idx="347">
                  <c:v>3.7944724094534019E-3</c:v>
                </c:pt>
                <c:pt idx="348">
                  <c:v>3.8006726005763241E-3</c:v>
                </c:pt>
                <c:pt idx="349">
                  <c:v>3.8193085848834533E-3</c:v>
                </c:pt>
                <c:pt idx="350">
                  <c:v>3.8256140655120968E-3</c:v>
                </c:pt>
                <c:pt idx="351">
                  <c:v>3.8318688444958083E-3</c:v>
                </c:pt>
                <c:pt idx="352">
                  <c:v>3.8381250834950164E-3</c:v>
                </c:pt>
                <c:pt idx="353">
                  <c:v>3.844379629898434E-3</c:v>
                </c:pt>
                <c:pt idx="354">
                  <c:v>3.8610269564204537E-3</c:v>
                </c:pt>
                <c:pt idx="355">
                  <c:v>3.8693178359136414E-3</c:v>
                </c:pt>
                <c:pt idx="356">
                  <c:v>3.8755166287600968E-3</c:v>
                </c:pt>
                <c:pt idx="357">
                  <c:v>3.8816948125021834E-3</c:v>
                </c:pt>
                <c:pt idx="358">
                  <c:v>3.8878492342512413E-3</c:v>
                </c:pt>
                <c:pt idx="359">
                  <c:v>3.9004822350491393E-3</c:v>
                </c:pt>
                <c:pt idx="360">
                  <c:v>3.9121662421881167E-3</c:v>
                </c:pt>
                <c:pt idx="361">
                  <c:v>3.9181545592971868E-3</c:v>
                </c:pt>
                <c:pt idx="362">
                  <c:v>3.9241001962836515E-3</c:v>
                </c:pt>
                <c:pt idx="363">
                  <c:v>3.9299999999985111E-3</c:v>
                </c:pt>
                <c:pt idx="364">
                  <c:v>3.934803230393082E-3</c:v>
                </c:pt>
                <c:pt idx="365">
                  <c:v>3.9533317883864673E-3</c:v>
                </c:pt>
                <c:pt idx="366">
                  <c:v>3.9593966951070409E-3</c:v>
                </c:pt>
                <c:pt idx="367">
                  <c:v>3.9654111947596453E-3</c:v>
                </c:pt>
                <c:pt idx="368">
                  <c:v>3.971378426949777E-3</c:v>
                </c:pt>
                <c:pt idx="369">
                  <c:v>3.9773015313251002E-3</c:v>
                </c:pt>
                <c:pt idx="370">
                  <c:v>3.9948374746383653E-3</c:v>
                </c:pt>
                <c:pt idx="371">
                  <c:v>4.0006154650286839E-3</c:v>
                </c:pt>
                <c:pt idx="372">
                  <c:v>4.0063650264371966E-3</c:v>
                </c:pt>
                <c:pt idx="373">
                  <c:v>4.0120892987452264E-3</c:v>
                </c:pt>
                <c:pt idx="374">
                  <c:v>4.0177914218723042E-3</c:v>
                </c:pt>
                <c:pt idx="375">
                  <c:v>4.0347962959130547E-3</c:v>
                </c:pt>
                <c:pt idx="376">
                  <c:v>4.0404412222429442E-3</c:v>
                </c:pt>
                <c:pt idx="377">
                  <c:v>4.0460796995368037E-3</c:v>
                </c:pt>
                <c:pt idx="378">
                  <c:v>4.0517148679315735E-3</c:v>
                </c:pt>
                <c:pt idx="379">
                  <c:v>4.0573498676002113E-3</c:v>
                </c:pt>
                <c:pt idx="380">
                  <c:v>4.0742852565103464E-3</c:v>
                </c:pt>
                <c:pt idx="381">
                  <c:v>4.0799509837159825E-3</c:v>
                </c:pt>
                <c:pt idx="382">
                  <c:v>4.0856322435956676E-3</c:v>
                </c:pt>
                <c:pt idx="383">
                  <c:v>4.0913321765388873E-3</c:v>
                </c:pt>
                <c:pt idx="384">
                  <c:v>4.0970539229698262E-3</c:v>
                </c:pt>
                <c:pt idx="385">
                  <c:v>4.1100000000000841E-3</c:v>
                </c:pt>
                <c:pt idx="386">
                  <c:v>4.1159299088193643E-3</c:v>
                </c:pt>
                <c:pt idx="387">
                  <c:v>4.1218944074503158E-3</c:v>
                </c:pt>
                <c:pt idx="388">
                  <c:v>4.1278771351458627E-3</c:v>
                </c:pt>
                <c:pt idx="389">
                  <c:v>4.1263287277008044E-3</c:v>
                </c:pt>
                <c:pt idx="390">
                  <c:v>4.151663114678102E-3</c:v>
                </c:pt>
                <c:pt idx="391">
                  <c:v>4.1574915695522466E-3</c:v>
                </c:pt>
                <c:pt idx="392">
                  <c:v>4.1632400848693411E-3</c:v>
                </c:pt>
                <c:pt idx="393">
                  <c:v>4.1688922985264557E-3</c:v>
                </c:pt>
                <c:pt idx="394">
                  <c:v>4.1681605179008071E-3</c:v>
                </c:pt>
                <c:pt idx="395">
                  <c:v>4.1902108885926177E-3</c:v>
                </c:pt>
                <c:pt idx="396">
                  <c:v>4.1951361566330246E-3</c:v>
                </c:pt>
                <c:pt idx="397">
                  <c:v>4.1998669470791842E-3</c:v>
                </c:pt>
                <c:pt idx="398">
                  <c:v>4.2043868968344262E-3</c:v>
                </c:pt>
                <c:pt idx="399">
                  <c:v>4.2037166234296357E-3</c:v>
                </c:pt>
                <c:pt idx="400">
                  <c:v>4.220031024389349E-3</c:v>
                </c:pt>
                <c:pt idx="401">
                  <c:v>4.2232513218947278E-3</c:v>
                </c:pt>
                <c:pt idx="402">
                  <c:v>4.2261625990083172E-3</c:v>
                </c:pt>
                <c:pt idx="403">
                  <c:v>4.2287484924622186E-3</c:v>
                </c:pt>
                <c:pt idx="404">
                  <c:v>4.2355109673600918E-3</c:v>
                </c:pt>
                <c:pt idx="405">
                  <c:v>4.2362244969408672E-3</c:v>
                </c:pt>
                <c:pt idx="406">
                  <c:v>4.236521235647479E-3</c:v>
                </c:pt>
                <c:pt idx="407">
                  <c:v>4.2377164347545499E-3</c:v>
                </c:pt>
                <c:pt idx="408">
                  <c:v>4.2333047938984056E-3</c:v>
                </c:pt>
                <c:pt idx="409">
                  <c:v>4.2314426214048375E-3</c:v>
                </c:pt>
                <c:pt idx="410">
                  <c:v>4.2293255262941887E-3</c:v>
                </c:pt>
                <c:pt idx="411">
                  <c:v>4.2269778997509142E-3</c:v>
                </c:pt>
                <c:pt idx="412">
                  <c:v>4.2244241329296058E-3</c:v>
                </c:pt>
                <c:pt idx="413">
                  <c:v>4.2157699013705341E-3</c:v>
                </c:pt>
                <c:pt idx="414">
                  <c:v>4.2126354835292125E-3</c:v>
                </c:pt>
                <c:pt idx="415">
                  <c:v>4.2094168799139348E-3</c:v>
                </c:pt>
                <c:pt idx="416">
                  <c:v>4.2061384810441948E-3</c:v>
                </c:pt>
                <c:pt idx="417">
                  <c:v>4.2028246772883998E-3</c:v>
                </c:pt>
                <c:pt idx="418">
                  <c:v>4.1929147379559609E-3</c:v>
                </c:pt>
                <c:pt idx="419">
                  <c:v>4.1897032150977629E-3</c:v>
                </c:pt>
                <c:pt idx="420">
                  <c:v>4.1865782367750586E-3</c:v>
                </c:pt>
                <c:pt idx="421">
                  <c:v>4.1835641924123949E-3</c:v>
                </c:pt>
                <c:pt idx="422">
                  <c:v>4.1806854713003581E-3</c:v>
                </c:pt>
                <c:pt idx="423">
                  <c:v>4.1731051387483686E-3</c:v>
                </c:pt>
                <c:pt idx="424">
                  <c:v>4.1710116015102952E-3</c:v>
                </c:pt>
                <c:pt idx="425">
                  <c:v>4.1691753326357573E-3</c:v>
                </c:pt>
                <c:pt idx="426">
                  <c:v>4.167620721046407E-3</c:v>
                </c:pt>
                <c:pt idx="427">
                  <c:v>4.1663721557016666E-3</c:v>
                </c:pt>
                <c:pt idx="428">
                  <c:v>4.1645609593522837E-3</c:v>
                </c:pt>
                <c:pt idx="429">
                  <c:v>4.1645808505429566E-3</c:v>
                </c:pt>
                <c:pt idx="430">
                  <c:v>4.1648992512386554E-3</c:v>
                </c:pt>
                <c:pt idx="431">
                  <c:v>4.1655081803576516E-3</c:v>
                </c:pt>
                <c:pt idx="432">
                  <c:v>4.166399656937241E-3</c:v>
                </c:pt>
                <c:pt idx="433">
                  <c:v>4.1706895633756742E-3</c:v>
                </c:pt>
                <c:pt idx="434">
                  <c:v>4.1726314221799789E-3</c:v>
                </c:pt>
                <c:pt idx="435">
                  <c:v>4.1748159250434144E-3</c:v>
                </c:pt>
                <c:pt idx="436">
                  <c:v>4.1772350914951913E-3</c:v>
                </c:pt>
                <c:pt idx="437">
                  <c:v>4.1798809411084407E-3</c:v>
                </c:pt>
                <c:pt idx="438">
                  <c:v>4.1890987851718724E-3</c:v>
                </c:pt>
                <c:pt idx="439">
                  <c:v>4.1925715637886355E-3</c:v>
                </c:pt>
                <c:pt idx="440">
                  <c:v>4.1962311238212275E-3</c:v>
                </c:pt>
                <c:pt idx="441">
                  <c:v>4.2000694849380878E-3</c:v>
                </c:pt>
                <c:pt idx="442">
                  <c:v>4.2040786667962363E-3</c:v>
                </c:pt>
                <c:pt idx="443">
                  <c:v>4.2170513330587666E-3</c:v>
                </c:pt>
                <c:pt idx="444">
                  <c:v>4.2216639939687004E-3</c:v>
                </c:pt>
                <c:pt idx="445">
                  <c:v>4.2264075734882141E-3</c:v>
                </c:pt>
                <c:pt idx="446">
                  <c:v>4.2312740910657029E-3</c:v>
                </c:pt>
                <c:pt idx="447">
                  <c:v>4.2362555660951018E-3</c:v>
                </c:pt>
                <c:pt idx="448">
                  <c:v>4.2624402229144483E-3</c:v>
                </c:pt>
                <c:pt idx="449">
                  <c:v>4.2679511651239795E-3</c:v>
                </c:pt>
                <c:pt idx="450">
                  <c:v>4.2735378818380071E-3</c:v>
                </c:pt>
                <c:pt idx="451">
                  <c:v>4.290438790668873E-3</c:v>
                </c:pt>
                <c:pt idx="452">
                  <c:v>4.2905875129445837E-3</c:v>
                </c:pt>
                <c:pt idx="453">
                  <c:v>4.3024009993010487E-3</c:v>
                </c:pt>
                <c:pt idx="454">
                  <c:v>4.3083181119496017E-3</c:v>
                </c:pt>
                <c:pt idx="455">
                  <c:v>4.3142695814659396E-3</c:v>
                </c:pt>
                <c:pt idx="456">
                  <c:v>4.332464108845701E-3</c:v>
                </c:pt>
                <c:pt idx="457">
                  <c:v>4.3324099273052384E-3</c:v>
                </c:pt>
                <c:pt idx="458">
                  <c:v>4.344335181995145E-3</c:v>
                </c:pt>
                <c:pt idx="459">
                  <c:v>4.3503685316715265E-3</c:v>
                </c:pt>
                <c:pt idx="460">
                  <c:v>4.3563948171938642E-3</c:v>
                </c:pt>
                <c:pt idx="461">
                  <c:v>4.3755597117814135E-3</c:v>
                </c:pt>
                <c:pt idx="462">
                  <c:v>4.3750308111168831E-3</c:v>
                </c:pt>
                <c:pt idx="463">
                  <c:v>4.3862131647019681E-3</c:v>
                </c:pt>
                <c:pt idx="464">
                  <c:v>4.392072793627088E-3</c:v>
                </c:pt>
                <c:pt idx="465">
                  <c:v>4.3978839338487197E-3</c:v>
                </c:pt>
                <c:pt idx="466">
                  <c:v>4.4177176815550449E-3</c:v>
                </c:pt>
                <c:pt idx="467">
                  <c:v>4.4314010960487477E-3</c:v>
                </c:pt>
                <c:pt idx="468">
                  <c:v>4.436711262678205E-3</c:v>
                </c:pt>
                <c:pt idx="469">
                  <c:v>4.4344677360117889E-3</c:v>
                </c:pt>
                <c:pt idx="470">
                  <c:v>4.4547043874193894E-3</c:v>
                </c:pt>
                <c:pt idx="471">
                  <c:v>4.4548214407076608E-3</c:v>
                </c:pt>
                <c:pt idx="472">
                  <c:v>4.4599234888009582E-3</c:v>
                </c:pt>
                <c:pt idx="473">
                  <c:v>4.4650692398336663E-3</c:v>
                </c:pt>
                <c:pt idx="474">
                  <c:v>4.4702778212429035E-3</c:v>
                </c:pt>
                <c:pt idx="475">
                  <c:v>4.4916302982085741E-3</c:v>
                </c:pt>
                <c:pt idx="476">
                  <c:v>4.4921230067857983E-3</c:v>
                </c:pt>
                <c:pt idx="477">
                  <c:v>4.4979326591594029E-3</c:v>
                </c:pt>
                <c:pt idx="478">
                  <c:v>4.503919911189082E-3</c:v>
                </c:pt>
                <c:pt idx="479">
                  <c:v>4.5101038919731409E-3</c:v>
                </c:pt>
                <c:pt idx="480">
                  <c:v>4.5334344710472058E-3</c:v>
                </c:pt>
                <c:pt idx="481">
                  <c:v>4.5371896953931776E-3</c:v>
                </c:pt>
                <c:pt idx="482">
                  <c:v>4.5446442675011935E-3</c:v>
                </c:pt>
                <c:pt idx="483">
                  <c:v>4.5524103499214007E-3</c:v>
                </c:pt>
                <c:pt idx="484">
                  <c:v>4.5605070743026301E-3</c:v>
                </c:pt>
                <c:pt idx="485">
                  <c:v>4.5866074247793978E-3</c:v>
                </c:pt>
                <c:pt idx="486">
                  <c:v>4.5965830417610178E-3</c:v>
                </c:pt>
                <c:pt idx="487">
                  <c:v>4.6066199685021146E-3</c:v>
                </c:pt>
                <c:pt idx="488">
                  <c:v>4.6171023382878462E-3</c:v>
                </c:pt>
                <c:pt idx="489">
                  <c:v>4.6280492868464081E-3</c:v>
                </c:pt>
                <c:pt idx="490">
                  <c:v>4.6576405307020719E-3</c:v>
                </c:pt>
                <c:pt idx="491">
                  <c:v>4.6858555915854283E-3</c:v>
                </c:pt>
                <c:pt idx="492">
                  <c:v>4.6992070590222848E-3</c:v>
                </c:pt>
                <c:pt idx="493">
                  <c:v>4.712990878681861E-3</c:v>
                </c:pt>
                <c:pt idx="494">
                  <c:v>4.7455523935327568E-3</c:v>
                </c:pt>
                <c:pt idx="495">
                  <c:v>4.7509838871409573E-3</c:v>
                </c:pt>
                <c:pt idx="496">
                  <c:v>4.7878041336724617E-3</c:v>
                </c:pt>
                <c:pt idx="497">
                  <c:v>4.8038273868663021E-3</c:v>
                </c:pt>
                <c:pt idx="498">
                  <c:v>4.820164762869646E-3</c:v>
                </c:pt>
                <c:pt idx="499">
                  <c:v>4.8552038995050466E-3</c:v>
                </c:pt>
                <c:pt idx="500">
                  <c:v>4.8629181890582638E-3</c:v>
                </c:pt>
                <c:pt idx="501">
                  <c:v>4.9059722736759905E-3</c:v>
                </c:pt>
                <c:pt idx="502">
                  <c:v>4.9238396531302237E-3</c:v>
                </c:pt>
                <c:pt idx="503">
                  <c:v>4.941902906344278E-3</c:v>
                </c:pt>
                <c:pt idx="504">
                  <c:v>4.97842335313348E-3</c:v>
                </c:pt>
                <c:pt idx="505">
                  <c:v>4.9876810270213442E-3</c:v>
                </c:pt>
                <c:pt idx="506">
                  <c:v>5.0345659400869124E-3</c:v>
                </c:pt>
                <c:pt idx="507">
                  <c:v>5.0534496242480593E-3</c:v>
                </c:pt>
                <c:pt idx="508">
                  <c:v>5.0724109059493384E-3</c:v>
                </c:pt>
                <c:pt idx="509">
                  <c:v>5.1094782879324719E-3</c:v>
                </c:pt>
                <c:pt idx="510">
                  <c:v>5.1195088626804853E-3</c:v>
                </c:pt>
                <c:pt idx="511">
                  <c:v>5.1677897862470101E-3</c:v>
                </c:pt>
                <c:pt idx="512">
                  <c:v>5.1779175915888662E-3</c:v>
                </c:pt>
                <c:pt idx="513">
                  <c:v>5.1969717486903934E-3</c:v>
                </c:pt>
                <c:pt idx="514">
                  <c:v>5.2159851949299162E-3</c:v>
                </c:pt>
                <c:pt idx="515">
                  <c:v>5.2527123871314819E-3</c:v>
                </c:pt>
                <c:pt idx="516">
                  <c:v>5.2916318476846471E-3</c:v>
                </c:pt>
                <c:pt idx="517">
                  <c:v>5.4224458507273667E-3</c:v>
                </c:pt>
                <c:pt idx="518">
                  <c:v>5.5512643358181122E-3</c:v>
                </c:pt>
                <c:pt idx="519">
                  <c:v>5.6780869108945461E-3</c:v>
                </c:pt>
                <c:pt idx="520">
                  <c:v>5.8111742691189048E-3</c:v>
                </c:pt>
                <c:pt idx="521">
                  <c:v>5.9338631975803663E-3</c:v>
                </c:pt>
                <c:pt idx="522">
                  <c:v>6.0545550584991869E-3</c:v>
                </c:pt>
                <c:pt idx="523">
                  <c:v>6.1732494824786798E-3</c:v>
                </c:pt>
                <c:pt idx="524">
                  <c:v>6.289946106219889E-3</c:v>
                </c:pt>
                <c:pt idx="525">
                  <c:v>6.4046445725246303E-3</c:v>
                </c:pt>
                <c:pt idx="526">
                  <c:v>6.5173445302980984E-3</c:v>
                </c:pt>
                <c:pt idx="527">
                  <c:v>6.6280456345479974E-3</c:v>
                </c:pt>
                <c:pt idx="528">
                  <c:v>6.7296124458008132E-3</c:v>
                </c:pt>
                <c:pt idx="529">
                  <c:v>6.8294480942362621E-3</c:v>
                </c:pt>
                <c:pt idx="530">
                  <c:v>6.9344324017052142E-3</c:v>
                </c:pt>
                <c:pt idx="531">
                  <c:v>7.0374165979612503E-3</c:v>
                </c:pt>
                <c:pt idx="532">
                  <c:v>7.1384003711224223E-3</c:v>
                </c:pt>
                <c:pt idx="533">
                  <c:v>7.2373834153546908E-3</c:v>
                </c:pt>
                <c:pt idx="534">
                  <c:v>7.3343654308723636E-3</c:v>
                </c:pt>
                <c:pt idx="535">
                  <c:v>7.4355079295129571E-3</c:v>
                </c:pt>
                <c:pt idx="536">
                  <c:v>7.5223252068795966E-3</c:v>
                </c:pt>
                <c:pt idx="537">
                  <c:v>7.5955833068602858E-3</c:v>
                </c:pt>
                <c:pt idx="538">
                  <c:v>7.7022774219055023E-3</c:v>
                </c:pt>
                <c:pt idx="539">
                  <c:v>7.7892500089032984E-3</c:v>
                </c:pt>
                <c:pt idx="540">
                  <c:v>7.8742198955926487E-3</c:v>
                </c:pt>
                <c:pt idx="541">
                  <c:v>7.9571868245741743E-3</c:v>
                </c:pt>
                <c:pt idx="542">
                  <c:v>8.0381677641085201E-3</c:v>
                </c:pt>
                <c:pt idx="543">
                  <c:v>8.1172485724028201E-3</c:v>
                </c:pt>
                <c:pt idx="544">
                  <c:v>8.1945323479534118E-3</c:v>
                </c:pt>
                <c:pt idx="545">
                  <c:v>8.2807884973114462E-3</c:v>
                </c:pt>
                <c:pt idx="546">
                  <c:v>8.3441212996664595E-3</c:v>
                </c:pt>
                <c:pt idx="547">
                  <c:v>8.416632775007097E-3</c:v>
                </c:pt>
                <c:pt idx="548">
                  <c:v>8.4877598143085174E-3</c:v>
                </c:pt>
                <c:pt idx="549">
                  <c:v>8.5576056132908238E-3</c:v>
                </c:pt>
                <c:pt idx="550">
                  <c:v>8.6262733848256716E-3</c:v>
                </c:pt>
                <c:pt idx="551">
                  <c:v>8.6938663582976621E-3</c:v>
                </c:pt>
                <c:pt idx="552">
                  <c:v>8.7604877790179968E-3</c:v>
                </c:pt>
                <c:pt idx="553">
                  <c:v>8.8262409076930327E-3</c:v>
                </c:pt>
                <c:pt idx="554">
                  <c:v>8.8912290199437954E-3</c:v>
                </c:pt>
                <c:pt idx="555">
                  <c:v>8.9646159839122854E-3</c:v>
                </c:pt>
                <c:pt idx="556">
                  <c:v>9.0284102008765105E-3</c:v>
                </c:pt>
                <c:pt idx="557">
                  <c:v>9.0917616731693764E-3</c:v>
                </c:pt>
                <c:pt idx="558">
                  <c:v>9.1547726150640139E-3</c:v>
                </c:pt>
                <c:pt idx="559">
                  <c:v>9.2129254435119965E-3</c:v>
                </c:pt>
                <c:pt idx="560">
                  <c:v>9.2755274389639715E-3</c:v>
                </c:pt>
                <c:pt idx="561">
                  <c:v>9.3559746649110008E-3</c:v>
                </c:pt>
                <c:pt idx="562">
                  <c:v>9.4007210567434857E-3</c:v>
                </c:pt>
                <c:pt idx="563">
                  <c:v>9.4772951202820362E-3</c:v>
                </c:pt>
                <c:pt idx="564">
                  <c:v>9.5314127923343869E-3</c:v>
                </c:pt>
                <c:pt idx="565">
                  <c:v>9.5949031284768022E-3</c:v>
                </c:pt>
                <c:pt idx="566">
                  <c:v>9.6588711223169598E-3</c:v>
                </c:pt>
                <c:pt idx="567">
                  <c:v>9.7234191071406198E-3</c:v>
                </c:pt>
                <c:pt idx="568">
                  <c:v>9.7836066576141283E-3</c:v>
                </c:pt>
                <c:pt idx="569">
                  <c:v>9.8494517934129798E-3</c:v>
                </c:pt>
                <c:pt idx="570">
                  <c:v>9.9159793667373385E-3</c:v>
                </c:pt>
                <c:pt idx="571">
                  <c:v>9.9883669088729962E-3</c:v>
                </c:pt>
                <c:pt idx="572">
                  <c:v>1.0056310216239341E-2</c:v>
                </c:pt>
                <c:pt idx="573">
                  <c:v>1.0124936206499381E-2</c:v>
                </c:pt>
                <c:pt idx="574">
                  <c:v>1.0194244950957816E-2</c:v>
                </c:pt>
                <c:pt idx="575">
                  <c:v>1.0264236521629647E-2</c:v>
                </c:pt>
                <c:pt idx="576">
                  <c:v>1.0334910991241486E-2</c:v>
                </c:pt>
                <c:pt idx="577">
                  <c:v>1.0406268433231974E-2</c:v>
                </c:pt>
                <c:pt idx="578">
                  <c:v>1.0478308921749628E-2</c:v>
                </c:pt>
                <c:pt idx="579">
                  <c:v>1.0551032531656302E-2</c:v>
                </c:pt>
                <c:pt idx="580">
                  <c:v>1.0624439338524591E-2</c:v>
                </c:pt>
                <c:pt idx="581">
                  <c:v>1.0687162988613637E-2</c:v>
                </c:pt>
                <c:pt idx="582">
                  <c:v>1.0761834339611941E-2</c:v>
                </c:pt>
                <c:pt idx="583">
                  <c:v>1.0837189035428777E-2</c:v>
                </c:pt>
                <c:pt idx="584">
                  <c:v>1.0913227153527017E-2</c:v>
                </c:pt>
                <c:pt idx="585">
                  <c:v>1.0995833897902371E-2</c:v>
                </c:pt>
                <c:pt idx="586">
                  <c:v>1.1067353969935941E-2</c:v>
                </c:pt>
                <c:pt idx="587">
                  <c:v>1.1145442826694824E-2</c:v>
                </c:pt>
                <c:pt idx="588">
                  <c:v>1.1224215422629316E-2</c:v>
                </c:pt>
                <c:pt idx="589">
                  <c:v>1.1303671838724744E-2</c:v>
                </c:pt>
                <c:pt idx="590">
                  <c:v>1.1383812156673122E-2</c:v>
                </c:pt>
                <c:pt idx="591">
                  <c:v>1.1464636458870959E-2</c:v>
                </c:pt>
                <c:pt idx="592">
                  <c:v>1.1546144828420131E-2</c:v>
                </c:pt>
                <c:pt idx="593">
                  <c:v>1.1628337349127887E-2</c:v>
                </c:pt>
                <c:pt idx="594">
                  <c:v>1.1711209955152057E-2</c:v>
                </c:pt>
                <c:pt idx="595">
                  <c:v>1.179473296650538E-2</c:v>
                </c:pt>
                <c:pt idx="596">
                  <c:v>1.1878866937016695E-2</c:v>
                </c:pt>
                <c:pt idx="597">
                  <c:v>1.1987873397385619E-2</c:v>
                </c:pt>
                <c:pt idx="598">
                  <c:v>1.2054535600123324E-2</c:v>
                </c:pt>
                <c:pt idx="599">
                  <c:v>1.2134539857442077E-2</c:v>
                </c:pt>
                <c:pt idx="600">
                  <c:v>1.2220722887009009E-2</c:v>
                </c:pt>
                <c:pt idx="601">
                  <c:v>1.2307319455069941E-2</c:v>
                </c:pt>
                <c:pt idx="602">
                  <c:v>1.2394290058033263E-2</c:v>
                </c:pt>
                <c:pt idx="603">
                  <c:v>1.2481595185619532E-2</c:v>
                </c:pt>
                <c:pt idx="604">
                  <c:v>1.2569195320790753E-2</c:v>
                </c:pt>
                <c:pt idx="605">
                  <c:v>1.2657050939691095E-2</c:v>
                </c:pt>
                <c:pt idx="606">
                  <c:v>1.2745122511587581E-2</c:v>
                </c:pt>
                <c:pt idx="607">
                  <c:v>1.2846514061778778E-2</c:v>
                </c:pt>
                <c:pt idx="608">
                  <c:v>1.2934885314947875E-2</c:v>
                </c:pt>
                <c:pt idx="609">
                  <c:v>1.3023349143205002E-2</c:v>
                </c:pt>
                <c:pt idx="610">
                  <c:v>1.3111866414453902E-2</c:v>
                </c:pt>
                <c:pt idx="611">
                  <c:v>1.3219163647381528E-2</c:v>
                </c:pt>
                <c:pt idx="612">
                  <c:v>1.3282389407766979E-2</c:v>
                </c:pt>
                <c:pt idx="613">
                  <c:v>1.3370848700183518E-2</c:v>
                </c:pt>
                <c:pt idx="614">
                  <c:v>1.3459206135425561E-2</c:v>
                </c:pt>
                <c:pt idx="615">
                  <c:v>1.3553884299976157E-2</c:v>
                </c:pt>
                <c:pt idx="616">
                  <c:v>1.3641900061463945E-2</c:v>
                </c:pt>
                <c:pt idx="617">
                  <c:v>1.3729695144610046E-2</c:v>
                </c:pt>
                <c:pt idx="618">
                  <c:v>1.3817230361329941E-2</c:v>
                </c:pt>
                <c:pt idx="619">
                  <c:v>1.3904466516673306E-2</c:v>
                </c:pt>
                <c:pt idx="620">
                  <c:v>1.3985010148932917E-2</c:v>
                </c:pt>
                <c:pt idx="621">
                  <c:v>1.4071589476678525E-2</c:v>
                </c:pt>
                <c:pt idx="622">
                  <c:v>1.4157824852167733E-2</c:v>
                </c:pt>
                <c:pt idx="623">
                  <c:v>1.4256303874814932E-2</c:v>
                </c:pt>
                <c:pt idx="624">
                  <c:v>1.4335537123084519E-2</c:v>
                </c:pt>
                <c:pt idx="625">
                  <c:v>1.4420719176627057E-2</c:v>
                </c:pt>
                <c:pt idx="626">
                  <c:v>1.4505557101052217E-2</c:v>
                </c:pt>
                <c:pt idx="627">
                  <c:v>1.4590050851605803E-2</c:v>
                </c:pt>
                <c:pt idx="628">
                  <c:v>1.4674200383713034E-2</c:v>
                </c:pt>
                <c:pt idx="629">
                  <c:v>1.475800565297942E-2</c:v>
                </c:pt>
                <c:pt idx="630">
                  <c:v>1.4841466615192069E-2</c:v>
                </c:pt>
                <c:pt idx="631">
                  <c:v>1.4924583226316639E-2</c:v>
                </c:pt>
                <c:pt idx="632">
                  <c:v>1.5007355442500817E-2</c:v>
                </c:pt>
                <c:pt idx="633">
                  <c:v>1.5077615566521438E-2</c:v>
                </c:pt>
                <c:pt idx="634">
                  <c:v>1.5159741213383831E-2</c:v>
                </c:pt>
                <c:pt idx="635">
                  <c:v>1.5241522332841817E-2</c:v>
                </c:pt>
                <c:pt idx="636">
                  <c:v>1.5322958882211735E-2</c:v>
                </c:pt>
                <c:pt idx="637">
                  <c:v>1.5404050818985611E-2</c:v>
                </c:pt>
                <c:pt idx="638">
                  <c:v>1.5484798100835548E-2</c:v>
                </c:pt>
                <c:pt idx="639">
                  <c:v>1.5565200685612839E-2</c:v>
                </c:pt>
                <c:pt idx="640">
                  <c:v>1.565119506987081E-2</c:v>
                </c:pt>
                <c:pt idx="641">
                  <c:v>1.572497159624496E-2</c:v>
                </c:pt>
                <c:pt idx="642">
                  <c:v>1.5804339838695738E-2</c:v>
                </c:pt>
                <c:pt idx="643">
                  <c:v>1.5883363217264451E-2</c:v>
                </c:pt>
                <c:pt idx="644">
                  <c:v>1.5962041690697062E-2</c:v>
                </c:pt>
                <c:pt idx="645">
                  <c:v>1.6040375217916101E-2</c:v>
                </c:pt>
                <c:pt idx="646">
                  <c:v>1.6118364338375327E-2</c:v>
                </c:pt>
                <c:pt idx="647">
                  <c:v>1.6196015293374524E-2</c:v>
                </c:pt>
                <c:pt idx="648">
                  <c:v>1.6273337561644896E-2</c:v>
                </c:pt>
                <c:pt idx="649">
                  <c:v>1.63503406607086E-2</c:v>
                </c:pt>
                <c:pt idx="650">
                  <c:v>1.6409809295437863E-2</c:v>
                </c:pt>
                <c:pt idx="651">
                  <c:v>1.6503427429448436E-2</c:v>
                </c:pt>
                <c:pt idx="652">
                  <c:v>1.6579530142267897E-2</c:v>
                </c:pt>
                <c:pt idx="653">
                  <c:v>1.6655351772140548E-2</c:v>
                </c:pt>
                <c:pt idx="654">
                  <c:v>1.6730901844601919E-2</c:v>
                </c:pt>
                <c:pt idx="655">
                  <c:v>1.6806189886750676E-2</c:v>
                </c:pt>
                <c:pt idx="656">
                  <c:v>1.68812254272337E-2</c:v>
                </c:pt>
                <c:pt idx="657">
                  <c:v>1.6956017996233794E-2</c:v>
                </c:pt>
                <c:pt idx="658">
                  <c:v>1.7030577125459561E-2</c:v>
                </c:pt>
                <c:pt idx="659">
                  <c:v>1.7116193536538166E-2</c:v>
                </c:pt>
                <c:pt idx="660">
                  <c:v>1.7190300344452712E-2</c:v>
                </c:pt>
                <c:pt idx="661">
                  <c:v>1.7264203497658941E-2</c:v>
                </c:pt>
                <c:pt idx="662">
                  <c:v>1.7337912430774729E-2</c:v>
                </c:pt>
                <c:pt idx="663">
                  <c:v>1.7405820837362262E-2</c:v>
                </c:pt>
                <c:pt idx="664">
                  <c:v>1.7479174599609151E-2</c:v>
                </c:pt>
                <c:pt idx="665">
                  <c:v>1.7552362072172815E-2</c:v>
                </c:pt>
                <c:pt idx="666">
                  <c:v>1.7646231182616781E-2</c:v>
                </c:pt>
                <c:pt idx="667">
                  <c:v>1.7698276116536904E-2</c:v>
                </c:pt>
                <c:pt idx="668">
                  <c:v>1.7776615930495954E-2</c:v>
                </c:pt>
                <c:pt idx="669">
                  <c:v>1.7849229614818777E-2</c:v>
                </c:pt>
                <c:pt idx="670">
                  <c:v>1.7921724608274466E-2</c:v>
                </c:pt>
                <c:pt idx="671">
                  <c:v>1.7994110358438349E-2</c:v>
                </c:pt>
                <c:pt idx="672">
                  <c:v>1.8060815175335393E-2</c:v>
                </c:pt>
                <c:pt idx="673">
                  <c:v>1.8133006742401096E-2</c:v>
                </c:pt>
                <c:pt idx="674">
                  <c:v>1.8205101187728823E-2</c:v>
                </c:pt>
                <c:pt idx="675">
                  <c:v>1.8277098500547741E-2</c:v>
                </c:pt>
                <c:pt idx="676">
                  <c:v>1.8360133171612277E-2</c:v>
                </c:pt>
                <c:pt idx="677">
                  <c:v>1.8426365711913927E-2</c:v>
                </c:pt>
                <c:pt idx="678">
                  <c:v>1.8498068280705902E-2</c:v>
                </c:pt>
                <c:pt idx="679">
                  <c:v>1.8569673682442171E-2</c:v>
                </c:pt>
                <c:pt idx="680">
                  <c:v>1.8641181906366121E-2</c:v>
                </c:pt>
                <c:pt idx="681">
                  <c:v>1.8712592941735474E-2</c:v>
                </c:pt>
                <c:pt idx="682">
                  <c:v>1.8783906777821425E-2</c:v>
                </c:pt>
                <c:pt idx="683">
                  <c:v>1.8855123403909498E-2</c:v>
                </c:pt>
                <c:pt idx="684">
                  <c:v>1.8926242809299991E-2</c:v>
                </c:pt>
                <c:pt idx="685">
                  <c:v>1.8986188859878513E-2</c:v>
                </c:pt>
                <c:pt idx="686">
                  <c:v>1.9057120226124151E-2</c:v>
                </c:pt>
                <c:pt idx="687">
                  <c:v>1.9127954323777053E-2</c:v>
                </c:pt>
                <c:pt idx="688">
                  <c:v>1.9198691142308492E-2</c:v>
                </c:pt>
                <c:pt idx="689">
                  <c:v>1.9274855968763865E-2</c:v>
                </c:pt>
                <c:pt idx="690">
                  <c:v>1.9345395011129318E-2</c:v>
                </c:pt>
                <c:pt idx="691">
                  <c:v>1.9415836750590242E-2</c:v>
                </c:pt>
                <c:pt idx="692">
                  <c:v>1.9486181176618225E-2</c:v>
                </c:pt>
                <c:pt idx="693">
                  <c:v>1.955642827869971E-2</c:v>
                </c:pt>
                <c:pt idx="694">
                  <c:v>1.9621068604140143E-2</c:v>
                </c:pt>
                <c:pt idx="695">
                  <c:v>1.9691124175215333E-2</c:v>
                </c:pt>
                <c:pt idx="696">
                  <c:v>1.9761082383452731E-2</c:v>
                </c:pt>
                <c:pt idx="697">
                  <c:v>1.9830943218450546E-2</c:v>
                </c:pt>
                <c:pt idx="698">
                  <c:v>1.9906203444970808E-2</c:v>
                </c:pt>
                <c:pt idx="699">
                  <c:v>1.99758640484579E-2</c:v>
                </c:pt>
                <c:pt idx="700">
                  <c:v>2.0045421294593468E-2</c:v>
                </c:pt>
                <c:pt idx="701">
                  <c:v>2.0114871379466E-2</c:v>
                </c:pt>
                <c:pt idx="702">
                  <c:v>2.0188628300898202E-2</c:v>
                </c:pt>
                <c:pt idx="703">
                  <c:v>2.0257841553493812E-2</c:v>
                </c:pt>
                <c:pt idx="704">
                  <c:v>2.0326936106582493E-2</c:v>
                </c:pt>
                <c:pt idx="705">
                  <c:v>2.0395908133633067E-2</c:v>
                </c:pt>
                <c:pt idx="706">
                  <c:v>2.0464753807610144E-2</c:v>
                </c:pt>
                <c:pt idx="707">
                  <c:v>2.0533469300975875E-2</c:v>
                </c:pt>
                <c:pt idx="708">
                  <c:v>2.0602050785692591E-2</c:v>
                </c:pt>
                <c:pt idx="709">
                  <c:v>2.0670494433225446E-2</c:v>
                </c:pt>
                <c:pt idx="710">
                  <c:v>2.0738796414545912E-2</c:v>
                </c:pt>
                <c:pt idx="711">
                  <c:v>2.081778141827852E-2</c:v>
                </c:pt>
                <c:pt idx="712">
                  <c:v>2.0885771253787072E-2</c:v>
                </c:pt>
                <c:pt idx="713">
                  <c:v>2.0953607464279874E-2</c:v>
                </c:pt>
                <c:pt idx="714">
                  <c:v>2.1021286259574844E-2</c:v>
                </c:pt>
                <c:pt idx="715">
                  <c:v>2.1083425934099276E-2</c:v>
                </c:pt>
                <c:pt idx="716">
                  <c:v>2.1150788007266413E-2</c:v>
                </c:pt>
                <c:pt idx="717">
                  <c:v>2.1237148060931164E-2</c:v>
                </c:pt>
                <c:pt idx="718">
                  <c:v>2.1304119076988547E-2</c:v>
                </c:pt>
                <c:pt idx="719">
                  <c:v>2.1370912741721922E-2</c:v>
                </c:pt>
                <c:pt idx="720">
                  <c:v>2.1453501955248571E-2</c:v>
                </c:pt>
                <c:pt idx="721">
                  <c:v>2.1519899312140333E-2</c:v>
                </c:pt>
                <c:pt idx="722">
                  <c:v>2.1586107743213449E-2</c:v>
                </c:pt>
                <c:pt idx="723">
                  <c:v>2.1652123493874728E-2</c:v>
                </c:pt>
                <c:pt idx="724">
                  <c:v>2.1702087707703745E-2</c:v>
                </c:pt>
                <c:pt idx="725">
                  <c:v>2.1767740820426686E-2</c:v>
                </c:pt>
                <c:pt idx="726">
                  <c:v>2.183319692851975E-2</c:v>
                </c:pt>
                <c:pt idx="727">
                  <c:v>2.1914220314350499E-2</c:v>
                </c:pt>
                <c:pt idx="728">
                  <c:v>2.1979251947737224E-2</c:v>
                </c:pt>
                <c:pt idx="729">
                  <c:v>2.204408651259256E-2</c:v>
                </c:pt>
                <c:pt idx="730">
                  <c:v>2.2108723989191215E-2</c:v>
                </c:pt>
                <c:pt idx="731">
                  <c:v>2.2173164357868487E-2</c:v>
                </c:pt>
                <c:pt idx="732">
                  <c:v>2.2221795386773616E-2</c:v>
                </c:pt>
                <c:pt idx="733">
                  <c:v>2.2301453693094903E-2</c:v>
                </c:pt>
                <c:pt idx="734">
                  <c:v>2.2365302620611611E-2</c:v>
                </c:pt>
                <c:pt idx="735">
                  <c:v>2.2428954362141641E-2</c:v>
                </c:pt>
                <c:pt idx="736">
                  <c:v>2.2476918473470338E-2</c:v>
                </c:pt>
                <c:pt idx="737">
                  <c:v>2.2529895800909874E-2</c:v>
                </c:pt>
                <c:pt idx="738">
                  <c:v>2.2593006657250572E-2</c:v>
                </c:pt>
                <c:pt idx="739">
                  <c:v>2.265592026431977E-2</c:v>
                </c:pt>
                <c:pt idx="740">
                  <c:v>2.2718636603485297E-2</c:v>
                </c:pt>
                <c:pt idx="741">
                  <c:v>2.278627061470238E-2</c:v>
                </c:pt>
                <c:pt idx="742">
                  <c:v>2.2848582193261319E-2</c:v>
                </c:pt>
                <c:pt idx="743">
                  <c:v>2.2910696445236613E-2</c:v>
                </c:pt>
                <c:pt idx="744">
                  <c:v>2.297261335213141E-2</c:v>
                </c:pt>
                <c:pt idx="745">
                  <c:v>2.3034332895506833E-2</c:v>
                </c:pt>
                <c:pt idx="746">
                  <c:v>2.3090790976468708E-2</c:v>
                </c:pt>
                <c:pt idx="747">
                  <c:v>2.3152125923509567E-2</c:v>
                </c:pt>
                <c:pt idx="748">
                  <c:v>2.3213263455686303E-2</c:v>
                </c:pt>
                <c:pt idx="749">
                  <c:v>2.327420355489053E-2</c:v>
                </c:pt>
                <c:pt idx="750">
                  <c:v>2.333996944891216E-2</c:v>
                </c:pt>
                <c:pt idx="751">
                  <c:v>2.3400501926384865E-2</c:v>
                </c:pt>
                <c:pt idx="752">
                  <c:v>2.3460829356052461E-2</c:v>
                </c:pt>
                <c:pt idx="753">
                  <c:v>2.3520946429416253E-2</c:v>
                </c:pt>
                <c:pt idx="754">
                  <c:v>2.3575872145434031E-2</c:v>
                </c:pt>
                <c:pt idx="755">
                  <c:v>2.3635566135019229E-2</c:v>
                </c:pt>
                <c:pt idx="756">
                  <c:v>2.3695034447175859E-2</c:v>
                </c:pt>
                <c:pt idx="757">
                  <c:v>2.3754271742449075E-2</c:v>
                </c:pt>
                <c:pt idx="758">
                  <c:v>2.3813272680835964E-2</c:v>
                </c:pt>
                <c:pt idx="759">
                  <c:v>2.3872031921792165E-2</c:v>
                </c:pt>
                <c:pt idx="760">
                  <c:v>2.3930544124237611E-2</c:v>
                </c:pt>
                <c:pt idx="761">
                  <c:v>2.3988803946563605E-2</c:v>
                </c:pt>
                <c:pt idx="762">
                  <c:v>2.4046806046639425E-2</c:v>
                </c:pt>
                <c:pt idx="763">
                  <c:v>2.4128700072982411E-2</c:v>
                </c:pt>
                <c:pt idx="764">
                  <c:v>2.4186080490974978E-2</c:v>
                </c:pt>
                <c:pt idx="765">
                  <c:v>2.4243185446237065E-2</c:v>
                </c:pt>
                <c:pt idx="766">
                  <c:v>2.4300009735107094E-2</c:v>
                </c:pt>
                <c:pt idx="767">
                  <c:v>2.43422825415004E-2</c:v>
                </c:pt>
                <c:pt idx="768">
                  <c:v>2.4398587646794662E-2</c:v>
                </c:pt>
                <c:pt idx="769">
                  <c:v>2.4454597154320586E-2</c:v>
                </c:pt>
                <c:pt idx="770">
                  <c:v>2.4510305775156081E-2</c:v>
                </c:pt>
                <c:pt idx="771">
                  <c:v>2.45657082199226E-2</c:v>
                </c:pt>
                <c:pt idx="772">
                  <c:v>2.4634770009373617E-2</c:v>
                </c:pt>
                <c:pt idx="773">
                  <c:v>2.4689483891506107E-2</c:v>
                </c:pt>
                <c:pt idx="774">
                  <c:v>2.4743875461270402E-2</c:v>
                </c:pt>
                <c:pt idx="775">
                  <c:v>2.4797939510952247E-2</c:v>
                </c:pt>
                <c:pt idx="776">
                  <c:v>2.4837942712837843E-2</c:v>
                </c:pt>
                <c:pt idx="777">
                  <c:v>2.4891399489063545E-2</c:v>
                </c:pt>
                <c:pt idx="778">
                  <c:v>2.4944520573179942E-2</c:v>
                </c:pt>
                <c:pt idx="779">
                  <c:v>2.4997305938256015E-2</c:v>
                </c:pt>
                <c:pt idx="780">
                  <c:v>2.5063239665859278E-2</c:v>
                </c:pt>
                <c:pt idx="781">
                  <c:v>2.5115292361757378E-2</c:v>
                </c:pt>
                <c:pt idx="782">
                  <c:v>2.5167009205564399E-2</c:v>
                </c:pt>
                <c:pt idx="783">
                  <c:v>2.5218390170630253E-2</c:v>
                </c:pt>
                <c:pt idx="784">
                  <c:v>2.5269435230477626E-2</c:v>
                </c:pt>
                <c:pt idx="785">
                  <c:v>2.5320144358801543E-2</c:v>
                </c:pt>
                <c:pt idx="786">
                  <c:v>2.5370517529470647E-2</c:v>
                </c:pt>
                <c:pt idx="787">
                  <c:v>2.5420554716524196E-2</c:v>
                </c:pt>
                <c:pt idx="788">
                  <c:v>2.5470255894176366E-2</c:v>
                </c:pt>
                <c:pt idx="789">
                  <c:v>2.5498059212368519E-2</c:v>
                </c:pt>
                <c:pt idx="790">
                  <c:v>2.554719102370126E-2</c:v>
                </c:pt>
                <c:pt idx="791">
                  <c:v>2.5595986843813739E-2</c:v>
                </c:pt>
                <c:pt idx="792">
                  <c:v>2.5644446648233159E-2</c:v>
                </c:pt>
                <c:pt idx="793">
                  <c:v>2.5696804030055195E-2</c:v>
                </c:pt>
                <c:pt idx="794">
                  <c:v>2.5744571113038302E-2</c:v>
                </c:pt>
                <c:pt idx="795">
                  <c:v>2.5792002088561302E-2</c:v>
                </c:pt>
                <c:pt idx="796">
                  <c:v>2.5839096932701797E-2</c:v>
                </c:pt>
                <c:pt idx="797">
                  <c:v>2.5885855621708233E-2</c:v>
                </c:pt>
                <c:pt idx="798">
                  <c:v>2.5928147795873879E-2</c:v>
                </c:pt>
                <c:pt idx="799">
                  <c:v>2.5974254819313314E-2</c:v>
                </c:pt>
                <c:pt idx="800">
                  <c:v>2.602002563732814E-2</c:v>
                </c:pt>
                <c:pt idx="801">
                  <c:v>2.6065460226957726E-2</c:v>
                </c:pt>
                <c:pt idx="802">
                  <c:v>2.6114605906183995E-2</c:v>
                </c:pt>
                <c:pt idx="803">
                  <c:v>2.6159346668844407E-2</c:v>
                </c:pt>
                <c:pt idx="804">
                  <c:v>2.6203749585222882E-2</c:v>
                </c:pt>
                <c:pt idx="805">
                  <c:v>2.6247813562079194E-2</c:v>
                </c:pt>
                <c:pt idx="806">
                  <c:v>2.6291537506251739E-2</c:v>
                </c:pt>
                <c:pt idx="807">
                  <c:v>2.633097920550348E-2</c:v>
                </c:pt>
                <c:pt idx="808">
                  <c:v>2.6374041502199477E-2</c:v>
                </c:pt>
                <c:pt idx="809">
                  <c:v>2.6416760624499613E-2</c:v>
                </c:pt>
                <c:pt idx="810">
                  <c:v>2.6459135473851918E-2</c:v>
                </c:pt>
                <c:pt idx="811">
                  <c:v>2.6501164951787014E-2</c:v>
                </c:pt>
                <c:pt idx="812">
                  <c:v>2.6542847959924728E-2</c:v>
                </c:pt>
                <c:pt idx="813">
                  <c:v>2.6584183399973656E-2</c:v>
                </c:pt>
                <c:pt idx="814">
                  <c:v>2.6625170173733372E-2</c:v>
                </c:pt>
                <c:pt idx="815">
                  <c:v>2.668460724956143E-2</c:v>
                </c:pt>
                <c:pt idx="816">
                  <c:v>2.6724780143455903E-2</c:v>
                </c:pt>
                <c:pt idx="817">
                  <c:v>2.6764600626580565E-2</c:v>
                </c:pt>
                <c:pt idx="818">
                  <c:v>2.6804067629133531E-2</c:v>
                </c:pt>
                <c:pt idx="819">
                  <c:v>2.6832179492523745E-2</c:v>
                </c:pt>
                <c:pt idx="820">
                  <c:v>2.6871005272691033E-2</c:v>
                </c:pt>
                <c:pt idx="821">
                  <c:v>2.690947456517043E-2</c:v>
                </c:pt>
                <c:pt idx="822">
                  <c:v>2.6947586283959823E-2</c:v>
                </c:pt>
                <c:pt idx="823">
                  <c:v>2.6985339343170239E-2</c:v>
                </c:pt>
                <c:pt idx="824">
                  <c:v>2.7033386657231356E-2</c:v>
                </c:pt>
                <c:pt idx="825">
                  <c:v>2.7070349350526719E-2</c:v>
                </c:pt>
                <c:pt idx="826">
                  <c:v>2.710695000883042E-2</c:v>
                </c:pt>
                <c:pt idx="827">
                  <c:v>2.7143187563368143E-2</c:v>
                </c:pt>
                <c:pt idx="828">
                  <c:v>2.7168686761322131E-2</c:v>
                </c:pt>
                <c:pt idx="829">
                  <c:v>2.7204265569536909E-2</c:v>
                </c:pt>
                <c:pt idx="830">
                  <c:v>2.7239479642352644E-2</c:v>
                </c:pt>
                <c:pt idx="831">
                  <c:v>2.7274328960426562E-2</c:v>
                </c:pt>
                <c:pt idx="832">
                  <c:v>2.7308813504617682E-2</c:v>
                </c:pt>
                <c:pt idx="833">
                  <c:v>2.7352955834676982E-2</c:v>
                </c:pt>
                <c:pt idx="834">
                  <c:v>2.7386640220455283E-2</c:v>
                </c:pt>
                <c:pt idx="835">
                  <c:v>2.7419959698775781E-2</c:v>
                </c:pt>
                <c:pt idx="836">
                  <c:v>2.7452914251035732E-2</c:v>
                </c:pt>
                <c:pt idx="837">
                  <c:v>2.748550385883694E-2</c:v>
                </c:pt>
                <c:pt idx="838">
                  <c:v>2.7517728503984075E-2</c:v>
                </c:pt>
                <c:pt idx="839">
                  <c:v>2.75495881684855E-2</c:v>
                </c:pt>
                <c:pt idx="840">
                  <c:v>2.7581082834552868E-2</c:v>
                </c:pt>
                <c:pt idx="841">
                  <c:v>2.7596441989178967E-2</c:v>
                </c:pt>
                <c:pt idx="842">
                  <c:v>2.7627325221406429E-2</c:v>
                </c:pt>
                <c:pt idx="843">
                  <c:v>2.7657843535232984E-2</c:v>
                </c:pt>
                <c:pt idx="844">
                  <c:v>2.7687996914076529E-2</c:v>
                </c:pt>
                <c:pt idx="845">
                  <c:v>2.7717785341552826E-2</c:v>
                </c:pt>
                <c:pt idx="846">
                  <c:v>2.7750248275749154E-2</c:v>
                </c:pt>
                <c:pt idx="847">
                  <c:v>2.7779282903271175E-2</c:v>
                </c:pt>
                <c:pt idx="848">
                  <c:v>2.7807952504673536E-2</c:v>
                </c:pt>
                <c:pt idx="849">
                  <c:v>2.7836257064293157E-2</c:v>
                </c:pt>
                <c:pt idx="850">
                  <c:v>2.7861252648868334E-2</c:v>
                </c:pt>
                <c:pt idx="851">
                  <c:v>2.7888851035180084E-2</c:v>
                </c:pt>
                <c:pt idx="852">
                  <c:v>2.7916084360986689E-2</c:v>
                </c:pt>
                <c:pt idx="853">
                  <c:v>2.7942952611489828E-2</c:v>
                </c:pt>
                <c:pt idx="854">
                  <c:v>2.797230392513643E-2</c:v>
                </c:pt>
                <c:pt idx="855">
                  <c:v>2.7998425981305562E-2</c:v>
                </c:pt>
                <c:pt idx="856">
                  <c:v>2.8024207261313556E-2</c:v>
                </c:pt>
                <c:pt idx="857">
                  <c:v>2.8049664810868558E-2</c:v>
                </c:pt>
                <c:pt idx="858">
                  <c:v>2.8074815676706454E-2</c:v>
                </c:pt>
                <c:pt idx="859">
                  <c:v>2.8096916891535043E-2</c:v>
                </c:pt>
                <c:pt idx="860">
                  <c:v>2.8121517020826894E-2</c:v>
                </c:pt>
                <c:pt idx="861">
                  <c:v>2.814585978672627E-2</c:v>
                </c:pt>
                <c:pt idx="862">
                  <c:v>2.8169962332717589E-2</c:v>
                </c:pt>
                <c:pt idx="863">
                  <c:v>2.8193841803192839E-2</c:v>
                </c:pt>
                <c:pt idx="864">
                  <c:v>2.8217515343436108E-2</c:v>
                </c:pt>
                <c:pt idx="865">
                  <c:v>2.8241000099602388E-2</c:v>
                </c:pt>
                <c:pt idx="866">
                  <c:v>2.8264313218702118E-2</c:v>
                </c:pt>
                <c:pt idx="867">
                  <c:v>2.8301047110564446E-2</c:v>
                </c:pt>
                <c:pt idx="868">
                  <c:v>2.832407173417344E-2</c:v>
                </c:pt>
                <c:pt idx="869">
                  <c:v>2.8346981464484115E-2</c:v>
                </c:pt>
                <c:pt idx="870">
                  <c:v>2.8369792997318836E-2</c:v>
                </c:pt>
                <c:pt idx="871">
                  <c:v>2.8384349678403926E-2</c:v>
                </c:pt>
                <c:pt idx="872">
                  <c:v>2.8407001726948152E-2</c:v>
                </c:pt>
                <c:pt idx="873">
                  <c:v>2.8429603604852711E-2</c:v>
                </c:pt>
                <c:pt idx="874">
                  <c:v>2.8452172280772722E-2</c:v>
                </c:pt>
                <c:pt idx="875">
                  <c:v>2.847472472413121E-2</c:v>
                </c:pt>
                <c:pt idx="876">
                  <c:v>2.8505535112421928E-2</c:v>
                </c:pt>
                <c:pt idx="877">
                  <c:v>2.8528126811747833E-2</c:v>
                </c:pt>
                <c:pt idx="878">
                  <c:v>2.855075390824581E-2</c:v>
                </c:pt>
                <c:pt idx="879">
                  <c:v>2.857343310471544E-2</c:v>
                </c:pt>
                <c:pt idx="880">
                  <c:v>2.8587837213409628E-2</c:v>
                </c:pt>
                <c:pt idx="881">
                  <c:v>2.8610640638281722E-2</c:v>
                </c:pt>
                <c:pt idx="882">
                  <c:v>2.8633522392357044E-2</c:v>
                </c:pt>
                <c:pt idx="883">
                  <c:v>2.8656482478323288E-2</c:v>
                </c:pt>
                <c:pt idx="884">
                  <c:v>2.8679520898878184E-2</c:v>
                </c:pt>
                <c:pt idx="885">
                  <c:v>2.8711092496226706E-2</c:v>
                </c:pt>
                <c:pt idx="886">
                  <c:v>2.8734309898175658E-2</c:v>
                </c:pt>
                <c:pt idx="887">
                  <c:v>2.8757605666514113E-2</c:v>
                </c:pt>
                <c:pt idx="888">
                  <c:v>2.8780979804022652E-2</c:v>
                </c:pt>
                <c:pt idx="889">
                  <c:v>2.8804432313493011E-2</c:v>
                </c:pt>
                <c:pt idx="890">
                  <c:v>2.8827963197726823E-2</c:v>
                </c:pt>
                <c:pt idx="891">
                  <c:v>2.8851572459532165E-2</c:v>
                </c:pt>
                <c:pt idx="892">
                  <c:v>2.8875260101729146E-2</c:v>
                </c:pt>
                <c:pt idx="893">
                  <c:v>2.8887515948225712E-2</c:v>
                </c:pt>
                <c:pt idx="894">
                  <c:v>2.8911330369399663E-2</c:v>
                </c:pt>
                <c:pt idx="895">
                  <c:v>2.8935223147435712E-2</c:v>
                </c:pt>
                <c:pt idx="896">
                  <c:v>2.8959194285125035E-2</c:v>
                </c:pt>
                <c:pt idx="897">
                  <c:v>2.8983243785268026E-2</c:v>
                </c:pt>
                <c:pt idx="898">
                  <c:v>2.9010285450897517E-2</c:v>
                </c:pt>
                <c:pt idx="899">
                  <c:v>2.9034499220232463E-2</c:v>
                </c:pt>
                <c:pt idx="900">
                  <c:v>2.9058791368568183E-2</c:v>
                </c:pt>
                <c:pt idx="901">
                  <c:v>2.9083161898758356E-2</c:v>
                </c:pt>
                <c:pt idx="902">
                  <c:v>2.9104666821474782E-2</c:v>
                </c:pt>
                <c:pt idx="903">
                  <c:v>2.9129186555677814E-2</c:v>
                </c:pt>
                <c:pt idx="904">
                  <c:v>2.9153784672199506E-2</c:v>
                </c:pt>
                <c:pt idx="905">
                  <c:v>2.9178461173913157E-2</c:v>
                </c:pt>
                <c:pt idx="906">
                  <c:v>2.9206190332753911E-2</c:v>
                </c:pt>
                <c:pt idx="907">
                  <c:v>2.9231027130067356E-2</c:v>
                </c:pt>
                <c:pt idx="908">
                  <c:v>2.9255927339612769E-2</c:v>
                </c:pt>
                <c:pt idx="909">
                  <c:v>2.928087930490934E-2</c:v>
                </c:pt>
                <c:pt idx="910">
                  <c:v>2.9306453383224743E-2</c:v>
                </c:pt>
                <c:pt idx="911">
                  <c:v>2.9331476729383868E-2</c:v>
                </c:pt>
                <c:pt idx="912">
                  <c:v>2.9356516516848015E-2</c:v>
                </c:pt>
                <c:pt idx="913">
                  <c:v>2.9381561023669376E-2</c:v>
                </c:pt>
                <c:pt idx="914">
                  <c:v>2.9406598527315992E-2</c:v>
                </c:pt>
                <c:pt idx="915">
                  <c:v>2.943161730467176E-2</c:v>
                </c:pt>
                <c:pt idx="916">
                  <c:v>2.9456605632035549E-2</c:v>
                </c:pt>
                <c:pt idx="917">
                  <c:v>2.9481551785123399E-2</c:v>
                </c:pt>
                <c:pt idx="918">
                  <c:v>2.950644403907203E-2</c:v>
                </c:pt>
                <c:pt idx="919">
                  <c:v>2.954012062428478E-2</c:v>
                </c:pt>
                <c:pt idx="920">
                  <c:v>2.9564841616561154E-2</c:v>
                </c:pt>
                <c:pt idx="921">
                  <c:v>2.9589471286188627E-2</c:v>
                </c:pt>
                <c:pt idx="922">
                  <c:v>2.9613998093144637E-2</c:v>
                </c:pt>
                <c:pt idx="923">
                  <c:v>2.9646503355596879E-2</c:v>
                </c:pt>
                <c:pt idx="924">
                  <c:v>2.9662696956171127E-2</c:v>
                </c:pt>
                <c:pt idx="925">
                  <c:v>2.9686845929433291E-2</c:v>
                </c:pt>
                <c:pt idx="926">
                  <c:v>2.9710845874422059E-2</c:v>
                </c:pt>
                <c:pt idx="927">
                  <c:v>2.9734685248395745E-2</c:v>
                </c:pt>
                <c:pt idx="928">
                  <c:v>2.9765603794932077E-2</c:v>
                </c:pt>
                <c:pt idx="929">
                  <c:v>2.9789019164510579E-2</c:v>
                </c:pt>
                <c:pt idx="930">
                  <c:v>2.9812234542877659E-2</c:v>
                </c:pt>
                <c:pt idx="931">
                  <c:v>2.9835238323365092E-2</c:v>
                </c:pt>
                <c:pt idx="932">
                  <c:v>2.9855238868210038E-2</c:v>
                </c:pt>
                <c:pt idx="933">
                  <c:v>2.9877807989530707E-2</c:v>
                </c:pt>
                <c:pt idx="934">
                  <c:v>2.9900150593999322E-2</c:v>
                </c:pt>
                <c:pt idx="935">
                  <c:v>2.9922266674006236E-2</c:v>
                </c:pt>
                <c:pt idx="936">
                  <c:v>2.9949601664464354E-2</c:v>
                </c:pt>
                <c:pt idx="937">
                  <c:v>2.9968528171400024E-2</c:v>
                </c:pt>
                <c:pt idx="938">
                  <c:v>2.9989950220522438E-2</c:v>
                </c:pt>
                <c:pt idx="939">
                  <c:v>3.0011145697522917E-2</c:v>
                </c:pt>
                <c:pt idx="940">
                  <c:v>3.0032114595144228E-2</c:v>
                </c:pt>
                <c:pt idx="941">
                  <c:v>3.0052856906205586E-2</c:v>
                </c:pt>
                <c:pt idx="942">
                  <c:v>3.0073372623606588E-2</c:v>
                </c:pt>
                <c:pt idx="943">
                  <c:v>3.009366174032068E-2</c:v>
                </c:pt>
                <c:pt idx="944">
                  <c:v>3.0113724249402115E-2</c:v>
                </c:pt>
                <c:pt idx="945">
                  <c:v>3.0128372626155316E-2</c:v>
                </c:pt>
                <c:pt idx="946">
                  <c:v>3.0148011012104393E-2</c:v>
                </c:pt>
                <c:pt idx="947">
                  <c:v>3.0167422806564162E-2</c:v>
                </c:pt>
                <c:pt idx="948">
                  <c:v>3.0186608002960538E-2</c:v>
                </c:pt>
                <c:pt idx="949">
                  <c:v>3.0205566594795428E-2</c:v>
                </c:pt>
                <c:pt idx="950">
                  <c:v>3.0224298575646711E-2</c:v>
                </c:pt>
                <c:pt idx="951">
                  <c:v>3.0242803939170896E-2</c:v>
                </c:pt>
                <c:pt idx="952">
                  <c:v>3.0263574792735112E-2</c:v>
                </c:pt>
                <c:pt idx="953">
                  <c:v>3.0279134789242129E-2</c:v>
                </c:pt>
                <c:pt idx="954">
                  <c:v>3.0296960263483417E-2</c:v>
                </c:pt>
                <c:pt idx="955">
                  <c:v>3.0314559095786082E-2</c:v>
                </c:pt>
                <c:pt idx="956">
                  <c:v>3.0331931280190058E-2</c:v>
                </c:pt>
                <c:pt idx="957">
                  <c:v>3.0349076810809939E-2</c:v>
                </c:pt>
                <c:pt idx="958">
                  <c:v>3.0365995727886067E-2</c:v>
                </c:pt>
                <c:pt idx="959">
                  <c:v>3.0382688845190346E-2</c:v>
                </c:pt>
                <c:pt idx="960">
                  <c:v>3.0399157618390453E-2</c:v>
                </c:pt>
                <c:pt idx="961">
                  <c:v>3.041540352270326E-2</c:v>
                </c:pt>
                <c:pt idx="962">
                  <c:v>3.0431353497334741E-2</c:v>
                </c:pt>
                <c:pt idx="963">
                  <c:v>3.0447140679151156E-2</c:v>
                </c:pt>
                <c:pt idx="964">
                  <c:v>3.0462709481320387E-2</c:v>
                </c:pt>
                <c:pt idx="965">
                  <c:v>3.0478061387631438E-2</c:v>
                </c:pt>
                <c:pt idx="966">
                  <c:v>3.0493197881988579E-2</c:v>
                </c:pt>
                <c:pt idx="967">
                  <c:v>3.0508120448410465E-2</c:v>
                </c:pt>
                <c:pt idx="968">
                  <c:v>3.0522830571029249E-2</c:v>
                </c:pt>
                <c:pt idx="969">
                  <c:v>3.0537329734085288E-2</c:v>
                </c:pt>
                <c:pt idx="970">
                  <c:v>3.0551619421929341E-2</c:v>
                </c:pt>
                <c:pt idx="971">
                  <c:v>3.0572374213148602E-2</c:v>
                </c:pt>
                <c:pt idx="972">
                  <c:v>3.0586210881908056E-2</c:v>
                </c:pt>
                <c:pt idx="973">
                  <c:v>3.0599842752026422E-2</c:v>
                </c:pt>
                <c:pt idx="974">
                  <c:v>3.0613271284320384E-2</c:v>
                </c:pt>
                <c:pt idx="975">
                  <c:v>3.0624325592141236E-2</c:v>
                </c:pt>
                <c:pt idx="976">
                  <c:v>3.0637364422592857E-2</c:v>
                </c:pt>
                <c:pt idx="977">
                  <c:v>3.0650204256564423E-2</c:v>
                </c:pt>
                <c:pt idx="978">
                  <c:v>3.0666422575836905E-2</c:v>
                </c:pt>
                <c:pt idx="979">
                  <c:v>3.0684799905527384E-2</c:v>
                </c:pt>
                <c:pt idx="980">
                  <c:v>3.0697324703925423E-2</c:v>
                </c:pt>
                <c:pt idx="981">
                  <c:v>3.0709290951660917E-2</c:v>
                </c:pt>
                <c:pt idx="982">
                  <c:v>3.0721065968723388E-2</c:v>
                </c:pt>
                <c:pt idx="983">
                  <c:v>3.0726448088755111E-2</c:v>
                </c:pt>
                <c:pt idx="984">
                  <c:v>3.0737882194962537E-2</c:v>
                </c:pt>
                <c:pt idx="985">
                  <c:v>3.0749128007146093E-2</c:v>
                </c:pt>
                <c:pt idx="986">
                  <c:v>3.0760185522125373E-2</c:v>
                </c:pt>
                <c:pt idx="987">
                  <c:v>3.0777107750280277E-2</c:v>
                </c:pt>
                <c:pt idx="988">
                  <c:v>3.0787751017840894E-2</c:v>
                </c:pt>
                <c:pt idx="989">
                  <c:v>3.0798205931326379E-2</c:v>
                </c:pt>
                <c:pt idx="990">
                  <c:v>3.080847248773225E-2</c:v>
                </c:pt>
                <c:pt idx="991">
                  <c:v>3.0818550684106896E-2</c:v>
                </c:pt>
                <c:pt idx="992">
                  <c:v>3.082257619933226E-2</c:v>
                </c:pt>
                <c:pt idx="993">
                  <c:v>3.0838141985230653E-2</c:v>
                </c:pt>
                <c:pt idx="994">
                  <c:v>3.0847655084347708E-2</c:v>
                </c:pt>
                <c:pt idx="995">
                  <c:v>3.0856979812171146E-2</c:v>
                </c:pt>
                <c:pt idx="996">
                  <c:v>3.0860403664109849E-2</c:v>
                </c:pt>
                <c:pt idx="997">
                  <c:v>3.0865601220658508E-2</c:v>
                </c:pt>
                <c:pt idx="998">
                  <c:v>3.0874424343966273E-2</c:v>
                </c:pt>
                <c:pt idx="999">
                  <c:v>3.0883059165548447E-2</c:v>
                </c:pt>
                <c:pt idx="1000">
                  <c:v>3.0891505682990608E-2</c:v>
                </c:pt>
                <c:pt idx="1001">
                  <c:v>3.0901607796775674E-2</c:v>
                </c:pt>
                <c:pt idx="1002">
                  <c:v>3.0909664934273079E-2</c:v>
                </c:pt>
                <c:pt idx="1003">
                  <c:v>3.0917533744675468E-2</c:v>
                </c:pt>
                <c:pt idx="1004">
                  <c:v>3.0925214225770103E-2</c:v>
                </c:pt>
                <c:pt idx="1005">
                  <c:v>3.0932706375396076E-2</c:v>
                </c:pt>
                <c:pt idx="1006">
                  <c:v>3.0938230272072865E-2</c:v>
                </c:pt>
                <c:pt idx="1007">
                  <c:v>3.0945358597327572E-2</c:v>
                </c:pt>
                <c:pt idx="1008">
                  <c:v>3.0952298601015324E-2</c:v>
                </c:pt>
                <c:pt idx="1009">
                  <c:v>3.0959050281194684E-2</c:v>
                </c:pt>
                <c:pt idx="1010">
                  <c:v>3.096734303970991E-2</c:v>
                </c:pt>
                <c:pt idx="1011">
                  <c:v>3.0973713963589351E-2</c:v>
                </c:pt>
                <c:pt idx="1012">
                  <c:v>3.0979913531092227E-2</c:v>
                </c:pt>
                <c:pt idx="1013">
                  <c:v>3.0989331497681245E-2</c:v>
                </c:pt>
                <c:pt idx="1014">
                  <c:v>3.0990974052500252E-2</c:v>
                </c:pt>
                <c:pt idx="1015">
                  <c:v>3.0995891494336961E-2</c:v>
                </c:pt>
                <c:pt idx="1016">
                  <c:v>3.1001502837633279E-2</c:v>
                </c:pt>
                <c:pt idx="1017">
                  <c:v>3.1006987600235382E-2</c:v>
                </c:pt>
                <c:pt idx="1018">
                  <c:v>3.1012354978769939E-2</c:v>
                </c:pt>
                <c:pt idx="1019">
                  <c:v>3.1017614169982409E-2</c:v>
                </c:pt>
                <c:pt idx="1020">
                  <c:v>3.1022774370732201E-2</c:v>
                </c:pt>
                <c:pt idx="1021">
                  <c:v>3.102784477798869E-2</c:v>
                </c:pt>
                <c:pt idx="1022">
                  <c:v>3.1032834588825914E-2</c:v>
                </c:pt>
                <c:pt idx="1023">
                  <c:v>3.1046066882387247E-2</c:v>
                </c:pt>
                <c:pt idx="1024">
                  <c:v>3.1050926074877777E-2</c:v>
                </c:pt>
                <c:pt idx="1025">
                  <c:v>3.1055734996652547E-2</c:v>
                </c:pt>
                <c:pt idx="1026">
                  <c:v>3.1060502601766255E-2</c:v>
                </c:pt>
                <c:pt idx="1027">
                  <c:v>3.1060231833684112E-2</c:v>
                </c:pt>
                <c:pt idx="1028">
                  <c:v>3.1064936144579045E-2</c:v>
                </c:pt>
                <c:pt idx="1029">
                  <c:v>3.1069624956754291E-2</c:v>
                </c:pt>
                <c:pt idx="1030">
                  <c:v>3.1074307369062231E-2</c:v>
                </c:pt>
                <c:pt idx="1031">
                  <c:v>3.1078992480441742E-2</c:v>
                </c:pt>
                <c:pt idx="1032">
                  <c:v>3.1088742020798255E-2</c:v>
                </c:pt>
                <c:pt idx="1033">
                  <c:v>3.1093471130213293E-2</c:v>
                </c:pt>
                <c:pt idx="1034">
                  <c:v>3.1098230558553333E-2</c:v>
                </c:pt>
                <c:pt idx="1035">
                  <c:v>3.1103029260653964E-2</c:v>
                </c:pt>
                <c:pt idx="1036">
                  <c:v>3.1102776037243551E-2</c:v>
                </c:pt>
                <c:pt idx="1037">
                  <c:v>3.1107659666905964E-2</c:v>
                </c:pt>
                <c:pt idx="1038">
                  <c:v>3.1112592792206132E-2</c:v>
                </c:pt>
                <c:pt idx="1039">
                  <c:v>3.1122710262525624E-2</c:v>
                </c:pt>
                <c:pt idx="1040">
                  <c:v>3.1127754284462097E-2</c:v>
                </c:pt>
                <c:pt idx="1041">
                  <c:v>3.1132847816177641E-2</c:v>
                </c:pt>
                <c:pt idx="1042">
                  <c:v>3.1137990858056467E-2</c:v>
                </c:pt>
                <c:pt idx="1043">
                  <c:v>3.114318341048708E-2</c:v>
                </c:pt>
                <c:pt idx="1044">
                  <c:v>3.1143230973163655E-2</c:v>
                </c:pt>
                <c:pt idx="1045">
                  <c:v>3.1153717048576605E-2</c:v>
                </c:pt>
                <c:pt idx="1046">
                  <c:v>3.115905813503015E-2</c:v>
                </c:pt>
                <c:pt idx="1047">
                  <c:v>3.1164448733626466E-2</c:v>
                </c:pt>
                <c:pt idx="1048">
                  <c:v>3.1164646387689524E-2</c:v>
                </c:pt>
                <c:pt idx="1049">
                  <c:v>3.116662342356644E-2</c:v>
                </c:pt>
                <c:pt idx="1050">
                  <c:v>3.1172142506198677E-2</c:v>
                </c:pt>
                <c:pt idx="1051">
                  <c:v>3.1177711080785757E-2</c:v>
                </c:pt>
                <c:pt idx="1052">
                  <c:v>3.118332914773796E-2</c:v>
                </c:pt>
                <c:pt idx="1053">
                  <c:v>3.1190762813581765E-2</c:v>
                </c:pt>
                <c:pt idx="1054">
                  <c:v>3.1196483893628831E-2</c:v>
                </c:pt>
                <c:pt idx="1055">
                  <c:v>3.1202254471666222E-2</c:v>
                </c:pt>
                <c:pt idx="1056">
                  <c:v>3.1208074548120406E-2</c:v>
                </c:pt>
                <c:pt idx="1057">
                  <c:v>3.1213944123421808E-2</c:v>
                </c:pt>
                <c:pt idx="1058">
                  <c:v>3.121807691247909E-2</c:v>
                </c:pt>
                <c:pt idx="1059">
                  <c:v>3.122404143774659E-2</c:v>
                </c:pt>
                <c:pt idx="1060">
                  <c:v>3.1230055458782456E-2</c:v>
                </c:pt>
                <c:pt idx="1061">
                  <c:v>3.1236118976029653E-2</c:v>
                </c:pt>
                <c:pt idx="1062">
                  <c:v>3.1244034297034363E-2</c:v>
                </c:pt>
                <c:pt idx="1063">
                  <c:v>3.1250193634633001E-2</c:v>
                </c:pt>
                <c:pt idx="1064">
                  <c:v>3.1256380597761632E-2</c:v>
                </c:pt>
                <c:pt idx="1065">
                  <c:v>3.1262579873158391E-2</c:v>
                </c:pt>
                <c:pt idx="1066">
                  <c:v>3.1266977021801326E-2</c:v>
                </c:pt>
                <c:pt idx="1067">
                  <c:v>3.1273160565708072E-2</c:v>
                </c:pt>
                <c:pt idx="1068">
                  <c:v>3.1279312224119907E-2</c:v>
                </c:pt>
                <c:pt idx="1069">
                  <c:v>3.1285416599765317E-2</c:v>
                </c:pt>
                <c:pt idx="1070">
                  <c:v>3.1291458295190817E-2</c:v>
                </c:pt>
                <c:pt idx="1071">
                  <c:v>3.1297421912762739E-2</c:v>
                </c:pt>
                <c:pt idx="1072">
                  <c:v>3.1303292054673859E-2</c:v>
                </c:pt>
                <c:pt idx="1073">
                  <c:v>3.130905332295001E-2</c:v>
                </c:pt>
                <c:pt idx="1074">
                  <c:v>3.1314690319457598E-2</c:v>
                </c:pt>
                <c:pt idx="1075">
                  <c:v>3.1328633822641609E-2</c:v>
                </c:pt>
                <c:pt idx="1076">
                  <c:v>3.1333884007485047E-2</c:v>
                </c:pt>
                <c:pt idx="1077">
                  <c:v>3.1338958859869391E-2</c:v>
                </c:pt>
                <c:pt idx="1078">
                  <c:v>3.1343843388500846E-2</c:v>
                </c:pt>
                <c:pt idx="1079">
                  <c:v>3.1343698875067105E-2</c:v>
                </c:pt>
                <c:pt idx="1080">
                  <c:v>3.1348223336223439E-2</c:v>
                </c:pt>
                <c:pt idx="1081">
                  <c:v>3.1352514420528374E-2</c:v>
                </c:pt>
                <c:pt idx="1082">
                  <c:v>3.1356556894625479E-2</c:v>
                </c:pt>
                <c:pt idx="1083">
                  <c:v>3.1360335525121623E-2</c:v>
                </c:pt>
                <c:pt idx="1084">
                  <c:v>3.1368314238834884E-2</c:v>
                </c:pt>
                <c:pt idx="1085">
                  <c:v>3.1371446738896379E-2</c:v>
                </c:pt>
                <c:pt idx="1086">
                  <c:v>3.1374268982788729E-2</c:v>
                </c:pt>
                <c:pt idx="1087">
                  <c:v>3.1376765978989071E-2</c:v>
                </c:pt>
                <c:pt idx="1088">
                  <c:v>3.1374738054885415E-2</c:v>
                </c:pt>
                <c:pt idx="1089">
                  <c:v>3.1376620924772086E-2</c:v>
                </c:pt>
                <c:pt idx="1090">
                  <c:v>3.137815507818404E-2</c:v>
                </c:pt>
                <c:pt idx="1091">
                  <c:v>3.1379340514318434E-2</c:v>
                </c:pt>
                <c:pt idx="1092">
                  <c:v>3.1384064542684421E-2</c:v>
                </c:pt>
                <c:pt idx="1093">
                  <c:v>3.1384477924352241E-2</c:v>
                </c:pt>
                <c:pt idx="1094">
                  <c:v>3.138454249697175E-2</c:v>
                </c:pt>
                <c:pt idx="1095">
                  <c:v>3.1384258260509425E-2</c:v>
                </c:pt>
                <c:pt idx="1096">
                  <c:v>3.1383625215116118E-2</c:v>
                </c:pt>
                <c:pt idx="1097">
                  <c:v>3.1382643361128754E-2</c:v>
                </c:pt>
                <c:pt idx="1098">
                  <c:v>3.1381312699069075E-2</c:v>
                </c:pt>
                <c:pt idx="1099">
                  <c:v>3.1379633229646188E-2</c:v>
                </c:pt>
                <c:pt idx="1100">
                  <c:v>3.1377604953752712E-2</c:v>
                </c:pt>
                <c:pt idx="1101">
                  <c:v>3.1370939861210756E-2</c:v>
                </c:pt>
                <c:pt idx="1102">
                  <c:v>3.1368314541434676E-2</c:v>
                </c:pt>
                <c:pt idx="1103">
                  <c:v>3.1365340538981143E-2</c:v>
                </c:pt>
                <c:pt idx="1104">
                  <c:v>3.1362017855398362E-2</c:v>
                </c:pt>
                <c:pt idx="1105">
                  <c:v>3.1359321290759558E-2</c:v>
                </c:pt>
                <c:pt idx="1106">
                  <c:v>3.1355275995485279E-2</c:v>
                </c:pt>
                <c:pt idx="1107">
                  <c:v>3.1354555334774291E-2</c:v>
                </c:pt>
                <c:pt idx="1108">
                  <c:v>3.1346139291330934E-2</c:v>
                </c:pt>
                <c:pt idx="1109">
                  <c:v>3.1341047887233922E-2</c:v>
                </c:pt>
                <c:pt idx="1110">
                  <c:v>3.133475955976979E-2</c:v>
                </c:pt>
                <c:pt idx="1111">
                  <c:v>3.1328996166882894E-2</c:v>
                </c:pt>
                <c:pt idx="1112">
                  <c:v>3.1322884111787005E-2</c:v>
                </c:pt>
                <c:pt idx="1113">
                  <c:v>3.1316423397664196E-2</c:v>
                </c:pt>
                <c:pt idx="1114">
                  <c:v>3.1310360872993187E-2</c:v>
                </c:pt>
                <c:pt idx="1115">
                  <c:v>3.1303185531371333E-2</c:v>
                </c:pt>
                <c:pt idx="1116">
                  <c:v>3.1295682450233085E-2</c:v>
                </c:pt>
                <c:pt idx="1117">
                  <c:v>3.1287864957765948E-2</c:v>
                </c:pt>
                <c:pt idx="1118">
                  <c:v>3.1279746382102402E-2</c:v>
                </c:pt>
                <c:pt idx="1119">
                  <c:v>3.127069466090257E-2</c:v>
                </c:pt>
                <c:pt idx="1120">
                  <c:v>3.1262029422392541E-2</c:v>
                </c:pt>
                <c:pt idx="1121">
                  <c:v>3.1253101673899969E-2</c:v>
                </c:pt>
                <c:pt idx="1122">
                  <c:v>3.1243924815192749E-2</c:v>
                </c:pt>
                <c:pt idx="1123">
                  <c:v>3.1234512245892063E-2</c:v>
                </c:pt>
                <c:pt idx="1124">
                  <c:v>3.122487736545133E-2</c:v>
                </c:pt>
                <c:pt idx="1125">
                  <c:v>3.1215033573146526E-2</c:v>
                </c:pt>
                <c:pt idx="1126">
                  <c:v>3.1204994268056861E-2</c:v>
                </c:pt>
                <c:pt idx="1127">
                  <c:v>3.1196997712081339E-2</c:v>
                </c:pt>
                <c:pt idx="1128">
                  <c:v>3.1186582908941007E-2</c:v>
                </c:pt>
                <c:pt idx="1129">
                  <c:v>3.1176016071888333E-2</c:v>
                </c:pt>
                <c:pt idx="1130">
                  <c:v>3.1165310315506286E-2</c:v>
                </c:pt>
                <c:pt idx="1131">
                  <c:v>3.1152870410212443E-2</c:v>
                </c:pt>
                <c:pt idx="1132">
                  <c:v>3.114193604909055E-2</c:v>
                </c:pt>
                <c:pt idx="1133">
                  <c:v>3.1130900508219483E-2</c:v>
                </c:pt>
                <c:pt idx="1134">
                  <c:v>3.1119777112651351E-2</c:v>
                </c:pt>
                <c:pt idx="1135">
                  <c:v>3.1108579187156506E-2</c:v>
                </c:pt>
                <c:pt idx="1136">
                  <c:v>3.1098892854943109E-2</c:v>
                </c:pt>
                <c:pt idx="1137">
                  <c:v>3.1087581849259201E-2</c:v>
                </c:pt>
                <c:pt idx="1138">
                  <c:v>3.1076236831138127E-2</c:v>
                </c:pt>
                <c:pt idx="1139">
                  <c:v>3.1064870912632835E-2</c:v>
                </c:pt>
                <c:pt idx="1140">
                  <c:v>3.1051937782419308E-2</c:v>
                </c:pt>
                <c:pt idx="1141">
                  <c:v>3.1040566182148482E-2</c:v>
                </c:pt>
                <c:pt idx="1142">
                  <c:v>3.1029194284583665E-2</c:v>
                </c:pt>
                <c:pt idx="1143">
                  <c:v>3.101782208973097E-2</c:v>
                </c:pt>
                <c:pt idx="1144">
                  <c:v>3.1006449597595201E-2</c:v>
                </c:pt>
                <c:pt idx="1145">
                  <c:v>3.0996621154402083E-2</c:v>
                </c:pt>
                <c:pt idx="1146">
                  <c:v>3.0985245089710966E-2</c:v>
                </c:pt>
                <c:pt idx="1147">
                  <c:v>3.0973868728741576E-2</c:v>
                </c:pt>
                <c:pt idx="1148">
                  <c:v>3.0962492071500359E-2</c:v>
                </c:pt>
                <c:pt idx="1149">
                  <c:v>3.0951115117992048E-2</c:v>
                </c:pt>
                <c:pt idx="1150">
                  <c:v>3.0939737868223516E-2</c:v>
                </c:pt>
                <c:pt idx="1151">
                  <c:v>3.0928360322199918E-2</c:v>
                </c:pt>
                <c:pt idx="1152">
                  <c:v>3.0916982479928135E-2</c:v>
                </c:pt>
                <c:pt idx="1153">
                  <c:v>3.0903069764078677E-2</c:v>
                </c:pt>
                <c:pt idx="1154">
                  <c:v>3.0891696279338594E-2</c:v>
                </c:pt>
                <c:pt idx="1155">
                  <c:v>3.0880322496722751E-2</c:v>
                </c:pt>
                <c:pt idx="1156">
                  <c:v>3.0868948416236011E-2</c:v>
                </c:pt>
                <c:pt idx="1157">
                  <c:v>3.0857574037884555E-2</c:v>
                </c:pt>
                <c:pt idx="1158">
                  <c:v>3.0846701461851294E-2</c:v>
                </c:pt>
                <c:pt idx="1159">
                  <c:v>3.0835325499501586E-2</c:v>
                </c:pt>
                <c:pt idx="1160">
                  <c:v>3.0823949239633386E-2</c:v>
                </c:pt>
                <c:pt idx="1161">
                  <c:v>3.0812572682252404E-2</c:v>
                </c:pt>
                <c:pt idx="1162">
                  <c:v>3.0800697678359235E-2</c:v>
                </c:pt>
                <c:pt idx="1163">
                  <c:v>3.0789321512940487E-2</c:v>
                </c:pt>
                <c:pt idx="1164">
                  <c:v>3.0777945049697213E-2</c:v>
                </c:pt>
                <c:pt idx="1165">
                  <c:v>3.0766568288635592E-2</c:v>
                </c:pt>
                <c:pt idx="1166">
                  <c:v>3.0755685398056152E-2</c:v>
                </c:pt>
                <c:pt idx="1167">
                  <c:v>3.0744303918884282E-2</c:v>
                </c:pt>
                <c:pt idx="1168">
                  <c:v>3.0732910630453785E-2</c:v>
                </c:pt>
                <c:pt idx="1169">
                  <c:v>3.0721496579376742E-2</c:v>
                </c:pt>
                <c:pt idx="1170">
                  <c:v>3.0708415040803044E-2</c:v>
                </c:pt>
                <c:pt idx="1171">
                  <c:v>3.0696454368809762E-2</c:v>
                </c:pt>
                <c:pt idx="1172">
                  <c:v>3.0684924435828796E-2</c:v>
                </c:pt>
                <c:pt idx="1173">
                  <c:v>3.0673337622254777E-2</c:v>
                </c:pt>
                <c:pt idx="1174">
                  <c:v>3.0661684927034982E-2</c:v>
                </c:pt>
                <c:pt idx="1175">
                  <c:v>3.0649957349328679E-2</c:v>
                </c:pt>
                <c:pt idx="1176">
                  <c:v>3.0638145888514622E-2</c:v>
                </c:pt>
                <c:pt idx="1177">
                  <c:v>3.0626241544189296E-2</c:v>
                </c:pt>
                <c:pt idx="1178">
                  <c:v>3.061423531617442E-2</c:v>
                </c:pt>
                <c:pt idx="1179">
                  <c:v>3.0603654131226343E-2</c:v>
                </c:pt>
                <c:pt idx="1180">
                  <c:v>3.0591360595192428E-2</c:v>
                </c:pt>
                <c:pt idx="1181">
                  <c:v>3.057893588248985E-2</c:v>
                </c:pt>
                <c:pt idx="1182">
                  <c:v>3.0566371185670002E-2</c:v>
                </c:pt>
                <c:pt idx="1183">
                  <c:v>3.0545695882174546E-2</c:v>
                </c:pt>
                <c:pt idx="1184">
                  <c:v>3.0540786611146186E-2</c:v>
                </c:pt>
                <c:pt idx="1185">
                  <c:v>3.0527749119831755E-2</c:v>
                </c:pt>
                <c:pt idx="1186">
                  <c:v>3.0514536417192525E-2</c:v>
                </c:pt>
                <c:pt idx="1187">
                  <c:v>3.0501139697108121E-2</c:v>
                </c:pt>
                <c:pt idx="1188">
                  <c:v>3.0487550153749831E-2</c:v>
                </c:pt>
                <c:pt idx="1189">
                  <c:v>3.0473758981583617E-2</c:v>
                </c:pt>
                <c:pt idx="1190">
                  <c:v>3.04597573753831E-2</c:v>
                </c:pt>
                <c:pt idx="1191">
                  <c:v>3.044553653023515E-2</c:v>
                </c:pt>
                <c:pt idx="1192">
                  <c:v>3.0431087757127023E-2</c:v>
                </c:pt>
                <c:pt idx="1193">
                  <c:v>3.0416406185576315E-2</c:v>
                </c:pt>
                <c:pt idx="1194">
                  <c:v>3.0401491546822885E-2</c:v>
                </c:pt>
                <c:pt idx="1195">
                  <c:v>3.0386343846145528E-2</c:v>
                </c:pt>
                <c:pt idx="1196">
                  <c:v>3.0370963088904291E-2</c:v>
                </c:pt>
                <c:pt idx="1197">
                  <c:v>3.0355349280543027E-2</c:v>
                </c:pt>
                <c:pt idx="1198">
                  <c:v>3.0339502426586833E-2</c:v>
                </c:pt>
                <c:pt idx="1199">
                  <c:v>3.0323422532643331E-2</c:v>
                </c:pt>
                <c:pt idx="1200">
                  <c:v>3.0307109604403536E-2</c:v>
                </c:pt>
                <c:pt idx="1201">
                  <c:v>3.0290563647640132E-2</c:v>
                </c:pt>
                <c:pt idx="1202">
                  <c:v>3.027378466820789E-2</c:v>
                </c:pt>
                <c:pt idx="1203">
                  <c:v>3.025677267204498E-2</c:v>
                </c:pt>
                <c:pt idx="1204">
                  <c:v>3.02395276651721E-2</c:v>
                </c:pt>
                <c:pt idx="1205">
                  <c:v>3.0222307971448426E-2</c:v>
                </c:pt>
                <c:pt idx="1206">
                  <c:v>3.020466940711157E-2</c:v>
                </c:pt>
                <c:pt idx="1207">
                  <c:v>3.0186797922928655E-2</c:v>
                </c:pt>
                <c:pt idx="1208">
                  <c:v>3.0168693525087872E-2</c:v>
                </c:pt>
                <c:pt idx="1209">
                  <c:v>3.0150221706413762E-2</c:v>
                </c:pt>
                <c:pt idx="1210">
                  <c:v>3.0131633320753599E-2</c:v>
                </c:pt>
                <c:pt idx="1211">
                  <c:v>3.0112812022562857E-2</c:v>
                </c:pt>
                <c:pt idx="1212">
                  <c:v>3.0092983848763587E-2</c:v>
                </c:pt>
                <c:pt idx="1213">
                  <c:v>3.007447071487717E-2</c:v>
                </c:pt>
                <c:pt idx="1214">
                  <c:v>3.0055176307875818E-2</c:v>
                </c:pt>
                <c:pt idx="1215">
                  <c:v>3.0035441694446437E-2</c:v>
                </c:pt>
                <c:pt idx="1216">
                  <c:v>3.0015474219760595E-2</c:v>
                </c:pt>
                <c:pt idx="1217">
                  <c:v>2.9995273890729885E-2</c:v>
                </c:pt>
                <c:pt idx="1218">
                  <c:v>2.9974542033600629E-2</c:v>
                </c:pt>
                <c:pt idx="1219">
                  <c:v>2.9953865667895339E-2</c:v>
                </c:pt>
                <c:pt idx="1220">
                  <c:v>2.9932985773788886E-2</c:v>
                </c:pt>
                <c:pt idx="1221">
                  <c:v>2.9911925163715405E-2</c:v>
                </c:pt>
                <c:pt idx="1222">
                  <c:v>2.988261122846364E-2</c:v>
                </c:pt>
                <c:pt idx="1223">
                  <c:v>2.986016579175026E-2</c:v>
                </c:pt>
                <c:pt idx="1224">
                  <c:v>2.9838658759776454E-2</c:v>
                </c:pt>
                <c:pt idx="1225">
                  <c:v>2.9817072027222006E-2</c:v>
                </c:pt>
                <c:pt idx="1226">
                  <c:v>2.9795428401418328E-2</c:v>
                </c:pt>
                <c:pt idx="1227">
                  <c:v>2.9773750688721342E-2</c:v>
                </c:pt>
                <c:pt idx="1228">
                  <c:v>2.9752061694505338E-2</c:v>
                </c:pt>
                <c:pt idx="1229">
                  <c:v>2.973038422315771E-2</c:v>
                </c:pt>
                <c:pt idx="1230">
                  <c:v>2.9708741078083332E-2</c:v>
                </c:pt>
                <c:pt idx="1231">
                  <c:v>2.9686570544955847E-2</c:v>
                </c:pt>
                <c:pt idx="1232">
                  <c:v>2.9665095160149736E-2</c:v>
                </c:pt>
                <c:pt idx="1233">
                  <c:v>2.9643725322113647E-2</c:v>
                </c:pt>
                <c:pt idx="1234">
                  <c:v>2.9622483586038771E-2</c:v>
                </c:pt>
                <c:pt idx="1235">
                  <c:v>2.9601614325551896E-2</c:v>
                </c:pt>
                <c:pt idx="1236">
                  <c:v>2.9580676182836298E-2</c:v>
                </c:pt>
                <c:pt idx="1237">
                  <c:v>2.9559932887493909E-2</c:v>
                </c:pt>
                <c:pt idx="1238">
                  <c:v>2.9533585730934269E-2</c:v>
                </c:pt>
                <c:pt idx="1239">
                  <c:v>2.9519121530121886E-2</c:v>
                </c:pt>
                <c:pt idx="1240">
                  <c:v>2.9498986284903727E-2</c:v>
                </c:pt>
                <c:pt idx="1241">
                  <c:v>2.9479272731030067E-2</c:v>
                </c:pt>
                <c:pt idx="1242">
                  <c:v>2.9459867688355602E-2</c:v>
                </c:pt>
                <c:pt idx="1243">
                  <c:v>2.9440793704371165E-2</c:v>
                </c:pt>
                <c:pt idx="1244">
                  <c:v>2.9422088596699019E-2</c:v>
                </c:pt>
                <c:pt idx="1245">
                  <c:v>2.9403702575915347E-2</c:v>
                </c:pt>
                <c:pt idx="1246">
                  <c:v>2.9385676555843759E-2</c:v>
                </c:pt>
                <c:pt idx="1247">
                  <c:v>2.9368010526737296E-2</c:v>
                </c:pt>
                <c:pt idx="1248">
                  <c:v>2.9350867680517385E-2</c:v>
                </c:pt>
                <c:pt idx="1249">
                  <c:v>2.9333863179473056E-2</c:v>
                </c:pt>
                <c:pt idx="1250">
                  <c:v>2.931730143802827E-2</c:v>
                </c:pt>
                <c:pt idx="1251">
                  <c:v>2.9301099679723303E-2</c:v>
                </c:pt>
                <c:pt idx="1252">
                  <c:v>2.9285257895751284E-2</c:v>
                </c:pt>
                <c:pt idx="1253">
                  <c:v>2.9269776077498238E-2</c:v>
                </c:pt>
                <c:pt idx="1254">
                  <c:v>2.9254654216546116E-2</c:v>
                </c:pt>
                <c:pt idx="1255">
                  <c:v>2.9239892304675837E-2</c:v>
                </c:pt>
                <c:pt idx="1256">
                  <c:v>2.9225490333859044E-2</c:v>
                </c:pt>
                <c:pt idx="1257">
                  <c:v>2.9210849540396884E-2</c:v>
                </c:pt>
                <c:pt idx="1258">
                  <c:v>2.9197118224184023E-2</c:v>
                </c:pt>
                <c:pt idx="1259">
                  <c:v>2.9183746768178285E-2</c:v>
                </c:pt>
                <c:pt idx="1260">
                  <c:v>2.9170735165188068E-2</c:v>
                </c:pt>
                <c:pt idx="1261">
                  <c:v>2.9158083408218082E-2</c:v>
                </c:pt>
                <c:pt idx="1262">
                  <c:v>2.9145791490462349E-2</c:v>
                </c:pt>
                <c:pt idx="1263">
                  <c:v>2.9134305632918852E-2</c:v>
                </c:pt>
                <c:pt idx="1264">
                  <c:v>2.9122287146352639E-2</c:v>
                </c:pt>
                <c:pt idx="1265">
                  <c:v>2.9111074707358228E-2</c:v>
                </c:pt>
                <c:pt idx="1266">
                  <c:v>2.9100222082301144E-2</c:v>
                </c:pt>
                <c:pt idx="1267">
                  <c:v>2.9089729265344737E-2</c:v>
                </c:pt>
                <c:pt idx="1268">
                  <c:v>2.9079596250846926E-2</c:v>
                </c:pt>
                <c:pt idx="1269">
                  <c:v>2.9069823033358443E-2</c:v>
                </c:pt>
                <c:pt idx="1270">
                  <c:v>2.9060408626068655E-2</c:v>
                </c:pt>
                <c:pt idx="1271">
                  <c:v>2.9051335555371708E-2</c:v>
                </c:pt>
                <c:pt idx="1272">
                  <c:v>2.9042572667842697E-2</c:v>
                </c:pt>
                <c:pt idx="1273">
                  <c:v>2.9034088396662584E-2</c:v>
                </c:pt>
                <c:pt idx="1274">
                  <c:v>2.902401715881562E-2</c:v>
                </c:pt>
                <c:pt idx="1275">
                  <c:v>2.9016019510962474E-2</c:v>
                </c:pt>
                <c:pt idx="1276">
                  <c:v>2.9008204796211804E-2</c:v>
                </c:pt>
                <c:pt idx="1277">
                  <c:v>2.9000541278355257E-2</c:v>
                </c:pt>
                <c:pt idx="1278">
                  <c:v>2.8992997221702954E-2</c:v>
                </c:pt>
                <c:pt idx="1279">
                  <c:v>2.8985540891067599E-2</c:v>
                </c:pt>
                <c:pt idx="1280">
                  <c:v>2.8978140551742835E-2</c:v>
                </c:pt>
                <c:pt idx="1281">
                  <c:v>2.8970764469497513E-2</c:v>
                </c:pt>
                <c:pt idx="1282">
                  <c:v>2.8963380910564634E-2</c:v>
                </c:pt>
                <c:pt idx="1283">
                  <c:v>2.8957751264199437E-2</c:v>
                </c:pt>
                <c:pt idx="1284">
                  <c:v>2.8950192953183244E-2</c:v>
                </c:pt>
                <c:pt idx="1285">
                  <c:v>2.8942526102944656E-2</c:v>
                </c:pt>
                <c:pt idx="1286">
                  <c:v>2.8934719491658548E-2</c:v>
                </c:pt>
                <c:pt idx="1287">
                  <c:v>2.8926244370429843E-2</c:v>
                </c:pt>
                <c:pt idx="1288">
                  <c:v>2.8918092967013979E-2</c:v>
                </c:pt>
                <c:pt idx="1289">
                  <c:v>2.8907267062362994E-2</c:v>
                </c:pt>
                <c:pt idx="1290">
                  <c:v>2.889853888168948E-2</c:v>
                </c:pt>
                <c:pt idx="1291">
                  <c:v>2.8888913167815871E-2</c:v>
                </c:pt>
                <c:pt idx="1292">
                  <c:v>2.888113558380077E-2</c:v>
                </c:pt>
                <c:pt idx="1293">
                  <c:v>2.8871302035447965E-2</c:v>
                </c:pt>
                <c:pt idx="1294">
                  <c:v>2.8861069320371829E-2</c:v>
                </c:pt>
                <c:pt idx="1295">
                  <c:v>2.884971169410628E-2</c:v>
                </c:pt>
                <c:pt idx="1296">
                  <c:v>2.8838694538955705E-2</c:v>
                </c:pt>
                <c:pt idx="1297">
                  <c:v>2.8827216563544925E-2</c:v>
                </c:pt>
                <c:pt idx="1298">
                  <c:v>2.8815277775823871E-2</c:v>
                </c:pt>
                <c:pt idx="1299">
                  <c:v>2.8803166809981566E-2</c:v>
                </c:pt>
                <c:pt idx="1300">
                  <c:v>2.8790204597559006E-2</c:v>
                </c:pt>
                <c:pt idx="1301">
                  <c:v>2.8776781492323933E-2</c:v>
                </c:pt>
                <c:pt idx="1302">
                  <c:v>2.8762897503724696E-2</c:v>
                </c:pt>
                <c:pt idx="1303">
                  <c:v>2.8748552641536706E-2</c:v>
                </c:pt>
                <c:pt idx="1304">
                  <c:v>2.873396847642902E-2</c:v>
                </c:pt>
                <c:pt idx="1305">
                  <c:v>2.8718480337112856E-2</c:v>
                </c:pt>
                <c:pt idx="1306">
                  <c:v>2.870275291604716E-2</c:v>
                </c:pt>
                <c:pt idx="1307">
                  <c:v>2.8686564663733465E-2</c:v>
                </c:pt>
                <c:pt idx="1308">
                  <c:v>2.8670547198843762E-2</c:v>
                </c:pt>
                <c:pt idx="1309">
                  <c:v>2.8653778301352597E-2</c:v>
                </c:pt>
                <c:pt idx="1310">
                  <c:v>2.8636344784413965E-2</c:v>
                </c:pt>
                <c:pt idx="1311">
                  <c:v>2.8618450622177605E-2</c:v>
                </c:pt>
                <c:pt idx="1312">
                  <c:v>2.8600095826969919E-2</c:v>
                </c:pt>
                <c:pt idx="1313">
                  <c:v>2.8580904865606944E-2</c:v>
                </c:pt>
                <c:pt idx="1314">
                  <c:v>2.856159442257436E-2</c:v>
                </c:pt>
                <c:pt idx="1315">
                  <c:v>2.8541823351209358E-2</c:v>
                </c:pt>
                <c:pt idx="1316">
                  <c:v>2.8521591665205469E-2</c:v>
                </c:pt>
                <c:pt idx="1317">
                  <c:v>2.8500899378575088E-2</c:v>
                </c:pt>
                <c:pt idx="1318">
                  <c:v>2.8480294493544014E-2</c:v>
                </c:pt>
                <c:pt idx="1319">
                  <c:v>2.8458715639308227E-2</c:v>
                </c:pt>
                <c:pt idx="1320">
                  <c:v>2.8436676262127383E-2</c:v>
                </c:pt>
                <c:pt idx="1321">
                  <c:v>2.8414176377182312E-2</c:v>
                </c:pt>
                <c:pt idx="1322">
                  <c:v>2.8390530621213741E-2</c:v>
                </c:pt>
                <c:pt idx="1323">
                  <c:v>2.8367098253335121E-2</c:v>
                </c:pt>
                <c:pt idx="1324">
                  <c:v>2.8343264634830771E-2</c:v>
                </c:pt>
                <c:pt idx="1325">
                  <c:v>2.8305091827552357E-2</c:v>
                </c:pt>
                <c:pt idx="1326">
                  <c:v>2.8291792647093746E-2</c:v>
                </c:pt>
                <c:pt idx="1327">
                  <c:v>2.8270517900690059E-2</c:v>
                </c:pt>
                <c:pt idx="1328">
                  <c:v>2.8245462582205925E-2</c:v>
                </c:pt>
                <c:pt idx="1329">
                  <c:v>2.8220190529105165E-2</c:v>
                </c:pt>
                <c:pt idx="1330">
                  <c:v>2.8194739651420692E-2</c:v>
                </c:pt>
                <c:pt idx="1331">
                  <c:v>2.8169147857317466E-2</c:v>
                </c:pt>
                <c:pt idx="1332">
                  <c:v>2.8143453053061304E-2</c:v>
                </c:pt>
                <c:pt idx="1333">
                  <c:v>2.8117693142998681E-2</c:v>
                </c:pt>
                <c:pt idx="1334">
                  <c:v>2.8091906029536966E-2</c:v>
                </c:pt>
                <c:pt idx="1335">
                  <c:v>2.8063216299646112E-2</c:v>
                </c:pt>
                <c:pt idx="1336">
                  <c:v>2.8037571137157033E-2</c:v>
                </c:pt>
                <c:pt idx="1337">
                  <c:v>2.8012021931958238E-2</c:v>
                </c:pt>
                <c:pt idx="1338">
                  <c:v>2.7986605774576939E-2</c:v>
                </c:pt>
                <c:pt idx="1339">
                  <c:v>2.7963251889906268E-2</c:v>
                </c:pt>
                <c:pt idx="1340">
                  <c:v>2.793812620543382E-2</c:v>
                </c:pt>
                <c:pt idx="1341">
                  <c:v>2.7913240167489133E-2</c:v>
                </c:pt>
                <c:pt idx="1342">
                  <c:v>2.7888631458959395E-2</c:v>
                </c:pt>
                <c:pt idx="1343">
                  <c:v>2.7864337760980639E-2</c:v>
                </c:pt>
                <c:pt idx="1344">
                  <c:v>2.7838979669033093E-2</c:v>
                </c:pt>
                <c:pt idx="1345">
                  <c:v>2.7815533226198098E-2</c:v>
                </c:pt>
                <c:pt idx="1346">
                  <c:v>2.7792516490359114E-2</c:v>
                </c:pt>
                <c:pt idx="1347">
                  <c:v>2.7769966536582161E-2</c:v>
                </c:pt>
                <c:pt idx="1348">
                  <c:v>2.7748912659480277E-2</c:v>
                </c:pt>
                <c:pt idx="1349">
                  <c:v>2.77272824195209E-2</c:v>
                </c:pt>
                <c:pt idx="1350">
                  <c:v>2.7706177074348394E-2</c:v>
                </c:pt>
                <c:pt idx="1351">
                  <c:v>2.7685596607306791E-2</c:v>
                </c:pt>
                <c:pt idx="1352">
                  <c:v>2.7664979156325625E-2</c:v>
                </c:pt>
                <c:pt idx="1353">
                  <c:v>2.7645556413439347E-2</c:v>
                </c:pt>
                <c:pt idx="1354">
                  <c:v>2.7626658621173247E-2</c:v>
                </c:pt>
                <c:pt idx="1355">
                  <c:v>2.7608285764371271E-2</c:v>
                </c:pt>
                <c:pt idx="1356">
                  <c:v>2.759043782829726E-2</c:v>
                </c:pt>
                <c:pt idx="1357">
                  <c:v>2.7573114798638353E-2</c:v>
                </c:pt>
                <c:pt idx="1358">
                  <c:v>2.7556316661500723E-2</c:v>
                </c:pt>
                <c:pt idx="1359">
                  <c:v>2.7540043403411707E-2</c:v>
                </c:pt>
                <c:pt idx="1360">
                  <c:v>2.7524295011320664E-2</c:v>
                </c:pt>
                <c:pt idx="1361">
                  <c:v>2.7508397881452529E-2</c:v>
                </c:pt>
                <c:pt idx="1362">
                  <c:v>2.7493517394053781E-2</c:v>
                </c:pt>
                <c:pt idx="1363">
                  <c:v>2.747916153804E-2</c:v>
                </c:pt>
                <c:pt idx="1364">
                  <c:v>2.7465330302207769E-2</c:v>
                </c:pt>
                <c:pt idx="1365">
                  <c:v>2.7452297051282347E-2</c:v>
                </c:pt>
                <c:pt idx="1366">
                  <c:v>2.743955152880272E-2</c:v>
                </c:pt>
                <c:pt idx="1367">
                  <c:v>2.7427330634833838E-2</c:v>
                </c:pt>
                <c:pt idx="1368">
                  <c:v>2.7415634359786886E-2</c:v>
                </c:pt>
                <c:pt idx="1369">
                  <c:v>2.7404462694482393E-2</c:v>
                </c:pt>
                <c:pt idx="1370">
                  <c:v>2.7393359335218821E-2</c:v>
                </c:pt>
                <c:pt idx="1371">
                  <c:v>2.73832001613507E-2</c:v>
                </c:pt>
                <c:pt idx="1372">
                  <c:v>2.7373565532775087E-2</c:v>
                </c:pt>
                <c:pt idx="1373">
                  <c:v>2.7364455441973135E-2</c:v>
                </c:pt>
                <c:pt idx="1374">
                  <c:v>2.7356472844978014E-2</c:v>
                </c:pt>
                <c:pt idx="1375">
                  <c:v>2.7348435093108654E-2</c:v>
                </c:pt>
                <c:pt idx="1376">
                  <c:v>2.7340880879518605E-2</c:v>
                </c:pt>
                <c:pt idx="1377">
                  <c:v>2.733378148565373E-2</c:v>
                </c:pt>
                <c:pt idx="1378">
                  <c:v>2.7327108193689435E-2</c:v>
                </c:pt>
                <c:pt idx="1379">
                  <c:v>2.7320099266851739E-2</c:v>
                </c:pt>
                <c:pt idx="1380">
                  <c:v>2.7314176371050082E-2</c:v>
                </c:pt>
                <c:pt idx="1381">
                  <c:v>2.7308596506336158E-2</c:v>
                </c:pt>
                <c:pt idx="1382">
                  <c:v>2.7303330800733334E-2</c:v>
                </c:pt>
                <c:pt idx="1383">
                  <c:v>2.7298350382725163E-2</c:v>
                </c:pt>
                <c:pt idx="1384">
                  <c:v>2.7293626381210336E-2</c:v>
                </c:pt>
                <c:pt idx="1385">
                  <c:v>2.7289129925462043E-2</c:v>
                </c:pt>
                <c:pt idx="1386">
                  <c:v>2.7284832145095316E-2</c:v>
                </c:pt>
                <c:pt idx="1387">
                  <c:v>2.728459899375513E-2</c:v>
                </c:pt>
                <c:pt idx="1388">
                  <c:v>2.7280587738440987E-2</c:v>
                </c:pt>
                <c:pt idx="1389">
                  <c:v>2.7276679608258934E-2</c:v>
                </c:pt>
                <c:pt idx="1390">
                  <c:v>2.7272846499446644E-2</c:v>
                </c:pt>
                <c:pt idx="1391">
                  <c:v>2.7266815849646492E-2</c:v>
                </c:pt>
                <c:pt idx="1392">
                  <c:v>2.7263081875754443E-2</c:v>
                </c:pt>
                <c:pt idx="1393">
                  <c:v>2.7259342102553378E-2</c:v>
                </c:pt>
                <c:pt idx="1394">
                  <c:v>2.7255567972867885E-2</c:v>
                </c:pt>
                <c:pt idx="1395">
                  <c:v>2.7251730929744433E-2</c:v>
                </c:pt>
                <c:pt idx="1396">
                  <c:v>2.7249849512853766E-2</c:v>
                </c:pt>
                <c:pt idx="1397">
                  <c:v>2.7245754667022747E-2</c:v>
                </c:pt>
                <c:pt idx="1398">
                  <c:v>2.7241510020529103E-2</c:v>
                </c:pt>
                <c:pt idx="1399">
                  <c:v>2.723708747170861E-2</c:v>
                </c:pt>
                <c:pt idx="1400">
                  <c:v>2.7230602910152644E-2</c:v>
                </c:pt>
                <c:pt idx="1401">
                  <c:v>2.7225802205209995E-2</c:v>
                </c:pt>
                <c:pt idx="1402">
                  <c:v>2.7220779490549199E-2</c:v>
                </c:pt>
                <c:pt idx="1403">
                  <c:v>2.7215534767846286E-2</c:v>
                </c:pt>
                <c:pt idx="1404">
                  <c:v>2.7210068038854177E-2</c:v>
                </c:pt>
                <c:pt idx="1405">
                  <c:v>2.7205991860321726E-2</c:v>
                </c:pt>
                <c:pt idx="1406">
                  <c:v>2.7200032211755251E-2</c:v>
                </c:pt>
                <c:pt idx="1407">
                  <c:v>2.7193850513381419E-2</c:v>
                </c:pt>
                <c:pt idx="1408">
                  <c:v>2.7187446767298767E-2</c:v>
                </c:pt>
                <c:pt idx="1409">
                  <c:v>2.7180820975680177E-2</c:v>
                </c:pt>
                <c:pt idx="1410">
                  <c:v>2.7173973140775895E-2</c:v>
                </c:pt>
                <c:pt idx="1411">
                  <c:v>2.7166903264909219E-2</c:v>
                </c:pt>
                <c:pt idx="1412">
                  <c:v>2.7159611350480384E-2</c:v>
                </c:pt>
                <c:pt idx="1413">
                  <c:v>2.7150056514209441E-2</c:v>
                </c:pt>
                <c:pt idx="1414">
                  <c:v>2.7142402692947362E-2</c:v>
                </c:pt>
                <c:pt idx="1415">
                  <c:v>2.7134526922081834E-2</c:v>
                </c:pt>
                <c:pt idx="1416">
                  <c:v>2.7126429204214531E-2</c:v>
                </c:pt>
                <c:pt idx="1417">
                  <c:v>2.7118109542019566E-2</c:v>
                </c:pt>
                <c:pt idx="1418">
                  <c:v>2.7109896915072623E-2</c:v>
                </c:pt>
                <c:pt idx="1419">
                  <c:v>2.7101116863614876E-2</c:v>
                </c:pt>
                <c:pt idx="1420">
                  <c:v>2.7092114860132896E-2</c:v>
                </c:pt>
                <c:pt idx="1421">
                  <c:v>2.7082890907615943E-2</c:v>
                </c:pt>
                <c:pt idx="1422">
                  <c:v>2.7073182164874591E-2</c:v>
                </c:pt>
                <c:pt idx="1423">
                  <c:v>2.706353089698673E-2</c:v>
                </c:pt>
                <c:pt idx="1424">
                  <c:v>2.7053657705546186E-2</c:v>
                </c:pt>
                <c:pt idx="1425">
                  <c:v>2.704356259381311E-2</c:v>
                </c:pt>
                <c:pt idx="1426">
                  <c:v>2.703344218413609E-2</c:v>
                </c:pt>
                <c:pt idx="1427">
                  <c:v>2.702289254434621E-2</c:v>
                </c:pt>
                <c:pt idx="1428">
                  <c:v>2.7012138926635187E-2</c:v>
                </c:pt>
                <c:pt idx="1429">
                  <c:v>2.7001193897947421E-2</c:v>
                </c:pt>
                <c:pt idx="1430">
                  <c:v>2.6990070025010793E-2</c:v>
                </c:pt>
                <c:pt idx="1431">
                  <c:v>2.697864269709193E-2</c:v>
                </c:pt>
                <c:pt idx="1432">
                  <c:v>2.6967206188954516E-2</c:v>
                </c:pt>
                <c:pt idx="1433">
                  <c:v>2.6955627186967895E-2</c:v>
                </c:pt>
                <c:pt idx="1434">
                  <c:v>2.6943918325369593E-2</c:v>
                </c:pt>
                <c:pt idx="1435">
                  <c:v>2.6932092238128619E-2</c:v>
                </c:pt>
                <c:pt idx="1436">
                  <c:v>2.6920161558941929E-2</c:v>
                </c:pt>
                <c:pt idx="1437">
                  <c:v>2.6908138921223401E-2</c:v>
                </c:pt>
                <c:pt idx="1438">
                  <c:v>2.6896036958100285E-2</c:v>
                </c:pt>
                <c:pt idx="1439">
                  <c:v>2.6884433455330831E-2</c:v>
                </c:pt>
                <c:pt idx="1440">
                  <c:v>2.6872218863723853E-2</c:v>
                </c:pt>
                <c:pt idx="1441">
                  <c:v>2.685996676147067E-2</c:v>
                </c:pt>
                <c:pt idx="1442">
                  <c:v>2.684768944542815E-2</c:v>
                </c:pt>
                <c:pt idx="1443">
                  <c:v>2.6835025660923287E-2</c:v>
                </c:pt>
                <c:pt idx="1444">
                  <c:v>2.6822721662354873E-2</c:v>
                </c:pt>
                <c:pt idx="1445">
                  <c:v>2.6810427809245141E-2</c:v>
                </c:pt>
                <c:pt idx="1446">
                  <c:v>2.6798156596068618E-2</c:v>
                </c:pt>
                <c:pt idx="1447">
                  <c:v>2.6785920516991874E-2</c:v>
                </c:pt>
                <c:pt idx="1448">
                  <c:v>2.6774184644819808E-2</c:v>
                </c:pt>
                <c:pt idx="1449">
                  <c:v>2.6762075118423122E-2</c:v>
                </c:pt>
                <c:pt idx="1450">
                  <c:v>2.675003874205097E-2</c:v>
                </c:pt>
                <c:pt idx="1451">
                  <c:v>2.6738087809823483E-2</c:v>
                </c:pt>
                <c:pt idx="1452">
                  <c:v>2.6725704243817556E-2</c:v>
                </c:pt>
                <c:pt idx="1453">
                  <c:v>2.6713935422882501E-2</c:v>
                </c:pt>
                <c:pt idx="1454">
                  <c:v>2.6702271338279838E-2</c:v>
                </c:pt>
                <c:pt idx="1455">
                  <c:v>2.6690711988173663E-2</c:v>
                </c:pt>
                <c:pt idx="1456">
                  <c:v>2.6679257370741605E-2</c:v>
                </c:pt>
                <c:pt idx="1457">
                  <c:v>2.6668537158877893E-2</c:v>
                </c:pt>
                <c:pt idx="1458">
                  <c:v>2.6657311965719674E-2</c:v>
                </c:pt>
                <c:pt idx="1459">
                  <c:v>2.6646191523634646E-2</c:v>
                </c:pt>
                <c:pt idx="1460">
                  <c:v>2.6635175830844019E-2</c:v>
                </c:pt>
                <c:pt idx="1461">
                  <c:v>2.6624264885582751E-2</c:v>
                </c:pt>
                <c:pt idx="1462">
                  <c:v>2.6613458686105144E-2</c:v>
                </c:pt>
                <c:pt idx="1463">
                  <c:v>2.6602757230680108E-2</c:v>
                </c:pt>
                <c:pt idx="1464">
                  <c:v>2.6592160517595463E-2</c:v>
                </c:pt>
                <c:pt idx="1465">
                  <c:v>2.6580355066289117E-2</c:v>
                </c:pt>
                <c:pt idx="1466">
                  <c:v>2.6569934248645625E-2</c:v>
                </c:pt>
                <c:pt idx="1467">
                  <c:v>2.6559618129024756E-2</c:v>
                </c:pt>
                <c:pt idx="1468">
                  <c:v>2.6549406705819848E-2</c:v>
                </c:pt>
                <c:pt idx="1469">
                  <c:v>2.6539299977439239E-2</c:v>
                </c:pt>
                <c:pt idx="1470">
                  <c:v>2.6529592979536436E-2</c:v>
                </c:pt>
                <c:pt idx="1471">
                  <c:v>2.6519702389993897E-2</c:v>
                </c:pt>
                <c:pt idx="1472">
                  <c:v>2.6509916498419897E-2</c:v>
                </c:pt>
                <c:pt idx="1473">
                  <c:v>2.6500235303282473E-2</c:v>
                </c:pt>
                <c:pt idx="1474">
                  <c:v>2.6490336703373737E-2</c:v>
                </c:pt>
                <c:pt idx="1475">
                  <c:v>2.6480858111449568E-2</c:v>
                </c:pt>
                <c:pt idx="1476">
                  <c:v>2.6471484203670952E-2</c:v>
                </c:pt>
                <c:pt idx="1477">
                  <c:v>2.6462214978578719E-2</c:v>
                </c:pt>
                <c:pt idx="1478">
                  <c:v>2.645339969775146E-2</c:v>
                </c:pt>
                <c:pt idx="1479">
                  <c:v>2.6444344497749326E-2</c:v>
                </c:pt>
                <c:pt idx="1480">
                  <c:v>2.6435386085569779E-2</c:v>
                </c:pt>
                <c:pt idx="1481">
                  <c:v>2.6426518316771827E-2</c:v>
                </c:pt>
                <c:pt idx="1482">
                  <c:v>2.6416486833836076E-2</c:v>
                </c:pt>
                <c:pt idx="1483">
                  <c:v>2.6407419955781559E-2</c:v>
                </c:pt>
                <c:pt idx="1484">
                  <c:v>2.6398794787978599E-2</c:v>
                </c:pt>
                <c:pt idx="1485">
                  <c:v>2.6390235468571544E-2</c:v>
                </c:pt>
                <c:pt idx="1486">
                  <c:v>2.6381735820223302E-2</c:v>
                </c:pt>
                <c:pt idx="1487">
                  <c:v>2.6373289665707188E-2</c:v>
                </c:pt>
                <c:pt idx="1488">
                  <c:v>2.6364890827902946E-2</c:v>
                </c:pt>
                <c:pt idx="1489">
                  <c:v>2.6356533129797646E-2</c:v>
                </c:pt>
                <c:pt idx="1490">
                  <c:v>2.6348210394485667E-2</c:v>
                </c:pt>
                <c:pt idx="1491">
                  <c:v>2.6341411874701851E-2</c:v>
                </c:pt>
                <c:pt idx="1492">
                  <c:v>2.6333132138992695E-2</c:v>
                </c:pt>
                <c:pt idx="1493">
                  <c:v>2.6324867295811395E-2</c:v>
                </c:pt>
                <c:pt idx="1494">
                  <c:v>2.6311531117820856E-2</c:v>
                </c:pt>
                <c:pt idx="1495">
                  <c:v>2.6307268822254998E-2</c:v>
                </c:pt>
                <c:pt idx="1496">
                  <c:v>2.6300101675061131E-2</c:v>
                </c:pt>
                <c:pt idx="1497">
                  <c:v>2.6291835956124152E-2</c:v>
                </c:pt>
                <c:pt idx="1498">
                  <c:v>2.6283554907287225E-2</c:v>
                </c:pt>
                <c:pt idx="1499">
                  <c:v>2.6275252484369845E-2</c:v>
                </c:pt>
                <c:pt idx="1500">
                  <c:v>2.6266922643293483E-2</c:v>
                </c:pt>
                <c:pt idx="1501">
                  <c:v>2.6258559340082002E-2</c:v>
                </c:pt>
                <c:pt idx="1502">
                  <c:v>2.6250156530863409E-2</c:v>
                </c:pt>
                <c:pt idx="1503">
                  <c:v>2.6241708171872425E-2</c:v>
                </c:pt>
                <c:pt idx="1504">
                  <c:v>2.6233208298746216E-2</c:v>
                </c:pt>
                <c:pt idx="1505">
                  <c:v>2.6224653566977837E-2</c:v>
                </c:pt>
                <c:pt idx="1506">
                  <c:v>2.6216043789319018E-2</c:v>
                </c:pt>
                <c:pt idx="1507">
                  <c:v>2.6207378966490481E-2</c:v>
                </c:pt>
                <c:pt idx="1508">
                  <c:v>2.6198659099218129E-2</c:v>
                </c:pt>
                <c:pt idx="1509">
                  <c:v>2.6189884188232621E-2</c:v>
                </c:pt>
                <c:pt idx="1510">
                  <c:v>2.6181054234268936E-2</c:v>
                </c:pt>
                <c:pt idx="1511">
                  <c:v>2.6172169238066811E-2</c:v>
                </c:pt>
                <c:pt idx="1512">
                  <c:v>2.6163229200370296E-2</c:v>
                </c:pt>
                <c:pt idx="1513">
                  <c:v>2.6154234121928199E-2</c:v>
                </c:pt>
                <c:pt idx="1514">
                  <c:v>2.6145184003494942E-2</c:v>
                </c:pt>
                <c:pt idx="1515">
                  <c:v>2.6136078845827974E-2</c:v>
                </c:pt>
                <c:pt idx="1516">
                  <c:v>2.612691864969036E-2</c:v>
                </c:pt>
                <c:pt idx="1517">
                  <c:v>2.6116904478961821E-2</c:v>
                </c:pt>
                <c:pt idx="1518">
                  <c:v>2.6107648002777151E-2</c:v>
                </c:pt>
                <c:pt idx="1519">
                  <c:v>2.609833650145419E-2</c:v>
                </c:pt>
                <c:pt idx="1520">
                  <c:v>2.6088969975761551E-2</c:v>
                </c:pt>
                <c:pt idx="1521">
                  <c:v>2.6080292118955371E-2</c:v>
                </c:pt>
                <c:pt idx="1522">
                  <c:v>2.6070801708267567E-2</c:v>
                </c:pt>
                <c:pt idx="1523">
                  <c:v>2.6061494072417545E-2</c:v>
                </c:pt>
                <c:pt idx="1524">
                  <c:v>2.6051655788683122E-2</c:v>
                </c:pt>
                <c:pt idx="1525">
                  <c:v>2.6042000281390393E-2</c:v>
                </c:pt>
                <c:pt idx="1526">
                  <c:v>2.6031615353365074E-2</c:v>
                </c:pt>
                <c:pt idx="1527">
                  <c:v>2.6021863678945462E-2</c:v>
                </c:pt>
                <c:pt idx="1528">
                  <c:v>2.6012056986456623E-2</c:v>
                </c:pt>
                <c:pt idx="1529">
                  <c:v>2.6002195276708027E-2</c:v>
                </c:pt>
                <c:pt idx="1530">
                  <c:v>2.5992278554421173E-2</c:v>
                </c:pt>
                <c:pt idx="1531">
                  <c:v>2.5982916743946653E-2</c:v>
                </c:pt>
                <c:pt idx="1532">
                  <c:v>2.5972893354041331E-2</c:v>
                </c:pt>
                <c:pt idx="1533">
                  <c:v>2.5962835296149473E-2</c:v>
                </c:pt>
                <c:pt idx="1534">
                  <c:v>2.5947828420876257E-2</c:v>
                </c:pt>
                <c:pt idx="1535">
                  <c:v>2.5937716842766932E-2</c:v>
                </c:pt>
                <c:pt idx="1536">
                  <c:v>2.5927595075967719E-2</c:v>
                </c:pt>
                <c:pt idx="1537">
                  <c:v>2.5917471165833324E-2</c:v>
                </c:pt>
                <c:pt idx="1538">
                  <c:v>2.5907353157556393E-2</c:v>
                </c:pt>
                <c:pt idx="1539">
                  <c:v>2.5897249096168383E-2</c:v>
                </c:pt>
                <c:pt idx="1540">
                  <c:v>2.5887167026537358E-2</c:v>
                </c:pt>
                <c:pt idx="1541">
                  <c:v>2.5877114993370639E-2</c:v>
                </c:pt>
                <c:pt idx="1542">
                  <c:v>2.5867101041214351E-2</c:v>
                </c:pt>
                <c:pt idx="1543">
                  <c:v>2.5857598678540223E-2</c:v>
                </c:pt>
                <c:pt idx="1544">
                  <c:v>2.5847699406202282E-2</c:v>
                </c:pt>
                <c:pt idx="1545">
                  <c:v>2.583786335628642E-2</c:v>
                </c:pt>
                <c:pt idx="1546">
                  <c:v>2.5828098486378098E-2</c:v>
                </c:pt>
                <c:pt idx="1547">
                  <c:v>2.5818147923276035E-2</c:v>
                </c:pt>
                <c:pt idx="1548">
                  <c:v>2.5808540326530755E-2</c:v>
                </c:pt>
                <c:pt idx="1549">
                  <c:v>2.5796328004934369E-2</c:v>
                </c:pt>
                <c:pt idx="1550">
                  <c:v>2.5789617298805877E-2</c:v>
                </c:pt>
                <c:pt idx="1551">
                  <c:v>2.5780317867565076E-2</c:v>
                </c:pt>
                <c:pt idx="1552">
                  <c:v>2.5770149726858482E-2</c:v>
                </c:pt>
                <c:pt idx="1553">
                  <c:v>2.5761124692307052E-2</c:v>
                </c:pt>
                <c:pt idx="1554">
                  <c:v>2.5752235629974758E-2</c:v>
                </c:pt>
                <c:pt idx="1555">
                  <c:v>2.5743490496217176E-2</c:v>
                </c:pt>
                <c:pt idx="1556">
                  <c:v>2.5734541543221731E-2</c:v>
                </c:pt>
                <c:pt idx="1557">
                  <c:v>2.5726091525722024E-2</c:v>
                </c:pt>
                <c:pt idx="1558">
                  <c:v>2.5717795651850891E-2</c:v>
                </c:pt>
                <c:pt idx="1559">
                  <c:v>2.5709653919684623E-2</c:v>
                </c:pt>
                <c:pt idx="1560">
                  <c:v>2.5702461206134536E-2</c:v>
                </c:pt>
                <c:pt idx="1561">
                  <c:v>2.5694240257868307E-2</c:v>
                </c:pt>
                <c:pt idx="1562">
                  <c:v>2.5686571405410894E-2</c:v>
                </c:pt>
                <c:pt idx="1563">
                  <c:v>2.5679056698279551E-2</c:v>
                </c:pt>
                <c:pt idx="1564">
                  <c:v>2.5671696134721329E-2</c:v>
                </c:pt>
                <c:pt idx="1565">
                  <c:v>2.566448971301934E-2</c:v>
                </c:pt>
                <c:pt idx="1566">
                  <c:v>2.5657437431491893E-2</c:v>
                </c:pt>
                <c:pt idx="1567">
                  <c:v>2.5650539288495078E-2</c:v>
                </c:pt>
                <c:pt idx="1568">
                  <c:v>2.5643795282419318E-2</c:v>
                </c:pt>
                <c:pt idx="1569">
                  <c:v>2.5635734254656189E-2</c:v>
                </c:pt>
                <c:pt idx="1570">
                  <c:v>2.5629266862442816E-2</c:v>
                </c:pt>
                <c:pt idx="1571">
                  <c:v>2.562295356980453E-2</c:v>
                </c:pt>
                <c:pt idx="1572">
                  <c:v>2.5616794375294096E-2</c:v>
                </c:pt>
                <c:pt idx="1573">
                  <c:v>2.5611320897535834E-2</c:v>
                </c:pt>
                <c:pt idx="1574">
                  <c:v>2.560548048892064E-2</c:v>
                </c:pt>
                <c:pt idx="1575">
                  <c:v>2.5599794185189904E-2</c:v>
                </c:pt>
                <c:pt idx="1576">
                  <c:v>2.5594261985030831E-2</c:v>
                </c:pt>
                <c:pt idx="1577">
                  <c:v>2.5588883887166635E-2</c:v>
                </c:pt>
                <c:pt idx="1578">
                  <c:v>2.5583075192227606E-2</c:v>
                </c:pt>
                <c:pt idx="1579">
                  <c:v>2.5577994647013904E-2</c:v>
                </c:pt>
                <c:pt idx="1580">
                  <c:v>2.5573068189611883E-2</c:v>
                </c:pt>
                <c:pt idx="1581">
                  <c:v>2.5568295818890512E-2</c:v>
                </c:pt>
                <c:pt idx="1582">
                  <c:v>2.5564304313036745E-2</c:v>
                </c:pt>
                <c:pt idx="1583">
                  <c:v>2.5559839380285748E-2</c:v>
                </c:pt>
                <c:pt idx="1584">
                  <c:v>2.5555499382789858E-2</c:v>
                </c:pt>
                <c:pt idx="1585">
                  <c:v>2.5551265763954573E-2</c:v>
                </c:pt>
                <c:pt idx="1586">
                  <c:v>2.5545889038221831E-2</c:v>
                </c:pt>
                <c:pt idx="1587">
                  <c:v>2.554182247834625E-2</c:v>
                </c:pt>
                <c:pt idx="1588">
                  <c:v>2.5537806053572049E-2</c:v>
                </c:pt>
                <c:pt idx="1589">
                  <c:v>2.5533821106766365E-2</c:v>
                </c:pt>
                <c:pt idx="1590">
                  <c:v>2.5529848980948268E-2</c:v>
                </c:pt>
                <c:pt idx="1591">
                  <c:v>2.552587101928212E-2</c:v>
                </c:pt>
                <c:pt idx="1592">
                  <c:v>2.5521868565080683E-2</c:v>
                </c:pt>
                <c:pt idx="1593">
                  <c:v>2.5517822961805978E-2</c:v>
                </c:pt>
                <c:pt idx="1594">
                  <c:v>2.5513715553071963E-2</c:v>
                </c:pt>
                <c:pt idx="1595">
                  <c:v>2.5511214629463569E-2</c:v>
                </c:pt>
                <c:pt idx="1596">
                  <c:v>2.5506877508564625E-2</c:v>
                </c:pt>
                <c:pt idx="1597">
                  <c:v>2.550241915593798E-2</c:v>
                </c:pt>
                <c:pt idx="1598">
                  <c:v>2.5497821216234222E-2</c:v>
                </c:pt>
                <c:pt idx="1599">
                  <c:v>2.5492578522177744E-2</c:v>
                </c:pt>
                <c:pt idx="1600">
                  <c:v>2.5486950070072043E-2</c:v>
                </c:pt>
                <c:pt idx="1601">
                  <c:v>2.5481815533259709E-2</c:v>
                </c:pt>
                <c:pt idx="1602">
                  <c:v>2.5476465999096302E-2</c:v>
                </c:pt>
                <c:pt idx="1603">
                  <c:v>2.5470883014379584E-2</c:v>
                </c:pt>
                <c:pt idx="1604">
                  <c:v>2.54661610551816E-2</c:v>
                </c:pt>
                <c:pt idx="1605">
                  <c:v>2.5459985200081591E-2</c:v>
                </c:pt>
                <c:pt idx="1606">
                  <c:v>2.5453519838771609E-2</c:v>
                </c:pt>
                <c:pt idx="1607">
                  <c:v>2.5446746813260413E-2</c:v>
                </c:pt>
                <c:pt idx="1608">
                  <c:v>2.5438822428575477E-2</c:v>
                </c:pt>
                <c:pt idx="1609">
                  <c:v>2.5431469004983907E-2</c:v>
                </c:pt>
                <c:pt idx="1610">
                  <c:v>2.5423787240271927E-2</c:v>
                </c:pt>
                <c:pt idx="1611">
                  <c:v>2.5416388613919792E-2</c:v>
                </c:pt>
                <c:pt idx="1612">
                  <c:v>2.5407978053896735E-2</c:v>
                </c:pt>
                <c:pt idx="1613">
                  <c:v>2.5399239097120451E-2</c:v>
                </c:pt>
                <c:pt idx="1614">
                  <c:v>2.5390171747981399E-2</c:v>
                </c:pt>
                <c:pt idx="1615">
                  <c:v>2.5380776011036367E-2</c:v>
                </c:pt>
                <c:pt idx="1616">
                  <c:v>2.5370801712499818E-2</c:v>
                </c:pt>
                <c:pt idx="1617">
                  <c:v>2.5360999392776352E-2</c:v>
                </c:pt>
                <c:pt idx="1618">
                  <c:v>2.5350618521397937E-2</c:v>
                </c:pt>
                <c:pt idx="1619">
                  <c:v>2.5339909282087108E-2</c:v>
                </c:pt>
                <c:pt idx="1620">
                  <c:v>2.532891174733936E-2</c:v>
                </c:pt>
                <c:pt idx="1621">
                  <c:v>2.5317682109883163E-2</c:v>
                </c:pt>
                <c:pt idx="1622">
                  <c:v>2.5306109107918678E-2</c:v>
                </c:pt>
                <c:pt idx="1623">
                  <c:v>2.5294207871098765E-2</c:v>
                </c:pt>
                <c:pt idx="1624">
                  <c:v>2.5281978405242416E-2</c:v>
                </c:pt>
                <c:pt idx="1625">
                  <c:v>2.5269292926560567E-2</c:v>
                </c:pt>
                <c:pt idx="1626">
                  <c:v>2.5256382677351537E-2</c:v>
                </c:pt>
                <c:pt idx="1627">
                  <c:v>2.5243144195585772E-2</c:v>
                </c:pt>
                <c:pt idx="1628">
                  <c:v>2.5229577487772346E-2</c:v>
                </c:pt>
                <c:pt idx="1629">
                  <c:v>2.5215682560581092E-2</c:v>
                </c:pt>
                <c:pt idx="1630">
                  <c:v>2.5201709146424309E-2</c:v>
                </c:pt>
                <c:pt idx="1631">
                  <c:v>2.5187182253723833E-2</c:v>
                </c:pt>
                <c:pt idx="1632">
                  <c:v>2.5172327184314128E-2</c:v>
                </c:pt>
                <c:pt idx="1633">
                  <c:v>2.5157143945458767E-2</c:v>
                </c:pt>
                <c:pt idx="1634">
                  <c:v>2.5141285266950798E-2</c:v>
                </c:pt>
                <c:pt idx="1635">
                  <c:v>2.5125435164350274E-2</c:v>
                </c:pt>
                <c:pt idx="1636">
                  <c:v>2.5109299170279695E-2</c:v>
                </c:pt>
                <c:pt idx="1637">
                  <c:v>2.5092906885258896E-2</c:v>
                </c:pt>
                <c:pt idx="1638">
                  <c:v>2.5076695844267704E-2</c:v>
                </c:pt>
                <c:pt idx="1639">
                  <c:v>2.5059885722069165E-2</c:v>
                </c:pt>
                <c:pt idx="1640">
                  <c:v>2.5042904752656237E-2</c:v>
                </c:pt>
                <c:pt idx="1641">
                  <c:v>2.502578269442092E-2</c:v>
                </c:pt>
                <c:pt idx="1642">
                  <c:v>2.5008549304780071E-2</c:v>
                </c:pt>
                <c:pt idx="1643">
                  <c:v>2.4991234340152896E-2</c:v>
                </c:pt>
                <c:pt idx="1644">
                  <c:v>2.4973867555947701E-2</c:v>
                </c:pt>
                <c:pt idx="1645">
                  <c:v>2.4956478706554378E-2</c:v>
                </c:pt>
                <c:pt idx="1646">
                  <c:v>2.4939097545334687E-2</c:v>
                </c:pt>
                <c:pt idx="1647">
                  <c:v>2.492000508692575E-2</c:v>
                </c:pt>
                <c:pt idx="1648">
                  <c:v>2.490282192272928E-2</c:v>
                </c:pt>
                <c:pt idx="1649">
                  <c:v>2.4885744993833371E-2</c:v>
                </c:pt>
                <c:pt idx="1650">
                  <c:v>2.4868803259313583E-2</c:v>
                </c:pt>
                <c:pt idx="1651">
                  <c:v>2.4852811175036557E-2</c:v>
                </c:pt>
                <c:pt idx="1652">
                  <c:v>2.483615104311291E-2</c:v>
                </c:pt>
                <c:pt idx="1653">
                  <c:v>2.4819709336829244E-2</c:v>
                </c:pt>
                <c:pt idx="1654">
                  <c:v>2.4803515480425212E-2</c:v>
                </c:pt>
                <c:pt idx="1655">
                  <c:v>2.4787598897268167E-2</c:v>
                </c:pt>
                <c:pt idx="1656">
                  <c:v>2.4771613522345103E-2</c:v>
                </c:pt>
                <c:pt idx="1657">
                  <c:v>2.4756428923825888E-2</c:v>
                </c:pt>
                <c:pt idx="1658">
                  <c:v>2.4741611159513986E-2</c:v>
                </c:pt>
                <c:pt idx="1659">
                  <c:v>2.4727189180848489E-2</c:v>
                </c:pt>
                <c:pt idx="1660">
                  <c:v>2.4713204456229612E-2</c:v>
                </c:pt>
                <c:pt idx="1661">
                  <c:v>2.4699555446628378E-2</c:v>
                </c:pt>
                <c:pt idx="1662">
                  <c:v>2.4686347613561574E-2</c:v>
                </c:pt>
                <c:pt idx="1663">
                  <c:v>2.467358094825458E-2</c:v>
                </c:pt>
                <c:pt idx="1664">
                  <c:v>2.4661610133528231E-2</c:v>
                </c:pt>
                <c:pt idx="1665">
                  <c:v>2.4649817900135887E-2</c:v>
                </c:pt>
                <c:pt idx="1666">
                  <c:v>2.4638466899531919E-2</c:v>
                </c:pt>
                <c:pt idx="1667">
                  <c:v>2.4627557124052773E-2</c:v>
                </c:pt>
                <c:pt idx="1668">
                  <c:v>2.4617088566330578E-2</c:v>
                </c:pt>
                <c:pt idx="1669">
                  <c:v>2.4607061219297014E-2</c:v>
                </c:pt>
                <c:pt idx="1670">
                  <c:v>2.4597475076181582E-2</c:v>
                </c:pt>
                <c:pt idx="1671">
                  <c:v>2.458833013051161E-2</c:v>
                </c:pt>
                <c:pt idx="1672">
                  <c:v>2.4579626376111392E-2</c:v>
                </c:pt>
                <c:pt idx="1673">
                  <c:v>2.4569400355179759E-2</c:v>
                </c:pt>
                <c:pt idx="1674">
                  <c:v>2.4561424110366836E-2</c:v>
                </c:pt>
                <c:pt idx="1675">
                  <c:v>2.4553888891406216E-2</c:v>
                </c:pt>
                <c:pt idx="1676">
                  <c:v>2.4546794693346721E-2</c:v>
                </c:pt>
                <c:pt idx="1677">
                  <c:v>2.4540652274794107E-2</c:v>
                </c:pt>
                <c:pt idx="1678">
                  <c:v>2.453447118641627E-2</c:v>
                </c:pt>
                <c:pt idx="1679">
                  <c:v>2.4528731135542534E-2</c:v>
                </c:pt>
                <c:pt idx="1680">
                  <c:v>2.4523432118381646E-2</c:v>
                </c:pt>
                <c:pt idx="1681">
                  <c:v>2.451857413143179E-2</c:v>
                </c:pt>
                <c:pt idx="1682">
                  <c:v>2.4513490703157878E-2</c:v>
                </c:pt>
                <c:pt idx="1683">
                  <c:v>2.4509483537115358E-2</c:v>
                </c:pt>
                <c:pt idx="1684">
                  <c:v>2.4505917362795972E-2</c:v>
                </c:pt>
                <c:pt idx="1685">
                  <c:v>2.4502792177858175E-2</c:v>
                </c:pt>
                <c:pt idx="1686">
                  <c:v>2.4500899009957222E-2</c:v>
                </c:pt>
                <c:pt idx="1687">
                  <c:v>2.4498667768052138E-2</c:v>
                </c:pt>
                <c:pt idx="1688">
                  <c:v>2.4496818984786319E-2</c:v>
                </c:pt>
                <c:pt idx="1689">
                  <c:v>2.4495311670451433E-2</c:v>
                </c:pt>
                <c:pt idx="1690">
                  <c:v>2.4494104835651866E-2</c:v>
                </c:pt>
                <c:pt idx="1691">
                  <c:v>2.4492287403665124E-2</c:v>
                </c:pt>
                <c:pt idx="1692">
                  <c:v>2.4491557606181245E-2</c:v>
                </c:pt>
                <c:pt idx="1693">
                  <c:v>2.4491009741072826E-2</c:v>
                </c:pt>
                <c:pt idx="1694">
                  <c:v>2.449060259595344E-2</c:v>
                </c:pt>
                <c:pt idx="1695">
                  <c:v>2.4490294958503779E-2</c:v>
                </c:pt>
                <c:pt idx="1696">
                  <c:v>2.449004561645092E-2</c:v>
                </c:pt>
                <c:pt idx="1697">
                  <c:v>2.4489813357548865E-2</c:v>
                </c:pt>
                <c:pt idx="1698">
                  <c:v>2.4489556969574146E-2</c:v>
                </c:pt>
                <c:pt idx="1699">
                  <c:v>2.4493033565469023E-2</c:v>
                </c:pt>
                <c:pt idx="1700">
                  <c:v>2.4492462764887597E-2</c:v>
                </c:pt>
                <c:pt idx="1701">
                  <c:v>2.4491731325110466E-2</c:v>
                </c:pt>
                <c:pt idx="1702">
                  <c:v>2.4490799128455115E-2</c:v>
                </c:pt>
                <c:pt idx="1703">
                  <c:v>2.4487744778998469E-2</c:v>
                </c:pt>
                <c:pt idx="1704">
                  <c:v>2.4486403435891063E-2</c:v>
                </c:pt>
                <c:pt idx="1705">
                  <c:v>2.4484746027107294E-2</c:v>
                </c:pt>
                <c:pt idx="1706">
                  <c:v>2.4482731786285947E-2</c:v>
                </c:pt>
                <c:pt idx="1707">
                  <c:v>2.4480319947409134E-2</c:v>
                </c:pt>
                <c:pt idx="1708">
                  <c:v>2.4478743486657576E-2</c:v>
                </c:pt>
                <c:pt idx="1709">
                  <c:v>2.4475282714424059E-2</c:v>
                </c:pt>
                <c:pt idx="1710">
                  <c:v>2.447130025338011E-2</c:v>
                </c:pt>
                <c:pt idx="1711">
                  <c:v>2.4466755989334191E-2</c:v>
                </c:pt>
                <c:pt idx="1712">
                  <c:v>2.4460870540838606E-2</c:v>
                </c:pt>
                <c:pt idx="1713">
                  <c:v>2.4455236331233074E-2</c:v>
                </c:pt>
                <c:pt idx="1714">
                  <c:v>2.4448977416259891E-2</c:v>
                </c:pt>
                <c:pt idx="1715">
                  <c:v>2.4442093801808111E-2</c:v>
                </c:pt>
                <c:pt idx="1716">
                  <c:v>2.4434585494356051E-2</c:v>
                </c:pt>
                <c:pt idx="1717">
                  <c:v>2.4426515886339924E-2</c:v>
                </c:pt>
                <c:pt idx="1718">
                  <c:v>2.4417622560276825E-2</c:v>
                </c:pt>
                <c:pt idx="1719">
                  <c:v>2.440810444057195E-2</c:v>
                </c:pt>
                <c:pt idx="1720">
                  <c:v>2.4397961536328134E-2</c:v>
                </c:pt>
                <c:pt idx="1721">
                  <c:v>2.4387193857246862E-2</c:v>
                </c:pt>
                <c:pt idx="1722">
                  <c:v>2.4375801413626132E-2</c:v>
                </c:pt>
                <c:pt idx="1723">
                  <c:v>2.4363784216361744E-2</c:v>
                </c:pt>
                <c:pt idx="1724">
                  <c:v>2.4351142276946441E-2</c:v>
                </c:pt>
                <c:pt idx="1725">
                  <c:v>2.4339233931065057E-2</c:v>
                </c:pt>
                <c:pt idx="1726">
                  <c:v>2.4325524712397961E-2</c:v>
                </c:pt>
                <c:pt idx="1727">
                  <c:v>2.4311190951176054E-2</c:v>
                </c:pt>
                <c:pt idx="1728">
                  <c:v>2.4296232660811459E-2</c:v>
                </c:pt>
                <c:pt idx="1729">
                  <c:v>2.428064985530309E-2</c:v>
                </c:pt>
                <c:pt idx="1730">
                  <c:v>2.426388145124922E-2</c:v>
                </c:pt>
                <c:pt idx="1731">
                  <c:v>2.4247003925762314E-2</c:v>
                </c:pt>
                <c:pt idx="1732">
                  <c:v>2.4229501890847629E-2</c:v>
                </c:pt>
                <c:pt idx="1733">
                  <c:v>2.4211375362971119E-2</c:v>
                </c:pt>
                <c:pt idx="1734">
                  <c:v>2.4193368631441534E-2</c:v>
                </c:pt>
                <c:pt idx="1735">
                  <c:v>2.4174039061751619E-2</c:v>
                </c:pt>
                <c:pt idx="1736">
                  <c:v>2.4154085091265577E-2</c:v>
                </c:pt>
                <c:pt idx="1737">
                  <c:v>2.4133506738654633E-2</c:v>
                </c:pt>
                <c:pt idx="1738">
                  <c:v>2.4111376622860361E-2</c:v>
                </c:pt>
                <c:pt idx="1739">
                  <c:v>2.4089527882737886E-2</c:v>
                </c:pt>
                <c:pt idx="1740">
                  <c:v>2.4067128406284114E-2</c:v>
                </c:pt>
                <c:pt idx="1741">
                  <c:v>2.4044229749317029E-2</c:v>
                </c:pt>
                <c:pt idx="1742">
                  <c:v>2.4020883465684588E-2</c:v>
                </c:pt>
                <c:pt idx="1743">
                  <c:v>2.3998201045242525E-2</c:v>
                </c:pt>
                <c:pt idx="1744">
                  <c:v>2.3974121975627389E-2</c:v>
                </c:pt>
                <c:pt idx="1745">
                  <c:v>2.3949744363388665E-2</c:v>
                </c:pt>
                <c:pt idx="1746">
                  <c:v>2.3925120033334094E-2</c:v>
                </c:pt>
                <c:pt idx="1747">
                  <c:v>2.390030080782941E-2</c:v>
                </c:pt>
                <c:pt idx="1748">
                  <c:v>2.3875338506737308E-2</c:v>
                </c:pt>
                <c:pt idx="1749">
                  <c:v>2.3850284947376132E-2</c:v>
                </c:pt>
                <c:pt idx="1750">
                  <c:v>2.3825191944490468E-2</c:v>
                </c:pt>
                <c:pt idx="1751">
                  <c:v>2.3796204091699968E-2</c:v>
                </c:pt>
                <c:pt idx="1752">
                  <c:v>2.3771304479676122E-2</c:v>
                </c:pt>
                <c:pt idx="1753">
                  <c:v>2.3746533941762387E-2</c:v>
                </c:pt>
                <c:pt idx="1754">
                  <c:v>2.3721943180747825E-2</c:v>
                </c:pt>
                <c:pt idx="1755">
                  <c:v>2.3700100578067821E-2</c:v>
                </c:pt>
                <c:pt idx="1756">
                  <c:v>2.3675899364043546E-2</c:v>
                </c:pt>
                <c:pt idx="1757">
                  <c:v>2.3652023543347292E-2</c:v>
                </c:pt>
                <c:pt idx="1758">
                  <c:v>2.3628524630743969E-2</c:v>
                </c:pt>
                <c:pt idx="1759">
                  <c:v>2.3605454138765962E-2</c:v>
                </c:pt>
                <c:pt idx="1760">
                  <c:v>2.3578453868400611E-2</c:v>
                </c:pt>
                <c:pt idx="1761">
                  <c:v>2.3556572626443239E-2</c:v>
                </c:pt>
                <c:pt idx="1762">
                  <c:v>2.3535283197204913E-2</c:v>
                </c:pt>
                <c:pt idx="1763">
                  <c:v>2.3514636534586193E-2</c:v>
                </c:pt>
                <c:pt idx="1764">
                  <c:v>2.3494682922211695E-2</c:v>
                </c:pt>
                <c:pt idx="1765">
                  <c:v>2.347545054951275E-2</c:v>
                </c:pt>
                <c:pt idx="1766">
                  <c:v>2.3456940980486281E-2</c:v>
                </c:pt>
                <c:pt idx="1767">
                  <c:v>2.3439154194755518E-2</c:v>
                </c:pt>
                <c:pt idx="1768">
                  <c:v>2.3422090172741307E-2</c:v>
                </c:pt>
                <c:pt idx="1769">
                  <c:v>2.3405748895656945E-2</c:v>
                </c:pt>
                <c:pt idx="1770">
                  <c:v>2.3390130345515091E-2</c:v>
                </c:pt>
                <c:pt idx="1771">
                  <c:v>2.3375234505121283E-2</c:v>
                </c:pt>
                <c:pt idx="1772">
                  <c:v>2.3361061358079124E-2</c:v>
                </c:pt>
                <c:pt idx="1773">
                  <c:v>2.3347610888784665E-2</c:v>
                </c:pt>
                <c:pt idx="1774">
                  <c:v>2.3334883082432884E-2</c:v>
                </c:pt>
                <c:pt idx="1775">
                  <c:v>2.332287792501336E-2</c:v>
                </c:pt>
                <c:pt idx="1776">
                  <c:v>2.3311595403309432E-2</c:v>
                </c:pt>
                <c:pt idx="1777">
                  <c:v>2.3300074745348533E-2</c:v>
                </c:pt>
                <c:pt idx="1778">
                  <c:v>2.3290033588086404E-2</c:v>
                </c:pt>
                <c:pt idx="1779">
                  <c:v>2.3280714847434787E-2</c:v>
                </c:pt>
                <c:pt idx="1780">
                  <c:v>2.3272118513360158E-2</c:v>
                </c:pt>
                <c:pt idx="1781">
                  <c:v>2.3264681552330916E-2</c:v>
                </c:pt>
                <c:pt idx="1782">
                  <c:v>2.3257581146426801E-2</c:v>
                </c:pt>
                <c:pt idx="1783">
                  <c:v>2.3251203167740951E-2</c:v>
                </c:pt>
                <c:pt idx="1784">
                  <c:v>2.3247959043768845E-2</c:v>
                </c:pt>
                <c:pt idx="1785">
                  <c:v>2.3240614465180033E-2</c:v>
                </c:pt>
                <c:pt idx="1786">
                  <c:v>2.3235710583007416E-2</c:v>
                </c:pt>
                <c:pt idx="1787">
                  <c:v>2.3232170879303786E-2</c:v>
                </c:pt>
                <c:pt idx="1788">
                  <c:v>2.3229353529896316E-2</c:v>
                </c:pt>
                <c:pt idx="1789">
                  <c:v>2.3227258531749201E-2</c:v>
                </c:pt>
                <c:pt idx="1790">
                  <c:v>2.3226784675496912E-2</c:v>
                </c:pt>
                <c:pt idx="1791">
                  <c:v>2.3226174940117365E-2</c:v>
                </c:pt>
                <c:pt idx="1792">
                  <c:v>2.3226247260182905E-2</c:v>
                </c:pt>
                <c:pt idx="1793">
                  <c:v>2.3226970261931046E-2</c:v>
                </c:pt>
                <c:pt idx="1794">
                  <c:v>2.3225831281964086E-2</c:v>
                </c:pt>
                <c:pt idx="1795">
                  <c:v>2.3231242272645454E-2</c:v>
                </c:pt>
                <c:pt idx="1796">
                  <c:v>2.3233958006109938E-2</c:v>
                </c:pt>
                <c:pt idx="1797">
                  <c:v>2.3237185486322254E-2</c:v>
                </c:pt>
                <c:pt idx="1798">
                  <c:v>2.3240893341703664E-2</c:v>
                </c:pt>
                <c:pt idx="1799">
                  <c:v>2.3245050200806753E-2</c:v>
                </c:pt>
                <c:pt idx="1800">
                  <c:v>2.3249624692236362E-2</c:v>
                </c:pt>
                <c:pt idx="1801">
                  <c:v>2.3254585444589439E-2</c:v>
                </c:pt>
                <c:pt idx="1802">
                  <c:v>2.3259901086386061E-2</c:v>
                </c:pt>
                <c:pt idx="1803">
                  <c:v>2.3268039172573793E-2</c:v>
                </c:pt>
                <c:pt idx="1804">
                  <c:v>2.327398161134963E-2</c:v>
                </c:pt>
                <c:pt idx="1805">
                  <c:v>2.3280181008796762E-2</c:v>
                </c:pt>
                <c:pt idx="1806">
                  <c:v>2.3286606329619118E-2</c:v>
                </c:pt>
                <c:pt idx="1807">
                  <c:v>2.3291965760770229E-2</c:v>
                </c:pt>
                <c:pt idx="1808">
                  <c:v>2.3298750902568152E-2</c:v>
                </c:pt>
                <c:pt idx="1809">
                  <c:v>2.3305670086749389E-2</c:v>
                </c:pt>
                <c:pt idx="1810">
                  <c:v>2.3314712922841561E-2</c:v>
                </c:pt>
                <c:pt idx="1811">
                  <c:v>2.331978576452795E-2</c:v>
                </c:pt>
                <c:pt idx="1812">
                  <c:v>2.3328164625118365E-2</c:v>
                </c:pt>
                <c:pt idx="1813">
                  <c:v>2.3335302391061449E-2</c:v>
                </c:pt>
                <c:pt idx="1814">
                  <c:v>2.3342417784415967E-2</c:v>
                </c:pt>
                <c:pt idx="1815">
                  <c:v>2.3349479766246583E-2</c:v>
                </c:pt>
                <c:pt idx="1816">
                  <c:v>2.3355238240207913E-2</c:v>
                </c:pt>
                <c:pt idx="1817">
                  <c:v>2.3362130678262961E-2</c:v>
                </c:pt>
                <c:pt idx="1818">
                  <c:v>2.3368929801263965E-2</c:v>
                </c:pt>
                <c:pt idx="1819">
                  <c:v>2.3375635608256499E-2</c:v>
                </c:pt>
                <c:pt idx="1820">
                  <c:v>2.3384639595588577E-2</c:v>
                </c:pt>
                <c:pt idx="1821">
                  <c:v>2.3389957046770906E-2</c:v>
                </c:pt>
                <c:pt idx="1822">
                  <c:v>2.3396376649034593E-2</c:v>
                </c:pt>
                <c:pt idx="1823">
                  <c:v>2.3402702925613274E-2</c:v>
                </c:pt>
                <c:pt idx="1824">
                  <c:v>2.3408935875614184E-2</c:v>
                </c:pt>
                <c:pt idx="1825">
                  <c:v>2.3415075498154119E-2</c:v>
                </c:pt>
                <c:pt idx="1826">
                  <c:v>2.3421121792365943E-2</c:v>
                </c:pt>
                <c:pt idx="1827">
                  <c:v>2.3427074757394258E-2</c:v>
                </c:pt>
                <c:pt idx="1828">
                  <c:v>2.343293439239582E-2</c:v>
                </c:pt>
                <c:pt idx="1829">
                  <c:v>2.3436420943806359E-2</c:v>
                </c:pt>
                <c:pt idx="1830">
                  <c:v>2.34421065135361E-2</c:v>
                </c:pt>
                <c:pt idx="1831">
                  <c:v>2.3447698762812504E-2</c:v>
                </c:pt>
                <c:pt idx="1832">
                  <c:v>2.3453197690854209E-2</c:v>
                </c:pt>
                <c:pt idx="1833">
                  <c:v>2.3458603296890406E-2</c:v>
                </c:pt>
                <c:pt idx="1834">
                  <c:v>2.3465024181812073E-2</c:v>
                </c:pt>
                <c:pt idx="1835">
                  <c:v>2.3469134539939009E-2</c:v>
                </c:pt>
                <c:pt idx="1836">
                  <c:v>2.3474260175476117E-2</c:v>
                </c:pt>
                <c:pt idx="1837">
                  <c:v>2.3479292486062817E-2</c:v>
                </c:pt>
                <c:pt idx="1838">
                  <c:v>2.3484231470993742E-2</c:v>
                </c:pt>
                <c:pt idx="1839">
                  <c:v>2.3489077129578897E-2</c:v>
                </c:pt>
                <c:pt idx="1840">
                  <c:v>2.34938294611397E-2</c:v>
                </c:pt>
                <c:pt idx="1841">
                  <c:v>2.3498488465012506E-2</c:v>
                </c:pt>
                <c:pt idx="1842">
                  <c:v>2.3503053828024974E-2</c:v>
                </c:pt>
                <c:pt idx="1843">
                  <c:v>2.3507519987667966E-2</c:v>
                </c:pt>
                <c:pt idx="1844">
                  <c:v>2.351187702564541E-2</c:v>
                </c:pt>
                <c:pt idx="1845">
                  <c:v>2.3516114891747843E-2</c:v>
                </c:pt>
                <c:pt idx="1846">
                  <c:v>2.3519782034203914E-2</c:v>
                </c:pt>
                <c:pt idx="1847">
                  <c:v>2.3523743765504496E-2</c:v>
                </c:pt>
                <c:pt idx="1848">
                  <c:v>2.3527555874223796E-2</c:v>
                </c:pt>
                <c:pt idx="1849">
                  <c:v>2.3531208255069738E-2</c:v>
                </c:pt>
                <c:pt idx="1850">
                  <c:v>2.3534690802711825E-2</c:v>
                </c:pt>
                <c:pt idx="1851">
                  <c:v>2.3537993411791743E-2</c:v>
                </c:pt>
                <c:pt idx="1852">
                  <c:v>2.3541105976932177E-2</c:v>
                </c:pt>
                <c:pt idx="1853">
                  <c:v>2.3544018392743456E-2</c:v>
                </c:pt>
                <c:pt idx="1854">
                  <c:v>2.3546720553837674E-2</c:v>
                </c:pt>
                <c:pt idx="1855">
                  <c:v>2.3551785829876208E-2</c:v>
                </c:pt>
                <c:pt idx="1856">
                  <c:v>2.3553973053411108E-2</c:v>
                </c:pt>
                <c:pt idx="1857">
                  <c:v>2.3555917799429244E-2</c:v>
                </c:pt>
                <c:pt idx="1858">
                  <c:v>2.3557610125462029E-2</c:v>
                </c:pt>
                <c:pt idx="1859">
                  <c:v>2.3558270331633498E-2</c:v>
                </c:pt>
                <c:pt idx="1860">
                  <c:v>2.3559737776111998E-2</c:v>
                </c:pt>
                <c:pt idx="1861">
                  <c:v>2.3560554851196749E-2</c:v>
                </c:pt>
                <c:pt idx="1862">
                  <c:v>2.3561077241695257E-2</c:v>
                </c:pt>
                <c:pt idx="1863">
                  <c:v>2.35626229922179E-2</c:v>
                </c:pt>
                <c:pt idx="1864">
                  <c:v>2.3563113637138543E-2</c:v>
                </c:pt>
                <c:pt idx="1865">
                  <c:v>2.3562616415846015E-2</c:v>
                </c:pt>
                <c:pt idx="1866">
                  <c:v>2.356178414039101E-2</c:v>
                </c:pt>
                <c:pt idx="1867">
                  <c:v>2.3558919081361537E-2</c:v>
                </c:pt>
                <c:pt idx="1868">
                  <c:v>2.355746512604168E-2</c:v>
                </c:pt>
                <c:pt idx="1869">
                  <c:v>2.3555656515101539E-2</c:v>
                </c:pt>
                <c:pt idx="1870">
                  <c:v>2.3553493249509963E-2</c:v>
                </c:pt>
                <c:pt idx="1871">
                  <c:v>2.3552357626547102E-2</c:v>
                </c:pt>
                <c:pt idx="1872">
                  <c:v>2.3549408483864352E-2</c:v>
                </c:pt>
                <c:pt idx="1873">
                  <c:v>2.3546104621874769E-2</c:v>
                </c:pt>
                <c:pt idx="1874">
                  <c:v>2.3542446042373481E-2</c:v>
                </c:pt>
                <c:pt idx="1875">
                  <c:v>2.3538432747346853E-2</c:v>
                </c:pt>
                <c:pt idx="1876">
                  <c:v>2.3533065986265551E-2</c:v>
                </c:pt>
                <c:pt idx="1877">
                  <c:v>2.3529342019633456E-2</c:v>
                </c:pt>
                <c:pt idx="1878">
                  <c:v>2.3524264591884243E-2</c:v>
                </c:pt>
                <c:pt idx="1879">
                  <c:v>2.351883245848652E-2</c:v>
                </c:pt>
                <c:pt idx="1880">
                  <c:v>2.3512354935873475E-2</c:v>
                </c:pt>
                <c:pt idx="1881">
                  <c:v>2.3505869329014453E-2</c:v>
                </c:pt>
                <c:pt idx="1882">
                  <c:v>2.3499501838839545E-2</c:v>
                </c:pt>
                <c:pt idx="1883">
                  <c:v>2.3492779769072429E-2</c:v>
                </c:pt>
                <c:pt idx="1884">
                  <c:v>2.3485703123266505E-2</c:v>
                </c:pt>
                <c:pt idx="1885">
                  <c:v>2.3478380656942913E-2</c:v>
                </c:pt>
                <c:pt idx="1886">
                  <c:v>2.3470569038382558E-2</c:v>
                </c:pt>
                <c:pt idx="1887">
                  <c:v>2.3462402833082013E-2</c:v>
                </c:pt>
                <c:pt idx="1888">
                  <c:v>2.3453882045382419E-2</c:v>
                </c:pt>
                <c:pt idx="1889">
                  <c:v>2.3445006679813342E-2</c:v>
                </c:pt>
                <c:pt idx="1890">
                  <c:v>2.3435797374222942E-2</c:v>
                </c:pt>
                <c:pt idx="1891">
                  <c:v>2.3426238811382696E-2</c:v>
                </c:pt>
                <c:pt idx="1892">
                  <c:v>2.3416325707676836E-2</c:v>
                </c:pt>
                <c:pt idx="1893">
                  <c:v>2.3406058068345365E-2</c:v>
                </c:pt>
                <c:pt idx="1894">
                  <c:v>2.3395314456101646E-2</c:v>
                </c:pt>
                <c:pt idx="1895">
                  <c:v>2.3384340164212349E-2</c:v>
                </c:pt>
                <c:pt idx="1896">
                  <c:v>2.3373066191753458E-2</c:v>
                </c:pt>
                <c:pt idx="1897">
                  <c:v>2.3354815535683963E-2</c:v>
                </c:pt>
                <c:pt idx="1898">
                  <c:v>2.3348220301234016E-2</c:v>
                </c:pt>
                <c:pt idx="1899">
                  <c:v>2.3337930951331087E-2</c:v>
                </c:pt>
                <c:pt idx="1900">
                  <c:v>2.3325756442618986E-2</c:v>
                </c:pt>
                <c:pt idx="1901">
                  <c:v>2.3313426858891519E-2</c:v>
                </c:pt>
                <c:pt idx="1902">
                  <c:v>2.3300971903583528E-2</c:v>
                </c:pt>
                <c:pt idx="1903">
                  <c:v>2.3288421279421927E-2</c:v>
                </c:pt>
                <c:pt idx="1904">
                  <c:v>2.3275804688409337E-2</c:v>
                </c:pt>
                <c:pt idx="1905">
                  <c:v>2.3263151831812622E-2</c:v>
                </c:pt>
                <c:pt idx="1906">
                  <c:v>2.3250492410156247E-2</c:v>
                </c:pt>
                <c:pt idx="1907">
                  <c:v>2.3237212955075116E-2</c:v>
                </c:pt>
                <c:pt idx="1908">
                  <c:v>2.3224719016641176E-2</c:v>
                </c:pt>
                <c:pt idx="1909">
                  <c:v>2.321231653643575E-2</c:v>
                </c:pt>
                <c:pt idx="1910">
                  <c:v>2.3200034422658982E-2</c:v>
                </c:pt>
                <c:pt idx="1911">
                  <c:v>2.3188034649659715E-2</c:v>
                </c:pt>
                <c:pt idx="1912">
                  <c:v>2.3176007537915155E-2</c:v>
                </c:pt>
                <c:pt idx="1913">
                  <c:v>2.3164184088734566E-2</c:v>
                </c:pt>
                <c:pt idx="1914">
                  <c:v>2.3152593676046374E-2</c:v>
                </c:pt>
                <c:pt idx="1915">
                  <c:v>2.3141265673167041E-2</c:v>
                </c:pt>
                <c:pt idx="1916">
                  <c:v>2.3130488208076495E-2</c:v>
                </c:pt>
                <c:pt idx="1917">
                  <c:v>2.3119858032623921E-2</c:v>
                </c:pt>
                <c:pt idx="1918">
                  <c:v>2.3109579465986529E-2</c:v>
                </c:pt>
                <c:pt idx="1919">
                  <c:v>2.3099681411085236E-2</c:v>
                </c:pt>
                <c:pt idx="1920">
                  <c:v>2.3089586751130452E-2</c:v>
                </c:pt>
                <c:pt idx="1921">
                  <c:v>2.3080421740485399E-2</c:v>
                </c:pt>
                <c:pt idx="1922">
                  <c:v>2.3071670183590274E-2</c:v>
                </c:pt>
                <c:pt idx="1923">
                  <c:v>2.306419587589667E-2</c:v>
                </c:pt>
                <c:pt idx="1924">
                  <c:v>2.3056358306071702E-2</c:v>
                </c:pt>
                <c:pt idx="1925">
                  <c:v>2.3048934252918818E-2</c:v>
                </c:pt>
                <c:pt idx="1926">
                  <c:v>2.3041923711736405E-2</c:v>
                </c:pt>
                <c:pt idx="1927">
                  <c:v>2.3035326678083286E-2</c:v>
                </c:pt>
                <c:pt idx="1928">
                  <c:v>2.3027843083597819E-2</c:v>
                </c:pt>
                <c:pt idx="1929">
                  <c:v>2.302337311691572E-2</c:v>
                </c:pt>
                <c:pt idx="1930">
                  <c:v>2.3018016581830555E-2</c:v>
                </c:pt>
                <c:pt idx="1931">
                  <c:v>2.3013073539131956E-2</c:v>
                </c:pt>
                <c:pt idx="1932">
                  <c:v>2.3008543985691247E-2</c:v>
                </c:pt>
                <c:pt idx="1933">
                  <c:v>2.3002115847466933E-2</c:v>
                </c:pt>
                <c:pt idx="1934">
                  <c:v>2.2998296097890954E-2</c:v>
                </c:pt>
                <c:pt idx="1935">
                  <c:v>2.2994889725104915E-2</c:v>
                </c:pt>
                <c:pt idx="1936">
                  <c:v>2.2991896726996659E-2</c:v>
                </c:pt>
                <c:pt idx="1937">
                  <c:v>2.2990008184865136E-2</c:v>
                </c:pt>
                <c:pt idx="1938">
                  <c:v>2.2987871321468963E-2</c:v>
                </c:pt>
                <c:pt idx="1939">
                  <c:v>2.2989175879709223E-2</c:v>
                </c:pt>
                <c:pt idx="1940">
                  <c:v>2.2984837781832645E-2</c:v>
                </c:pt>
                <c:pt idx="1941">
                  <c:v>2.2983941103701992E-2</c:v>
                </c:pt>
                <c:pt idx="1942">
                  <c:v>2.2982619520652423E-2</c:v>
                </c:pt>
                <c:pt idx="1943">
                  <c:v>2.2982520107702024E-2</c:v>
                </c:pt>
                <c:pt idx="1944">
                  <c:v>2.298283406176433E-2</c:v>
                </c:pt>
                <c:pt idx="1945">
                  <c:v>2.2983561383033039E-2</c:v>
                </c:pt>
                <c:pt idx="1946">
                  <c:v>2.2985658105529702E-2</c:v>
                </c:pt>
                <c:pt idx="1947">
                  <c:v>2.2987231697856745E-2</c:v>
                </c:pt>
                <c:pt idx="1948">
                  <c:v>2.2989192926280998E-2</c:v>
                </c:pt>
                <c:pt idx="1949">
                  <c:v>2.2991525399477443E-2</c:v>
                </c:pt>
                <c:pt idx="1950">
                  <c:v>2.2993159940706557E-2</c:v>
                </c:pt>
                <c:pt idx="1951">
                  <c:v>2.2996166621529993E-2</c:v>
                </c:pt>
                <c:pt idx="1952">
                  <c:v>2.2999497205986572E-2</c:v>
                </c:pt>
                <c:pt idx="1953">
                  <c:v>2.3003135214099357E-2</c:v>
                </c:pt>
                <c:pt idx="1954">
                  <c:v>2.3007064165917749E-2</c:v>
                </c:pt>
                <c:pt idx="1955">
                  <c:v>2.3011267581493799E-2</c:v>
                </c:pt>
                <c:pt idx="1956">
                  <c:v>2.3015728980858904E-2</c:v>
                </c:pt>
                <c:pt idx="1957">
                  <c:v>2.3020431884001425E-2</c:v>
                </c:pt>
                <c:pt idx="1958">
                  <c:v>2.3025359810846475E-2</c:v>
                </c:pt>
                <c:pt idx="1959">
                  <c:v>2.3035163237116719E-2</c:v>
                </c:pt>
                <c:pt idx="1960">
                  <c:v>2.3040514648080542E-2</c:v>
                </c:pt>
                <c:pt idx="1961">
                  <c:v>2.3046037584705137E-2</c:v>
                </c:pt>
                <c:pt idx="1962">
                  <c:v>2.3051715916815461E-2</c:v>
                </c:pt>
                <c:pt idx="1963">
                  <c:v>2.3053981741403457E-2</c:v>
                </c:pt>
                <c:pt idx="1964">
                  <c:v>2.3059915957633997E-2</c:v>
                </c:pt>
                <c:pt idx="1965">
                  <c:v>2.3065959158970063E-2</c:v>
                </c:pt>
                <c:pt idx="1966">
                  <c:v>2.3072094953269374E-2</c:v>
                </c:pt>
                <c:pt idx="1967">
                  <c:v>2.3078306948201812E-2</c:v>
                </c:pt>
                <c:pt idx="1968">
                  <c:v>2.3088145904861451E-2</c:v>
                </c:pt>
                <c:pt idx="1969">
                  <c:v>2.3094460346715574E-2</c:v>
                </c:pt>
                <c:pt idx="1970">
                  <c:v>2.3100801136493543E-2</c:v>
                </c:pt>
                <c:pt idx="1971">
                  <c:v>2.3107152142368297E-2</c:v>
                </c:pt>
                <c:pt idx="1972">
                  <c:v>2.3109936402016359E-2</c:v>
                </c:pt>
                <c:pt idx="1973">
                  <c:v>2.3116269101288868E-2</c:v>
                </c:pt>
                <c:pt idx="1974">
                  <c:v>2.3122586668628518E-2</c:v>
                </c:pt>
                <c:pt idx="1975">
                  <c:v>2.312888910389246E-2</c:v>
                </c:pt>
                <c:pt idx="1976">
                  <c:v>2.3135176406935246E-2</c:v>
                </c:pt>
                <c:pt idx="1977">
                  <c:v>2.3144999441531786E-2</c:v>
                </c:pt>
                <c:pt idx="1978">
                  <c:v>2.3151254436281899E-2</c:v>
                </c:pt>
                <c:pt idx="1979">
                  <c:v>2.3157494295771224E-2</c:v>
                </c:pt>
                <c:pt idx="1980">
                  <c:v>2.3163719019854073E-2</c:v>
                </c:pt>
                <c:pt idx="1981">
                  <c:v>2.3169928608386042E-2</c:v>
                </c:pt>
                <c:pt idx="1982">
                  <c:v>2.3176123061223596E-2</c:v>
                </c:pt>
                <c:pt idx="1983">
                  <c:v>2.3182302378222761E-2</c:v>
                </c:pt>
                <c:pt idx="1984">
                  <c:v>2.3188466559239562E-2</c:v>
                </c:pt>
                <c:pt idx="1985">
                  <c:v>2.3188724787381029E-2</c:v>
                </c:pt>
                <c:pt idx="1986">
                  <c:v>2.3194862136137528E-2</c:v>
                </c:pt>
                <c:pt idx="1987">
                  <c:v>2.3200984352865803E-2</c:v>
                </c:pt>
                <c:pt idx="1988">
                  <c:v>2.3207091437428058E-2</c:v>
                </c:pt>
                <c:pt idx="1989">
                  <c:v>2.3213183389686507E-2</c:v>
                </c:pt>
                <c:pt idx="1990">
                  <c:v>2.3220434956112774E-2</c:v>
                </c:pt>
                <c:pt idx="1991">
                  <c:v>2.3226495951135569E-2</c:v>
                </c:pt>
                <c:pt idx="1992">
                  <c:v>2.3232541812562891E-2</c:v>
                </c:pt>
                <c:pt idx="1993">
                  <c:v>2.3238572540257262E-2</c:v>
                </c:pt>
                <c:pt idx="1994">
                  <c:v>2.3243416161615307E-2</c:v>
                </c:pt>
                <c:pt idx="1995">
                  <c:v>2.3249417317172769E-2</c:v>
                </c:pt>
                <c:pt idx="1996">
                  <c:v>2.3255403339470283E-2</c:v>
                </c:pt>
                <c:pt idx="1997">
                  <c:v>2.3261374228373148E-2</c:v>
                </c:pt>
                <c:pt idx="1998">
                  <c:v>2.3268499167958055E-2</c:v>
                </c:pt>
                <c:pt idx="1999">
                  <c:v>2.327443909039285E-2</c:v>
                </c:pt>
                <c:pt idx="2000">
                  <c:v>2.3280363878143813E-2</c:v>
                </c:pt>
                <c:pt idx="2001">
                  <c:v>2.3286273531075659E-2</c:v>
                </c:pt>
                <c:pt idx="2002">
                  <c:v>2.3292168049054877E-2</c:v>
                </c:pt>
                <c:pt idx="2003">
                  <c:v>2.3296881752970188E-2</c:v>
                </c:pt>
                <c:pt idx="2004">
                  <c:v>2.3302746704352641E-2</c:v>
                </c:pt>
                <c:pt idx="2005">
                  <c:v>2.3308596521270802E-2</c:v>
                </c:pt>
                <c:pt idx="2006">
                  <c:v>2.3314431203593507E-2</c:v>
                </c:pt>
                <c:pt idx="2007">
                  <c:v>2.3320250751188269E-2</c:v>
                </c:pt>
                <c:pt idx="2008">
                  <c:v>2.3326055163923474E-2</c:v>
                </c:pt>
                <c:pt idx="2009">
                  <c:v>2.3331844441668845E-2</c:v>
                </c:pt>
                <c:pt idx="2010">
                  <c:v>2.3337618584292771E-2</c:v>
                </c:pt>
                <c:pt idx="2011">
                  <c:v>2.334917753128082E-2</c:v>
                </c:pt>
                <c:pt idx="2012">
                  <c:v>2.3354917848019324E-2</c:v>
                </c:pt>
                <c:pt idx="2013">
                  <c:v>2.3360643024771359E-2</c:v>
                </c:pt>
                <c:pt idx="2014">
                  <c:v>2.3366353061402841E-2</c:v>
                </c:pt>
                <c:pt idx="2015">
                  <c:v>2.3368576598656259E-2</c:v>
                </c:pt>
                <c:pt idx="2016">
                  <c:v>2.3374258498869975E-2</c:v>
                </c:pt>
                <c:pt idx="2017">
                  <c:v>2.3379925261261765E-2</c:v>
                </c:pt>
                <c:pt idx="2018">
                  <c:v>2.3385576885701462E-2</c:v>
                </c:pt>
                <c:pt idx="2019">
                  <c:v>2.3391213372061077E-2</c:v>
                </c:pt>
                <c:pt idx="2020">
                  <c:v>2.3400295331278444E-2</c:v>
                </c:pt>
                <c:pt idx="2021">
                  <c:v>2.3405899383379954E-2</c:v>
                </c:pt>
                <c:pt idx="2022">
                  <c:v>2.3411488294310997E-2</c:v>
                </c:pt>
                <c:pt idx="2023">
                  <c:v>2.3417062063942212E-2</c:v>
                </c:pt>
                <c:pt idx="2024">
                  <c:v>2.3419168728161469E-2</c:v>
                </c:pt>
                <c:pt idx="2025">
                  <c:v>2.3424714383348557E-2</c:v>
                </c:pt>
                <c:pt idx="2026">
                  <c:v>2.3430244899561418E-2</c:v>
                </c:pt>
                <c:pt idx="2027">
                  <c:v>2.3435760276674253E-2</c:v>
                </c:pt>
                <c:pt idx="2028">
                  <c:v>2.344126051456082E-2</c:v>
                </c:pt>
                <c:pt idx="2029">
                  <c:v>2.3450186707216981E-2</c:v>
                </c:pt>
                <c:pt idx="2030">
                  <c:v>2.3455654484147988E-2</c:v>
                </c:pt>
                <c:pt idx="2031">
                  <c:v>2.3461107118754185E-2</c:v>
                </c:pt>
                <c:pt idx="2032">
                  <c:v>2.3466544610909214E-2</c:v>
                </c:pt>
                <c:pt idx="2033">
                  <c:v>2.3471966960486732E-2</c:v>
                </c:pt>
                <c:pt idx="2034">
                  <c:v>2.3477374167360811E-2</c:v>
                </c:pt>
                <c:pt idx="2035">
                  <c:v>2.3482766231405966E-2</c:v>
                </c:pt>
                <c:pt idx="2036">
                  <c:v>2.3488143152497993E-2</c:v>
                </c:pt>
                <c:pt idx="2037">
                  <c:v>2.3487798891102907E-2</c:v>
                </c:pt>
                <c:pt idx="2038">
                  <c:v>2.3493149198651954E-2</c:v>
                </c:pt>
                <c:pt idx="2039">
                  <c:v>2.3498484367436942E-2</c:v>
                </c:pt>
                <c:pt idx="2040">
                  <c:v>2.3503804397338637E-2</c:v>
                </c:pt>
                <c:pt idx="2041">
                  <c:v>2.3509109288235588E-2</c:v>
                </c:pt>
                <c:pt idx="2042">
                  <c:v>2.3515536609014936E-2</c:v>
                </c:pt>
                <c:pt idx="2043">
                  <c:v>2.3520810482643296E-2</c:v>
                </c:pt>
                <c:pt idx="2044">
                  <c:v>2.3526069215993612E-2</c:v>
                </c:pt>
                <c:pt idx="2045">
                  <c:v>2.3531312808946419E-2</c:v>
                </c:pt>
                <c:pt idx="2046">
                  <c:v>2.3535406653480542E-2</c:v>
                </c:pt>
                <c:pt idx="2047">
                  <c:v>2.3540620707849801E-2</c:v>
                </c:pt>
                <c:pt idx="2048">
                  <c:v>2.3545819622384036E-2</c:v>
                </c:pt>
                <c:pt idx="2049">
                  <c:v>2.3551003396964452E-2</c:v>
                </c:pt>
                <c:pt idx="2050">
                  <c:v>2.3557303663594254E-2</c:v>
                </c:pt>
                <c:pt idx="2051">
                  <c:v>2.3562456411674339E-2</c:v>
                </c:pt>
                <c:pt idx="2052">
                  <c:v>2.3567594018529887E-2</c:v>
                </c:pt>
                <c:pt idx="2053">
                  <c:v>2.3572716484045825E-2</c:v>
                </c:pt>
                <c:pt idx="2054">
                  <c:v>2.3578552189783372E-2</c:v>
                </c:pt>
                <c:pt idx="2055">
                  <c:v>2.3582514424705169E-2</c:v>
                </c:pt>
                <c:pt idx="2056">
                  <c:v>2.358759005338186E-2</c:v>
                </c:pt>
                <c:pt idx="2057">
                  <c:v>2.3592650541162281E-2</c:v>
                </c:pt>
                <c:pt idx="2058">
                  <c:v>2.3597695887932486E-2</c:v>
                </c:pt>
                <c:pt idx="2059">
                  <c:v>2.3602726093578535E-2</c:v>
                </c:pt>
                <c:pt idx="2060">
                  <c:v>2.3607741157986046E-2</c:v>
                </c:pt>
                <c:pt idx="2061">
                  <c:v>2.3612741081042402E-2</c:v>
                </c:pt>
                <c:pt idx="2062">
                  <c:v>2.3617725862634983E-2</c:v>
                </c:pt>
                <c:pt idx="2063">
                  <c:v>2.3627182362494861E-2</c:v>
                </c:pt>
                <c:pt idx="2064">
                  <c:v>2.363213382657469E-2</c:v>
                </c:pt>
                <c:pt idx="2065">
                  <c:v>2.3637070145138977E-2</c:v>
                </c:pt>
                <c:pt idx="2066">
                  <c:v>2.3643677651549854E-2</c:v>
                </c:pt>
                <c:pt idx="2067">
                  <c:v>2.3643541356231743E-2</c:v>
                </c:pt>
                <c:pt idx="2068">
                  <c:v>2.3651788226591811E-2</c:v>
                </c:pt>
                <c:pt idx="2069">
                  <c:v>2.3656663961952779E-2</c:v>
                </c:pt>
                <c:pt idx="2070">
                  <c:v>2.3661524551230873E-2</c:v>
                </c:pt>
                <c:pt idx="2071">
                  <c:v>2.3666369994313749E-2</c:v>
                </c:pt>
                <c:pt idx="2072">
                  <c:v>2.367120029108993E-2</c:v>
                </c:pt>
                <c:pt idx="2073">
                  <c:v>2.3676015441447072E-2</c:v>
                </c:pt>
                <c:pt idx="2074">
                  <c:v>2.3680815445274995E-2</c:v>
                </c:pt>
                <c:pt idx="2075">
                  <c:v>2.368560030246222E-2</c:v>
                </c:pt>
                <c:pt idx="2076">
                  <c:v>2.3690370012898563E-2</c:v>
                </c:pt>
                <c:pt idx="2077">
                  <c:v>2.3695124576474276E-2</c:v>
                </c:pt>
                <c:pt idx="2078">
                  <c:v>2.369986399307961E-2</c:v>
                </c:pt>
                <c:pt idx="2079">
                  <c:v>2.3704588262604381E-2</c:v>
                </c:pt>
                <c:pt idx="2080">
                  <c:v>2.3709297384940133E-2</c:v>
                </c:pt>
                <c:pt idx="2081">
                  <c:v>2.3713991359977985E-2</c:v>
                </c:pt>
                <c:pt idx="2082">
                  <c:v>2.3718670187609911E-2</c:v>
                </c:pt>
                <c:pt idx="2083">
                  <c:v>2.3723333867727892E-2</c:v>
                </c:pt>
                <c:pt idx="2084">
                  <c:v>2.372798240022304E-2</c:v>
                </c:pt>
                <c:pt idx="2085">
                  <c:v>2.3732615784989929E-2</c:v>
                </c:pt>
                <c:pt idx="2086">
                  <c:v>2.3737234021921398E-2</c:v>
                </c:pt>
                <c:pt idx="2087">
                  <c:v>2.3741837110908565E-2</c:v>
                </c:pt>
                <c:pt idx="2088">
                  <c:v>2.3746425051847726E-2</c:v>
                </c:pt>
                <c:pt idx="2089">
                  <c:v>2.374659108898998E-2</c:v>
                </c:pt>
                <c:pt idx="2090">
                  <c:v>2.3751151865133026E-2</c:v>
                </c:pt>
                <c:pt idx="2091">
                  <c:v>2.3755697496685959E-2</c:v>
                </c:pt>
                <c:pt idx="2092">
                  <c:v>2.3760227983547204E-2</c:v>
                </c:pt>
                <c:pt idx="2093">
                  <c:v>2.3765841918051551E-2</c:v>
                </c:pt>
                <c:pt idx="2094">
                  <c:v>2.3770341328709234E-2</c:v>
                </c:pt>
                <c:pt idx="2095">
                  <c:v>2.3779213392867145E-2</c:v>
                </c:pt>
                <c:pt idx="2096">
                  <c:v>2.3779294712091177E-2</c:v>
                </c:pt>
                <c:pt idx="2097">
                  <c:v>2.3783748684611212E-2</c:v>
                </c:pt>
                <c:pt idx="2098">
                  <c:v>2.3787092860462523E-2</c:v>
                </c:pt>
                <c:pt idx="2099">
                  <c:v>2.3791517331630308E-2</c:v>
                </c:pt>
                <c:pt idx="2100">
                  <c:v>2.3795926657296441E-2</c:v>
                </c:pt>
                <c:pt idx="2101">
                  <c:v>2.3800320837360677E-2</c:v>
                </c:pt>
                <c:pt idx="2102">
                  <c:v>2.3805791351468718E-2</c:v>
                </c:pt>
                <c:pt idx="2103">
                  <c:v>2.3810154444991235E-2</c:v>
                </c:pt>
                <c:pt idx="2104">
                  <c:v>2.3814502391664705E-2</c:v>
                </c:pt>
                <c:pt idx="2105">
                  <c:v>2.3818835191391181E-2</c:v>
                </c:pt>
                <c:pt idx="2106">
                  <c:v>2.38217346887005E-2</c:v>
                </c:pt>
                <c:pt idx="2107">
                  <c:v>2.3829294643648892E-2</c:v>
                </c:pt>
                <c:pt idx="2108">
                  <c:v>2.3833575510240214E-2</c:v>
                </c:pt>
                <c:pt idx="2109">
                  <c:v>2.3837841229450599E-2</c:v>
                </c:pt>
                <c:pt idx="2110">
                  <c:v>2.3842091801184309E-2</c:v>
                </c:pt>
                <c:pt idx="2111">
                  <c:v>2.3846327225344712E-2</c:v>
                </c:pt>
                <c:pt idx="2112">
                  <c:v>2.3850547501834306E-2</c:v>
                </c:pt>
                <c:pt idx="2113">
                  <c:v>2.3854752630558661E-2</c:v>
                </c:pt>
                <c:pt idx="2114">
                  <c:v>2.3858942611421588E-2</c:v>
                </c:pt>
                <c:pt idx="2115">
                  <c:v>2.3865278802750228E-2</c:v>
                </c:pt>
                <c:pt idx="2116">
                  <c:v>2.3869436871544289E-2</c:v>
                </c:pt>
                <c:pt idx="2117">
                  <c:v>2.3873579790276715E-2</c:v>
                </c:pt>
                <c:pt idx="2118">
                  <c:v>2.3877707558853222E-2</c:v>
                </c:pt>
                <c:pt idx="2119">
                  <c:v>2.3880742750993191E-2</c:v>
                </c:pt>
                <c:pt idx="2120">
                  <c:v>2.3884841030897486E-2</c:v>
                </c:pt>
                <c:pt idx="2121">
                  <c:v>2.3890087987443669E-2</c:v>
                </c:pt>
                <c:pt idx="2122">
                  <c:v>2.3892992142172394E-2</c:v>
                </c:pt>
                <c:pt idx="2123">
                  <c:v>2.3897044973357363E-2</c:v>
                </c:pt>
                <c:pt idx="2124">
                  <c:v>2.3902156011744533E-2</c:v>
                </c:pt>
                <c:pt idx="2125">
                  <c:v>2.3906177726592634E-2</c:v>
                </c:pt>
                <c:pt idx="2126">
                  <c:v>2.3910184290535423E-2</c:v>
                </c:pt>
                <c:pt idx="2127">
                  <c:v>2.3914175703480801E-2</c:v>
                </c:pt>
                <c:pt idx="2128">
                  <c:v>2.3917081881068086E-2</c:v>
                </c:pt>
                <c:pt idx="2129">
                  <c:v>2.3921043812326782E-2</c:v>
                </c:pt>
                <c:pt idx="2130">
                  <c:v>2.3924990593278239E-2</c:v>
                </c:pt>
                <c:pt idx="2131">
                  <c:v>2.3928922223834224E-2</c:v>
                </c:pt>
                <c:pt idx="2132">
                  <c:v>2.3934972264347536E-2</c:v>
                </c:pt>
                <c:pt idx="2133">
                  <c:v>2.3937806005118408E-2</c:v>
                </c:pt>
                <c:pt idx="2134">
                  <c:v>2.3941691358540011E-2</c:v>
                </c:pt>
                <c:pt idx="2135">
                  <c:v>2.3945561560242173E-2</c:v>
                </c:pt>
                <c:pt idx="2136">
                  <c:v>2.3949416610135395E-2</c:v>
                </c:pt>
                <c:pt idx="2137">
                  <c:v>2.395325650813062E-2</c:v>
                </c:pt>
                <c:pt idx="2138">
                  <c:v>2.3957081254140093E-2</c:v>
                </c:pt>
                <c:pt idx="2139">
                  <c:v>2.3960890848076923E-2</c:v>
                </c:pt>
                <c:pt idx="2140">
                  <c:v>2.3964685289852055E-2</c:v>
                </c:pt>
                <c:pt idx="2141">
                  <c:v>2.3966345863656351E-2</c:v>
                </c:pt>
                <c:pt idx="2142">
                  <c:v>2.3970111667029659E-2</c:v>
                </c:pt>
                <c:pt idx="2143">
                  <c:v>2.3973862319921664E-2</c:v>
                </c:pt>
                <c:pt idx="2144">
                  <c:v>2.3977597822248467E-2</c:v>
                </c:pt>
                <c:pt idx="2145">
                  <c:v>2.3982374210321043E-2</c:v>
                </c:pt>
                <c:pt idx="2146">
                  <c:v>2.3986078574348372E-2</c:v>
                </c:pt>
                <c:pt idx="2147">
                  <c:v>2.3989767786583745E-2</c:v>
                </c:pt>
                <c:pt idx="2148">
                  <c:v>2.3993441846942864E-2</c:v>
                </c:pt>
                <c:pt idx="2149">
                  <c:v>2.3997100755343607E-2</c:v>
                </c:pt>
                <c:pt idx="2150">
                  <c:v>2.3999692669587007E-2</c:v>
                </c:pt>
                <c:pt idx="2151">
                  <c:v>2.4003322115593601E-2</c:v>
                </c:pt>
                <c:pt idx="2152">
                  <c:v>2.4006936410364763E-2</c:v>
                </c:pt>
                <c:pt idx="2153">
                  <c:v>2.4010535553818803E-2</c:v>
                </c:pt>
                <c:pt idx="2154">
                  <c:v>2.4015168015036312E-2</c:v>
                </c:pt>
                <c:pt idx="2155">
                  <c:v>2.4018736009935628E-2</c:v>
                </c:pt>
                <c:pt idx="2156">
                  <c:v>2.4022288852297794E-2</c:v>
                </c:pt>
                <c:pt idx="2157">
                  <c:v>2.4025826542042002E-2</c:v>
                </c:pt>
                <c:pt idx="2158">
                  <c:v>2.4028806102406697E-2</c:v>
                </c:pt>
                <c:pt idx="2159">
                  <c:v>2.4032312171703124E-2</c:v>
                </c:pt>
                <c:pt idx="2160">
                  <c:v>2.4035803089105308E-2</c:v>
                </c:pt>
                <c:pt idx="2161">
                  <c:v>2.4039278854534187E-2</c:v>
                </c:pt>
                <c:pt idx="2162">
                  <c:v>2.4042739467912026E-2</c:v>
                </c:pt>
                <c:pt idx="2163">
                  <c:v>2.4046184929158883E-2</c:v>
                </c:pt>
                <c:pt idx="2164">
                  <c:v>2.4049615238197024E-2</c:v>
                </c:pt>
                <c:pt idx="2165">
                  <c:v>2.4053030394949146E-2</c:v>
                </c:pt>
                <c:pt idx="2166">
                  <c:v>2.4056430399336626E-2</c:v>
                </c:pt>
                <c:pt idx="2167">
                  <c:v>2.4061889768288474E-2</c:v>
                </c:pt>
                <c:pt idx="2168">
                  <c:v>2.4065257750526793E-2</c:v>
                </c:pt>
                <c:pt idx="2169">
                  <c:v>2.40686105782075E-2</c:v>
                </c:pt>
                <c:pt idx="2170">
                  <c:v>2.4071948251254575E-2</c:v>
                </c:pt>
                <c:pt idx="2171">
                  <c:v>2.4074236969696777E-2</c:v>
                </c:pt>
                <c:pt idx="2172">
                  <c:v>2.4078487619935123E-2</c:v>
                </c:pt>
                <c:pt idx="2173">
                  <c:v>2.4081776362494717E-2</c:v>
                </c:pt>
                <c:pt idx="2174">
                  <c:v>2.408504995107744E-2</c:v>
                </c:pt>
                <c:pt idx="2175">
                  <c:v>2.4088308385609034E-2</c:v>
                </c:pt>
                <c:pt idx="2176">
                  <c:v>2.4094639242052504E-2</c:v>
                </c:pt>
                <c:pt idx="2177">
                  <c:v>2.4097864764525277E-2</c:v>
                </c:pt>
                <c:pt idx="2178">
                  <c:v>2.4101075129769028E-2</c:v>
                </c:pt>
                <c:pt idx="2179">
                  <c:v>2.410427033770984E-2</c:v>
                </c:pt>
                <c:pt idx="2180">
                  <c:v>2.4104373244900182E-2</c:v>
                </c:pt>
                <c:pt idx="2181">
                  <c:v>2.4107540753571272E-2</c:v>
                </c:pt>
                <c:pt idx="2182">
                  <c:v>2.4110693107677984E-2</c:v>
                </c:pt>
                <c:pt idx="2183">
                  <c:v>2.4116899594960148E-2</c:v>
                </c:pt>
                <c:pt idx="2184">
                  <c:v>2.41200190152779E-2</c:v>
                </c:pt>
                <c:pt idx="2185">
                  <c:v>2.4123123277852637E-2</c:v>
                </c:pt>
                <c:pt idx="2186">
                  <c:v>2.4126212382612582E-2</c:v>
                </c:pt>
                <c:pt idx="2187">
                  <c:v>2.412928632948597E-2</c:v>
                </c:pt>
                <c:pt idx="2188">
                  <c:v>2.4129288982439785E-2</c:v>
                </c:pt>
                <c:pt idx="2189">
                  <c:v>2.4135388749285558E-2</c:v>
                </c:pt>
                <c:pt idx="2190">
                  <c:v>2.4138417222071655E-2</c:v>
                </c:pt>
                <c:pt idx="2191">
                  <c:v>2.414143053668712E-2</c:v>
                </c:pt>
                <c:pt idx="2192">
                  <c:v>2.414138313199047E-2</c:v>
                </c:pt>
                <c:pt idx="2193">
                  <c:v>2.4142339977036444E-2</c:v>
                </c:pt>
                <c:pt idx="2194">
                  <c:v>2.4145312239617914E-2</c:v>
                </c:pt>
                <c:pt idx="2195">
                  <c:v>2.4148269348707667E-2</c:v>
                </c:pt>
                <c:pt idx="2196">
                  <c:v>2.4151211304238567E-2</c:v>
                </c:pt>
                <c:pt idx="2197">
                  <c:v>2.41551489847356E-2</c:v>
                </c:pt>
                <c:pt idx="2198">
                  <c:v>2.4158059744660999E-2</c:v>
                </c:pt>
                <c:pt idx="2199">
                  <c:v>2.4160955349837292E-2</c:v>
                </c:pt>
                <c:pt idx="2200">
                  <c:v>2.4163835800197722E-2</c:v>
                </c:pt>
                <c:pt idx="2201">
                  <c:v>2.4166701095678162E-2</c:v>
                </c:pt>
                <c:pt idx="2202">
                  <c:v>2.4168544808989872E-2</c:v>
                </c:pt>
                <c:pt idx="2203">
                  <c:v>2.4171380687767204E-2</c:v>
                </c:pt>
                <c:pt idx="2204">
                  <c:v>2.4174201412463674E-2</c:v>
                </c:pt>
                <c:pt idx="2205">
                  <c:v>2.4177006983016128E-2</c:v>
                </c:pt>
                <c:pt idx="2206">
                  <c:v>2.4180800237511537E-2</c:v>
                </c:pt>
                <c:pt idx="2207">
                  <c:v>2.4183574238659446E-2</c:v>
                </c:pt>
                <c:pt idx="2208">
                  <c:v>2.4186331985545682E-2</c:v>
                </c:pt>
                <c:pt idx="2209">
                  <c:v>2.4189072708849811E-2</c:v>
                </c:pt>
                <c:pt idx="2210">
                  <c:v>2.4190797374061799E-2</c:v>
                </c:pt>
                <c:pt idx="2211">
                  <c:v>2.4193503128957516E-2</c:v>
                </c:pt>
                <c:pt idx="2212">
                  <c:v>2.4196189640987811E-2</c:v>
                </c:pt>
                <c:pt idx="2213">
                  <c:v>2.4198856136619405E-2</c:v>
                </c:pt>
                <c:pt idx="2214">
                  <c:v>2.4201501842315915E-2</c:v>
                </c:pt>
                <c:pt idx="2215">
                  <c:v>2.420412598453877E-2</c:v>
                </c:pt>
                <c:pt idx="2216">
                  <c:v>2.4206727789743646E-2</c:v>
                </c:pt>
                <c:pt idx="2217">
                  <c:v>2.420930648438489E-2</c:v>
                </c:pt>
                <c:pt idx="2218">
                  <c:v>2.4211861294911118E-2</c:v>
                </c:pt>
                <c:pt idx="2219">
                  <c:v>2.4219304518289669E-2</c:v>
                </c:pt>
                <c:pt idx="2220">
                  <c:v>2.422179903415107E-2</c:v>
                </c:pt>
                <c:pt idx="2221">
                  <c:v>2.4224267095841141E-2</c:v>
                </c:pt>
                <c:pt idx="2222">
                  <c:v>2.4226707950336008E-2</c:v>
                </c:pt>
                <c:pt idx="2223">
                  <c:v>2.4226198874088726E-2</c:v>
                </c:pt>
                <c:pt idx="2224">
                  <c:v>2.4228589708543729E-2</c:v>
                </c:pt>
                <c:pt idx="2225">
                  <c:v>2.4230951176039593E-2</c:v>
                </c:pt>
                <c:pt idx="2226">
                  <c:v>2.4233282511356303E-2</c:v>
                </c:pt>
                <c:pt idx="2227">
                  <c:v>2.4235582949268159E-2</c:v>
                </c:pt>
                <c:pt idx="2228">
                  <c:v>2.4240739556506744E-2</c:v>
                </c:pt>
                <c:pt idx="2229">
                  <c:v>2.4242968875737899E-2</c:v>
                </c:pt>
                <c:pt idx="2230">
                  <c:v>2.4245164963492126E-2</c:v>
                </c:pt>
                <c:pt idx="2231">
                  <c:v>2.4247327066724059E-2</c:v>
                </c:pt>
                <c:pt idx="2232">
                  <c:v>2.424659490480794E-2</c:v>
                </c:pt>
                <c:pt idx="2233">
                  <c:v>2.4248694250215398E-2</c:v>
                </c:pt>
                <c:pt idx="2234">
                  <c:v>2.4250758434631797E-2</c:v>
                </c:pt>
                <c:pt idx="2235">
                  <c:v>2.4252787457947064E-2</c:v>
                </c:pt>
                <c:pt idx="2236">
                  <c:v>2.4257612357690934E-2</c:v>
                </c:pt>
                <c:pt idx="2237">
                  <c:v>2.4259563915897155E-2</c:v>
                </c:pt>
                <c:pt idx="2238">
                  <c:v>2.4261480305630509E-2</c:v>
                </c:pt>
                <c:pt idx="2239">
                  <c:v>2.4263361526786993E-2</c:v>
                </c:pt>
                <c:pt idx="2240">
                  <c:v>2.4265207579266479E-2</c:v>
                </c:pt>
                <c:pt idx="2241">
                  <c:v>2.4267018462969685E-2</c:v>
                </c:pt>
                <c:pt idx="2242">
                  <c:v>2.4268794177797766E-2</c:v>
                </c:pt>
                <c:pt idx="2243">
                  <c:v>2.4270534723655746E-2</c:v>
                </c:pt>
                <c:pt idx="2244">
                  <c:v>2.4272240100450794E-2</c:v>
                </c:pt>
                <c:pt idx="2245">
                  <c:v>2.4269298532553871E-2</c:v>
                </c:pt>
                <c:pt idx="2246">
                  <c:v>2.4270945579521631E-2</c:v>
                </c:pt>
                <c:pt idx="2247">
                  <c:v>2.4272557468930762E-2</c:v>
                </c:pt>
                <c:pt idx="2248">
                  <c:v>2.4274134200698232E-2</c:v>
                </c:pt>
                <c:pt idx="2249">
                  <c:v>2.4276588888175243E-2</c:v>
                </c:pt>
                <c:pt idx="2250">
                  <c:v>2.4278092893933859E-2</c:v>
                </c:pt>
                <c:pt idx="2251">
                  <c:v>2.4279561739452043E-2</c:v>
                </c:pt>
                <c:pt idx="2252">
                  <c:v>2.4280995424652053E-2</c:v>
                </c:pt>
                <c:pt idx="2253">
                  <c:v>2.4282393949458782E-2</c:v>
                </c:pt>
                <c:pt idx="2254">
                  <c:v>2.4282856276316003E-2</c:v>
                </c:pt>
                <c:pt idx="2255">
                  <c:v>2.4284186902377054E-2</c:v>
                </c:pt>
                <c:pt idx="2256">
                  <c:v>2.4285482370186542E-2</c:v>
                </c:pt>
                <c:pt idx="2257">
                  <c:v>2.4286742679676461E-2</c:v>
                </c:pt>
                <c:pt idx="2258">
                  <c:v>2.4288859165073961E-2</c:v>
                </c:pt>
                <c:pt idx="2259">
                  <c:v>2.4290046726036935E-2</c:v>
                </c:pt>
                <c:pt idx="2260">
                  <c:v>2.4291199126129648E-2</c:v>
                </c:pt>
                <c:pt idx="2261">
                  <c:v>2.4292316365291056E-2</c:v>
                </c:pt>
                <c:pt idx="2262">
                  <c:v>2.4293398443462295E-2</c:v>
                </c:pt>
                <c:pt idx="2263">
                  <c:v>2.4293566208337461E-2</c:v>
                </c:pt>
                <c:pt idx="2264">
                  <c:v>2.4294580407845042E-2</c:v>
                </c:pt>
                <c:pt idx="2265">
                  <c:v>2.4295559448556086E-2</c:v>
                </c:pt>
                <c:pt idx="2266">
                  <c:v>2.4296503330420688E-2</c:v>
                </c:pt>
                <c:pt idx="2267">
                  <c:v>2.4297412053387618E-2</c:v>
                </c:pt>
                <c:pt idx="2268">
                  <c:v>2.4298285617410063E-2</c:v>
                </c:pt>
                <c:pt idx="2269">
                  <c:v>2.4299124022442092E-2</c:v>
                </c:pt>
                <c:pt idx="2270">
                  <c:v>2.4299927268440866E-2</c:v>
                </c:pt>
                <c:pt idx="2271">
                  <c:v>2.4304991077320648E-2</c:v>
                </c:pt>
                <c:pt idx="2272">
                  <c:v>2.4305711689974498E-2</c:v>
                </c:pt>
                <c:pt idx="2273">
                  <c:v>2.4306397131671018E-2</c:v>
                </c:pt>
                <c:pt idx="2274">
                  <c:v>2.4307047402372821E-2</c:v>
                </c:pt>
                <c:pt idx="2275">
                  <c:v>2.4305115262644478E-2</c:v>
                </c:pt>
                <c:pt idx="2276">
                  <c:v>2.4305702609675819E-2</c:v>
                </c:pt>
                <c:pt idx="2277">
                  <c:v>2.4306254792696436E-2</c:v>
                </c:pt>
                <c:pt idx="2278">
                  <c:v>2.4306771811676633E-2</c:v>
                </c:pt>
                <c:pt idx="2279">
                  <c:v>2.4307253666588889E-2</c:v>
                </c:pt>
                <c:pt idx="2280">
                  <c:v>2.4310210433872336E-2</c:v>
                </c:pt>
                <c:pt idx="2281">
                  <c:v>2.4310614506739114E-2</c:v>
                </c:pt>
                <c:pt idx="2282">
                  <c:v>2.4310983408384262E-2</c:v>
                </c:pt>
                <c:pt idx="2283">
                  <c:v>2.4311317138787574E-2</c:v>
                </c:pt>
                <c:pt idx="2284">
                  <c:v>2.4309135479306781E-2</c:v>
                </c:pt>
                <c:pt idx="2285">
                  <c:v>2.4309406349342255E-2</c:v>
                </c:pt>
                <c:pt idx="2286">
                  <c:v>2.4309642055170007E-2</c:v>
                </c:pt>
                <c:pt idx="2287">
                  <c:v>2.430984259677868E-2</c:v>
                </c:pt>
                <c:pt idx="2288">
                  <c:v>2.4310007974156483E-2</c:v>
                </c:pt>
                <c:pt idx="2289">
                  <c:v>2.4312580924267281E-2</c:v>
                </c:pt>
                <c:pt idx="2290">
                  <c:v>2.4312668455583667E-2</c:v>
                </c:pt>
                <c:pt idx="2291">
                  <c:v>2.4312720815569264E-2</c:v>
                </c:pt>
                <c:pt idx="2292">
                  <c:v>2.4312738004219337E-2</c:v>
                </c:pt>
                <c:pt idx="2293">
                  <c:v>2.4312720021533459E-2</c:v>
                </c:pt>
                <c:pt idx="2294">
                  <c:v>2.4312666867512059E-2</c:v>
                </c:pt>
                <c:pt idx="2295">
                  <c:v>2.4312578542159863E-2</c:v>
                </c:pt>
                <c:pt idx="2296">
                  <c:v>2.4312455045479887E-2</c:v>
                </c:pt>
                <c:pt idx="2297">
                  <c:v>2.4308324685431145E-2</c:v>
                </c:pt>
                <c:pt idx="2298">
                  <c:v>2.4308143468116401E-2</c:v>
                </c:pt>
                <c:pt idx="2299">
                  <c:v>2.4307927091294968E-2</c:v>
                </c:pt>
                <c:pt idx="2300">
                  <c:v>2.4307675554977887E-2</c:v>
                </c:pt>
                <c:pt idx="2301">
                  <c:v>2.4307388859177527E-2</c:v>
                </c:pt>
                <c:pt idx="2302">
                  <c:v>2.4307849111491076E-2</c:v>
                </c:pt>
                <c:pt idx="2303">
                  <c:v>2.4307489561258853E-2</c:v>
                </c:pt>
                <c:pt idx="2304">
                  <c:v>2.4307094849237543E-2</c:v>
                </c:pt>
                <c:pt idx="2305">
                  <c:v>2.4306664975446913E-2</c:v>
                </c:pt>
                <c:pt idx="2306">
                  <c:v>2.4305427988536861E-2</c:v>
                </c:pt>
                <c:pt idx="2307">
                  <c:v>2.430493033622369E-2</c:v>
                </c:pt>
                <c:pt idx="2308">
                  <c:v>2.4304397524572096E-2</c:v>
                </c:pt>
                <c:pt idx="2309">
                  <c:v>2.43038295536099E-2</c:v>
                </c:pt>
                <c:pt idx="2310">
                  <c:v>2.4303988180826668E-2</c:v>
                </c:pt>
                <c:pt idx="2311">
                  <c:v>2.4303347336966492E-2</c:v>
                </c:pt>
                <c:pt idx="2312">
                  <c:v>2.4302671331534638E-2</c:v>
                </c:pt>
                <c:pt idx="2313">
                  <c:v>2.4301960164567565E-2</c:v>
                </c:pt>
                <c:pt idx="2314">
                  <c:v>2.4301213836102602E-2</c:v>
                </c:pt>
                <c:pt idx="2315">
                  <c:v>2.4299683384112446E-2</c:v>
                </c:pt>
                <c:pt idx="2316">
                  <c:v>2.4298869298913194E-2</c:v>
                </c:pt>
                <c:pt idx="2317">
                  <c:v>2.4298020054693493E-2</c:v>
                </c:pt>
                <c:pt idx="2318">
                  <c:v>2.4297135651497069E-2</c:v>
                </c:pt>
                <c:pt idx="2319">
                  <c:v>2.4296216089370295E-2</c:v>
                </c:pt>
                <c:pt idx="2320">
                  <c:v>2.4295261368361746E-2</c:v>
                </c:pt>
                <c:pt idx="2321">
                  <c:v>2.4294271488521771E-2</c:v>
                </c:pt>
                <c:pt idx="2322">
                  <c:v>2.429324644990204E-2</c:v>
                </c:pt>
                <c:pt idx="2323">
                  <c:v>2.4295825942687057E-2</c:v>
                </c:pt>
                <c:pt idx="2324">
                  <c:v>2.4294717658463093E-2</c:v>
                </c:pt>
                <c:pt idx="2325">
                  <c:v>2.4293574203872726E-2</c:v>
                </c:pt>
                <c:pt idx="2326">
                  <c:v>2.4292395578978269E-2</c:v>
                </c:pt>
                <c:pt idx="2327">
                  <c:v>2.428902968744303E-2</c:v>
                </c:pt>
                <c:pt idx="2328">
                  <c:v>2.4287788508277904E-2</c:v>
                </c:pt>
                <c:pt idx="2329">
                  <c:v>2.4286512166051242E-2</c:v>
                </c:pt>
                <c:pt idx="2330">
                  <c:v>2.428520066082944E-2</c:v>
                </c:pt>
                <c:pt idx="2331">
                  <c:v>2.4283853992683263E-2</c:v>
                </c:pt>
                <c:pt idx="2332">
                  <c:v>2.4284585256913474E-2</c:v>
                </c:pt>
                <c:pt idx="2333">
                  <c:v>2.4283160441773626E-2</c:v>
                </c:pt>
                <c:pt idx="2334">
                  <c:v>2.4281700456890098E-2</c:v>
                </c:pt>
                <c:pt idx="2335">
                  <c:v>2.42802053023424E-2</c:v>
                </c:pt>
                <c:pt idx="2336">
                  <c:v>2.4276593210635966E-2</c:v>
                </c:pt>
                <c:pt idx="2337">
                  <c:v>2.4275035566502071E-2</c:v>
                </c:pt>
                <c:pt idx="2338">
                  <c:v>2.4273442759981952E-2</c:v>
                </c:pt>
                <c:pt idx="2339">
                  <c:v>2.4271814791159033E-2</c:v>
                </c:pt>
                <c:pt idx="2340">
                  <c:v>2.4270151660120681E-2</c:v>
                </c:pt>
                <c:pt idx="2341">
                  <c:v>2.4270495816732469E-2</c:v>
                </c:pt>
                <c:pt idx="2342">
                  <c:v>2.4268754476891117E-2</c:v>
                </c:pt>
                <c:pt idx="2343">
                  <c:v>2.4266977968081381E-2</c:v>
                </c:pt>
                <c:pt idx="2344">
                  <c:v>2.4265166290399098E-2</c:v>
                </c:pt>
                <c:pt idx="2345">
                  <c:v>2.426331944394269E-2</c:v>
                </c:pt>
                <c:pt idx="2346">
                  <c:v>2.4261437428811424E-2</c:v>
                </c:pt>
                <c:pt idx="2347">
                  <c:v>2.4259520245105439E-2</c:v>
                </c:pt>
                <c:pt idx="2348">
                  <c:v>2.4257567892929169E-2</c:v>
                </c:pt>
                <c:pt idx="2349">
                  <c:v>2.4252941023930857E-2</c:v>
                </c:pt>
                <c:pt idx="2350">
                  <c:v>2.4250928922116465E-2</c:v>
                </c:pt>
                <c:pt idx="2351">
                  <c:v>2.4248881661492579E-2</c:v>
                </c:pt>
                <c:pt idx="2352">
                  <c:v>2.4246799242166373E-2</c:v>
                </c:pt>
                <c:pt idx="2353">
                  <c:v>2.4244681664248521E-2</c:v>
                </c:pt>
                <c:pt idx="2354">
                  <c:v>2.4243175845619164E-2</c:v>
                </c:pt>
                <c:pt idx="2355">
                  <c:v>2.4240985292954001E-2</c:v>
                </c:pt>
                <c:pt idx="2356">
                  <c:v>2.4241323719707233E-2</c:v>
                </c:pt>
                <c:pt idx="2357">
                  <c:v>2.4236498705994126E-2</c:v>
                </c:pt>
                <c:pt idx="2358">
                  <c:v>2.4233566399747178E-2</c:v>
                </c:pt>
                <c:pt idx="2359">
                  <c:v>2.4231237872684584E-2</c:v>
                </c:pt>
                <c:pt idx="2360">
                  <c:v>2.422887418784947E-2</c:v>
                </c:pt>
                <c:pt idx="2361">
                  <c:v>2.4226475345366573E-2</c:v>
                </c:pt>
                <c:pt idx="2362">
                  <c:v>2.4224666934709878E-2</c:v>
                </c:pt>
                <c:pt idx="2363">
                  <c:v>2.422219510078763E-2</c:v>
                </c:pt>
                <c:pt idx="2364">
                  <c:v>2.4219688107276482E-2</c:v>
                </c:pt>
                <c:pt idx="2365">
                  <c:v>2.4217145954310536E-2</c:v>
                </c:pt>
                <c:pt idx="2366">
                  <c:v>2.4213583098659452E-2</c:v>
                </c:pt>
                <c:pt idx="2367">
                  <c:v>2.4210968290610688E-2</c:v>
                </c:pt>
                <c:pt idx="2368">
                  <c:v>2.4208318325858E-2</c:v>
                </c:pt>
                <c:pt idx="2369">
                  <c:v>2.4205633204540181E-2</c:v>
                </c:pt>
                <c:pt idx="2370">
                  <c:v>2.4202912926799096E-2</c:v>
                </c:pt>
                <c:pt idx="2371">
                  <c:v>2.4200157492777485E-2</c:v>
                </c:pt>
                <c:pt idx="2372">
                  <c:v>2.419736690262073E-2</c:v>
                </c:pt>
                <c:pt idx="2373">
                  <c:v>2.4194541156476401E-2</c:v>
                </c:pt>
                <c:pt idx="2374">
                  <c:v>2.4191680254493395E-2</c:v>
                </c:pt>
                <c:pt idx="2375">
                  <c:v>2.4190554180382458E-2</c:v>
                </c:pt>
                <c:pt idx="2376">
                  <c:v>2.4187614845126399E-2</c:v>
                </c:pt>
                <c:pt idx="2377">
                  <c:v>2.4184640347552314E-2</c:v>
                </c:pt>
                <c:pt idx="2378">
                  <c:v>2.418163068781834E-2</c:v>
                </c:pt>
                <c:pt idx="2379">
                  <c:v>2.4178585866086514E-2</c:v>
                </c:pt>
                <c:pt idx="2380">
                  <c:v>2.4175505882519297E-2</c:v>
                </c:pt>
                <c:pt idx="2381">
                  <c:v>2.4172390737282615E-2</c:v>
                </c:pt>
                <c:pt idx="2382">
                  <c:v>2.4166285826460934E-2</c:v>
                </c:pt>
                <c:pt idx="2383">
                  <c:v>2.4166054962466689E-2</c:v>
                </c:pt>
                <c:pt idx="2384">
                  <c:v>2.4160879159336519E-2</c:v>
                </c:pt>
                <c:pt idx="2385">
                  <c:v>2.4157611029617498E-2</c:v>
                </c:pt>
                <c:pt idx="2386">
                  <c:v>2.4154307741458839E-2</c:v>
                </c:pt>
                <c:pt idx="2387">
                  <c:v>2.4150969295036486E-2</c:v>
                </c:pt>
                <c:pt idx="2388">
                  <c:v>2.4147042244465716E-2</c:v>
                </c:pt>
                <c:pt idx="2389">
                  <c:v>2.4143636220366013E-2</c:v>
                </c:pt>
                <c:pt idx="2390">
                  <c:v>2.4140195040839765E-2</c:v>
                </c:pt>
                <c:pt idx="2391">
                  <c:v>2.4136718706069114E-2</c:v>
                </c:pt>
                <c:pt idx="2392">
                  <c:v>2.4134291935847419E-2</c:v>
                </c:pt>
                <c:pt idx="2393">
                  <c:v>2.4130200303055047E-2</c:v>
                </c:pt>
                <c:pt idx="2394">
                  <c:v>2.4126615753871049E-2</c:v>
                </c:pt>
                <c:pt idx="2395">
                  <c:v>2.4122996047898266E-2</c:v>
                </c:pt>
                <c:pt idx="2396">
                  <c:v>2.411934118532915E-2</c:v>
                </c:pt>
                <c:pt idx="2397">
                  <c:v>2.4115651166358335E-2</c:v>
                </c:pt>
                <c:pt idx="2398">
                  <c:v>2.4111925991183052E-2</c:v>
                </c:pt>
                <c:pt idx="2399">
                  <c:v>2.4108165660001832E-2</c:v>
                </c:pt>
                <c:pt idx="2400">
                  <c:v>2.4104370173013655E-2</c:v>
                </c:pt>
                <c:pt idx="2401">
                  <c:v>2.4099503950820014E-2</c:v>
                </c:pt>
                <c:pt idx="2402">
                  <c:v>2.4095643688678427E-2</c:v>
                </c:pt>
                <c:pt idx="2403">
                  <c:v>2.4091748275907616E-2</c:v>
                </c:pt>
                <c:pt idx="2404">
                  <c:v>2.4087817712712255E-2</c:v>
                </c:pt>
                <c:pt idx="2405">
                  <c:v>2.4083851999300531E-2</c:v>
                </c:pt>
                <c:pt idx="2406">
                  <c:v>2.4080355184843527E-2</c:v>
                </c:pt>
                <c:pt idx="2407">
                  <c:v>2.4075815122662488E-2</c:v>
                </c:pt>
                <c:pt idx="2408">
                  <c:v>2.4071743959860007E-2</c:v>
                </c:pt>
                <c:pt idx="2409">
                  <c:v>2.406763764768664E-2</c:v>
                </c:pt>
                <c:pt idx="2410">
                  <c:v>2.4063496186360233E-2</c:v>
                </c:pt>
                <c:pt idx="2411">
                  <c:v>2.4059319576096881E-2</c:v>
                </c:pt>
                <c:pt idx="2412">
                  <c:v>2.4055107817118379E-2</c:v>
                </c:pt>
                <c:pt idx="2413">
                  <c:v>2.4050860909645651E-2</c:v>
                </c:pt>
                <c:pt idx="2414">
                  <c:v>2.4046578853902698E-2</c:v>
                </c:pt>
                <c:pt idx="2415">
                  <c:v>2.4042261650114388E-2</c:v>
                </c:pt>
                <c:pt idx="2416">
                  <c:v>2.4037909298509554E-2</c:v>
                </c:pt>
                <c:pt idx="2417">
                  <c:v>2.4033521799316584E-2</c:v>
                </c:pt>
                <c:pt idx="2418">
                  <c:v>2.4027994081191932E-2</c:v>
                </c:pt>
                <c:pt idx="2419">
                  <c:v>2.4023534072873467E-2</c:v>
                </c:pt>
                <c:pt idx="2420">
                  <c:v>2.4019038919957936E-2</c:v>
                </c:pt>
                <c:pt idx="2421">
                  <c:v>2.4014508622682496E-2</c:v>
                </c:pt>
                <c:pt idx="2422">
                  <c:v>2.4009943181283865E-2</c:v>
                </c:pt>
                <c:pt idx="2423">
                  <c:v>2.4005342596000526E-2</c:v>
                </c:pt>
                <c:pt idx="2424">
                  <c:v>2.4000706867074052E-2</c:v>
                </c:pt>
                <c:pt idx="2425">
                  <c:v>2.3996035994747346E-2</c:v>
                </c:pt>
                <c:pt idx="2426">
                  <c:v>2.3991329979265071E-2</c:v>
                </c:pt>
                <c:pt idx="2427">
                  <c:v>2.3987923241705261E-2</c:v>
                </c:pt>
                <c:pt idx="2428">
                  <c:v>2.3983138459722463E-2</c:v>
                </c:pt>
                <c:pt idx="2429">
                  <c:v>2.3978318528592158E-2</c:v>
                </c:pt>
                <c:pt idx="2430">
                  <c:v>2.3973463448571101E-2</c:v>
                </c:pt>
                <c:pt idx="2431">
                  <c:v>2.3968139986161902E-2</c:v>
                </c:pt>
                <c:pt idx="2432">
                  <c:v>2.3961804549843826E-2</c:v>
                </c:pt>
                <c:pt idx="2433">
                  <c:v>2.3956836821611118E-2</c:v>
                </c:pt>
                <c:pt idx="2434">
                  <c:v>2.3951833947845589E-2</c:v>
                </c:pt>
                <c:pt idx="2435">
                  <c:v>2.394691440150086E-2</c:v>
                </c:pt>
                <c:pt idx="2436">
                  <c:v>2.3942976653388005E-2</c:v>
                </c:pt>
                <c:pt idx="2437">
                  <c:v>2.39378597992605E-2</c:v>
                </c:pt>
                <c:pt idx="2438">
                  <c:v>2.3932707793979609E-2</c:v>
                </c:pt>
                <c:pt idx="2439">
                  <c:v>2.3926292405371117E-2</c:v>
                </c:pt>
                <c:pt idx="2440">
                  <c:v>2.3921078664040866E-2</c:v>
                </c:pt>
                <c:pt idx="2441">
                  <c:v>2.3915829779071356E-2</c:v>
                </c:pt>
                <c:pt idx="2442">
                  <c:v>2.3910545750742151E-2</c:v>
                </c:pt>
                <c:pt idx="2443">
                  <c:v>2.3906420510039036E-2</c:v>
                </c:pt>
                <c:pt idx="2444">
                  <c:v>2.3901057603724303E-2</c:v>
                </c:pt>
                <c:pt idx="2445">
                  <c:v>2.3895659548236969E-2</c:v>
                </c:pt>
                <c:pt idx="2446">
                  <c:v>2.389022634386798E-2</c:v>
                </c:pt>
                <c:pt idx="2447">
                  <c:v>2.3884757990908712E-2</c:v>
                </c:pt>
                <c:pt idx="2448">
                  <c:v>2.3878103585995174E-2</c:v>
                </c:pt>
                <c:pt idx="2449">
                  <c:v>2.387371584040035E-2</c:v>
                </c:pt>
                <c:pt idx="2450">
                  <c:v>2.3868142043446044E-2</c:v>
                </c:pt>
                <c:pt idx="2451">
                  <c:v>2.3862533099090619E-2</c:v>
                </c:pt>
                <c:pt idx="2452">
                  <c:v>2.3855772645106389E-2</c:v>
                </c:pt>
                <c:pt idx="2453">
                  <c:v>2.3849362287598458E-2</c:v>
                </c:pt>
                <c:pt idx="2454">
                  <c:v>2.3843662331898097E-2</c:v>
                </c:pt>
                <c:pt idx="2455">
                  <c:v>2.3837927241023408E-2</c:v>
                </c:pt>
                <c:pt idx="2456">
                  <c:v>2.3832157015275586E-2</c:v>
                </c:pt>
                <c:pt idx="2457">
                  <c:v>2.3826710116489569E-2</c:v>
                </c:pt>
                <c:pt idx="2458">
                  <c:v>2.3820866727981123E-2</c:v>
                </c:pt>
                <c:pt idx="2459">
                  <c:v>2.381498820331715E-2</c:v>
                </c:pt>
                <c:pt idx="2460">
                  <c:v>2.3809074542807295E-2</c:v>
                </c:pt>
                <c:pt idx="2461">
                  <c:v>2.3803125746763399E-2</c:v>
                </c:pt>
                <c:pt idx="2462">
                  <c:v>2.3796797845511933E-2</c:v>
                </c:pt>
                <c:pt idx="2463">
                  <c:v>2.3790781684218592E-2</c:v>
                </c:pt>
                <c:pt idx="2464">
                  <c:v>2.3784730390523069E-2</c:v>
                </c:pt>
                <c:pt idx="2465">
                  <c:v>2.3778643964740252E-2</c:v>
                </c:pt>
                <c:pt idx="2466">
                  <c:v>2.3772854981011362E-2</c:v>
                </c:pt>
                <c:pt idx="2467">
                  <c:v>2.3766697546944125E-2</c:v>
                </c:pt>
                <c:pt idx="2468">
                  <c:v>2.376050916337151E-2</c:v>
                </c:pt>
                <c:pt idx="2469">
                  <c:v>2.3750727449235686E-2</c:v>
                </c:pt>
                <c:pt idx="2470">
                  <c:v>2.374683067422384E-2</c:v>
                </c:pt>
                <c:pt idx="2471">
                  <c:v>2.3741458094571958E-2</c:v>
                </c:pt>
                <c:pt idx="2472">
                  <c:v>2.3735169583269555E-2</c:v>
                </c:pt>
                <c:pt idx="2473">
                  <c:v>2.372886115062478E-2</c:v>
                </c:pt>
                <c:pt idx="2474">
                  <c:v>2.372253506190098E-2</c:v>
                </c:pt>
                <c:pt idx="2475">
                  <c:v>2.3716193582335867E-2</c:v>
                </c:pt>
                <c:pt idx="2476">
                  <c:v>2.3709838977135373E-2</c:v>
                </c:pt>
                <c:pt idx="2477">
                  <c:v>2.3703473511479802E-2</c:v>
                </c:pt>
                <c:pt idx="2478">
                  <c:v>2.3697099450520755E-2</c:v>
                </c:pt>
                <c:pt idx="2479">
                  <c:v>2.3692317919148241E-2</c:v>
                </c:pt>
                <c:pt idx="2480">
                  <c:v>2.3685935617770524E-2</c:v>
                </c:pt>
                <c:pt idx="2481">
                  <c:v>2.3679552195000796E-2</c:v>
                </c:pt>
                <c:pt idx="2482">
                  <c:v>2.3673169855701587E-2</c:v>
                </c:pt>
                <c:pt idx="2483">
                  <c:v>2.3665823652248591E-2</c:v>
                </c:pt>
                <c:pt idx="2484">
                  <c:v>2.3659447377205767E-2</c:v>
                </c:pt>
                <c:pt idx="2485">
                  <c:v>2.3653078540103914E-2</c:v>
                </c:pt>
                <c:pt idx="2486">
                  <c:v>2.3646719381400907E-2</c:v>
                </c:pt>
                <c:pt idx="2487">
                  <c:v>2.3640372141524483E-2</c:v>
                </c:pt>
                <c:pt idx="2488">
                  <c:v>2.3635022041345578E-2</c:v>
                </c:pt>
                <c:pt idx="2489">
                  <c:v>2.3628709020024823E-2</c:v>
                </c:pt>
                <c:pt idx="2490">
                  <c:v>2.3622414720029201E-2</c:v>
                </c:pt>
                <c:pt idx="2491">
                  <c:v>2.3616141345964244E-2</c:v>
                </c:pt>
                <c:pt idx="2492">
                  <c:v>2.3608892902399588E-2</c:v>
                </c:pt>
                <c:pt idx="2493">
                  <c:v>2.3602662066249603E-2</c:v>
                </c:pt>
                <c:pt idx="2494">
                  <c:v>2.3596454670277503E-2</c:v>
                </c:pt>
                <c:pt idx="2495">
                  <c:v>2.359128011354699E-2</c:v>
                </c:pt>
                <c:pt idx="2496">
                  <c:v>2.3585123417201564E-2</c:v>
                </c:pt>
                <c:pt idx="2497">
                  <c:v>2.3578990165222156E-2</c:v>
                </c:pt>
                <c:pt idx="2498">
                  <c:v>2.3572880357390445E-2</c:v>
                </c:pt>
                <c:pt idx="2499">
                  <c:v>2.3566793993486393E-2</c:v>
                </c:pt>
                <c:pt idx="2500">
                  <c:v>2.3559702525971706E-2</c:v>
                </c:pt>
                <c:pt idx="2501">
                  <c:v>2.3554691596589711E-2</c:v>
                </c:pt>
                <c:pt idx="2502">
                  <c:v>2.3548675563163018E-2</c:v>
                </c:pt>
                <c:pt idx="2503">
                  <c:v>2.354268297279543E-2</c:v>
                </c:pt>
                <c:pt idx="2504">
                  <c:v>2.3535669872552029E-2</c:v>
                </c:pt>
                <c:pt idx="2505">
                  <c:v>2.352902245246254E-2</c:v>
                </c:pt>
                <c:pt idx="2506">
                  <c:v>2.3523093743985014E-2</c:v>
                </c:pt>
                <c:pt idx="2507">
                  <c:v>2.3517188469695562E-2</c:v>
                </c:pt>
                <c:pt idx="2508">
                  <c:v>2.3511306629385286E-2</c:v>
                </c:pt>
                <c:pt idx="2509">
                  <c:v>2.3505802244318207E-2</c:v>
                </c:pt>
                <c:pt idx="2510">
                  <c:v>2.3499968566552298E-2</c:v>
                </c:pt>
                <c:pt idx="2511">
                  <c:v>2.3494158323752446E-2</c:v>
                </c:pt>
                <c:pt idx="2512">
                  <c:v>2.3488371515714417E-2</c:v>
                </c:pt>
                <c:pt idx="2513">
                  <c:v>2.3482608142235732E-2</c:v>
                </c:pt>
                <c:pt idx="2514">
                  <c:v>2.3476507689669621E-2</c:v>
                </c:pt>
                <c:pt idx="2515">
                  <c:v>2.347078988151825E-2</c:v>
                </c:pt>
                <c:pt idx="2516">
                  <c:v>2.3465095505726577E-2</c:v>
                </c:pt>
                <c:pt idx="2517">
                  <c:v>2.345942456209631E-2</c:v>
                </c:pt>
                <c:pt idx="2518">
                  <c:v>2.3454142786170938E-2</c:v>
                </c:pt>
                <c:pt idx="2519">
                  <c:v>2.3448520015824471E-2</c:v>
                </c:pt>
                <c:pt idx="2520">
                  <c:v>2.344292067863803E-2</c:v>
                </c:pt>
                <c:pt idx="2521">
                  <c:v>2.3437344774415291E-2</c:v>
                </c:pt>
                <c:pt idx="2522">
                  <c:v>2.3431421319467252E-2</c:v>
                </c:pt>
                <c:pt idx="2523">
                  <c:v>2.3425890964676562E-2</c:v>
                </c:pt>
                <c:pt idx="2524">
                  <c:v>2.3420384040678643E-2</c:v>
                </c:pt>
                <c:pt idx="2525">
                  <c:v>2.3414900547281393E-2</c:v>
                </c:pt>
                <c:pt idx="2526">
                  <c:v>2.3409440484293133E-2</c:v>
                </c:pt>
                <c:pt idx="2527">
                  <c:v>2.3404003851523084E-2</c:v>
                </c:pt>
                <c:pt idx="2528">
                  <c:v>2.3398590648781338E-2</c:v>
                </c:pt>
                <c:pt idx="2529">
                  <c:v>2.339320087587932E-2</c:v>
                </c:pt>
                <c:pt idx="2530">
                  <c:v>2.3387834532628448E-2</c:v>
                </c:pt>
                <c:pt idx="2531">
                  <c:v>2.3384407474724627E-2</c:v>
                </c:pt>
                <c:pt idx="2532">
                  <c:v>2.3379094642963862E-2</c:v>
                </c:pt>
                <c:pt idx="2533">
                  <c:v>2.3373805248178895E-2</c:v>
                </c:pt>
                <c:pt idx="2534">
                  <c:v>2.3368539290178059E-2</c:v>
                </c:pt>
                <c:pt idx="2535">
                  <c:v>2.3362130826524257E-2</c:v>
                </c:pt>
                <c:pt idx="2536">
                  <c:v>2.3356907730365833E-2</c:v>
                </c:pt>
                <c:pt idx="2537">
                  <c:v>2.3351708065708961E-2</c:v>
                </c:pt>
                <c:pt idx="2538">
                  <c:v>2.3346531832371484E-2</c:v>
                </c:pt>
                <c:pt idx="2539">
                  <c:v>2.3341379030170823E-2</c:v>
                </c:pt>
                <c:pt idx="2540">
                  <c:v>2.3337435704139264E-2</c:v>
                </c:pt>
                <c:pt idx="2541">
                  <c:v>2.3332333798391069E-2</c:v>
                </c:pt>
                <c:pt idx="2542">
                  <c:v>2.332725532794002E-2</c:v>
                </c:pt>
                <c:pt idx="2543">
                  <c:v>2.332220029260389E-2</c:v>
                </c:pt>
                <c:pt idx="2544">
                  <c:v>2.3315966479873291E-2</c:v>
                </c:pt>
                <c:pt idx="2545">
                  <c:v>2.3310954260698943E-2</c:v>
                </c:pt>
                <c:pt idx="2546">
                  <c:v>2.3305965471406016E-2</c:v>
                </c:pt>
                <c:pt idx="2547">
                  <c:v>2.3301000111816732E-2</c:v>
                </c:pt>
                <c:pt idx="2548">
                  <c:v>2.3297276636329155E-2</c:v>
                </c:pt>
                <c:pt idx="2549">
                  <c:v>2.32923622079028E-2</c:v>
                </c:pt>
                <c:pt idx="2550">
                  <c:v>2.3287471213340752E-2</c:v>
                </c:pt>
                <c:pt idx="2551">
                  <c:v>2.3282603652465528E-2</c:v>
                </c:pt>
                <c:pt idx="2552">
                  <c:v>2.3277759525103497E-2</c:v>
                </c:pt>
                <c:pt idx="2553">
                  <c:v>2.3272938831080173E-2</c:v>
                </c:pt>
                <c:pt idx="2554">
                  <c:v>2.3268141570223659E-2</c:v>
                </c:pt>
                <c:pt idx="2555">
                  <c:v>2.3263367742361183E-2</c:v>
                </c:pt>
                <c:pt idx="2556">
                  <c:v>2.3258617347320841E-2</c:v>
                </c:pt>
                <c:pt idx="2557">
                  <c:v>2.3252216985173595E-2</c:v>
                </c:pt>
                <c:pt idx="2558">
                  <c:v>2.3247507969911471E-2</c:v>
                </c:pt>
                <c:pt idx="2559">
                  <c:v>2.3242822380752162E-2</c:v>
                </c:pt>
                <c:pt idx="2560">
                  <c:v>2.3238160217530529E-2</c:v>
                </c:pt>
                <c:pt idx="2561">
                  <c:v>2.3233521480084063E-2</c:v>
                </c:pt>
                <c:pt idx="2562">
                  <c:v>2.3229331165281485E-2</c:v>
                </c:pt>
                <c:pt idx="2563">
                  <c:v>2.3224740657686892E-2</c:v>
                </c:pt>
                <c:pt idx="2564">
                  <c:v>2.3220173576929595E-2</c:v>
                </c:pt>
                <c:pt idx="2565">
                  <c:v>2.3215629922848421E-2</c:v>
                </c:pt>
                <c:pt idx="2566">
                  <c:v>2.3210679173800673E-2</c:v>
                </c:pt>
                <c:pt idx="2567">
                  <c:v>2.3206180987610989E-2</c:v>
                </c:pt>
                <c:pt idx="2568">
                  <c:v>2.3201706226073416E-2</c:v>
                </c:pt>
                <c:pt idx="2569">
                  <c:v>2.3197254889030714E-2</c:v>
                </c:pt>
                <c:pt idx="2570">
                  <c:v>2.3193263046996648E-2</c:v>
                </c:pt>
                <c:pt idx="2571">
                  <c:v>2.3188859949631904E-2</c:v>
                </c:pt>
                <c:pt idx="2572">
                  <c:v>2.3184480277837712E-2</c:v>
                </c:pt>
                <c:pt idx="2573">
                  <c:v>2.318012403145988E-2</c:v>
                </c:pt>
                <c:pt idx="2574">
                  <c:v>2.3175791210344653E-2</c:v>
                </c:pt>
                <c:pt idx="2575">
                  <c:v>2.317103877247529E-2</c:v>
                </c:pt>
                <c:pt idx="2576">
                  <c:v>2.3166751402566965E-2</c:v>
                </c:pt>
                <c:pt idx="2577">
                  <c:v>2.3162487455927677E-2</c:v>
                </c:pt>
                <c:pt idx="2578">
                  <c:v>2.315824693240634E-2</c:v>
                </c:pt>
                <c:pt idx="2579">
                  <c:v>2.3154029831853624E-2</c:v>
                </c:pt>
                <c:pt idx="2580">
                  <c:v>2.3149836154122829E-2</c:v>
                </c:pt>
                <c:pt idx="2581">
                  <c:v>2.3145665899065946E-2</c:v>
                </c:pt>
                <c:pt idx="2582">
                  <c:v>2.3141519066535839E-2</c:v>
                </c:pt>
                <c:pt idx="2583">
                  <c:v>2.3139213685461416E-2</c:v>
                </c:pt>
                <c:pt idx="2584">
                  <c:v>2.3135119343335862E-2</c:v>
                </c:pt>
                <c:pt idx="2585">
                  <c:v>2.3131048429431821E-2</c:v>
                </c:pt>
                <c:pt idx="2586">
                  <c:v>2.3127000943603607E-2</c:v>
                </c:pt>
                <c:pt idx="2587">
                  <c:v>2.3121596166251566E-2</c:v>
                </c:pt>
                <c:pt idx="2588">
                  <c:v>2.3117591283125235E-2</c:v>
                </c:pt>
                <c:pt idx="2589">
                  <c:v>2.311360982305475E-2</c:v>
                </c:pt>
                <c:pt idx="2590">
                  <c:v>2.3109651785898144E-2</c:v>
                </c:pt>
                <c:pt idx="2591">
                  <c:v>2.3105717171517388E-2</c:v>
                </c:pt>
                <c:pt idx="2592">
                  <c:v>2.3103208010149621E-2</c:v>
                </c:pt>
                <c:pt idx="2593">
                  <c:v>2.3099324516831728E-2</c:v>
                </c:pt>
                <c:pt idx="2594">
                  <c:v>2.3095464450451644E-2</c:v>
                </c:pt>
                <c:pt idx="2595">
                  <c:v>2.3091627810870558E-2</c:v>
                </c:pt>
                <c:pt idx="2596">
                  <c:v>2.308639543639885E-2</c:v>
                </c:pt>
                <c:pt idx="2597">
                  <c:v>2.3082601355779334E-2</c:v>
                </c:pt>
                <c:pt idx="2598">
                  <c:v>2.3078830696979056E-2</c:v>
                </c:pt>
                <c:pt idx="2599">
                  <c:v>2.3075083459865666E-2</c:v>
                </c:pt>
                <c:pt idx="2600">
                  <c:v>2.3071359644306368E-2</c:v>
                </c:pt>
                <c:pt idx="2601">
                  <c:v>2.3069099928510559E-2</c:v>
                </c:pt>
                <c:pt idx="2602">
                  <c:v>2.3065427272716023E-2</c:v>
                </c:pt>
                <c:pt idx="2603">
                  <c:v>2.306177804264177E-2</c:v>
                </c:pt>
                <c:pt idx="2604">
                  <c:v>2.3058152238157593E-2</c:v>
                </c:pt>
                <c:pt idx="2605">
                  <c:v>2.3054549859134552E-2</c:v>
                </c:pt>
                <c:pt idx="2606">
                  <c:v>2.3050970905442437E-2</c:v>
                </c:pt>
                <c:pt idx="2607">
                  <c:v>2.3047415376952742E-2</c:v>
                </c:pt>
                <c:pt idx="2608">
                  <c:v>2.3043883273538689E-2</c:v>
                </c:pt>
                <c:pt idx="2609">
                  <c:v>2.3037916489326033E-2</c:v>
                </c:pt>
                <c:pt idx="2610">
                  <c:v>2.3034423980926866E-2</c:v>
                </c:pt>
                <c:pt idx="2611">
                  <c:v>2.3030954889653173E-2</c:v>
                </c:pt>
                <c:pt idx="2612">
                  <c:v>2.3027509215383948E-2</c:v>
                </c:pt>
                <c:pt idx="2613">
                  <c:v>2.3024086957998628E-2</c:v>
                </c:pt>
                <c:pt idx="2614">
                  <c:v>2.3021186687211689E-2</c:v>
                </c:pt>
                <c:pt idx="2615">
                  <c:v>2.3017812721348511E-2</c:v>
                </c:pt>
                <c:pt idx="2616">
                  <c:v>2.3014462173525145E-2</c:v>
                </c:pt>
                <c:pt idx="2617">
                  <c:v>2.3011135043623451E-2</c:v>
                </c:pt>
                <c:pt idx="2618">
                  <c:v>2.3007326920178719E-2</c:v>
                </c:pt>
                <c:pt idx="2619">
                  <c:v>2.3004045161617907E-2</c:v>
                </c:pt>
                <c:pt idx="2620">
                  <c:v>2.3000786819121759E-2</c:v>
                </c:pt>
                <c:pt idx="2621">
                  <c:v>2.2997551892576337E-2</c:v>
                </c:pt>
                <c:pt idx="2622">
                  <c:v>2.2994850658883886E-2</c:v>
                </c:pt>
                <c:pt idx="2623">
                  <c:v>2.2991664034089081E-2</c:v>
                </c:pt>
                <c:pt idx="2624">
                  <c:v>2.298850082641658E-2</c:v>
                </c:pt>
                <c:pt idx="2625">
                  <c:v>2.2985361035753511E-2</c:v>
                </c:pt>
                <c:pt idx="2626">
                  <c:v>2.2981801377317805E-2</c:v>
                </c:pt>
                <c:pt idx="2627">
                  <c:v>2.2978193911576513E-2</c:v>
                </c:pt>
                <c:pt idx="2628">
                  <c:v>2.2975126238590604E-2</c:v>
                </c:pt>
                <c:pt idx="2629">
                  <c:v>2.2972081980659781E-2</c:v>
                </c:pt>
                <c:pt idx="2630">
                  <c:v>2.2969061137678052E-2</c:v>
                </c:pt>
                <c:pt idx="2631">
                  <c:v>2.296606370953987E-2</c:v>
                </c:pt>
                <c:pt idx="2632">
                  <c:v>2.2963089696140124E-2</c:v>
                </c:pt>
                <c:pt idx="2633">
                  <c:v>2.2960139097376795E-2</c:v>
                </c:pt>
                <c:pt idx="2634">
                  <c:v>2.2957211913145214E-2</c:v>
                </c:pt>
                <c:pt idx="2635">
                  <c:v>2.2956428010763332E-2</c:v>
                </c:pt>
                <c:pt idx="2636">
                  <c:v>2.295355361629127E-2</c:v>
                </c:pt>
                <c:pt idx="2637">
                  <c:v>2.2950702642047127E-2</c:v>
                </c:pt>
                <c:pt idx="2638">
                  <c:v>2.2947875087927633E-2</c:v>
                </c:pt>
                <c:pt idx="2639">
                  <c:v>2.2943462894729635E-2</c:v>
                </c:pt>
                <c:pt idx="2640">
                  <c:v>2.2942290239661621E-2</c:v>
                </c:pt>
                <c:pt idx="2641">
                  <c:v>2.2939532945316345E-2</c:v>
                </c:pt>
                <c:pt idx="2642">
                  <c:v>2.2934164463776472E-2</c:v>
                </c:pt>
                <c:pt idx="2643">
                  <c:v>2.293408861570996E-2</c:v>
                </c:pt>
                <c:pt idx="2644">
                  <c:v>2.2931401580253551E-2</c:v>
                </c:pt>
                <c:pt idx="2645">
                  <c:v>2.2928737964234339E-2</c:v>
                </c:pt>
                <c:pt idx="2646">
                  <c:v>2.2926097767555977E-2</c:v>
                </c:pt>
                <c:pt idx="2647">
                  <c:v>2.2923480990126425E-2</c:v>
                </c:pt>
                <c:pt idx="2648">
                  <c:v>2.2920887631850621E-2</c:v>
                </c:pt>
                <c:pt idx="2649">
                  <c:v>2.2918317692636105E-2</c:v>
                </c:pt>
                <c:pt idx="2650">
                  <c:v>2.2915771172392133E-2</c:v>
                </c:pt>
                <c:pt idx="2651">
                  <c:v>2.2913248071027108E-2</c:v>
                </c:pt>
                <c:pt idx="2652">
                  <c:v>2.2910748388451151E-2</c:v>
                </c:pt>
                <c:pt idx="2653">
                  <c:v>2.2908272124574823E-2</c:v>
                </c:pt>
                <c:pt idx="2654">
                  <c:v>2.2905819279309975E-2</c:v>
                </c:pt>
                <c:pt idx="2655">
                  <c:v>2.2903389852569331E-2</c:v>
                </c:pt>
                <c:pt idx="2656">
                  <c:v>2.2900983844266039E-2</c:v>
                </c:pt>
                <c:pt idx="2657">
                  <c:v>2.2898601254313679E-2</c:v>
                </c:pt>
                <c:pt idx="2658">
                  <c:v>2.2896242082628863E-2</c:v>
                </c:pt>
                <c:pt idx="2659">
                  <c:v>2.28939063291256E-2</c:v>
                </c:pt>
                <c:pt idx="2660">
                  <c:v>2.2891593993720934E-2</c:v>
                </c:pt>
                <c:pt idx="2661">
                  <c:v>2.288702827808425E-2</c:v>
                </c:pt>
                <c:pt idx="2662">
                  <c:v>2.2884756662252679E-2</c:v>
                </c:pt>
                <c:pt idx="2663">
                  <c:v>2.2882508458322032E-2</c:v>
                </c:pt>
                <c:pt idx="2664">
                  <c:v>2.2880283666214144E-2</c:v>
                </c:pt>
                <c:pt idx="2665">
                  <c:v>2.2878657354237466E-2</c:v>
                </c:pt>
                <c:pt idx="2666">
                  <c:v>2.287648092028045E-2</c:v>
                </c:pt>
                <c:pt idx="2667">
                  <c:v>2.2876642170873668E-2</c:v>
                </c:pt>
                <c:pt idx="2668">
                  <c:v>2.2872198291527725E-2</c:v>
                </c:pt>
                <c:pt idx="2669">
                  <c:v>2.2870092096580485E-2</c:v>
                </c:pt>
                <c:pt idx="2670">
                  <c:v>2.2867426557537866E-2</c:v>
                </c:pt>
                <c:pt idx="2671">
                  <c:v>2.2865365646056176E-2</c:v>
                </c:pt>
                <c:pt idx="2672">
                  <c:v>2.2863328145797938E-2</c:v>
                </c:pt>
                <c:pt idx="2673">
                  <c:v>2.2861314056692943E-2</c:v>
                </c:pt>
                <c:pt idx="2674">
                  <c:v>2.2859912313205551E-2</c:v>
                </c:pt>
                <c:pt idx="2675">
                  <c:v>2.2857946594304051E-2</c:v>
                </c:pt>
                <c:pt idx="2676">
                  <c:v>2.2856004287828836E-2</c:v>
                </c:pt>
                <c:pt idx="2677">
                  <c:v>2.2854085393714019E-2</c:v>
                </c:pt>
                <c:pt idx="2678">
                  <c:v>2.2849597845448759E-2</c:v>
                </c:pt>
                <c:pt idx="2679">
                  <c:v>2.2849522693744087E-2</c:v>
                </c:pt>
                <c:pt idx="2680">
                  <c:v>2.2847684070070116E-2</c:v>
                </c:pt>
                <c:pt idx="2681">
                  <c:v>2.2845868858463597E-2</c:v>
                </c:pt>
                <c:pt idx="2682">
                  <c:v>2.2844077058861278E-2</c:v>
                </c:pt>
                <c:pt idx="2683">
                  <c:v>2.284230867119948E-2</c:v>
                </c:pt>
                <c:pt idx="2684">
                  <c:v>2.2840563695417149E-2</c:v>
                </c:pt>
                <c:pt idx="2685">
                  <c:v>2.2838842131451917E-2</c:v>
                </c:pt>
                <c:pt idx="2686">
                  <c:v>2.2837143979244495E-2</c:v>
                </c:pt>
                <c:pt idx="2687">
                  <c:v>2.2836689459679437E-2</c:v>
                </c:pt>
                <c:pt idx="2688">
                  <c:v>2.2835041267436317E-2</c:v>
                </c:pt>
                <c:pt idx="2689">
                  <c:v>2.2833416489732632E-2</c:v>
                </c:pt>
                <c:pt idx="2690">
                  <c:v>2.2831815126512781E-2</c:v>
                </c:pt>
                <c:pt idx="2691">
                  <c:v>2.282962069691076E-2</c:v>
                </c:pt>
                <c:pt idx="2692">
                  <c:v>2.2828064588152407E-2</c:v>
                </c:pt>
                <c:pt idx="2693">
                  <c:v>2.2826098279418647E-2</c:v>
                </c:pt>
                <c:pt idx="2694">
                  <c:v>2.2825022609089442E-2</c:v>
                </c:pt>
                <c:pt idx="2695">
                  <c:v>2.2823536738677815E-2</c:v>
                </c:pt>
                <c:pt idx="2696">
                  <c:v>2.2822698648208344E-2</c:v>
                </c:pt>
                <c:pt idx="2697">
                  <c:v>2.282126118482437E-2</c:v>
                </c:pt>
                <c:pt idx="2698">
                  <c:v>2.2819847135491525E-2</c:v>
                </c:pt>
                <c:pt idx="2699">
                  <c:v>2.2818456500159418E-2</c:v>
                </c:pt>
                <c:pt idx="2700">
                  <c:v>2.2816458575743794E-2</c:v>
                </c:pt>
                <c:pt idx="2701">
                  <c:v>2.2815113180631754E-2</c:v>
                </c:pt>
                <c:pt idx="2702">
                  <c:v>2.2813791197899072E-2</c:v>
                </c:pt>
                <c:pt idx="2703">
                  <c:v>2.28124926274977E-2</c:v>
                </c:pt>
                <c:pt idx="2704">
                  <c:v>2.2812491773372544E-2</c:v>
                </c:pt>
                <c:pt idx="2705">
                  <c:v>2.2810604379493137E-2</c:v>
                </c:pt>
                <c:pt idx="2706">
                  <c:v>2.2809377640836393E-2</c:v>
                </c:pt>
                <c:pt idx="2707">
                  <c:v>2.2808174315808512E-2</c:v>
                </c:pt>
                <c:pt idx="2708">
                  <c:v>2.280699440436822E-2</c:v>
                </c:pt>
                <c:pt idx="2709">
                  <c:v>2.2805837906473815E-2</c:v>
                </c:pt>
                <c:pt idx="2710">
                  <c:v>2.2804704822082283E-2</c:v>
                </c:pt>
                <c:pt idx="2711">
                  <c:v>2.280359515115583E-2</c:v>
                </c:pt>
                <c:pt idx="2712">
                  <c:v>2.2802508893654056E-2</c:v>
                </c:pt>
                <c:pt idx="2713">
                  <c:v>2.2800143315585809E-2</c:v>
                </c:pt>
                <c:pt idx="2714">
                  <c:v>2.2799100671382747E-2</c:v>
                </c:pt>
                <c:pt idx="2715">
                  <c:v>2.2798081437542122E-2</c:v>
                </c:pt>
                <c:pt idx="2716">
                  <c:v>2.2797085614027924E-2</c:v>
                </c:pt>
                <c:pt idx="2717">
                  <c:v>2.2793484170562921E-2</c:v>
                </c:pt>
                <c:pt idx="2718">
                  <c:v>2.2795164197841326E-2</c:v>
                </c:pt>
                <c:pt idx="2719">
                  <c:v>2.2794238605100416E-2</c:v>
                </c:pt>
                <c:pt idx="2720">
                  <c:v>2.2793336422551089E-2</c:v>
                </c:pt>
                <c:pt idx="2721">
                  <c:v>2.2792457650160847E-2</c:v>
                </c:pt>
                <c:pt idx="2722">
                  <c:v>2.2791602287901582E-2</c:v>
                </c:pt>
                <c:pt idx="2723">
                  <c:v>2.2790770335739917E-2</c:v>
                </c:pt>
                <c:pt idx="2724">
                  <c:v>2.2789961793649054E-2</c:v>
                </c:pt>
                <c:pt idx="2725">
                  <c:v>2.278917666159869E-2</c:v>
                </c:pt>
                <c:pt idx="2726">
                  <c:v>2.2788414939563791E-2</c:v>
                </c:pt>
                <c:pt idx="2727">
                  <c:v>2.2787676627514492E-2</c:v>
                </c:pt>
                <c:pt idx="2728">
                  <c:v>2.2786961725427074E-2</c:v>
                </c:pt>
                <c:pt idx="2729">
                  <c:v>2.2786270233276062E-2</c:v>
                </c:pt>
                <c:pt idx="2730">
                  <c:v>2.2784829783773015E-2</c:v>
                </c:pt>
                <c:pt idx="2731">
                  <c:v>2.278418682402172E-2</c:v>
                </c:pt>
                <c:pt idx="2732">
                  <c:v>2.2783567272660347E-2</c:v>
                </c:pt>
                <c:pt idx="2733">
                  <c:v>2.2782971129667255E-2</c:v>
                </c:pt>
                <c:pt idx="2734">
                  <c:v>2.2782398395021688E-2</c:v>
                </c:pt>
                <c:pt idx="2735">
                  <c:v>2.2781849068703775E-2</c:v>
                </c:pt>
                <c:pt idx="2736">
                  <c:v>2.2781323150694078E-2</c:v>
                </c:pt>
                <c:pt idx="2737">
                  <c:v>2.2780820640974499E-2</c:v>
                </c:pt>
                <c:pt idx="2738">
                  <c:v>2.2780341539526922E-2</c:v>
                </c:pt>
                <c:pt idx="2739">
                  <c:v>2.2781967133318724E-2</c:v>
                </c:pt>
                <c:pt idx="2740">
                  <c:v>2.2781539783756466E-2</c:v>
                </c:pt>
                <c:pt idx="2741">
                  <c:v>2.2781135846836033E-2</c:v>
                </c:pt>
                <c:pt idx="2742">
                  <c:v>2.2780755322543519E-2</c:v>
                </c:pt>
                <c:pt idx="2743">
                  <c:v>2.2779599468733074E-2</c:v>
                </c:pt>
                <c:pt idx="2744">
                  <c:v>2.2779270807319799E-2</c:v>
                </c:pt>
                <c:pt idx="2745">
                  <c:v>2.2778965557019568E-2</c:v>
                </c:pt>
                <c:pt idx="2746">
                  <c:v>2.2778683717823652E-2</c:v>
                </c:pt>
                <c:pt idx="2747">
                  <c:v>2.2779806195946932E-2</c:v>
                </c:pt>
                <c:pt idx="2748">
                  <c:v>2.2780318688145999E-2</c:v>
                </c:pt>
                <c:pt idx="2749">
                  <c:v>2.2780112059866353E-2</c:v>
                </c:pt>
                <c:pt idx="2750">
                  <c:v>2.2779928847072171E-2</c:v>
                </c:pt>
                <c:pt idx="2751">
                  <c:v>2.2777625688069791E-2</c:v>
                </c:pt>
                <c:pt idx="2752">
                  <c:v>2.2777484315312353E-2</c:v>
                </c:pt>
                <c:pt idx="2753">
                  <c:v>2.277736635360594E-2</c:v>
                </c:pt>
                <c:pt idx="2754">
                  <c:v>2.277727180294618E-2</c:v>
                </c:pt>
                <c:pt idx="2755">
                  <c:v>2.2779364015193267E-2</c:v>
                </c:pt>
                <c:pt idx="2756">
                  <c:v>2.2779321295207437E-2</c:v>
                </c:pt>
                <c:pt idx="2757">
                  <c:v>2.2779301990679568E-2</c:v>
                </c:pt>
                <c:pt idx="2758">
                  <c:v>2.277930610160837E-2</c:v>
                </c:pt>
                <c:pt idx="2759">
                  <c:v>2.2779333627994704E-2</c:v>
                </c:pt>
                <c:pt idx="2760">
                  <c:v>2.2777196130840224E-2</c:v>
                </c:pt>
                <c:pt idx="2761">
                  <c:v>2.2779458927142966E-2</c:v>
                </c:pt>
                <c:pt idx="2762">
                  <c:v>2.2779556699909619E-2</c:v>
                </c:pt>
                <c:pt idx="2763">
                  <c:v>2.2779677888143262E-2</c:v>
                </c:pt>
                <c:pt idx="2764">
                  <c:v>2.2777613903593882E-2</c:v>
                </c:pt>
                <c:pt idx="2765">
                  <c:v>2.2777039379338133E-2</c:v>
                </c:pt>
                <c:pt idx="2766">
                  <c:v>2.2777224077376534E-2</c:v>
                </c:pt>
                <c:pt idx="2767">
                  <c:v>2.2777432185009203E-2</c:v>
                </c:pt>
                <c:pt idx="2768">
                  <c:v>2.2777663702243597E-2</c:v>
                </c:pt>
                <c:pt idx="2769">
                  <c:v>2.2778662868355927E-2</c:v>
                </c:pt>
                <c:pt idx="2770">
                  <c:v>2.2778942894551821E-2</c:v>
                </c:pt>
                <c:pt idx="2771">
                  <c:v>2.2782238744480585E-2</c:v>
                </c:pt>
                <c:pt idx="2772">
                  <c:v>2.2779573180260908E-2</c:v>
                </c:pt>
                <c:pt idx="2773">
                  <c:v>2.2779923439796821E-2</c:v>
                </c:pt>
                <c:pt idx="2774">
                  <c:v>2.2779544407796646E-2</c:v>
                </c:pt>
                <c:pt idx="2775">
                  <c:v>2.2779939792516777E-2</c:v>
                </c:pt>
                <c:pt idx="2776">
                  <c:v>2.2780358586926036E-2</c:v>
                </c:pt>
                <c:pt idx="2777">
                  <c:v>2.2780800791039363E-2</c:v>
                </c:pt>
                <c:pt idx="2778">
                  <c:v>2.2782025904808524E-2</c:v>
                </c:pt>
                <c:pt idx="2779">
                  <c:v>2.2782516631380471E-2</c:v>
                </c:pt>
                <c:pt idx="2780">
                  <c:v>2.2783030769180784E-2</c:v>
                </c:pt>
                <c:pt idx="2781">
                  <c:v>2.2783886000292068E-2</c:v>
                </c:pt>
                <c:pt idx="2782">
                  <c:v>2.2783444762020856E-2</c:v>
                </c:pt>
                <c:pt idx="2783">
                  <c:v>2.2783945620441969E-2</c:v>
                </c:pt>
                <c:pt idx="2784">
                  <c:v>2.2784551692967323E-2</c:v>
                </c:pt>
                <c:pt idx="2785">
                  <c:v>2.2785181175344314E-2</c:v>
                </c:pt>
                <c:pt idx="2786">
                  <c:v>2.2785834067595347E-2</c:v>
                </c:pt>
                <c:pt idx="2787">
                  <c:v>2.2786510369741938E-2</c:v>
                </c:pt>
                <c:pt idx="2788">
                  <c:v>2.2787210081810005E-2</c:v>
                </c:pt>
                <c:pt idx="2789">
                  <c:v>2.2787933203822386E-2</c:v>
                </c:pt>
                <c:pt idx="2790">
                  <c:v>2.278867973580543E-2</c:v>
                </c:pt>
                <c:pt idx="2791">
                  <c:v>2.2792577878613499E-2</c:v>
                </c:pt>
                <c:pt idx="2792">
                  <c:v>2.2793378120667625E-2</c:v>
                </c:pt>
                <c:pt idx="2793">
                  <c:v>2.2794201778683396E-2</c:v>
                </c:pt>
                <c:pt idx="2794">
                  <c:v>2.2795048852690892E-2</c:v>
                </c:pt>
                <c:pt idx="2795">
                  <c:v>2.2793552197918437E-2</c:v>
                </c:pt>
                <c:pt idx="2796">
                  <c:v>2.2794440918404053E-2</c:v>
                </c:pt>
                <c:pt idx="2797">
                  <c:v>2.2795353050540871E-2</c:v>
                </c:pt>
                <c:pt idx="2798">
                  <c:v>2.2796288594357273E-2</c:v>
                </c:pt>
                <c:pt idx="2799">
                  <c:v>2.2797247549889526E-2</c:v>
                </c:pt>
                <c:pt idx="2800">
                  <c:v>2.2800623034318568E-2</c:v>
                </c:pt>
                <c:pt idx="2801">
                  <c:v>2.2801634021164634E-2</c:v>
                </c:pt>
                <c:pt idx="2802">
                  <c:v>2.2802668424268022E-2</c:v>
                </c:pt>
                <c:pt idx="2803">
                  <c:v>2.2803726243668269E-2</c:v>
                </c:pt>
                <c:pt idx="2804">
                  <c:v>2.2802393504481367E-2</c:v>
                </c:pt>
                <c:pt idx="2805">
                  <c:v>2.2803492931039032E-2</c:v>
                </c:pt>
                <c:pt idx="2806">
                  <c:v>2.2804615769567636E-2</c:v>
                </c:pt>
                <c:pt idx="2807">
                  <c:v>2.2805762020103433E-2</c:v>
                </c:pt>
                <c:pt idx="2808">
                  <c:v>2.2809366586452069E-2</c:v>
                </c:pt>
                <c:pt idx="2809">
                  <c:v>2.2810564904448726E-2</c:v>
                </c:pt>
                <c:pt idx="2810">
                  <c:v>2.2811786639025028E-2</c:v>
                </c:pt>
                <c:pt idx="2811">
                  <c:v>2.2813031790223089E-2</c:v>
                </c:pt>
                <c:pt idx="2812">
                  <c:v>2.2814300358088038E-2</c:v>
                </c:pt>
                <c:pt idx="2813">
                  <c:v>2.2815592342666283E-2</c:v>
                </c:pt>
                <c:pt idx="2814">
                  <c:v>2.2816907744002097E-2</c:v>
                </c:pt>
                <c:pt idx="2815">
                  <c:v>2.2818246562144897E-2</c:v>
                </c:pt>
                <c:pt idx="2816">
                  <c:v>2.2819608797141101E-2</c:v>
                </c:pt>
                <c:pt idx="2817">
                  <c:v>2.2816858374496703E-2</c:v>
                </c:pt>
                <c:pt idx="2818">
                  <c:v>2.2818258638817993E-2</c:v>
                </c:pt>
                <c:pt idx="2819">
                  <c:v>2.2819682312717648E-2</c:v>
                </c:pt>
                <c:pt idx="2820">
                  <c:v>2.2821129396246895E-2</c:v>
                </c:pt>
                <c:pt idx="2821">
                  <c:v>2.2823433749130213E-2</c:v>
                </c:pt>
                <c:pt idx="2822">
                  <c:v>2.2824929418481219E-2</c:v>
                </c:pt>
                <c:pt idx="2823">
                  <c:v>2.2826448499101194E-2</c:v>
                </c:pt>
                <c:pt idx="2824">
                  <c:v>2.2827990991043722E-2</c:v>
                </c:pt>
                <c:pt idx="2825">
                  <c:v>2.2829556894361502E-2</c:v>
                </c:pt>
                <c:pt idx="2826">
                  <c:v>2.2830303502518901E-2</c:v>
                </c:pt>
                <c:pt idx="2827">
                  <c:v>2.2831914454911818E-2</c:v>
                </c:pt>
                <c:pt idx="2828">
                  <c:v>2.2833548817360071E-2</c:v>
                </c:pt>
                <c:pt idx="2829">
                  <c:v>2.2835206589921948E-2</c:v>
                </c:pt>
                <c:pt idx="2830">
                  <c:v>2.2837737583551742E-2</c:v>
                </c:pt>
                <c:pt idx="2831">
                  <c:v>2.2839443956311756E-2</c:v>
                </c:pt>
                <c:pt idx="2832">
                  <c:v>2.284117374084934E-2</c:v>
                </c:pt>
                <c:pt idx="2833">
                  <c:v>2.2842926937226865E-2</c:v>
                </c:pt>
                <c:pt idx="2834">
                  <c:v>2.2844703545504063E-2</c:v>
                </c:pt>
                <c:pt idx="2835">
                  <c:v>2.2845644840965136E-2</c:v>
                </c:pt>
                <c:pt idx="2836">
                  <c:v>2.2847466485984718E-2</c:v>
                </c:pt>
                <c:pt idx="2837">
                  <c:v>2.2849311541602399E-2</c:v>
                </c:pt>
                <c:pt idx="2838">
                  <c:v>2.2851180007884424E-2</c:v>
                </c:pt>
                <c:pt idx="2839">
                  <c:v>2.2853071884894834E-2</c:v>
                </c:pt>
                <c:pt idx="2840">
                  <c:v>2.2854987172698991E-2</c:v>
                </c:pt>
                <c:pt idx="2841">
                  <c:v>2.2856925871365348E-2</c:v>
                </c:pt>
                <c:pt idx="2842">
                  <c:v>2.2858887980961029E-2</c:v>
                </c:pt>
                <c:pt idx="2843">
                  <c:v>2.2865240911399083E-2</c:v>
                </c:pt>
                <c:pt idx="2844">
                  <c:v>2.2867258841219314E-2</c:v>
                </c:pt>
                <c:pt idx="2845">
                  <c:v>2.2869300189651113E-2</c:v>
                </c:pt>
                <c:pt idx="2846">
                  <c:v>2.2871364956769256E-2</c:v>
                </c:pt>
                <c:pt idx="2847">
                  <c:v>2.2870810445400125E-2</c:v>
                </c:pt>
                <c:pt idx="2848">
                  <c:v>2.2872916632600729E-2</c:v>
                </c:pt>
                <c:pt idx="2849">
                  <c:v>2.2875046234221021E-2</c:v>
                </c:pt>
                <c:pt idx="2850">
                  <c:v>2.2877199250335704E-2</c:v>
                </c:pt>
                <c:pt idx="2851">
                  <c:v>2.2879375681020341E-2</c:v>
                </c:pt>
                <c:pt idx="2852">
                  <c:v>2.2884245356077249E-2</c:v>
                </c:pt>
                <c:pt idx="2853">
                  <c:v>2.2886474056115103E-2</c:v>
                </c:pt>
                <c:pt idx="2854">
                  <c:v>2.2888726175453435E-2</c:v>
                </c:pt>
                <c:pt idx="2855">
                  <c:v>2.2891001714174759E-2</c:v>
                </c:pt>
                <c:pt idx="2856">
                  <c:v>2.2890609055713298E-2</c:v>
                </c:pt>
                <c:pt idx="2857">
                  <c:v>2.2892925975461813E-2</c:v>
                </c:pt>
                <c:pt idx="2858">
                  <c:v>2.2895266310335033E-2</c:v>
                </c:pt>
                <c:pt idx="2859">
                  <c:v>2.2897630060415074E-2</c:v>
                </c:pt>
                <c:pt idx="2860">
                  <c:v>2.2900017225787991E-2</c:v>
                </c:pt>
                <c:pt idx="2861">
                  <c:v>2.2905146758161625E-2</c:v>
                </c:pt>
                <c:pt idx="2862">
                  <c:v>2.2907586234891922E-2</c:v>
                </c:pt>
                <c:pt idx="2863">
                  <c:v>2.291004913168123E-2</c:v>
                </c:pt>
                <c:pt idx="2864">
                  <c:v>2.2912535448618081E-2</c:v>
                </c:pt>
                <c:pt idx="2865">
                  <c:v>2.2915045185791003E-2</c:v>
                </c:pt>
                <c:pt idx="2866">
                  <c:v>2.2917578343290251E-2</c:v>
                </c:pt>
                <c:pt idx="2867">
                  <c:v>2.2920134921207359E-2</c:v>
                </c:pt>
                <c:pt idx="2868">
                  <c:v>2.2922714919633873E-2</c:v>
                </c:pt>
                <c:pt idx="2869">
                  <c:v>2.292071454093347E-2</c:v>
                </c:pt>
                <c:pt idx="2870">
                  <c:v>2.2923332187339843E-2</c:v>
                </c:pt>
                <c:pt idx="2871">
                  <c:v>2.2925973246993248E-2</c:v>
                </c:pt>
                <c:pt idx="2872">
                  <c:v>2.2928637719985986E-2</c:v>
                </c:pt>
                <c:pt idx="2873">
                  <c:v>2.2931325606411247E-2</c:v>
                </c:pt>
                <c:pt idx="2874">
                  <c:v>2.2934966443009866E-2</c:v>
                </c:pt>
                <c:pt idx="2875">
                  <c:v>2.2937703002340656E-2</c:v>
                </c:pt>
                <c:pt idx="2876">
                  <c:v>2.2940462976899004E-2</c:v>
                </c:pt>
                <c:pt idx="2877">
                  <c:v>2.2943246366780658E-2</c:v>
                </c:pt>
                <c:pt idx="2878">
                  <c:v>2.29451162433367E-2</c:v>
                </c:pt>
                <c:pt idx="2879">
                  <c:v>2.2947944612356354E-2</c:v>
                </c:pt>
                <c:pt idx="2880">
                  <c:v>2.2950796395482906E-2</c:v>
                </c:pt>
                <c:pt idx="2881">
                  <c:v>2.2953671592813953E-2</c:v>
                </c:pt>
                <c:pt idx="2882">
                  <c:v>2.295751454950521E-2</c:v>
                </c:pt>
                <c:pt idx="2883">
                  <c:v>2.2960438433414703E-2</c:v>
                </c:pt>
                <c:pt idx="2884">
                  <c:v>2.2963385733348482E-2</c:v>
                </c:pt>
                <c:pt idx="2885">
                  <c:v>2.2966356449411956E-2</c:v>
                </c:pt>
                <c:pt idx="2886">
                  <c:v>2.2969350581708778E-2</c:v>
                </c:pt>
                <c:pt idx="2887">
                  <c:v>2.2971414480810793E-2</c:v>
                </c:pt>
                <c:pt idx="2888">
                  <c:v>2.2974453580440427E-2</c:v>
                </c:pt>
                <c:pt idx="2889">
                  <c:v>2.2977516095103068E-2</c:v>
                </c:pt>
                <c:pt idx="2890">
                  <c:v>2.2980602024904265E-2</c:v>
                </c:pt>
                <c:pt idx="2891">
                  <c:v>2.2983711369952219E-2</c:v>
                </c:pt>
                <c:pt idx="2892">
                  <c:v>2.2986844130354692E-2</c:v>
                </c:pt>
                <c:pt idx="2893">
                  <c:v>2.2990000306222089E-2</c:v>
                </c:pt>
                <c:pt idx="2894">
                  <c:v>2.2993179897663939E-2</c:v>
                </c:pt>
                <c:pt idx="2895">
                  <c:v>2.3001228187727263E-2</c:v>
                </c:pt>
                <c:pt idx="2896">
                  <c:v>2.3004464001055942E-2</c:v>
                </c:pt>
                <c:pt idx="2897">
                  <c:v>2.3007723237918276E-2</c:v>
                </c:pt>
                <c:pt idx="2898">
                  <c:v>2.3011005898432014E-2</c:v>
                </c:pt>
                <c:pt idx="2899">
                  <c:v>2.3011381584382703E-2</c:v>
                </c:pt>
                <c:pt idx="2900">
                  <c:v>2.3014705439306896E-2</c:v>
                </c:pt>
                <c:pt idx="2901">
                  <c:v>2.3018052713654868E-2</c:v>
                </c:pt>
                <c:pt idx="2902">
                  <c:v>2.3021423407543682E-2</c:v>
                </c:pt>
                <c:pt idx="2903">
                  <c:v>2.3024817521094334E-2</c:v>
                </c:pt>
                <c:pt idx="2904">
                  <c:v>2.3031193764844551E-2</c:v>
                </c:pt>
                <c:pt idx="2905">
                  <c:v>2.3034640394261688E-2</c:v>
                </c:pt>
                <c:pt idx="2906">
                  <c:v>2.3038110448295051E-2</c:v>
                </c:pt>
                <c:pt idx="2907">
                  <c:v>2.304160392707056E-2</c:v>
                </c:pt>
                <c:pt idx="2908">
                  <c:v>2.3042139387975957E-2</c:v>
                </c:pt>
                <c:pt idx="2909">
                  <c:v>2.3045674022033752E-2</c:v>
                </c:pt>
                <c:pt idx="2910">
                  <c:v>2.3049232076609093E-2</c:v>
                </c:pt>
                <c:pt idx="2911">
                  <c:v>2.3052813551826035E-2</c:v>
                </c:pt>
                <c:pt idx="2912">
                  <c:v>2.3056418447812126E-2</c:v>
                </c:pt>
                <c:pt idx="2913">
                  <c:v>2.3063056726367555E-2</c:v>
                </c:pt>
                <c:pt idx="2914">
                  <c:v>2.3066714181888368E-2</c:v>
                </c:pt>
                <c:pt idx="2915">
                  <c:v>2.3070395063177169E-2</c:v>
                </c:pt>
                <c:pt idx="2916">
                  <c:v>2.3074099370365472E-2</c:v>
                </c:pt>
                <c:pt idx="2917">
                  <c:v>2.3077827103586069E-2</c:v>
                </c:pt>
                <c:pt idx="2918">
                  <c:v>2.3081578262973051E-2</c:v>
                </c:pt>
                <c:pt idx="2919">
                  <c:v>2.3085352848660933E-2</c:v>
                </c:pt>
                <c:pt idx="2920">
                  <c:v>2.3089150860784658E-2</c:v>
                </c:pt>
                <c:pt idx="2921">
                  <c:v>2.3087880378822052E-2</c:v>
                </c:pt>
                <c:pt idx="2922">
                  <c:v>2.3091715654406462E-2</c:v>
                </c:pt>
                <c:pt idx="2923">
                  <c:v>2.3095574349117843E-2</c:v>
                </c:pt>
                <c:pt idx="2924">
                  <c:v>2.3099456463088683E-2</c:v>
                </c:pt>
                <c:pt idx="2925">
                  <c:v>2.3103361996455889E-2</c:v>
                </c:pt>
                <c:pt idx="2926">
                  <c:v>2.3108318483390709E-2</c:v>
                </c:pt>
                <c:pt idx="2927">
                  <c:v>2.3112272781180578E-2</c:v>
                </c:pt>
                <c:pt idx="2928">
                  <c:v>2.3116250500324537E-2</c:v>
                </c:pt>
                <c:pt idx="2929">
                  <c:v>2.3120251640964443E-2</c:v>
                </c:pt>
                <c:pt idx="2930">
                  <c:v>2.3123240959029175E-2</c:v>
                </c:pt>
                <c:pt idx="2931">
                  <c:v>2.3127287011662882E-2</c:v>
                </c:pt>
                <c:pt idx="2932">
                  <c:v>2.3131356484664113E-2</c:v>
                </c:pt>
                <c:pt idx="2933">
                  <c:v>2.3135449378175073E-2</c:v>
                </c:pt>
                <c:pt idx="2934">
                  <c:v>2.3140608671532496E-2</c:v>
                </c:pt>
                <c:pt idx="2935">
                  <c:v>2.3144750344120241E-2</c:v>
                </c:pt>
                <c:pt idx="2936">
                  <c:v>2.3148915439203579E-2</c:v>
                </c:pt>
                <c:pt idx="2937">
                  <c:v>2.31531039569292E-2</c:v>
                </c:pt>
                <c:pt idx="2938">
                  <c:v>2.3157919515303681E-2</c:v>
                </c:pt>
                <c:pt idx="2939">
                  <c:v>2.3161105264184332E-2</c:v>
                </c:pt>
                <c:pt idx="2940">
                  <c:v>2.316536545125198E-2</c:v>
                </c:pt>
                <c:pt idx="2941">
                  <c:v>2.31696490600178E-2</c:v>
                </c:pt>
                <c:pt idx="2942">
                  <c:v>2.3173956090629739E-2</c:v>
                </c:pt>
                <c:pt idx="2943">
                  <c:v>2.3178286543237957E-2</c:v>
                </c:pt>
                <c:pt idx="2944">
                  <c:v>2.3182640417993929E-2</c:v>
                </c:pt>
                <c:pt idx="2945">
                  <c:v>2.3187017715050464E-2</c:v>
                </c:pt>
                <c:pt idx="2946">
                  <c:v>2.3191418434559047E-2</c:v>
                </c:pt>
                <c:pt idx="2947">
                  <c:v>2.3200118251051224E-2</c:v>
                </c:pt>
                <c:pt idx="2948">
                  <c:v>2.3204573649916637E-2</c:v>
                </c:pt>
                <c:pt idx="2949">
                  <c:v>2.3209052477966695E-2</c:v>
                </c:pt>
                <c:pt idx="2950">
                  <c:v>2.3213554735360405E-2</c:v>
                </c:pt>
                <c:pt idx="2951">
                  <c:v>2.3214849785751411E-2</c:v>
                </c:pt>
                <c:pt idx="2952">
                  <c:v>2.3222629538823036E-2</c:v>
                </c:pt>
                <c:pt idx="2953">
                  <c:v>2.3227661384925533E-2</c:v>
                </c:pt>
                <c:pt idx="2954">
                  <c:v>2.3231798061601215E-2</c:v>
                </c:pt>
                <c:pt idx="2955">
                  <c:v>2.3236417468141961E-2</c:v>
                </c:pt>
                <c:pt idx="2956">
                  <c:v>2.3241060305002875E-2</c:v>
                </c:pt>
                <c:pt idx="2957">
                  <c:v>2.3245726572350744E-2</c:v>
                </c:pt>
                <c:pt idx="2958">
                  <c:v>2.325041627035106E-2</c:v>
                </c:pt>
                <c:pt idx="2959">
                  <c:v>2.3255129399171473E-2</c:v>
                </c:pt>
                <c:pt idx="2960">
                  <c:v>2.3259865958979626E-2</c:v>
                </c:pt>
                <c:pt idx="2961">
                  <c:v>2.3264625949945338E-2</c:v>
                </c:pt>
                <c:pt idx="2962">
                  <c:v>2.3269409372237981E-2</c:v>
                </c:pt>
                <c:pt idx="2963">
                  <c:v>2.3274216226029095E-2</c:v>
                </c:pt>
                <c:pt idx="2964">
                  <c:v>2.3279046511489786E-2</c:v>
                </c:pt>
                <c:pt idx="2965">
                  <c:v>2.3283900228791163E-2</c:v>
                </c:pt>
                <c:pt idx="2966">
                  <c:v>2.3288777378108218E-2</c:v>
                </c:pt>
                <c:pt idx="2967">
                  <c:v>2.329367795961465E-2</c:v>
                </c:pt>
                <c:pt idx="2968">
                  <c:v>2.329860197348373E-2</c:v>
                </c:pt>
                <c:pt idx="2969">
                  <c:v>2.330354941989347E-2</c:v>
                </c:pt>
                <c:pt idx="2970">
                  <c:v>2.3308520299019305E-2</c:v>
                </c:pt>
                <c:pt idx="2971">
                  <c:v>2.3313514611038387E-2</c:v>
                </c:pt>
                <c:pt idx="2972">
                  <c:v>2.3318532356129601E-2</c:v>
                </c:pt>
                <c:pt idx="2973">
                  <c:v>2.3320212121941217E-2</c:v>
                </c:pt>
                <c:pt idx="2974">
                  <c:v>2.3325270734676069E-2</c:v>
                </c:pt>
                <c:pt idx="2975">
                  <c:v>2.3330352776245178E-2</c:v>
                </c:pt>
                <c:pt idx="2976">
                  <c:v>2.3335458246824228E-2</c:v>
                </c:pt>
                <c:pt idx="2977">
                  <c:v>2.3343972583956658E-2</c:v>
                </c:pt>
                <c:pt idx="2978">
                  <c:v>2.3350261897222377E-2</c:v>
                </c:pt>
                <c:pt idx="2979">
                  <c:v>2.3354312712920745E-2</c:v>
                </c:pt>
                <c:pt idx="2980">
                  <c:v>2.3359517929102284E-2</c:v>
                </c:pt>
                <c:pt idx="2981">
                  <c:v>2.3364746579997455E-2</c:v>
                </c:pt>
                <c:pt idx="2982">
                  <c:v>2.3366583089630622E-2</c:v>
                </c:pt>
                <c:pt idx="2983">
                  <c:v>2.3371852568353443E-2</c:v>
                </c:pt>
                <c:pt idx="2984">
                  <c:v>2.3377145477543937E-2</c:v>
                </c:pt>
                <c:pt idx="2985">
                  <c:v>2.3382461817388771E-2</c:v>
                </c:pt>
                <c:pt idx="2986">
                  <c:v>2.3387801587434243E-2</c:v>
                </c:pt>
                <c:pt idx="2987">
                  <c:v>2.339660978651267E-2</c:v>
                </c:pt>
                <c:pt idx="2988">
                  <c:v>2.34019996506655E-2</c:v>
                </c:pt>
                <c:pt idx="2989">
                  <c:v>2.3407409617797074E-2</c:v>
                </c:pt>
                <c:pt idx="2990">
                  <c:v>2.3411709821521239E-2</c:v>
                </c:pt>
                <c:pt idx="2991">
                  <c:v>2.3417159795475567E-2</c:v>
                </c:pt>
                <c:pt idx="2992">
                  <c:v>2.3422625861702902E-2</c:v>
                </c:pt>
                <c:pt idx="2993">
                  <c:v>2.3428106702951007E-2</c:v>
                </c:pt>
                <c:pt idx="2994">
                  <c:v>2.3433601001954463E-2</c:v>
                </c:pt>
                <c:pt idx="2995">
                  <c:v>2.3439107441430278E-2</c:v>
                </c:pt>
                <c:pt idx="2996">
                  <c:v>2.3444624704084933E-2</c:v>
                </c:pt>
                <c:pt idx="2997">
                  <c:v>2.3450151472607768E-2</c:v>
                </c:pt>
                <c:pt idx="2998">
                  <c:v>2.3455686429676267E-2</c:v>
                </c:pt>
                <c:pt idx="2999">
                  <c:v>2.3463546604459755E-2</c:v>
                </c:pt>
                <c:pt idx="3000">
                  <c:v>2.3469094179188479E-2</c:v>
                </c:pt>
                <c:pt idx="3001">
                  <c:v>2.3474645827444369E-2</c:v>
                </c:pt>
                <c:pt idx="3002">
                  <c:v>2.3480200245995123E-2</c:v>
                </c:pt>
                <c:pt idx="3003">
                  <c:v>2.3484597024432615E-2</c:v>
                </c:pt>
                <c:pt idx="3004">
                  <c:v>2.3491740616475326E-2</c:v>
                </c:pt>
                <c:pt idx="3005">
                  <c:v>2.3495708413442815E-2</c:v>
                </c:pt>
                <c:pt idx="3006">
                  <c:v>2.3501261167724986E-2</c:v>
                </c:pt>
                <c:pt idx="3007">
                  <c:v>2.3506810214740534E-2</c:v>
                </c:pt>
                <c:pt idx="3008">
                  <c:v>2.3514303415525638E-2</c:v>
                </c:pt>
                <c:pt idx="3009">
                  <c:v>2.3519839720470125E-2</c:v>
                </c:pt>
                <c:pt idx="3010">
                  <c:v>2.3525368183127792E-2</c:v>
                </c:pt>
                <c:pt idx="3011">
                  <c:v>2.3530887500131662E-2</c:v>
                </c:pt>
                <c:pt idx="3012">
                  <c:v>2.3535240408543632E-2</c:v>
                </c:pt>
                <c:pt idx="3013">
                  <c:v>2.3540738954833829E-2</c:v>
                </c:pt>
                <c:pt idx="3014">
                  <c:v>2.3546226680168088E-2</c:v>
                </c:pt>
                <c:pt idx="3015">
                  <c:v>2.3551703584455561E-2</c:v>
                </c:pt>
                <c:pt idx="3016">
                  <c:v>2.3559478422821242E-2</c:v>
                </c:pt>
                <c:pt idx="3017">
                  <c:v>2.3563778884054233E-2</c:v>
                </c:pt>
                <c:pt idx="3018">
                  <c:v>2.3569222905941437E-2</c:v>
                </c:pt>
                <c:pt idx="3019">
                  <c:v>2.3574656105797977E-2</c:v>
                </c:pt>
                <c:pt idx="3020">
                  <c:v>2.3580078483532187E-2</c:v>
                </c:pt>
                <c:pt idx="3021">
                  <c:v>2.3585490039055881E-2</c:v>
                </c:pt>
                <c:pt idx="3022">
                  <c:v>2.359089077228043E-2</c:v>
                </c:pt>
                <c:pt idx="3023">
                  <c:v>2.3596280683117647E-2</c:v>
                </c:pt>
                <c:pt idx="3024">
                  <c:v>2.3601659771478035E-2</c:v>
                </c:pt>
                <c:pt idx="3025">
                  <c:v>2.3603576304235332E-2</c:v>
                </c:pt>
                <c:pt idx="3026">
                  <c:v>2.3608935018497493E-2</c:v>
                </c:pt>
                <c:pt idx="3027">
                  <c:v>2.3614282911919297E-2</c:v>
                </c:pt>
                <c:pt idx="3028">
                  <c:v>2.3619619984412862E-2</c:v>
                </c:pt>
                <c:pt idx="3029">
                  <c:v>2.3626095105824765E-2</c:v>
                </c:pt>
                <c:pt idx="3030">
                  <c:v>2.3631410110031188E-2</c:v>
                </c:pt>
                <c:pt idx="3031">
                  <c:v>2.3636714292416809E-2</c:v>
                </c:pt>
                <c:pt idx="3032">
                  <c:v>2.364200765289598E-2</c:v>
                </c:pt>
                <c:pt idx="3033">
                  <c:v>2.3647290191382619E-2</c:v>
                </c:pt>
                <c:pt idx="3034">
                  <c:v>2.3651415175081462E-2</c:v>
                </c:pt>
                <c:pt idx="3035">
                  <c:v>2.3656676498678808E-2</c:v>
                </c:pt>
                <c:pt idx="3036">
                  <c:v>2.3661927000663378E-2</c:v>
                </c:pt>
                <c:pt idx="3037">
                  <c:v>2.3667166680952586E-2</c:v>
                </c:pt>
                <c:pt idx="3038">
                  <c:v>2.3673540550934614E-2</c:v>
                </c:pt>
                <c:pt idx="3039">
                  <c:v>2.3678758155671886E-2</c:v>
                </c:pt>
                <c:pt idx="3040">
                  <c:v>2.3683964937819303E-2</c:v>
                </c:pt>
                <c:pt idx="3041">
                  <c:v>2.3689160897293851E-2</c:v>
                </c:pt>
                <c:pt idx="3042">
                  <c:v>2.3693942666336863E-2</c:v>
                </c:pt>
                <c:pt idx="3043">
                  <c:v>2.3699115868638758E-2</c:v>
                </c:pt>
                <c:pt idx="3044">
                  <c:v>2.3704278248643778E-2</c:v>
                </c:pt>
                <c:pt idx="3045">
                  <c:v>2.3709429806267137E-2</c:v>
                </c:pt>
                <c:pt idx="3046">
                  <c:v>2.3714570541428007E-2</c:v>
                </c:pt>
                <c:pt idx="3047">
                  <c:v>2.3719700454041603E-2</c:v>
                </c:pt>
                <c:pt idx="3048">
                  <c:v>2.3724819544025333E-2</c:v>
                </c:pt>
                <c:pt idx="3049">
                  <c:v>2.3729927811297496E-2</c:v>
                </c:pt>
                <c:pt idx="3050">
                  <c:v>2.3735025255775068E-2</c:v>
                </c:pt>
                <c:pt idx="3051">
                  <c:v>2.3743529751843247E-2</c:v>
                </c:pt>
                <c:pt idx="3052">
                  <c:v>2.3748604229256735E-2</c:v>
                </c:pt>
                <c:pt idx="3053">
                  <c:v>2.3753667881695389E-2</c:v>
                </c:pt>
                <c:pt idx="3054">
                  <c:v>2.3758720709073634E-2</c:v>
                </c:pt>
                <c:pt idx="3055">
                  <c:v>2.3763344643613939E-2</c:v>
                </c:pt>
                <c:pt idx="3056">
                  <c:v>2.3768374717312704E-2</c:v>
                </c:pt>
                <c:pt idx="3057">
                  <c:v>2.3773393966338291E-2</c:v>
                </c:pt>
                <c:pt idx="3058">
                  <c:v>2.3778402390611197E-2</c:v>
                </c:pt>
                <c:pt idx="3059">
                  <c:v>2.3783399990047121E-2</c:v>
                </c:pt>
                <c:pt idx="3060">
                  <c:v>2.3791792528755771E-2</c:v>
                </c:pt>
                <c:pt idx="3061">
                  <c:v>2.3796767138880459E-2</c:v>
                </c:pt>
                <c:pt idx="3062">
                  <c:v>2.3801730921975985E-2</c:v>
                </c:pt>
                <c:pt idx="3063">
                  <c:v>2.380668387796241E-2</c:v>
                </c:pt>
                <c:pt idx="3064">
                  <c:v>2.3808225611837545E-2</c:v>
                </c:pt>
                <c:pt idx="3065">
                  <c:v>2.3813158260550638E-2</c:v>
                </c:pt>
                <c:pt idx="3066">
                  <c:v>2.3818080083860643E-2</c:v>
                </c:pt>
                <c:pt idx="3067">
                  <c:v>2.3826387429159056E-2</c:v>
                </c:pt>
                <c:pt idx="3068">
                  <c:v>2.3831286248363111E-2</c:v>
                </c:pt>
                <c:pt idx="3069">
                  <c:v>2.3836174239966843E-2</c:v>
                </c:pt>
                <c:pt idx="3070">
                  <c:v>2.3841051403888598E-2</c:v>
                </c:pt>
                <c:pt idx="3071">
                  <c:v>2.3845917740046723E-2</c:v>
                </c:pt>
                <c:pt idx="3072">
                  <c:v>2.3847383685760625E-2</c:v>
                </c:pt>
                <c:pt idx="3073">
                  <c:v>2.3855617928753622E-2</c:v>
                </c:pt>
                <c:pt idx="3074">
                  <c:v>2.3860451781140372E-2</c:v>
                </c:pt>
                <c:pt idx="3075">
                  <c:v>2.3865274805442031E-2</c:v>
                </c:pt>
                <c:pt idx="3076">
                  <c:v>2.38667029021844E-2</c:v>
                </c:pt>
                <c:pt idx="3077">
                  <c:v>2.3869250516969462E-2</c:v>
                </c:pt>
                <c:pt idx="3078">
                  <c:v>2.3874043343982961E-2</c:v>
                </c:pt>
                <c:pt idx="3079">
                  <c:v>2.3878825345874446E-2</c:v>
                </c:pt>
                <c:pt idx="3080">
                  <c:v>2.3883596522567069E-2</c:v>
                </c:pt>
                <c:pt idx="3081">
                  <c:v>2.3889482599714591E-2</c:v>
                </c:pt>
                <c:pt idx="3082">
                  <c:v>2.3894231665808376E-2</c:v>
                </c:pt>
                <c:pt idx="3083">
                  <c:v>2.3898969905814443E-2</c:v>
                </c:pt>
                <c:pt idx="3084">
                  <c:v>2.3903697319657247E-2</c:v>
                </c:pt>
                <c:pt idx="3085">
                  <c:v>2.3908413907258608E-2</c:v>
                </c:pt>
                <c:pt idx="3086">
                  <c:v>2.3911996249251881E-2</c:v>
                </c:pt>
                <c:pt idx="3087">
                  <c:v>2.3916691647407472E-2</c:v>
                </c:pt>
                <c:pt idx="3088">
                  <c:v>2.3921376219752537E-2</c:v>
                </c:pt>
                <c:pt idx="3089">
                  <c:v>2.3926049966211997E-2</c:v>
                </c:pt>
                <c:pt idx="3090">
                  <c:v>2.3931834448980869E-2</c:v>
                </c:pt>
                <c:pt idx="3091">
                  <c:v>2.3936486077535298E-2</c:v>
                </c:pt>
                <c:pt idx="3092">
                  <c:v>2.3941126879318601E-2</c:v>
                </c:pt>
                <c:pt idx="3093">
                  <c:v>2.3945756854250839E-2</c:v>
                </c:pt>
                <c:pt idx="3094">
                  <c:v>2.3949256307591361E-2</c:v>
                </c:pt>
                <c:pt idx="3095">
                  <c:v>2.3953865097159244E-2</c:v>
                </c:pt>
                <c:pt idx="3096">
                  <c:v>2.3958463060315981E-2</c:v>
                </c:pt>
                <c:pt idx="3097">
                  <c:v>2.3963050196987815E-2</c:v>
                </c:pt>
                <c:pt idx="3098">
                  <c:v>2.3967626507102758E-2</c:v>
                </c:pt>
                <c:pt idx="3099">
                  <c:v>2.3972191990583969E-2</c:v>
                </c:pt>
                <c:pt idx="3100">
                  <c:v>2.3976746647360346E-2</c:v>
                </c:pt>
                <c:pt idx="3101">
                  <c:v>2.398129047735548E-2</c:v>
                </c:pt>
                <c:pt idx="3102">
                  <c:v>2.3985823480499158E-2</c:v>
                </c:pt>
                <c:pt idx="3103">
                  <c:v>2.3995922963554281E-2</c:v>
                </c:pt>
                <c:pt idx="3104">
                  <c:v>2.4000431939320374E-2</c:v>
                </c:pt>
                <c:pt idx="3105">
                  <c:v>2.4004930084679358E-2</c:v>
                </c:pt>
                <c:pt idx="3106">
                  <c:v>2.4009417399557312E-2</c:v>
                </c:pt>
                <c:pt idx="3107">
                  <c:v>2.4010553197559084E-2</c:v>
                </c:pt>
                <c:pt idx="3108">
                  <c:v>2.401502028355855E-2</c:v>
                </c:pt>
                <c:pt idx="3109">
                  <c:v>2.401947654085964E-2</c:v>
                </c:pt>
                <c:pt idx="3110">
                  <c:v>2.4023921969389406E-2</c:v>
                </c:pt>
                <c:pt idx="3111">
                  <c:v>2.4028356569074469E-2</c:v>
                </c:pt>
                <c:pt idx="3112">
                  <c:v>2.4036113844545296E-2</c:v>
                </c:pt>
                <c:pt idx="3113">
                  <c:v>2.404052534397471E-2</c:v>
                </c:pt>
                <c:pt idx="3114">
                  <c:v>2.4044926012332171E-2</c:v>
                </c:pt>
                <c:pt idx="3115">
                  <c:v>2.404931584954376E-2</c:v>
                </c:pt>
                <c:pt idx="3116">
                  <c:v>2.4050367132317094E-2</c:v>
                </c:pt>
                <c:pt idx="3117">
                  <c:v>2.4054736757425619E-2</c:v>
                </c:pt>
                <c:pt idx="3118">
                  <c:v>2.4059095553185791E-2</c:v>
                </c:pt>
                <c:pt idx="3119">
                  <c:v>2.4063443519530353E-2</c:v>
                </c:pt>
                <c:pt idx="3120">
                  <c:v>2.4071102565879288E-2</c:v>
                </c:pt>
                <c:pt idx="3121">
                  <c:v>2.4075427414695136E-2</c:v>
                </c:pt>
                <c:pt idx="3122">
                  <c:v>2.4079741431859279E-2</c:v>
                </c:pt>
                <c:pt idx="3123">
                  <c:v>2.4084044617301237E-2</c:v>
                </c:pt>
                <c:pt idx="3124">
                  <c:v>2.4088336970947519E-2</c:v>
                </c:pt>
                <c:pt idx="3125">
                  <c:v>2.4092618492728504E-2</c:v>
                </c:pt>
                <c:pt idx="3126">
                  <c:v>2.4096889182572419E-2</c:v>
                </c:pt>
                <c:pt idx="3127">
                  <c:v>2.4101149040409216E-2</c:v>
                </c:pt>
                <c:pt idx="3128">
                  <c:v>2.4105398066167984E-2</c:v>
                </c:pt>
                <c:pt idx="3129">
                  <c:v>2.410412175163525E-2</c:v>
                </c:pt>
                <c:pt idx="3130">
                  <c:v>2.4108351573816598E-2</c:v>
                </c:pt>
                <c:pt idx="3131">
                  <c:v>2.4112570567094652E-2</c:v>
                </c:pt>
                <c:pt idx="3132">
                  <c:v>2.4116778731398746E-2</c:v>
                </c:pt>
                <c:pt idx="3133">
                  <c:v>2.4122076992576246E-2</c:v>
                </c:pt>
                <c:pt idx="3134">
                  <c:v>2.4126263004019655E-2</c:v>
                </c:pt>
                <c:pt idx="3135">
                  <c:v>2.4130438185609126E-2</c:v>
                </c:pt>
                <c:pt idx="3136">
                  <c:v>2.4134602537275705E-2</c:v>
                </c:pt>
                <c:pt idx="3137">
                  <c:v>2.4138756058953072E-2</c:v>
                </c:pt>
                <c:pt idx="3138">
                  <c:v>2.4141800305006064E-2</c:v>
                </c:pt>
                <c:pt idx="3139">
                  <c:v>2.4145932664609737E-2</c:v>
                </c:pt>
                <c:pt idx="3140">
                  <c:v>2.4150054194699774E-2</c:v>
                </c:pt>
                <c:pt idx="3141">
                  <c:v>2.4154164895213898E-2</c:v>
                </c:pt>
                <c:pt idx="3142">
                  <c:v>2.4159361215140958E-2</c:v>
                </c:pt>
                <c:pt idx="3143">
                  <c:v>2.4163449755470547E-2</c:v>
                </c:pt>
                <c:pt idx="3144">
                  <c:v>2.416752746534185E-2</c:v>
                </c:pt>
                <c:pt idx="3145">
                  <c:v>2.4171594344688983E-2</c:v>
                </c:pt>
                <c:pt idx="3146">
                  <c:v>2.4175650393445627E-2</c:v>
                </c:pt>
                <c:pt idx="3147">
                  <c:v>2.4178601673451518E-2</c:v>
                </c:pt>
                <c:pt idx="3148">
                  <c:v>2.418263656507013E-2</c:v>
                </c:pt>
                <c:pt idx="3149">
                  <c:v>2.4186660626585959E-2</c:v>
                </c:pt>
                <c:pt idx="3150">
                  <c:v>2.4190673857931437E-2</c:v>
                </c:pt>
                <c:pt idx="3151">
                  <c:v>2.4194676259042966E-2</c:v>
                </c:pt>
                <c:pt idx="3152">
                  <c:v>2.4198667829856954E-2</c:v>
                </c:pt>
                <c:pt idx="3153">
                  <c:v>2.4202648570307152E-2</c:v>
                </c:pt>
                <c:pt idx="3154">
                  <c:v>2.420661848033041E-2</c:v>
                </c:pt>
                <c:pt idx="3155">
                  <c:v>2.4216026982683742E-2</c:v>
                </c:pt>
                <c:pt idx="3156">
                  <c:v>2.4219972682281762E-2</c:v>
                </c:pt>
                <c:pt idx="3157">
                  <c:v>2.4223907547829562E-2</c:v>
                </c:pt>
                <c:pt idx="3158">
                  <c:v>2.4227831579260967E-2</c:v>
                </c:pt>
                <c:pt idx="3159">
                  <c:v>2.4228481255348887E-2</c:v>
                </c:pt>
                <c:pt idx="3160">
                  <c:v>2.4232385156465145E-2</c:v>
                </c:pt>
                <c:pt idx="3161">
                  <c:v>2.4236278225333512E-2</c:v>
                </c:pt>
                <c:pt idx="3162">
                  <c:v>2.4240160461892406E-2</c:v>
                </c:pt>
                <c:pt idx="3163">
                  <c:v>2.4244031866076741E-2</c:v>
                </c:pt>
                <c:pt idx="3164">
                  <c:v>2.4251148247801425E-2</c:v>
                </c:pt>
                <c:pt idx="3165">
                  <c:v>2.4254996438613452E-2</c:v>
                </c:pt>
                <c:pt idx="3166">
                  <c:v>2.4258833794794651E-2</c:v>
                </c:pt>
                <c:pt idx="3167">
                  <c:v>2.426266031628185E-2</c:v>
                </c:pt>
                <c:pt idx="3168">
                  <c:v>2.4263226399181114E-2</c:v>
                </c:pt>
                <c:pt idx="3169">
                  <c:v>2.4267032807800234E-2</c:v>
                </c:pt>
                <c:pt idx="3170">
                  <c:v>2.4270828383606672E-2</c:v>
                </c:pt>
                <c:pt idx="3171">
                  <c:v>2.4274613126537968E-2</c:v>
                </c:pt>
                <c:pt idx="3172">
                  <c:v>2.4278387036533407E-2</c:v>
                </c:pt>
                <c:pt idx="3173">
                  <c:v>2.4285391913065672E-2</c:v>
                </c:pt>
                <c:pt idx="3174">
                  <c:v>2.4289142589921219E-2</c:v>
                </c:pt>
                <c:pt idx="3175">
                  <c:v>2.4292882431578223E-2</c:v>
                </c:pt>
                <c:pt idx="3176">
                  <c:v>2.4296611437975225E-2</c:v>
                </c:pt>
                <c:pt idx="3177">
                  <c:v>2.4300329609051201E-2</c:v>
                </c:pt>
                <c:pt idx="3178">
                  <c:v>2.430403694474426E-2</c:v>
                </c:pt>
                <c:pt idx="3179">
                  <c:v>2.4307733444991233E-2</c:v>
                </c:pt>
                <c:pt idx="3180">
                  <c:v>2.431141910973281E-2</c:v>
                </c:pt>
                <c:pt idx="3181">
                  <c:v>2.4310788327980611E-2</c:v>
                </c:pt>
                <c:pt idx="3182">
                  <c:v>2.4314454432994025E-2</c:v>
                </c:pt>
                <c:pt idx="3183">
                  <c:v>2.4318109705097485E-2</c:v>
                </c:pt>
                <c:pt idx="3184">
                  <c:v>2.4321754144231697E-2</c:v>
                </c:pt>
                <c:pt idx="3185">
                  <c:v>2.4325387750338247E-2</c:v>
                </c:pt>
                <c:pt idx="3186">
                  <c:v>2.4330084283946184E-2</c:v>
                </c:pt>
                <c:pt idx="3187">
                  <c:v>2.433369569259853E-2</c:v>
                </c:pt>
                <c:pt idx="3188">
                  <c:v>2.4341587027845321E-2</c:v>
                </c:pt>
                <c:pt idx="3189">
                  <c:v>2.4340886008142375E-2</c:v>
                </c:pt>
                <c:pt idx="3190">
                  <c:v>2.4343393283383887E-2</c:v>
                </c:pt>
                <c:pt idx="3191">
                  <c:v>2.4346961890086335E-2</c:v>
                </c:pt>
                <c:pt idx="3192">
                  <c:v>2.4350519663352221E-2</c:v>
                </c:pt>
                <c:pt idx="3193">
                  <c:v>2.4354066603121807E-2</c:v>
                </c:pt>
                <c:pt idx="3194">
                  <c:v>2.4358672200655931E-2</c:v>
                </c:pt>
                <c:pt idx="3195">
                  <c:v>2.4362196936464509E-2</c:v>
                </c:pt>
                <c:pt idx="3196">
                  <c:v>2.4365710837905369E-2</c:v>
                </c:pt>
                <c:pt idx="3197">
                  <c:v>2.4369213904922596E-2</c:v>
                </c:pt>
                <c:pt idx="3198">
                  <c:v>2.4372706137458972E-2</c:v>
                </c:pt>
                <c:pt idx="3199">
                  <c:v>2.437512073512358E-2</c:v>
                </c:pt>
                <c:pt idx="3200">
                  <c:v>2.4378591838822558E-2</c:v>
                </c:pt>
                <c:pt idx="3201">
                  <c:v>2.4382052108569776E-2</c:v>
                </c:pt>
                <c:pt idx="3202">
                  <c:v>2.4385501544310337E-2</c:v>
                </c:pt>
                <c:pt idx="3203">
                  <c:v>2.438894014598714E-2</c:v>
                </c:pt>
                <c:pt idx="3204">
                  <c:v>2.4392367913544849E-2</c:v>
                </c:pt>
                <c:pt idx="3205">
                  <c:v>2.439578484692724E-2</c:v>
                </c:pt>
                <c:pt idx="3206">
                  <c:v>2.4399190946079417E-2</c:v>
                </c:pt>
                <c:pt idx="3207">
                  <c:v>2.4406836017186701E-2</c:v>
                </c:pt>
                <c:pt idx="3208">
                  <c:v>2.4410218263579767E-2</c:v>
                </c:pt>
                <c:pt idx="3209">
                  <c:v>2.4413589672765572E-2</c:v>
                </c:pt>
                <c:pt idx="3210">
                  <c:v>2.4416950244689106E-2</c:v>
                </c:pt>
                <c:pt idx="3211">
                  <c:v>2.4417119196960102E-2</c:v>
                </c:pt>
                <c:pt idx="3212">
                  <c:v>2.4420459740855813E-2</c:v>
                </c:pt>
                <c:pt idx="3213">
                  <c:v>2.4423789449434179E-2</c:v>
                </c:pt>
                <c:pt idx="3214">
                  <c:v>2.4427108322641475E-2</c:v>
                </c:pt>
                <c:pt idx="3215">
                  <c:v>2.4430416360420919E-2</c:v>
                </c:pt>
                <c:pt idx="3216">
                  <c:v>2.44362985732412E-2</c:v>
                </c:pt>
                <c:pt idx="3217">
                  <c:v>2.4439582287130109E-2</c:v>
                </c:pt>
                <c:pt idx="3218">
                  <c:v>2.4442855164014215E-2</c:v>
                </c:pt>
                <c:pt idx="3219">
                  <c:v>2.4446117203838203E-2</c:v>
                </c:pt>
                <c:pt idx="3220">
                  <c:v>2.4449368406547201E-2</c:v>
                </c:pt>
                <c:pt idx="3221">
                  <c:v>2.4452608772088064E-2</c:v>
                </c:pt>
                <c:pt idx="3222">
                  <c:v>2.4455838300408945E-2</c:v>
                </c:pt>
                <c:pt idx="3223">
                  <c:v>2.445905699145496E-2</c:v>
                </c:pt>
                <c:pt idx="3224">
                  <c:v>2.4462264845173401E-2</c:v>
                </c:pt>
                <c:pt idx="3225">
                  <c:v>2.446546186151155E-2</c:v>
                </c:pt>
                <c:pt idx="3226">
                  <c:v>2.4468648040415829E-2</c:v>
                </c:pt>
                <c:pt idx="3227">
                  <c:v>2.447182338183396E-2</c:v>
                </c:pt>
                <c:pt idx="3228">
                  <c:v>2.4474987885714519E-2</c:v>
                </c:pt>
                <c:pt idx="3229">
                  <c:v>2.4478141552003497E-2</c:v>
                </c:pt>
                <c:pt idx="3230">
                  <c:v>2.448128438065077E-2</c:v>
                </c:pt>
                <c:pt idx="3231">
                  <c:v>2.4484416371603198E-2</c:v>
                </c:pt>
                <c:pt idx="3232">
                  <c:v>2.4487537524810216E-2</c:v>
                </c:pt>
                <c:pt idx="3233">
                  <c:v>2.4486456033259787E-2</c:v>
                </c:pt>
                <c:pt idx="3234">
                  <c:v>2.4489557768466147E-2</c:v>
                </c:pt>
                <c:pt idx="3235">
                  <c:v>2.4492648668611481E-2</c:v>
                </c:pt>
                <c:pt idx="3236">
                  <c:v>2.4495728733646766E-2</c:v>
                </c:pt>
                <c:pt idx="3237">
                  <c:v>2.449984366401867E-2</c:v>
                </c:pt>
                <c:pt idx="3238">
                  <c:v>2.450290149156369E-2</c:v>
                </c:pt>
                <c:pt idx="3239">
                  <c:v>2.4510126672429845E-2</c:v>
                </c:pt>
                <c:pt idx="3240">
                  <c:v>2.4508984638693446E-2</c:v>
                </c:pt>
                <c:pt idx="3241">
                  <c:v>2.4512009958180682E-2</c:v>
                </c:pt>
                <c:pt idx="3242">
                  <c:v>2.451398158377624E-2</c:v>
                </c:pt>
                <c:pt idx="3243">
                  <c:v>2.4516985801657554E-2</c:v>
                </c:pt>
                <c:pt idx="3244">
                  <c:v>2.4519979184036651E-2</c:v>
                </c:pt>
                <c:pt idx="3245">
                  <c:v>2.4522961730863622E-2</c:v>
                </c:pt>
                <c:pt idx="3246">
                  <c:v>2.4526974012873192E-2</c:v>
                </c:pt>
                <c:pt idx="3247">
                  <c:v>2.4529934314922838E-2</c:v>
                </c:pt>
                <c:pt idx="3248">
                  <c:v>2.453288378056423E-2</c:v>
                </c:pt>
                <c:pt idx="3249">
                  <c:v>2.4535822409749494E-2</c:v>
                </c:pt>
                <c:pt idx="3250">
                  <c:v>2.4536887552258718E-2</c:v>
                </c:pt>
                <c:pt idx="3251">
                  <c:v>2.4542913965289213E-2</c:v>
                </c:pt>
                <c:pt idx="3252">
                  <c:v>2.454581544054751E-2</c:v>
                </c:pt>
                <c:pt idx="3253">
                  <c:v>2.4548706079138859E-2</c:v>
                </c:pt>
                <c:pt idx="3254">
                  <c:v>2.4551585881016261E-2</c:v>
                </c:pt>
                <c:pt idx="3255">
                  <c:v>2.4554454846133604E-2</c:v>
                </c:pt>
                <c:pt idx="3256">
                  <c:v>2.4557312974444769E-2</c:v>
                </c:pt>
                <c:pt idx="3257">
                  <c:v>2.4560160265902322E-2</c:v>
                </c:pt>
                <c:pt idx="3258">
                  <c:v>2.4562996720459269E-2</c:v>
                </c:pt>
                <c:pt idx="3259">
                  <c:v>2.4567887929808355E-2</c:v>
                </c:pt>
                <c:pt idx="3260">
                  <c:v>2.4570701543904411E-2</c:v>
                </c:pt>
                <c:pt idx="3261">
                  <c:v>2.4573504319528608E-2</c:v>
                </c:pt>
                <c:pt idx="3262">
                  <c:v>2.4576296256637504E-2</c:v>
                </c:pt>
                <c:pt idx="3263">
                  <c:v>2.4578046901391058E-2</c:v>
                </c:pt>
                <c:pt idx="3264">
                  <c:v>2.4580817747504487E-2</c:v>
                </c:pt>
                <c:pt idx="3265">
                  <c:v>2.4584364338799233E-2</c:v>
                </c:pt>
                <c:pt idx="3266">
                  <c:v>2.4586326925878314E-2</c:v>
                </c:pt>
                <c:pt idx="3267">
                  <c:v>2.4589065258048728E-2</c:v>
                </c:pt>
                <c:pt idx="3268">
                  <c:v>2.4592820267885063E-2</c:v>
                </c:pt>
                <c:pt idx="3269">
                  <c:v>2.4595536334103951E-2</c:v>
                </c:pt>
                <c:pt idx="3270">
                  <c:v>2.4598241561444349E-2</c:v>
                </c:pt>
                <c:pt idx="3271">
                  <c:v>2.4600935949861947E-2</c:v>
                </c:pt>
                <c:pt idx="3272">
                  <c:v>2.4602594346955824E-2</c:v>
                </c:pt>
                <c:pt idx="3273">
                  <c:v>2.4605267650039422E-2</c:v>
                </c:pt>
                <c:pt idx="3274">
                  <c:v>2.4607930114787329E-2</c:v>
                </c:pt>
                <c:pt idx="3275">
                  <c:v>2.4610581741155858E-2</c:v>
                </c:pt>
                <c:pt idx="3276">
                  <c:v>2.4615268073401461E-2</c:v>
                </c:pt>
                <c:pt idx="3277">
                  <c:v>2.4616874660526724E-2</c:v>
                </c:pt>
                <c:pt idx="3278">
                  <c:v>2.4619493175256985E-2</c:v>
                </c:pt>
                <c:pt idx="3279">
                  <c:v>2.4622100850715596E-2</c:v>
                </c:pt>
                <c:pt idx="3280">
                  <c:v>2.4624697686859976E-2</c:v>
                </c:pt>
                <c:pt idx="3281">
                  <c:v>2.4627283683647118E-2</c:v>
                </c:pt>
                <c:pt idx="3282">
                  <c:v>2.4629858841034014E-2</c:v>
                </c:pt>
                <c:pt idx="3283">
                  <c:v>2.4632423158979393E-2</c:v>
                </c:pt>
                <c:pt idx="3284">
                  <c:v>2.463497663744111E-2</c:v>
                </c:pt>
                <c:pt idx="3285">
                  <c:v>2.4635484481361582E-2</c:v>
                </c:pt>
                <c:pt idx="3286">
                  <c:v>2.4638017484674615E-2</c:v>
                </c:pt>
                <c:pt idx="3287">
                  <c:v>2.4640539649822997E-2</c:v>
                </c:pt>
                <c:pt idx="3288">
                  <c:v>2.4643050976767198E-2</c:v>
                </c:pt>
                <c:pt idx="3289">
                  <c:v>2.4641491382875913E-2</c:v>
                </c:pt>
                <c:pt idx="3290">
                  <c:v>2.4648041115878355E-2</c:v>
                </c:pt>
                <c:pt idx="3291">
                  <c:v>2.4650519927964496E-2</c:v>
                </c:pt>
                <c:pt idx="3292">
                  <c:v>2.4652987901682633E-2</c:v>
                </c:pt>
                <c:pt idx="3293">
                  <c:v>2.4655445036995433E-2</c:v>
                </c:pt>
                <c:pt idx="3294">
                  <c:v>2.4657891333860728E-2</c:v>
                </c:pt>
                <c:pt idx="3295">
                  <c:v>2.4660326792238119E-2</c:v>
                </c:pt>
                <c:pt idx="3296">
                  <c:v>2.4662751412091143E-2</c:v>
                </c:pt>
                <c:pt idx="3297">
                  <c:v>2.4665165193378077E-2</c:v>
                </c:pt>
                <c:pt idx="3298">
                  <c:v>2.4667568136060272E-2</c:v>
                </c:pt>
                <c:pt idx="3299">
                  <c:v>2.466996024009864E-2</c:v>
                </c:pt>
                <c:pt idx="3300">
                  <c:v>2.4672341505455407E-2</c:v>
                </c:pt>
                <c:pt idx="3301">
                  <c:v>2.467471193208929E-2</c:v>
                </c:pt>
                <c:pt idx="3302">
                  <c:v>2.4676400721785258E-2</c:v>
                </c:pt>
                <c:pt idx="3303">
                  <c:v>2.4678748536709833E-2</c:v>
                </c:pt>
                <c:pt idx="3304">
                  <c:v>2.4681085513519031E-2</c:v>
                </c:pt>
                <c:pt idx="3305">
                  <c:v>2.4683411652174428E-2</c:v>
                </c:pt>
                <c:pt idx="3306">
                  <c:v>2.4685726952638484E-2</c:v>
                </c:pt>
                <c:pt idx="3307">
                  <c:v>2.4688031414874991E-2</c:v>
                </c:pt>
                <c:pt idx="3308">
                  <c:v>2.469032503884596E-2</c:v>
                </c:pt>
                <c:pt idx="3309">
                  <c:v>2.4692607824514743E-2</c:v>
                </c:pt>
                <c:pt idx="3310">
                  <c:v>2.4694879771843356E-2</c:v>
                </c:pt>
                <c:pt idx="3311">
                  <c:v>2.4700145168119036E-2</c:v>
                </c:pt>
                <c:pt idx="3312">
                  <c:v>2.4702393576004563E-2</c:v>
                </c:pt>
                <c:pt idx="3313">
                  <c:v>2.4704631143255613E-2</c:v>
                </c:pt>
                <c:pt idx="3314">
                  <c:v>2.470685786983743E-2</c:v>
                </c:pt>
                <c:pt idx="3315">
                  <c:v>2.4708706126016375E-2</c:v>
                </c:pt>
                <c:pt idx="3316">
                  <c:v>2.4710908697889021E-2</c:v>
                </c:pt>
                <c:pt idx="3317">
                  <c:v>2.4713100429701457E-2</c:v>
                </c:pt>
                <c:pt idx="3318">
                  <c:v>2.4715281321418293E-2</c:v>
                </c:pt>
                <c:pt idx="3319">
                  <c:v>2.4719752797787917E-2</c:v>
                </c:pt>
                <c:pt idx="3320">
                  <c:v>2.4722597403214669E-2</c:v>
                </c:pt>
                <c:pt idx="3321">
                  <c:v>2.4724743890911501E-2</c:v>
                </c:pt>
                <c:pt idx="3322">
                  <c:v>2.4726879536181592E-2</c:v>
                </c:pt>
                <c:pt idx="3323">
                  <c:v>2.472602317732361E-2</c:v>
                </c:pt>
                <c:pt idx="3324">
                  <c:v>2.4728139027723851E-2</c:v>
                </c:pt>
                <c:pt idx="3325">
                  <c:v>2.4730244037783008E-2</c:v>
                </c:pt>
                <c:pt idx="3326">
                  <c:v>2.4732338207466138E-2</c:v>
                </c:pt>
                <c:pt idx="3327">
                  <c:v>2.4737395124900089E-2</c:v>
                </c:pt>
                <c:pt idx="3328">
                  <c:v>2.4739465714873118E-2</c:v>
                </c:pt>
                <c:pt idx="3329">
                  <c:v>2.4741525462175729E-2</c:v>
                </c:pt>
                <c:pt idx="3330">
                  <c:v>2.4743574366772252E-2</c:v>
                </c:pt>
                <c:pt idx="3331">
                  <c:v>2.4745612428630024E-2</c:v>
                </c:pt>
                <c:pt idx="3332">
                  <c:v>2.4744675575770377E-2</c:v>
                </c:pt>
                <c:pt idx="3333">
                  <c:v>2.4749656023994374E-2</c:v>
                </c:pt>
                <c:pt idx="3334">
                  <c:v>2.4751661557433052E-2</c:v>
                </c:pt>
                <c:pt idx="3335">
                  <c:v>2.4753656247998461E-2</c:v>
                </c:pt>
                <c:pt idx="3336">
                  <c:v>2.4752683676194473E-2</c:v>
                </c:pt>
                <c:pt idx="3337">
                  <c:v>2.4752688850603118E-2</c:v>
                </c:pt>
                <c:pt idx="3338">
                  <c:v>2.4754654213223169E-2</c:v>
                </c:pt>
                <c:pt idx="3339">
                  <c:v>2.4756608736501866E-2</c:v>
                </c:pt>
                <c:pt idx="3340">
                  <c:v>2.4758552420408728E-2</c:v>
                </c:pt>
                <c:pt idx="3341">
                  <c:v>2.4761467583202884E-2</c:v>
                </c:pt>
                <c:pt idx="3342">
                  <c:v>2.4763388945353584E-2</c:v>
                </c:pt>
                <c:pt idx="3343">
                  <c:v>2.4765299467305654E-2</c:v>
                </c:pt>
                <c:pt idx="3344">
                  <c:v>2.4767199149026156E-2</c:v>
                </c:pt>
                <c:pt idx="3345">
                  <c:v>2.4769087990484783E-2</c:v>
                </c:pt>
                <c:pt idx="3346">
                  <c:v>2.4769986895266077E-2</c:v>
                </c:pt>
                <c:pt idx="3347">
                  <c:v>2.4771854702691269E-2</c:v>
                </c:pt>
                <c:pt idx="3348">
                  <c:v>2.4773711670498636E-2</c:v>
                </c:pt>
                <c:pt idx="3349">
                  <c:v>2.4775557798655503E-2</c:v>
                </c:pt>
                <c:pt idx="3350">
                  <c:v>2.4778369592788219E-2</c:v>
                </c:pt>
                <c:pt idx="3351">
                  <c:v>2.4780193392039622E-2</c:v>
                </c:pt>
                <c:pt idx="3352">
                  <c:v>2.4782006350817887E-2</c:v>
                </c:pt>
                <c:pt idx="3353">
                  <c:v>2.478483338379088E-2</c:v>
                </c:pt>
                <c:pt idx="3354">
                  <c:v>2.4784880948707701E-2</c:v>
                </c:pt>
                <c:pt idx="3355">
                  <c:v>2.4786406933309583E-2</c:v>
                </c:pt>
                <c:pt idx="3356">
                  <c:v>2.4788177183097226E-2</c:v>
                </c:pt>
                <c:pt idx="3357">
                  <c:v>2.4789936593002507E-2</c:v>
                </c:pt>
                <c:pt idx="3358">
                  <c:v>2.4791685162996277E-2</c:v>
                </c:pt>
                <c:pt idx="3359">
                  <c:v>2.4793422893050716E-2</c:v>
                </c:pt>
                <c:pt idx="3360">
                  <c:v>2.4795149783137994E-2</c:v>
                </c:pt>
                <c:pt idx="3361">
                  <c:v>2.4796865833229414E-2</c:v>
                </c:pt>
                <c:pt idx="3362">
                  <c:v>2.4798571043296708E-2</c:v>
                </c:pt>
                <c:pt idx="3363">
                  <c:v>2.4805105247821497E-2</c:v>
                </c:pt>
                <c:pt idx="3364">
                  <c:v>2.4806785481393989E-2</c:v>
                </c:pt>
                <c:pt idx="3365">
                  <c:v>2.4808454871176958E-2</c:v>
                </c:pt>
                <c:pt idx="3366">
                  <c:v>2.4810113417144619E-2</c:v>
                </c:pt>
                <c:pt idx="3367">
                  <c:v>2.4808865200797701E-2</c:v>
                </c:pt>
                <c:pt idx="3368">
                  <c:v>2.4810504046005873E-2</c:v>
                </c:pt>
                <c:pt idx="3369">
                  <c:v>2.4812132049528028E-2</c:v>
                </c:pt>
                <c:pt idx="3370">
                  <c:v>2.4813749211336208E-2</c:v>
                </c:pt>
                <c:pt idx="3371">
                  <c:v>2.4815355531406829E-2</c:v>
                </c:pt>
                <c:pt idx="3372">
                  <c:v>2.4819836971288412E-2</c:v>
                </c:pt>
                <c:pt idx="3373">
                  <c:v>2.482141960978437E-2</c:v>
                </c:pt>
                <c:pt idx="3374">
                  <c:v>2.4822991404249702E-2</c:v>
                </c:pt>
                <c:pt idx="3375">
                  <c:v>2.4824552354657775E-2</c:v>
                </c:pt>
                <c:pt idx="3376">
                  <c:v>2.4823224504753851E-2</c:v>
                </c:pt>
                <c:pt idx="3377">
                  <c:v>2.4824765773843474E-2</c:v>
                </c:pt>
                <c:pt idx="3378">
                  <c:v>2.4826296201012951E-2</c:v>
                </c:pt>
                <c:pt idx="3379">
                  <c:v>2.4830687715203838E-2</c:v>
                </c:pt>
                <c:pt idx="3380">
                  <c:v>2.4832194444941374E-2</c:v>
                </c:pt>
                <c:pt idx="3381">
                  <c:v>2.4833690330468648E-2</c:v>
                </c:pt>
                <c:pt idx="3382">
                  <c:v>2.4835175371762885E-2</c:v>
                </c:pt>
                <c:pt idx="3383">
                  <c:v>2.4836649568797008E-2</c:v>
                </c:pt>
                <c:pt idx="3384">
                  <c:v>2.4835251082344269E-2</c:v>
                </c:pt>
                <c:pt idx="3385">
                  <c:v>2.4839565429988216E-2</c:v>
                </c:pt>
                <c:pt idx="3386">
                  <c:v>2.484100709409889E-2</c:v>
                </c:pt>
                <c:pt idx="3387">
                  <c:v>2.4842437913853179E-2</c:v>
                </c:pt>
                <c:pt idx="3388">
                  <c:v>2.4843857889226162E-2</c:v>
                </c:pt>
                <c:pt idx="3389">
                  <c:v>2.4841464718742035E-2</c:v>
                </c:pt>
                <c:pt idx="3390">
                  <c:v>2.4842865719351626E-2</c:v>
                </c:pt>
                <c:pt idx="3391">
                  <c:v>2.4844255878470875E-2</c:v>
                </c:pt>
                <c:pt idx="3392">
                  <c:v>2.4845635196076063E-2</c:v>
                </c:pt>
                <c:pt idx="3393">
                  <c:v>2.484795156169313E-2</c:v>
                </c:pt>
                <c:pt idx="3394">
                  <c:v>2.4853097128802442E-2</c:v>
                </c:pt>
                <c:pt idx="3395">
                  <c:v>2.4850654625743755E-2</c:v>
                </c:pt>
                <c:pt idx="3396">
                  <c:v>2.4851989894266829E-2</c:v>
                </c:pt>
                <c:pt idx="3397">
                  <c:v>2.4853314320426392E-2</c:v>
                </c:pt>
                <c:pt idx="3398">
                  <c:v>2.4853683428695313E-2</c:v>
                </c:pt>
                <c:pt idx="3399">
                  <c:v>2.4854986855092898E-2</c:v>
                </c:pt>
                <c:pt idx="3400">
                  <c:v>2.4856279439802054E-2</c:v>
                </c:pt>
                <c:pt idx="3401">
                  <c:v>2.4857561182803901E-2</c:v>
                </c:pt>
                <c:pt idx="3402">
                  <c:v>2.4859773815017628E-2</c:v>
                </c:pt>
                <c:pt idx="3403">
                  <c:v>2.4861033186546221E-2</c:v>
                </c:pt>
                <c:pt idx="3404">
                  <c:v>2.4862281715564535E-2</c:v>
                </c:pt>
                <c:pt idx="3405">
                  <c:v>2.4863519402050293E-2</c:v>
                </c:pt>
                <c:pt idx="3406">
                  <c:v>2.4863807271464693E-2</c:v>
                </c:pt>
                <c:pt idx="3407">
                  <c:v>2.4865023963785652E-2</c:v>
                </c:pt>
                <c:pt idx="3408">
                  <c:v>2.4866229814256118E-2</c:v>
                </c:pt>
                <c:pt idx="3409">
                  <c:v>2.4867424822857642E-2</c:v>
                </c:pt>
                <c:pt idx="3410">
                  <c:v>2.4868608989568705E-2</c:v>
                </c:pt>
                <c:pt idx="3411">
                  <c:v>2.4869782314371296E-2</c:v>
                </c:pt>
                <c:pt idx="3412">
                  <c:v>2.4870944797246532E-2</c:v>
                </c:pt>
                <c:pt idx="3413">
                  <c:v>2.4872096438175086E-2</c:v>
                </c:pt>
                <c:pt idx="3414">
                  <c:v>2.4873237237138513E-2</c:v>
                </c:pt>
                <c:pt idx="3415">
                  <c:v>2.4878097966914585E-2</c:v>
                </c:pt>
                <c:pt idx="3416">
                  <c:v>2.4879214290742798E-2</c:v>
                </c:pt>
                <c:pt idx="3417">
                  <c:v>2.488031976958073E-2</c:v>
                </c:pt>
                <c:pt idx="3418">
                  <c:v>2.4881414403410334E-2</c:v>
                </c:pt>
                <c:pt idx="3419">
                  <c:v>2.4879708536023788E-2</c:v>
                </c:pt>
                <c:pt idx="3420">
                  <c:v>2.4880783582206575E-2</c:v>
                </c:pt>
                <c:pt idx="3421">
                  <c:v>2.4881847785555841E-2</c:v>
                </c:pt>
                <c:pt idx="3422">
                  <c:v>2.4882901146054997E-2</c:v>
                </c:pt>
                <c:pt idx="3423">
                  <c:v>2.488394366368438E-2</c:v>
                </c:pt>
                <c:pt idx="3424">
                  <c:v>2.4887754460204303E-2</c:v>
                </c:pt>
                <c:pt idx="3425">
                  <c:v>2.4888773178474904E-2</c:v>
                </c:pt>
                <c:pt idx="3426">
                  <c:v>2.4889781051597931E-2</c:v>
                </c:pt>
                <c:pt idx="3427">
                  <c:v>2.48907780795549E-2</c:v>
                </c:pt>
                <c:pt idx="3428">
                  <c:v>2.4888993608215556E-2</c:v>
                </c:pt>
                <c:pt idx="3429">
                  <c:v>2.4889971068283414E-2</c:v>
                </c:pt>
                <c:pt idx="3430">
                  <c:v>2.4890937685367057E-2</c:v>
                </c:pt>
                <c:pt idx="3431">
                  <c:v>2.4891893459450323E-2</c:v>
                </c:pt>
                <c:pt idx="3432">
                  <c:v>2.4892838390519235E-2</c:v>
                </c:pt>
                <c:pt idx="3433">
                  <c:v>2.4896532497904463E-2</c:v>
                </c:pt>
                <c:pt idx="3434">
                  <c:v>2.4897453609248651E-2</c:v>
                </c:pt>
                <c:pt idx="3435">
                  <c:v>2.4898363875299576E-2</c:v>
                </c:pt>
                <c:pt idx="3436">
                  <c:v>2.4899263296043479E-2</c:v>
                </c:pt>
                <c:pt idx="3437">
                  <c:v>2.4900151871464892E-2</c:v>
                </c:pt>
                <c:pt idx="3438">
                  <c:v>2.4901029601547057E-2</c:v>
                </c:pt>
                <c:pt idx="3439">
                  <c:v>2.4901896486277938E-2</c:v>
                </c:pt>
                <c:pt idx="3440">
                  <c:v>2.4902752525642065E-2</c:v>
                </c:pt>
                <c:pt idx="3441">
                  <c:v>2.4899026107048243E-2</c:v>
                </c:pt>
                <c:pt idx="3442">
                  <c:v>2.4899864040970714E-2</c:v>
                </c:pt>
                <c:pt idx="3443">
                  <c:v>2.4900691133206296E-2</c:v>
                </c:pt>
                <c:pt idx="3444">
                  <c:v>2.4901507383743072E-2</c:v>
                </c:pt>
                <c:pt idx="3445">
                  <c:v>2.4902312792566023E-2</c:v>
                </c:pt>
                <c:pt idx="3446">
                  <c:v>2.4904018143668522E-2</c:v>
                </c:pt>
                <c:pt idx="3447">
                  <c:v>2.4904801148441631E-2</c:v>
                </c:pt>
                <c:pt idx="3448">
                  <c:v>2.4905573310718167E-2</c:v>
                </c:pt>
                <c:pt idx="3449">
                  <c:v>2.4906334630486714E-2</c:v>
                </c:pt>
                <c:pt idx="3450">
                  <c:v>2.4906177210532641E-2</c:v>
                </c:pt>
                <c:pt idx="3451">
                  <c:v>2.4906917568808983E-2</c:v>
                </c:pt>
                <c:pt idx="3452">
                  <c:v>2.4907647085285384E-2</c:v>
                </c:pt>
                <c:pt idx="3453">
                  <c:v>2.4908365759948588E-2</c:v>
                </c:pt>
                <c:pt idx="3454">
                  <c:v>2.4909978591268183E-2</c:v>
                </c:pt>
                <c:pt idx="3455">
                  <c:v>2.4910674855729655E-2</c:v>
                </c:pt>
                <c:pt idx="3456">
                  <c:v>2.4911360277599683E-2</c:v>
                </c:pt>
                <c:pt idx="3457">
                  <c:v>2.4912034856866855E-2</c:v>
                </c:pt>
                <c:pt idx="3458">
                  <c:v>2.4912698593520188E-2</c:v>
                </c:pt>
                <c:pt idx="3459">
                  <c:v>2.4912450129233363E-2</c:v>
                </c:pt>
                <c:pt idx="3460">
                  <c:v>2.4913092910895072E-2</c:v>
                </c:pt>
                <c:pt idx="3461">
                  <c:v>2.4913724850656585E-2</c:v>
                </c:pt>
                <c:pt idx="3462">
                  <c:v>2.4914345948507749E-2</c:v>
                </c:pt>
                <c:pt idx="3463">
                  <c:v>2.4914956204438399E-2</c:v>
                </c:pt>
                <c:pt idx="3464">
                  <c:v>2.4915555618437939E-2</c:v>
                </c:pt>
                <c:pt idx="3465">
                  <c:v>2.491614419049798E-2</c:v>
                </c:pt>
                <c:pt idx="3466">
                  <c:v>2.49167219206088E-2</c:v>
                </c:pt>
                <c:pt idx="3467">
                  <c:v>2.4921765992232048E-2</c:v>
                </c:pt>
                <c:pt idx="3468">
                  <c:v>2.4922318356218429E-2</c:v>
                </c:pt>
                <c:pt idx="3469">
                  <c:v>2.4922859874500256E-2</c:v>
                </c:pt>
                <c:pt idx="3470">
                  <c:v>2.4923390547066791E-2</c:v>
                </c:pt>
                <c:pt idx="3471">
                  <c:v>2.4921233003689685E-2</c:v>
                </c:pt>
                <c:pt idx="3472">
                  <c:v>2.4921744203380787E-2</c:v>
                </c:pt>
                <c:pt idx="3473">
                  <c:v>2.4922244559568745E-2</c:v>
                </c:pt>
                <c:pt idx="3474">
                  <c:v>2.4922734072245694E-2</c:v>
                </c:pt>
                <c:pt idx="3475">
                  <c:v>2.4923212741402904E-2</c:v>
                </c:pt>
                <c:pt idx="3476">
                  <c:v>2.4926346821979833E-2</c:v>
                </c:pt>
                <c:pt idx="3477">
                  <c:v>2.4926801574307669E-2</c:v>
                </c:pt>
                <c:pt idx="3478">
                  <c:v>2.4927245480855748E-2</c:v>
                </c:pt>
                <c:pt idx="3479">
                  <c:v>2.4927678541616764E-2</c:v>
                </c:pt>
                <c:pt idx="3480">
                  <c:v>2.4925443434141624E-2</c:v>
                </c:pt>
                <c:pt idx="3481">
                  <c:v>2.4925857042027488E-2</c:v>
                </c:pt>
                <c:pt idx="3482">
                  <c:v>2.4926259806344251E-2</c:v>
                </c:pt>
                <c:pt idx="3483">
                  <c:v>2.4926651727084047E-2</c:v>
                </c:pt>
                <c:pt idx="3484">
                  <c:v>2.4927032804241637E-2</c:v>
                </c:pt>
                <c:pt idx="3485">
                  <c:v>2.4930049144254826E-2</c:v>
                </c:pt>
                <c:pt idx="3486">
                  <c:v>2.4930406284312569E-2</c:v>
                </c:pt>
                <c:pt idx="3487">
                  <c:v>2.4930752578531244E-2</c:v>
                </c:pt>
                <c:pt idx="3488">
                  <c:v>2.4931088026903549E-2</c:v>
                </c:pt>
                <c:pt idx="3489">
                  <c:v>2.4931412629424325E-2</c:v>
                </c:pt>
                <c:pt idx="3490">
                  <c:v>2.4931726386088846E-2</c:v>
                </c:pt>
                <c:pt idx="3491">
                  <c:v>2.4932029296891953E-2</c:v>
                </c:pt>
                <c:pt idx="3492">
                  <c:v>2.4932321361828061E-2</c:v>
                </c:pt>
                <c:pt idx="3493">
                  <c:v>2.4928222346701785E-2</c:v>
                </c:pt>
                <c:pt idx="3494">
                  <c:v>2.4928496499075074E-2</c:v>
                </c:pt>
                <c:pt idx="3495">
                  <c:v>2.4928759809298644E-2</c:v>
                </c:pt>
                <c:pt idx="3496">
                  <c:v>2.4929012277369402E-2</c:v>
                </c:pt>
                <c:pt idx="3497">
                  <c:v>2.4929253903282052E-2</c:v>
                </c:pt>
                <c:pt idx="3498">
                  <c:v>2.4930357012321224E-2</c:v>
                </c:pt>
                <c:pt idx="3499">
                  <c:v>2.4930576194550514E-2</c:v>
                </c:pt>
                <c:pt idx="3500">
                  <c:v>2.4930784533864665E-2</c:v>
                </c:pt>
                <c:pt idx="3501">
                  <c:v>2.4930982030260167E-2</c:v>
                </c:pt>
                <c:pt idx="3502">
                  <c:v>2.4930299400355717E-2</c:v>
                </c:pt>
                <c:pt idx="3503">
                  <c:v>2.49304759732486E-2</c:v>
                </c:pt>
                <c:pt idx="3504">
                  <c:v>2.4930641703959963E-2</c:v>
                </c:pt>
                <c:pt idx="3505">
                  <c:v>2.4930796592487602E-2</c:v>
                </c:pt>
                <c:pt idx="3506">
                  <c:v>2.4931806869981088E-2</c:v>
                </c:pt>
                <c:pt idx="3507">
                  <c:v>2.4931939454911376E-2</c:v>
                </c:pt>
                <c:pt idx="3508">
                  <c:v>2.4932061733092804E-2</c:v>
                </c:pt>
                <c:pt idx="3509">
                  <c:v>2.4932174121562324E-2</c:v>
                </c:pt>
                <c:pt idx="3510">
                  <c:v>2.4932290990646404E-2</c:v>
                </c:pt>
                <c:pt idx="3511">
                  <c:v>2.4931520506621545E-2</c:v>
                </c:pt>
                <c:pt idx="3512">
                  <c:v>2.4931604986510706E-2</c:v>
                </c:pt>
                <c:pt idx="3513">
                  <c:v>2.4931681259874904E-2</c:v>
                </c:pt>
                <c:pt idx="3514">
                  <c:v>2.4931749746025578E-2</c:v>
                </c:pt>
                <c:pt idx="3515">
                  <c:v>2.4931810864271955E-2</c:v>
                </c:pt>
                <c:pt idx="3516">
                  <c:v>2.4931865033925908E-2</c:v>
                </c:pt>
                <c:pt idx="3517">
                  <c:v>2.4931912674298441E-2</c:v>
                </c:pt>
                <c:pt idx="3518">
                  <c:v>2.4931954204701866E-2</c:v>
                </c:pt>
                <c:pt idx="3519">
                  <c:v>2.4935432379795185E-2</c:v>
                </c:pt>
                <c:pt idx="3520">
                  <c:v>2.4935462295488459E-2</c:v>
                </c:pt>
                <c:pt idx="3521">
                  <c:v>2.4935487462748734E-2</c:v>
                </c:pt>
                <c:pt idx="3522">
                  <c:v>2.4935508291932734E-2</c:v>
                </c:pt>
                <c:pt idx="3523">
                  <c:v>2.4932944905283569E-2</c:v>
                </c:pt>
                <c:pt idx="3524">
                  <c:v>2.4935538577509159E-2</c:v>
                </c:pt>
                <c:pt idx="3525">
                  <c:v>2.4933833566490503E-2</c:v>
                </c:pt>
                <c:pt idx="3526">
                  <c:v>2.4935556435083606E-2</c:v>
                </c:pt>
                <c:pt idx="3527">
                  <c:v>2.4935561729266861E-2</c:v>
                </c:pt>
                <c:pt idx="3528">
                  <c:v>2.4935565147525401E-2</c:v>
                </c:pt>
                <c:pt idx="3529">
                  <c:v>2.493556710021811E-2</c:v>
                </c:pt>
                <c:pt idx="3530">
                  <c:v>2.4935567997702576E-2</c:v>
                </c:pt>
                <c:pt idx="3531">
                  <c:v>2.4935568250338543E-2</c:v>
                </c:pt>
                <c:pt idx="3532">
                  <c:v>2.4935568263099794E-2</c:v>
                </c:pt>
              </c:numCache>
            </c:numRef>
          </c:yVal>
          <c:smooth val="0"/>
        </c:ser>
        <c:ser>
          <c:idx val="1"/>
          <c:order val="1"/>
          <c:spPr>
            <a:ln w="28575">
              <a:noFill/>
            </a:ln>
          </c:spPr>
          <c:marker>
            <c:symbol val="square"/>
            <c:size val="3"/>
            <c:spPr>
              <a:solidFill>
                <a:srgbClr val="FF00FF"/>
              </a:solidFill>
              <a:ln>
                <a:solidFill>
                  <a:srgbClr val="FF00FF"/>
                </a:solidFill>
                <a:prstDash val="solid"/>
              </a:ln>
            </c:spPr>
          </c:marker>
          <c:xVal>
            <c:numRef>
              <c:f>Monitor!$P$3:$P$20</c:f>
              <c:numCache>
                <c:formatCode>ddd\,\ dd\-mmm\-yyyy</c:formatCode>
                <c:ptCount val="18"/>
                <c:pt idx="0">
                  <c:v>41820</c:v>
                </c:pt>
                <c:pt idx="1">
                  <c:v>41849</c:v>
                </c:pt>
                <c:pt idx="2">
                  <c:v>41880</c:v>
                </c:pt>
                <c:pt idx="3">
                  <c:v>41911</c:v>
                </c:pt>
                <c:pt idx="4">
                  <c:v>41941</c:v>
                </c:pt>
                <c:pt idx="5">
                  <c:v>41971</c:v>
                </c:pt>
                <c:pt idx="6">
                  <c:v>42002</c:v>
                </c:pt>
                <c:pt idx="7">
                  <c:v>42033</c:v>
                </c:pt>
                <c:pt idx="8">
                  <c:v>42062</c:v>
                </c:pt>
                <c:pt idx="9">
                  <c:v>42093</c:v>
                </c:pt>
                <c:pt idx="10">
                  <c:v>42123</c:v>
                </c:pt>
                <c:pt idx="11">
                  <c:v>42153</c:v>
                </c:pt>
                <c:pt idx="12">
                  <c:v>42184</c:v>
                </c:pt>
                <c:pt idx="13">
                  <c:v>42214</c:v>
                </c:pt>
                <c:pt idx="14">
                  <c:v>42247</c:v>
                </c:pt>
                <c:pt idx="15">
                  <c:v>42276</c:v>
                </c:pt>
                <c:pt idx="16">
                  <c:v>42306</c:v>
                </c:pt>
                <c:pt idx="17">
                  <c:v>42338</c:v>
                </c:pt>
              </c:numCache>
            </c:numRef>
          </c:xVal>
          <c:yVal>
            <c:numRef>
              <c:f>Monitor!$Q$3:$Q$20</c:f>
              <c:numCache>
                <c:formatCode>0.0000%</c:formatCode>
                <c:ptCount val="18"/>
                <c:pt idx="0">
                  <c:v>3.2799999999999995E-3</c:v>
                </c:pt>
                <c:pt idx="1">
                  <c:v>3.15E-3</c:v>
                </c:pt>
                <c:pt idx="2">
                  <c:v>3.0200000000000005E-3</c:v>
                </c:pt>
                <c:pt idx="3">
                  <c:v>2.9300000000000003E-3</c:v>
                </c:pt>
                <c:pt idx="4">
                  <c:v>2.9000000000000002E-3</c:v>
                </c:pt>
                <c:pt idx="5">
                  <c:v>2.8900000000000002E-3</c:v>
                </c:pt>
                <c:pt idx="6">
                  <c:v>2.9200000000000003E-3</c:v>
                </c:pt>
                <c:pt idx="7">
                  <c:v>2.9300000000000003E-3</c:v>
                </c:pt>
                <c:pt idx="8">
                  <c:v>2.9900000000000005E-3</c:v>
                </c:pt>
                <c:pt idx="9">
                  <c:v>3.0600000000000007E-3</c:v>
                </c:pt>
                <c:pt idx="10">
                  <c:v>3.15E-3</c:v>
                </c:pt>
                <c:pt idx="11">
                  <c:v>3.2299999999999994E-3</c:v>
                </c:pt>
                <c:pt idx="12">
                  <c:v>3.3199999999999996E-3</c:v>
                </c:pt>
                <c:pt idx="13">
                  <c:v>3.4699999999999996E-3</c:v>
                </c:pt>
                <c:pt idx="14">
                  <c:v>3.5999999999999999E-3</c:v>
                </c:pt>
                <c:pt idx="15">
                  <c:v>3.7399999999999998E-3</c:v>
                </c:pt>
                <c:pt idx="16">
                  <c:v>3.9300000000000003E-3</c:v>
                </c:pt>
                <c:pt idx="17">
                  <c:v>4.1099999999999999E-3</c:v>
                </c:pt>
              </c:numCache>
            </c:numRef>
          </c:yVal>
          <c:smooth val="1"/>
        </c:ser>
        <c:dLbls>
          <c:showLegendKey val="0"/>
          <c:showVal val="0"/>
          <c:showCatName val="0"/>
          <c:showSerName val="0"/>
          <c:showPercent val="0"/>
          <c:showBubbleSize val="0"/>
        </c:dLbls>
        <c:axId val="339608320"/>
        <c:axId val="339610240"/>
      </c:scatterChart>
      <c:valAx>
        <c:axId val="339608320"/>
        <c:scaling>
          <c:orientation val="minMax"/>
          <c:max val="42826"/>
          <c:min val="5"/>
        </c:scaling>
        <c:delete val="0"/>
        <c:axPos val="b"/>
        <c:numFmt formatCode="mmm\ yy" sourceLinked="0"/>
        <c:majorTickMark val="out"/>
        <c:minorTickMark val="in"/>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39610240"/>
        <c:crossesAt val="-2.5000000000000001E-3"/>
        <c:crossBetween val="midCat"/>
        <c:majorUnit val="91.3125"/>
        <c:minorUnit val="30.4375"/>
      </c:valAx>
      <c:valAx>
        <c:axId val="339610240"/>
        <c:scaling>
          <c:orientation val="minMax"/>
          <c:max val="1.2500000000000001E-2"/>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608320"/>
        <c:crosses val="autoZero"/>
        <c:crossBetween val="midCat"/>
        <c:majorUnit val="2.5000000000000001E-3"/>
      </c:valAx>
      <c:spPr>
        <a:solidFill>
          <a:srgbClr val="C0C0C0"/>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553323029366303E-2"/>
          <c:y val="8.0357142857142863E-2"/>
          <c:w val="0.87635239567233381"/>
          <c:h val="0.6964285714285714"/>
        </c:manualLayout>
      </c:layout>
      <c:scatterChart>
        <c:scatterStyle val="smoothMarker"/>
        <c:varyColors val="0"/>
        <c:ser>
          <c:idx val="0"/>
          <c:order val="0"/>
          <c:spPr>
            <a:ln w="28575">
              <a:noFill/>
            </a:ln>
          </c:spPr>
          <c:marker>
            <c:symbol val="diamond"/>
            <c:size val="2"/>
            <c:spPr>
              <a:solidFill>
                <a:srgbClr val="000080"/>
              </a:solidFill>
              <a:ln>
                <a:solidFill>
                  <a:srgbClr val="000080"/>
                </a:solidFill>
                <a:prstDash val="solid"/>
              </a:ln>
            </c:spPr>
          </c:marker>
          <c:xVal>
            <c:numRef>
              <c:f>Monitor!$C$5:$C$15377</c:f>
              <c:numCache>
                <c:formatCode>ddd\,\ dd\-mmm\-yyyy</c:formatCode>
                <c:ptCount val="15372"/>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numCache>
            </c:numRef>
          </c:xVal>
          <c:yVal>
            <c:numRef>
              <c:f>Monitor!$D$5:$D$15377</c:f>
              <c:numCache>
                <c:formatCode>0.0000%</c:formatCode>
                <c:ptCount val="15372"/>
                <c:pt idx="0">
                  <c:v>3.8825524408421133E-3</c:v>
                </c:pt>
                <c:pt idx="1">
                  <c:v>3.8619352703961451E-3</c:v>
                </c:pt>
                <c:pt idx="2">
                  <c:v>3.762591618581898E-3</c:v>
                </c:pt>
                <c:pt idx="3">
                  <c:v>3.7360392201340751E-3</c:v>
                </c:pt>
                <c:pt idx="4">
                  <c:v>3.7103343107802362E-3</c:v>
                </c:pt>
                <c:pt idx="5">
                  <c:v>3.685194534659722E-3</c:v>
                </c:pt>
                <c:pt idx="6">
                  <c:v>3.6408363837411579E-3</c:v>
                </c:pt>
                <c:pt idx="7">
                  <c:v>3.589343934461402E-3</c:v>
                </c:pt>
                <c:pt idx="8">
                  <c:v>3.567278170357189E-3</c:v>
                </c:pt>
                <c:pt idx="9">
                  <c:v>3.5462884415623564E-3</c:v>
                </c:pt>
                <c:pt idx="10">
                  <c:v>3.5265333787186407E-3</c:v>
                </c:pt>
                <c:pt idx="11">
                  <c:v>3.4928412470990717E-3</c:v>
                </c:pt>
                <c:pt idx="12">
                  <c:v>3.4593856330838368E-3</c:v>
                </c:pt>
                <c:pt idx="13">
                  <c:v>3.4447075927059468E-3</c:v>
                </c:pt>
                <c:pt idx="14">
                  <c:v>3.4305066512951661E-3</c:v>
                </c:pt>
                <c:pt idx="15">
                  <c:v>3.4165995897766106E-3</c:v>
                </c:pt>
                <c:pt idx="16">
                  <c:v>3.3926100826588263E-3</c:v>
                </c:pt>
                <c:pt idx="17">
                  <c:v>3.3626594461545279E-3</c:v>
                </c:pt>
                <c:pt idx="18">
                  <c:v>3.3497740163817308E-3</c:v>
                </c:pt>
                <c:pt idx="19">
                  <c:v>3.3269906456359585E-3</c:v>
                </c:pt>
                <c:pt idx="20">
                  <c:v>3.3091371254391965E-3</c:v>
                </c:pt>
                <c:pt idx="21">
                  <c:v>3.2800000000011566E-3</c:v>
                </c:pt>
                <c:pt idx="22">
                  <c:v>3.2709129973088166E-3</c:v>
                </c:pt>
                <c:pt idx="23">
                  <c:v>3.2621584819208351E-3</c:v>
                </c:pt>
                <c:pt idx="24">
                  <c:v>3.2563956254829944E-3</c:v>
                </c:pt>
                <c:pt idx="25">
                  <c:v>3.2478786648384261E-3</c:v>
                </c:pt>
                <c:pt idx="26">
                  <c:v>3.2266008002222193E-3</c:v>
                </c:pt>
                <c:pt idx="27">
                  <c:v>3.2208347181747359E-3</c:v>
                </c:pt>
                <c:pt idx="28">
                  <c:v>3.2154572429643966E-3</c:v>
                </c:pt>
                <c:pt idx="29">
                  <c:v>3.2170760528976174E-3</c:v>
                </c:pt>
                <c:pt idx="30">
                  <c:v>3.2092218538407814E-3</c:v>
                </c:pt>
                <c:pt idx="31">
                  <c:v>3.1935008558963531E-3</c:v>
                </c:pt>
                <c:pt idx="32">
                  <c:v>3.1899161592311965E-3</c:v>
                </c:pt>
                <c:pt idx="33">
                  <c:v>3.1865404520265601E-3</c:v>
                </c:pt>
                <c:pt idx="34">
                  <c:v>3.1918223250334658E-3</c:v>
                </c:pt>
                <c:pt idx="35">
                  <c:v>3.1846043127112993E-3</c:v>
                </c:pt>
                <c:pt idx="36">
                  <c:v>3.1718987226428529E-3</c:v>
                </c:pt>
                <c:pt idx="37">
                  <c:v>3.1692381337301906E-3</c:v>
                </c:pt>
                <c:pt idx="38">
                  <c:v>3.1666069297824244E-3</c:v>
                </c:pt>
                <c:pt idx="39">
                  <c:v>3.1719279512115906E-3</c:v>
                </c:pt>
                <c:pt idx="40">
                  <c:v>3.1652726162406577E-3</c:v>
                </c:pt>
                <c:pt idx="41">
                  <c:v>3.1529936892840792E-3</c:v>
                </c:pt>
                <c:pt idx="42">
                  <c:v>3.1499999999997836E-3</c:v>
                </c:pt>
                <c:pt idx="43">
                  <c:v>3.1468616528002764E-3</c:v>
                </c:pt>
                <c:pt idx="44">
                  <c:v>3.1404984170714592E-3</c:v>
                </c:pt>
                <c:pt idx="45">
                  <c:v>3.1428119309527798E-3</c:v>
                </c:pt>
                <c:pt idx="46">
                  <c:v>3.1291851303949032E-3</c:v>
                </c:pt>
                <c:pt idx="47">
                  <c:v>3.1253065470204307E-3</c:v>
                </c:pt>
                <c:pt idx="48">
                  <c:v>3.1213314299753359E-3</c:v>
                </c:pt>
                <c:pt idx="49">
                  <c:v>3.120457054485768E-3</c:v>
                </c:pt>
                <c:pt idx="50">
                  <c:v>3.1146698453577175E-3</c:v>
                </c:pt>
                <c:pt idx="51">
                  <c:v>3.1002762241881957E-3</c:v>
                </c:pt>
                <c:pt idx="52">
                  <c:v>3.0958829350370277E-3</c:v>
                </c:pt>
                <c:pt idx="53">
                  <c:v>3.0914467883105452E-3</c:v>
                </c:pt>
                <c:pt idx="54">
                  <c:v>3.0886660339402372E-3</c:v>
                </c:pt>
                <c:pt idx="55">
                  <c:v>3.0832977761696334E-3</c:v>
                </c:pt>
                <c:pt idx="56">
                  <c:v>3.0688915604755273E-3</c:v>
                </c:pt>
                <c:pt idx="57">
                  <c:v>3.0643592889808995E-3</c:v>
                </c:pt>
                <c:pt idx="58">
                  <c:v>3.0598378328188141E-3</c:v>
                </c:pt>
                <c:pt idx="59">
                  <c:v>3.0562441148290582E-3</c:v>
                </c:pt>
                <c:pt idx="60">
                  <c:v>3.0513115802061697E-3</c:v>
                </c:pt>
                <c:pt idx="61">
                  <c:v>3.0376611342473824E-3</c:v>
                </c:pt>
                <c:pt idx="62">
                  <c:v>3.0333655804729628E-3</c:v>
                </c:pt>
                <c:pt idx="63">
                  <c:v>3.0291345115368816E-3</c:v>
                </c:pt>
                <c:pt idx="64">
                  <c:v>3.0245459272588413E-3</c:v>
                </c:pt>
                <c:pt idx="65">
                  <c:v>3.0200000000001961E-3</c:v>
                </c:pt>
                <c:pt idx="66">
                  <c:v>3.0081625230648202E-3</c:v>
                </c:pt>
                <c:pt idx="67">
                  <c:v>3.0038580247290798E-3</c:v>
                </c:pt>
                <c:pt idx="68">
                  <c:v>3.0001209726407455E-3</c:v>
                </c:pt>
                <c:pt idx="69">
                  <c:v>2.9964553740086017E-3</c:v>
                </c:pt>
                <c:pt idx="70">
                  <c:v>2.9928612901754027E-3</c:v>
                </c:pt>
                <c:pt idx="71">
                  <c:v>2.9831332901543882E-3</c:v>
                </c:pt>
                <c:pt idx="72">
                  <c:v>2.9792013299300337E-3</c:v>
                </c:pt>
                <c:pt idx="73">
                  <c:v>2.9759657404797432E-3</c:v>
                </c:pt>
                <c:pt idx="74">
                  <c:v>2.9728020340359612E-3</c:v>
                </c:pt>
                <c:pt idx="75">
                  <c:v>2.969710271991347E-3</c:v>
                </c:pt>
                <c:pt idx="76">
                  <c:v>2.961749161420695E-3</c:v>
                </c:pt>
                <c:pt idx="77">
                  <c:v>2.9580638959408297E-3</c:v>
                </c:pt>
                <c:pt idx="78">
                  <c:v>2.9553327770583996E-3</c:v>
                </c:pt>
                <c:pt idx="79">
                  <c:v>2.952673971093171E-3</c:v>
                </c:pt>
                <c:pt idx="80">
                  <c:v>2.9500875394921238E-3</c:v>
                </c:pt>
                <c:pt idx="81">
                  <c:v>2.9440310778621266E-3</c:v>
                </c:pt>
                <c:pt idx="82">
                  <c:v>2.9404667859051826E-3</c:v>
                </c:pt>
                <c:pt idx="83">
                  <c:v>2.938243148076176E-3</c:v>
                </c:pt>
                <c:pt idx="84">
                  <c:v>2.9360922534451537E-3</c:v>
                </c:pt>
                <c:pt idx="85">
                  <c:v>2.9340141635125342E-3</c:v>
                </c:pt>
                <c:pt idx="86">
                  <c:v>2.929999999999914E-3</c:v>
                </c:pt>
                <c:pt idx="87">
                  <c:v>2.928297314339317E-3</c:v>
                </c:pt>
                <c:pt idx="88">
                  <c:v>2.9266676683172331E-3</c:v>
                </c:pt>
                <c:pt idx="89">
                  <c:v>2.9251084284362865E-3</c:v>
                </c:pt>
                <c:pt idx="90">
                  <c:v>2.9315205622726377E-3</c:v>
                </c:pt>
                <c:pt idx="91">
                  <c:v>2.9215268503263443E-3</c:v>
                </c:pt>
                <c:pt idx="92">
                  <c:v>2.918276149787514E-3</c:v>
                </c:pt>
                <c:pt idx="93">
                  <c:v>2.9170840441306877E-3</c:v>
                </c:pt>
                <c:pt idx="94">
                  <c:v>2.9159439105282143E-3</c:v>
                </c:pt>
                <c:pt idx="95">
                  <c:v>2.9148531155872488E-3</c:v>
                </c:pt>
                <c:pt idx="96">
                  <c:v>2.911850428936279E-3</c:v>
                </c:pt>
                <c:pt idx="97">
                  <c:v>2.9109306548868274E-3</c:v>
                </c:pt>
                <c:pt idx="98">
                  <c:v>2.9100470526629112E-3</c:v>
                </c:pt>
                <c:pt idx="99">
                  <c:v>2.9091969889195588E-3</c:v>
                </c:pt>
                <c:pt idx="100">
                  <c:v>2.9083778303179491E-3</c:v>
                </c:pt>
                <c:pt idx="101">
                  <c:v>2.906079452066274E-3</c:v>
                </c:pt>
                <c:pt idx="102">
                  <c:v>2.9053575807598069E-3</c:v>
                </c:pt>
                <c:pt idx="103">
                  <c:v>2.9046534479839846E-3</c:v>
                </c:pt>
                <c:pt idx="104">
                  <c:v>2.9039644204307295E-3</c:v>
                </c:pt>
                <c:pt idx="105">
                  <c:v>2.903287864795039E-3</c:v>
                </c:pt>
                <c:pt idx="106">
                  <c:v>2.901306696410528E-3</c:v>
                </c:pt>
                <c:pt idx="107">
                  <c:v>2.900653695479398E-3</c:v>
                </c:pt>
                <c:pt idx="108">
                  <c:v>2.9000000000001126E-3</c:v>
                </c:pt>
                <c:pt idx="109">
                  <c:v>2.8993438283564988E-3</c:v>
                </c:pt>
                <c:pt idx="110">
                  <c:v>2.9015488427630025E-3</c:v>
                </c:pt>
                <c:pt idx="111">
                  <c:v>2.8967353977364281E-3</c:v>
                </c:pt>
                <c:pt idx="112">
                  <c:v>2.9001828011808307E-3</c:v>
                </c:pt>
                <c:pt idx="113">
                  <c:v>2.8998252603993188E-3</c:v>
                </c:pt>
                <c:pt idx="114">
                  <c:v>2.8994662882231353E-3</c:v>
                </c:pt>
                <c:pt idx="115">
                  <c:v>2.8991083750305713E-3</c:v>
                </c:pt>
                <c:pt idx="116">
                  <c:v>2.8926146418170808E-3</c:v>
                </c:pt>
                <c:pt idx="117">
                  <c:v>2.8977371195691264E-3</c:v>
                </c:pt>
                <c:pt idx="118">
                  <c:v>2.8974218568864262E-3</c:v>
                </c:pt>
                <c:pt idx="119">
                  <c:v>2.8971225954142485E-3</c:v>
                </c:pt>
                <c:pt idx="120">
                  <c:v>2.896841825518518E-3</c:v>
                </c:pt>
                <c:pt idx="121">
                  <c:v>2.8897871208788152E-3</c:v>
                </c:pt>
                <c:pt idx="122">
                  <c:v>2.8959534689969135E-3</c:v>
                </c:pt>
                <c:pt idx="123">
                  <c:v>2.8958025124537364E-3</c:v>
                </c:pt>
                <c:pt idx="124">
                  <c:v>2.8956849896746039E-3</c:v>
                </c:pt>
                <c:pt idx="125">
                  <c:v>2.8956033910258819E-3</c:v>
                </c:pt>
                <c:pt idx="126">
                  <c:v>2.8891023374198669E-3</c:v>
                </c:pt>
                <c:pt idx="127">
                  <c:v>2.8956860451145382E-3</c:v>
                </c:pt>
                <c:pt idx="128">
                  <c:v>2.89582142267475E-3</c:v>
                </c:pt>
                <c:pt idx="129">
                  <c:v>2.8960076666094993E-3</c:v>
                </c:pt>
                <c:pt idx="130">
                  <c:v>2.8900000014091616E-3</c:v>
                </c:pt>
                <c:pt idx="131">
                  <c:v>2.8913848270268566E-3</c:v>
                </c:pt>
                <c:pt idx="132">
                  <c:v>2.8919740438134271E-3</c:v>
                </c:pt>
                <c:pt idx="133">
                  <c:v>2.892621944050185E-3</c:v>
                </c:pt>
                <c:pt idx="134">
                  <c:v>2.8933254553363346E-3</c:v>
                </c:pt>
                <c:pt idx="135">
                  <c:v>2.8940815052702022E-3</c:v>
                </c:pt>
                <c:pt idx="136">
                  <c:v>2.8966341629422542E-3</c:v>
                </c:pt>
                <c:pt idx="137">
                  <c:v>2.8975696434410335E-3</c:v>
                </c:pt>
                <c:pt idx="138">
                  <c:v>2.8985423005629114E-3</c:v>
                </c:pt>
                <c:pt idx="139">
                  <c:v>2.8995490618947948E-3</c:v>
                </c:pt>
                <c:pt idx="140">
                  <c:v>2.9005868550174415E-3</c:v>
                </c:pt>
                <c:pt idx="141">
                  <c:v>2.9038557008751733E-3</c:v>
                </c:pt>
                <c:pt idx="142">
                  <c:v>2.9049868968762187E-3</c:v>
                </c:pt>
                <c:pt idx="143">
                  <c:v>2.9061337624958338E-3</c:v>
                </c:pt>
                <c:pt idx="144">
                  <c:v>2.9072932252800793E-3</c:v>
                </c:pt>
                <c:pt idx="145">
                  <c:v>2.9084622127693053E-3</c:v>
                </c:pt>
                <c:pt idx="146">
                  <c:v>2.9119955987544233E-3</c:v>
                </c:pt>
                <c:pt idx="147">
                  <c:v>2.9131719603159912E-3</c:v>
                </c:pt>
                <c:pt idx="148">
                  <c:v>2.9143424841718557E-3</c:v>
                </c:pt>
                <c:pt idx="149">
                  <c:v>2.9200000000021761E-3</c:v>
                </c:pt>
                <c:pt idx="150">
                  <c:v>2.9210662504545026E-3</c:v>
                </c:pt>
                <c:pt idx="151">
                  <c:v>2.9199090309147036E-3</c:v>
                </c:pt>
                <c:pt idx="152">
                  <c:v>2.9209681038077336E-3</c:v>
                </c:pt>
                <c:pt idx="153">
                  <c:v>2.9259605659954831E-3</c:v>
                </c:pt>
                <c:pt idx="154">
                  <c:v>2.922430038866932E-3</c:v>
                </c:pt>
                <c:pt idx="155">
                  <c:v>2.9226901859690244E-3</c:v>
                </c:pt>
                <c:pt idx="156">
                  <c:v>2.9229189551997657E-3</c:v>
                </c:pt>
                <c:pt idx="157">
                  <c:v>2.923121724964943E-3</c:v>
                </c:pt>
                <c:pt idx="158">
                  <c:v>2.9290122171013607E-3</c:v>
                </c:pt>
                <c:pt idx="159">
                  <c:v>2.9237803775829141E-3</c:v>
                </c:pt>
                <c:pt idx="160">
                  <c:v>2.9239338261989379E-3</c:v>
                </c:pt>
                <c:pt idx="161">
                  <c:v>2.9240935458353496E-3</c:v>
                </c:pt>
                <c:pt idx="162">
                  <c:v>2.924264914912952E-3</c:v>
                </c:pt>
                <c:pt idx="163">
                  <c:v>2.9309405980784595E-3</c:v>
                </c:pt>
                <c:pt idx="164">
                  <c:v>2.9251744541268416E-3</c:v>
                </c:pt>
                <c:pt idx="165">
                  <c:v>2.9254847468076729E-3</c:v>
                </c:pt>
                <c:pt idx="166">
                  <c:v>2.9258389595141318E-3</c:v>
                </c:pt>
                <c:pt idx="167">
                  <c:v>2.9262424706952852E-3</c:v>
                </c:pt>
                <c:pt idx="168">
                  <c:v>2.9335803898596705E-3</c:v>
                </c:pt>
                <c:pt idx="169">
                  <c:v>2.9284570694259821E-3</c:v>
                </c:pt>
                <c:pt idx="170">
                  <c:v>2.9291877500231146E-3</c:v>
                </c:pt>
                <c:pt idx="171">
                  <c:v>2.930000000000006E-3</c:v>
                </c:pt>
                <c:pt idx="172">
                  <c:v>2.9361395261322362E-3</c:v>
                </c:pt>
                <c:pt idx="173">
                  <c:v>2.9389091480618375E-3</c:v>
                </c:pt>
                <c:pt idx="174">
                  <c:v>2.9352983160078135E-3</c:v>
                </c:pt>
                <c:pt idx="175">
                  <c:v>2.936585732969801E-3</c:v>
                </c:pt>
                <c:pt idx="176">
                  <c:v>2.9379420487773119E-3</c:v>
                </c:pt>
                <c:pt idx="177">
                  <c:v>2.9393642552554221E-3</c:v>
                </c:pt>
                <c:pt idx="178">
                  <c:v>2.9479915464350015E-3</c:v>
                </c:pt>
                <c:pt idx="179">
                  <c:v>2.9456518242949861E-3</c:v>
                </c:pt>
                <c:pt idx="180">
                  <c:v>2.9473583614072719E-3</c:v>
                </c:pt>
                <c:pt idx="181">
                  <c:v>2.9491127400699474E-3</c:v>
                </c:pt>
                <c:pt idx="182">
                  <c:v>2.9509119520767318E-3</c:v>
                </c:pt>
                <c:pt idx="183">
                  <c:v>2.959911179190546E-3</c:v>
                </c:pt>
                <c:pt idx="184">
                  <c:v>2.9584969691318396E-3</c:v>
                </c:pt>
                <c:pt idx="185">
                  <c:v>2.9604752244695035E-3</c:v>
                </c:pt>
                <c:pt idx="186">
                  <c:v>2.9624802637289883E-3</c:v>
                </c:pt>
                <c:pt idx="187">
                  <c:v>2.964509078637326E-3</c:v>
                </c:pt>
                <c:pt idx="188">
                  <c:v>2.9736418884476058E-3</c:v>
                </c:pt>
                <c:pt idx="189">
                  <c:v>2.9728019289063548E-3</c:v>
                </c:pt>
                <c:pt idx="190">
                  <c:v>2.9749044975634362E-3</c:v>
                </c:pt>
                <c:pt idx="191">
                  <c:v>2.9770127919860143E-3</c:v>
                </c:pt>
                <c:pt idx="192">
                  <c:v>2.9900000000002524E-3</c:v>
                </c:pt>
                <c:pt idx="193">
                  <c:v>2.9935137662004761E-3</c:v>
                </c:pt>
                <c:pt idx="194">
                  <c:v>2.9956013431852316E-3</c:v>
                </c:pt>
                <c:pt idx="195">
                  <c:v>2.9977047085970746E-3</c:v>
                </c:pt>
                <c:pt idx="196">
                  <c:v>3.0050811905228455E-3</c:v>
                </c:pt>
                <c:pt idx="197">
                  <c:v>3.0046018717245445E-3</c:v>
                </c:pt>
                <c:pt idx="198">
                  <c:v>3.008480434634198E-3</c:v>
                </c:pt>
                <c:pt idx="199">
                  <c:v>3.0106917741973996E-3</c:v>
                </c:pt>
                <c:pt idx="200">
                  <c:v>3.0129233167481453E-3</c:v>
                </c:pt>
                <c:pt idx="201">
                  <c:v>3.0207107748674513E-3</c:v>
                </c:pt>
                <c:pt idx="202">
                  <c:v>3.0202418871046336E-3</c:v>
                </c:pt>
                <c:pt idx="203">
                  <c:v>3.0244061477146607E-3</c:v>
                </c:pt>
                <c:pt idx="204">
                  <c:v>3.0267721522817103E-3</c:v>
                </c:pt>
                <c:pt idx="205">
                  <c:v>3.0291627745679278E-3</c:v>
                </c:pt>
                <c:pt idx="206">
                  <c:v>3.0377318965112096E-3</c:v>
                </c:pt>
                <c:pt idx="207">
                  <c:v>3.0371352005956367E-3</c:v>
                </c:pt>
                <c:pt idx="208">
                  <c:v>3.0415072261301837E-3</c:v>
                </c:pt>
                <c:pt idx="209">
                  <c:v>3.0440587993959016E-3</c:v>
                </c:pt>
                <c:pt idx="210">
                  <c:v>3.046639405308341E-3</c:v>
                </c:pt>
                <c:pt idx="211">
                  <c:v>3.0563585688860428E-3</c:v>
                </c:pt>
                <c:pt idx="212">
                  <c:v>3.0554969762769725E-3</c:v>
                </c:pt>
                <c:pt idx="213">
                  <c:v>3.0599999999998025E-3</c:v>
                </c:pt>
                <c:pt idx="214">
                  <c:v>3.0588748200893112E-3</c:v>
                </c:pt>
                <c:pt idx="215">
                  <c:v>3.0615981836746653E-3</c:v>
                </c:pt>
                <c:pt idx="216">
                  <c:v>3.0643672263803968E-3</c:v>
                </c:pt>
                <c:pt idx="217">
                  <c:v>3.0788363440623127E-3</c:v>
                </c:pt>
                <c:pt idx="218">
                  <c:v>3.081842691791326E-3</c:v>
                </c:pt>
                <c:pt idx="219">
                  <c:v>3.0848824620008605E-3</c:v>
                </c:pt>
                <c:pt idx="220">
                  <c:v>3.095665519146841E-3</c:v>
                </c:pt>
                <c:pt idx="221">
                  <c:v>3.0973407478512393E-3</c:v>
                </c:pt>
                <c:pt idx="222">
                  <c:v>3.1005213655365331E-3</c:v>
                </c:pt>
                <c:pt idx="223">
                  <c:v>3.1037248996630298E-3</c:v>
                </c:pt>
                <c:pt idx="224">
                  <c:v>3.1069495991881409E-3</c:v>
                </c:pt>
                <c:pt idx="225">
                  <c:v>3.1158944075123144E-3</c:v>
                </c:pt>
                <c:pt idx="226">
                  <c:v>3.1200250300616925E-3</c:v>
                </c:pt>
                <c:pt idx="227">
                  <c:v>3.1233292905710527E-3</c:v>
                </c:pt>
                <c:pt idx="228">
                  <c:v>3.1266442099950379E-3</c:v>
                </c:pt>
                <c:pt idx="229">
                  <c:v>3.1299680372146171E-3</c:v>
                </c:pt>
                <c:pt idx="230">
                  <c:v>3.1354103193584506E-3</c:v>
                </c:pt>
                <c:pt idx="231">
                  <c:v>3.1433174012222686E-3</c:v>
                </c:pt>
                <c:pt idx="232">
                  <c:v>3.1466595001988511E-3</c:v>
                </c:pt>
                <c:pt idx="233">
                  <c:v>3.1499999999999974E-3</c:v>
                </c:pt>
                <c:pt idx="234">
                  <c:v>3.1533371548824844E-3</c:v>
                </c:pt>
                <c:pt idx="235">
                  <c:v>3.164409716034957E-3</c:v>
                </c:pt>
                <c:pt idx="236">
                  <c:v>3.1674071974202339E-3</c:v>
                </c:pt>
                <c:pt idx="237">
                  <c:v>3.1704046488029887E-3</c:v>
                </c:pt>
                <c:pt idx="238">
                  <c:v>3.1666872303134828E-3</c:v>
                </c:pt>
                <c:pt idx="239">
                  <c:v>3.1728898049172265E-3</c:v>
                </c:pt>
                <c:pt idx="240">
                  <c:v>3.1853316357820663E-3</c:v>
                </c:pt>
                <c:pt idx="241">
                  <c:v>3.1882930150638625E-3</c:v>
                </c:pt>
                <c:pt idx="242">
                  <c:v>3.1912424002173596E-3</c:v>
                </c:pt>
                <c:pt idx="243">
                  <c:v>3.1847823863683268E-3</c:v>
                </c:pt>
                <c:pt idx="244">
                  <c:v>3.1922945901782392E-3</c:v>
                </c:pt>
                <c:pt idx="245">
                  <c:v>3.2057495916489828E-3</c:v>
                </c:pt>
                <c:pt idx="246">
                  <c:v>3.2085911184493617E-3</c:v>
                </c:pt>
                <c:pt idx="247">
                  <c:v>3.2114086865034485E-3</c:v>
                </c:pt>
                <c:pt idx="248">
                  <c:v>3.2034448344391139E-3</c:v>
                </c:pt>
                <c:pt idx="249">
                  <c:v>3.2115256851801039E-3</c:v>
                </c:pt>
                <c:pt idx="250">
                  <c:v>3.2250773208856217E-3</c:v>
                </c:pt>
                <c:pt idx="251">
                  <c:v>3.2277152415266762E-3</c:v>
                </c:pt>
                <c:pt idx="252">
                  <c:v>3.230317238366406E-3</c:v>
                </c:pt>
                <c:pt idx="253">
                  <c:v>3.2220946381606779E-3</c:v>
                </c:pt>
                <c:pt idx="254">
                  <c:v>3.2300000000000965E-3</c:v>
                </c:pt>
                <c:pt idx="255">
                  <c:v>3.248098620899492E-3</c:v>
                </c:pt>
                <c:pt idx="256">
                  <c:v>3.2503980500768314E-3</c:v>
                </c:pt>
                <c:pt idx="257">
                  <c:v>3.2526627714673621E-3</c:v>
                </c:pt>
                <c:pt idx="258">
                  <c:v>3.254899084305879E-3</c:v>
                </c:pt>
                <c:pt idx="259">
                  <c:v>3.2475878299155787E-3</c:v>
                </c:pt>
                <c:pt idx="260">
                  <c:v>3.263686235878375E-3</c:v>
                </c:pt>
                <c:pt idx="261">
                  <c:v>3.2658749955113658E-3</c:v>
                </c:pt>
                <c:pt idx="262">
                  <c:v>3.2680731426122087E-3</c:v>
                </c:pt>
                <c:pt idx="263">
                  <c:v>3.2702869766170683E-3</c:v>
                </c:pt>
                <c:pt idx="264">
                  <c:v>3.2659731099128134E-3</c:v>
                </c:pt>
                <c:pt idx="265">
                  <c:v>3.2794251713967448E-3</c:v>
                </c:pt>
                <c:pt idx="266">
                  <c:v>3.2818119324775413E-3</c:v>
                </c:pt>
                <c:pt idx="267">
                  <c:v>3.2842521777039749E-3</c:v>
                </c:pt>
                <c:pt idx="268">
                  <c:v>3.286752206730614E-3</c:v>
                </c:pt>
                <c:pt idx="269">
                  <c:v>3.2872932555085953E-3</c:v>
                </c:pt>
                <c:pt idx="270">
                  <c:v>3.2974761552886332E-3</c:v>
                </c:pt>
                <c:pt idx="271">
                  <c:v>3.3003695995186379E-3</c:v>
                </c:pt>
                <c:pt idx="272">
                  <c:v>3.3033606263372091E-3</c:v>
                </c:pt>
                <c:pt idx="273">
                  <c:v>3.3117771007983689E-3</c:v>
                </c:pt>
                <c:pt idx="274">
                  <c:v>3.3136857848952094E-3</c:v>
                </c:pt>
                <c:pt idx="275">
                  <c:v>3.3200000000001718E-3</c:v>
                </c:pt>
                <c:pt idx="276">
                  <c:v>3.3274756266858845E-3</c:v>
                </c:pt>
                <c:pt idx="277">
                  <c:v>3.3468765135572856E-3</c:v>
                </c:pt>
                <c:pt idx="278">
                  <c:v>3.3466828279157001E-3</c:v>
                </c:pt>
                <c:pt idx="279">
                  <c:v>3.3461400249676565E-3</c:v>
                </c:pt>
                <c:pt idx="280">
                  <c:v>3.3546572823660728E-3</c:v>
                </c:pt>
                <c:pt idx="281">
                  <c:v>3.3594603488875377E-3</c:v>
                </c:pt>
                <c:pt idx="282">
                  <c:v>3.3643251681002239E-3</c:v>
                </c:pt>
                <c:pt idx="283">
                  <c:v>3.38398325937839E-3</c:v>
                </c:pt>
                <c:pt idx="284">
                  <c:v>3.3817200158036227E-3</c:v>
                </c:pt>
                <c:pt idx="285">
                  <c:v>3.389363087859025E-3</c:v>
                </c:pt>
                <c:pt idx="286">
                  <c:v>3.3944709424022675E-3</c:v>
                </c:pt>
                <c:pt idx="287">
                  <c:v>3.39959805547767E-3</c:v>
                </c:pt>
                <c:pt idx="288">
                  <c:v>3.4213292329479399E-3</c:v>
                </c:pt>
                <c:pt idx="289">
                  <c:v>3.4182359700743446E-3</c:v>
                </c:pt>
                <c:pt idx="290">
                  <c:v>3.4253100172816934E-3</c:v>
                </c:pt>
                <c:pt idx="291">
                  <c:v>3.430425191727446E-3</c:v>
                </c:pt>
                <c:pt idx="292">
                  <c:v>3.4355171275052519E-3</c:v>
                </c:pt>
                <c:pt idx="293">
                  <c:v>3.4566606976794661E-3</c:v>
                </c:pt>
                <c:pt idx="294">
                  <c:v>3.4536167744661072E-3</c:v>
                </c:pt>
                <c:pt idx="295">
                  <c:v>3.4604157293946385E-3</c:v>
                </c:pt>
                <c:pt idx="296">
                  <c:v>3.465240734140384E-3</c:v>
                </c:pt>
                <c:pt idx="297">
                  <c:v>3.4699999999983177E-3</c:v>
                </c:pt>
                <c:pt idx="298">
                  <c:v>3.4675861145541075E-3</c:v>
                </c:pt>
                <c:pt idx="299">
                  <c:v>3.4652872935844099E-3</c:v>
                </c:pt>
                <c:pt idx="300">
                  <c:v>3.4927945418480274E-3</c:v>
                </c:pt>
                <c:pt idx="301">
                  <c:v>3.4971751432435667E-3</c:v>
                </c:pt>
                <c:pt idx="302">
                  <c:v>3.5015041841332411E-3</c:v>
                </c:pt>
                <c:pt idx="303">
                  <c:v>3.5164121384230695E-3</c:v>
                </c:pt>
                <c:pt idx="304">
                  <c:v>3.5152672983693495E-3</c:v>
                </c:pt>
                <c:pt idx="305">
                  <c:v>3.5224941118587295E-3</c:v>
                </c:pt>
                <c:pt idx="306">
                  <c:v>3.5265846686806926E-3</c:v>
                </c:pt>
                <c:pt idx="307">
                  <c:v>3.5306472916126715E-3</c:v>
                </c:pt>
                <c:pt idx="308">
                  <c:v>3.5433394385851699E-3</c:v>
                </c:pt>
                <c:pt idx="309">
                  <c:v>3.5429844999501701E-3</c:v>
                </c:pt>
                <c:pt idx="310">
                  <c:v>3.5506595362597513E-3</c:v>
                </c:pt>
                <c:pt idx="311">
                  <c:v>3.5546254392509785E-3</c:v>
                </c:pt>
                <c:pt idx="312">
                  <c:v>3.5585870364139029E-3</c:v>
                </c:pt>
                <c:pt idx="313">
                  <c:v>3.5699834695301553E-3</c:v>
                </c:pt>
                <c:pt idx="314">
                  <c:v>3.5702076219934912E-3</c:v>
                </c:pt>
                <c:pt idx="315">
                  <c:v>3.5784485799450487E-3</c:v>
                </c:pt>
                <c:pt idx="316">
                  <c:v>3.5824552296062268E-3</c:v>
                </c:pt>
                <c:pt idx="317">
                  <c:v>3.5864812028523112E-3</c:v>
                </c:pt>
                <c:pt idx="318">
                  <c:v>3.5974896347930551E-3</c:v>
                </c:pt>
                <c:pt idx="319">
                  <c:v>3.5980882393140622E-3</c:v>
                </c:pt>
                <c:pt idx="320">
                  <c:v>3.5999999999994279E-3</c:v>
                </c:pt>
                <c:pt idx="321">
                  <c:v>3.6041913891907539E-3</c:v>
                </c:pt>
                <c:pt idx="322">
                  <c:v>3.6084093754999943E-3</c:v>
                </c:pt>
                <c:pt idx="323">
                  <c:v>3.612656052736671E-3</c:v>
                </c:pt>
                <c:pt idx="324">
                  <c:v>3.6169335147300695E-3</c:v>
                </c:pt>
                <c:pt idx="325">
                  <c:v>3.6299715478342095E-3</c:v>
                </c:pt>
                <c:pt idx="326">
                  <c:v>3.6343930875386882E-3</c:v>
                </c:pt>
                <c:pt idx="327">
                  <c:v>3.6388558814436623E-3</c:v>
                </c:pt>
                <c:pt idx="328">
                  <c:v>3.6433620235000784E-3</c:v>
                </c:pt>
                <c:pt idx="329">
                  <c:v>3.6479136076817222E-3</c:v>
                </c:pt>
                <c:pt idx="330">
                  <c:v>3.6618619530417672E-3</c:v>
                </c:pt>
                <c:pt idx="331">
                  <c:v>3.6666162459057781E-3</c:v>
                </c:pt>
                <c:pt idx="332">
                  <c:v>3.6714264511030137E-3</c:v>
                </c:pt>
                <c:pt idx="333">
                  <c:v>3.676294662748685E-3</c:v>
                </c:pt>
                <c:pt idx="334">
                  <c:v>3.6812229749830379E-3</c:v>
                </c:pt>
                <c:pt idx="335">
                  <c:v>3.6963894570119804E-3</c:v>
                </c:pt>
                <c:pt idx="336">
                  <c:v>3.7015791135327652E-3</c:v>
                </c:pt>
                <c:pt idx="337">
                  <c:v>3.7068393417470937E-3</c:v>
                </c:pt>
                <c:pt idx="338">
                  <c:v>3.7121722359629902E-3</c:v>
                </c:pt>
                <c:pt idx="339">
                  <c:v>3.7393974032362909E-3</c:v>
                </c:pt>
                <c:pt idx="340">
                  <c:v>3.7399922739104145E-3</c:v>
                </c:pt>
                <c:pt idx="341">
                  <c:v>3.739999999978736E-3</c:v>
                </c:pt>
                <c:pt idx="342">
                  <c:v>3.7518180954700178E-3</c:v>
                </c:pt>
                <c:pt idx="343">
                  <c:v>3.7578094649479373E-3</c:v>
                </c:pt>
                <c:pt idx="344">
                  <c:v>3.776396911289069E-3</c:v>
                </c:pt>
                <c:pt idx="345">
                  <c:v>3.7821363040938839E-3</c:v>
                </c:pt>
                <c:pt idx="346">
                  <c:v>3.7882925931811383E-3</c:v>
                </c:pt>
                <c:pt idx="347">
                  <c:v>3.7944724094534019E-3</c:v>
                </c:pt>
                <c:pt idx="348">
                  <c:v>3.8006726005763241E-3</c:v>
                </c:pt>
                <c:pt idx="349">
                  <c:v>3.8193085848834533E-3</c:v>
                </c:pt>
                <c:pt idx="350">
                  <c:v>3.8256140655120968E-3</c:v>
                </c:pt>
                <c:pt idx="351">
                  <c:v>3.8318688444958083E-3</c:v>
                </c:pt>
                <c:pt idx="352">
                  <c:v>3.8381250834950164E-3</c:v>
                </c:pt>
                <c:pt idx="353">
                  <c:v>3.844379629898434E-3</c:v>
                </c:pt>
                <c:pt idx="354">
                  <c:v>3.8610269564204537E-3</c:v>
                </c:pt>
                <c:pt idx="355">
                  <c:v>3.8693178359136414E-3</c:v>
                </c:pt>
                <c:pt idx="356">
                  <c:v>3.8755166287600968E-3</c:v>
                </c:pt>
                <c:pt idx="357">
                  <c:v>3.8816948125021834E-3</c:v>
                </c:pt>
                <c:pt idx="358">
                  <c:v>3.8878492342512413E-3</c:v>
                </c:pt>
                <c:pt idx="359">
                  <c:v>3.9004822350491393E-3</c:v>
                </c:pt>
                <c:pt idx="360">
                  <c:v>3.9121662421881167E-3</c:v>
                </c:pt>
                <c:pt idx="361">
                  <c:v>3.9181545592971868E-3</c:v>
                </c:pt>
                <c:pt idx="362">
                  <c:v>3.9241001962836515E-3</c:v>
                </c:pt>
                <c:pt idx="363">
                  <c:v>3.9299999999985111E-3</c:v>
                </c:pt>
                <c:pt idx="364">
                  <c:v>3.934803230393082E-3</c:v>
                </c:pt>
                <c:pt idx="365">
                  <c:v>3.9533317883864673E-3</c:v>
                </c:pt>
                <c:pt idx="366">
                  <c:v>3.9593966951070409E-3</c:v>
                </c:pt>
                <c:pt idx="367">
                  <c:v>3.9654111947596453E-3</c:v>
                </c:pt>
                <c:pt idx="368">
                  <c:v>3.971378426949777E-3</c:v>
                </c:pt>
                <c:pt idx="369">
                  <c:v>3.9773015313251002E-3</c:v>
                </c:pt>
                <c:pt idx="370">
                  <c:v>3.9948374746383653E-3</c:v>
                </c:pt>
                <c:pt idx="371">
                  <c:v>4.0006154650286839E-3</c:v>
                </c:pt>
                <c:pt idx="372">
                  <c:v>4.0063650264371966E-3</c:v>
                </c:pt>
                <c:pt idx="373">
                  <c:v>4.0120892987452264E-3</c:v>
                </c:pt>
                <c:pt idx="374">
                  <c:v>4.0177914218723042E-3</c:v>
                </c:pt>
                <c:pt idx="375">
                  <c:v>4.0347962959130547E-3</c:v>
                </c:pt>
                <c:pt idx="376">
                  <c:v>4.0404412222429442E-3</c:v>
                </c:pt>
                <c:pt idx="377">
                  <c:v>4.0460796995368037E-3</c:v>
                </c:pt>
                <c:pt idx="378">
                  <c:v>4.0517148679315735E-3</c:v>
                </c:pt>
                <c:pt idx="379">
                  <c:v>4.0573498676002113E-3</c:v>
                </c:pt>
                <c:pt idx="380">
                  <c:v>4.0742852565103464E-3</c:v>
                </c:pt>
                <c:pt idx="381">
                  <c:v>4.0799509837159825E-3</c:v>
                </c:pt>
                <c:pt idx="382">
                  <c:v>4.0856322435956676E-3</c:v>
                </c:pt>
                <c:pt idx="383">
                  <c:v>4.0913321765388873E-3</c:v>
                </c:pt>
                <c:pt idx="384">
                  <c:v>4.0970539229698262E-3</c:v>
                </c:pt>
                <c:pt idx="385">
                  <c:v>4.1100000000000841E-3</c:v>
                </c:pt>
                <c:pt idx="386">
                  <c:v>4.1159299088193643E-3</c:v>
                </c:pt>
                <c:pt idx="387">
                  <c:v>4.1218944074503158E-3</c:v>
                </c:pt>
                <c:pt idx="388">
                  <c:v>4.1278771351458627E-3</c:v>
                </c:pt>
                <c:pt idx="389">
                  <c:v>4.1263287277008044E-3</c:v>
                </c:pt>
                <c:pt idx="390">
                  <c:v>4.151663114678102E-3</c:v>
                </c:pt>
                <c:pt idx="391">
                  <c:v>4.1574915695522466E-3</c:v>
                </c:pt>
                <c:pt idx="392">
                  <c:v>4.1632400848693411E-3</c:v>
                </c:pt>
                <c:pt idx="393">
                  <c:v>4.1688922985264557E-3</c:v>
                </c:pt>
                <c:pt idx="394">
                  <c:v>4.1681605179008071E-3</c:v>
                </c:pt>
                <c:pt idx="395">
                  <c:v>4.1902108885926177E-3</c:v>
                </c:pt>
                <c:pt idx="396">
                  <c:v>4.1951361566330246E-3</c:v>
                </c:pt>
                <c:pt idx="397">
                  <c:v>4.1998669470791842E-3</c:v>
                </c:pt>
                <c:pt idx="398">
                  <c:v>4.2043868968344262E-3</c:v>
                </c:pt>
                <c:pt idx="399">
                  <c:v>4.2037166234296357E-3</c:v>
                </c:pt>
                <c:pt idx="400">
                  <c:v>4.220031024389349E-3</c:v>
                </c:pt>
                <c:pt idx="401">
                  <c:v>4.2232513218947278E-3</c:v>
                </c:pt>
                <c:pt idx="402">
                  <c:v>4.2261625990083172E-3</c:v>
                </c:pt>
                <c:pt idx="403">
                  <c:v>4.2287484924622186E-3</c:v>
                </c:pt>
                <c:pt idx="404">
                  <c:v>4.2355109673600918E-3</c:v>
                </c:pt>
                <c:pt idx="405">
                  <c:v>4.2362244969408672E-3</c:v>
                </c:pt>
                <c:pt idx="406">
                  <c:v>4.236521235647479E-3</c:v>
                </c:pt>
                <c:pt idx="407">
                  <c:v>4.2377164347545499E-3</c:v>
                </c:pt>
                <c:pt idx="408">
                  <c:v>4.2333047938984056E-3</c:v>
                </c:pt>
                <c:pt idx="409">
                  <c:v>4.2314426214048375E-3</c:v>
                </c:pt>
                <c:pt idx="410">
                  <c:v>4.2293255262941887E-3</c:v>
                </c:pt>
                <c:pt idx="411">
                  <c:v>4.2269778997509142E-3</c:v>
                </c:pt>
                <c:pt idx="412">
                  <c:v>4.2244241329296058E-3</c:v>
                </c:pt>
                <c:pt idx="413">
                  <c:v>4.2157699013705341E-3</c:v>
                </c:pt>
                <c:pt idx="414">
                  <c:v>4.2126354835292125E-3</c:v>
                </c:pt>
                <c:pt idx="415">
                  <c:v>4.2094168799139348E-3</c:v>
                </c:pt>
                <c:pt idx="416">
                  <c:v>4.2061384810441948E-3</c:v>
                </c:pt>
                <c:pt idx="417">
                  <c:v>4.2028246772883998E-3</c:v>
                </c:pt>
                <c:pt idx="418">
                  <c:v>4.1929147379559609E-3</c:v>
                </c:pt>
                <c:pt idx="419">
                  <c:v>4.1897032150977629E-3</c:v>
                </c:pt>
                <c:pt idx="420">
                  <c:v>4.1865782367750586E-3</c:v>
                </c:pt>
                <c:pt idx="421">
                  <c:v>4.1835641924123949E-3</c:v>
                </c:pt>
                <c:pt idx="422">
                  <c:v>4.1806854713003581E-3</c:v>
                </c:pt>
                <c:pt idx="423">
                  <c:v>4.1731051387483686E-3</c:v>
                </c:pt>
                <c:pt idx="424">
                  <c:v>4.1710116015102952E-3</c:v>
                </c:pt>
                <c:pt idx="425">
                  <c:v>4.1691753326357573E-3</c:v>
                </c:pt>
                <c:pt idx="426">
                  <c:v>4.167620721046407E-3</c:v>
                </c:pt>
                <c:pt idx="427">
                  <c:v>4.1663721557016666E-3</c:v>
                </c:pt>
                <c:pt idx="428">
                  <c:v>4.1645609593522837E-3</c:v>
                </c:pt>
                <c:pt idx="429">
                  <c:v>4.1645808505429566E-3</c:v>
                </c:pt>
                <c:pt idx="430">
                  <c:v>4.1648992512386554E-3</c:v>
                </c:pt>
                <c:pt idx="431">
                  <c:v>4.1655081803576516E-3</c:v>
                </c:pt>
                <c:pt idx="432">
                  <c:v>4.166399656937241E-3</c:v>
                </c:pt>
                <c:pt idx="433">
                  <c:v>4.1706895633756742E-3</c:v>
                </c:pt>
                <c:pt idx="434">
                  <c:v>4.1726314221799789E-3</c:v>
                </c:pt>
                <c:pt idx="435">
                  <c:v>4.1748159250434144E-3</c:v>
                </c:pt>
                <c:pt idx="436">
                  <c:v>4.1772350914951913E-3</c:v>
                </c:pt>
                <c:pt idx="437">
                  <c:v>4.1798809411084407E-3</c:v>
                </c:pt>
                <c:pt idx="438">
                  <c:v>4.1890987851718724E-3</c:v>
                </c:pt>
                <c:pt idx="439">
                  <c:v>4.1925715637886355E-3</c:v>
                </c:pt>
                <c:pt idx="440">
                  <c:v>4.1962311238212275E-3</c:v>
                </c:pt>
                <c:pt idx="441">
                  <c:v>4.2000694849380878E-3</c:v>
                </c:pt>
                <c:pt idx="442">
                  <c:v>4.2040786667962363E-3</c:v>
                </c:pt>
                <c:pt idx="443">
                  <c:v>4.2170513330587666E-3</c:v>
                </c:pt>
                <c:pt idx="444">
                  <c:v>4.2216639939687004E-3</c:v>
                </c:pt>
                <c:pt idx="445">
                  <c:v>4.2264075734882141E-3</c:v>
                </c:pt>
                <c:pt idx="446">
                  <c:v>4.2312740910657029E-3</c:v>
                </c:pt>
                <c:pt idx="447">
                  <c:v>4.2362555660951018E-3</c:v>
                </c:pt>
                <c:pt idx="448">
                  <c:v>4.2624402229144483E-3</c:v>
                </c:pt>
                <c:pt idx="449">
                  <c:v>4.2679511651239795E-3</c:v>
                </c:pt>
                <c:pt idx="450">
                  <c:v>4.2735378818380071E-3</c:v>
                </c:pt>
                <c:pt idx="451">
                  <c:v>4.290438790668873E-3</c:v>
                </c:pt>
                <c:pt idx="452">
                  <c:v>4.2905875129445837E-3</c:v>
                </c:pt>
                <c:pt idx="453">
                  <c:v>4.3024009993010487E-3</c:v>
                </c:pt>
                <c:pt idx="454">
                  <c:v>4.3083181119496017E-3</c:v>
                </c:pt>
                <c:pt idx="455">
                  <c:v>4.3142695814659396E-3</c:v>
                </c:pt>
                <c:pt idx="456">
                  <c:v>4.332464108845701E-3</c:v>
                </c:pt>
                <c:pt idx="457">
                  <c:v>4.3324099273052384E-3</c:v>
                </c:pt>
                <c:pt idx="458">
                  <c:v>4.344335181995145E-3</c:v>
                </c:pt>
                <c:pt idx="459">
                  <c:v>4.3503685316715265E-3</c:v>
                </c:pt>
                <c:pt idx="460">
                  <c:v>4.3563948171938642E-3</c:v>
                </c:pt>
                <c:pt idx="461">
                  <c:v>4.3755597117814135E-3</c:v>
                </c:pt>
                <c:pt idx="462">
                  <c:v>4.3750308111168831E-3</c:v>
                </c:pt>
                <c:pt idx="463">
                  <c:v>4.3862131647019681E-3</c:v>
                </c:pt>
                <c:pt idx="464">
                  <c:v>4.392072793627088E-3</c:v>
                </c:pt>
                <c:pt idx="465">
                  <c:v>4.3978839338487197E-3</c:v>
                </c:pt>
                <c:pt idx="466">
                  <c:v>4.4177176815550449E-3</c:v>
                </c:pt>
                <c:pt idx="467">
                  <c:v>4.4314010960487477E-3</c:v>
                </c:pt>
                <c:pt idx="468">
                  <c:v>4.436711262678205E-3</c:v>
                </c:pt>
                <c:pt idx="469">
                  <c:v>4.4344677360117889E-3</c:v>
                </c:pt>
                <c:pt idx="470">
                  <c:v>4.4547043874193894E-3</c:v>
                </c:pt>
                <c:pt idx="471">
                  <c:v>4.4548214407076608E-3</c:v>
                </c:pt>
                <c:pt idx="472">
                  <c:v>4.4599234888009582E-3</c:v>
                </c:pt>
                <c:pt idx="473">
                  <c:v>4.4650692398336663E-3</c:v>
                </c:pt>
                <c:pt idx="474">
                  <c:v>4.4702778212429035E-3</c:v>
                </c:pt>
                <c:pt idx="475">
                  <c:v>4.4916302982085741E-3</c:v>
                </c:pt>
                <c:pt idx="476">
                  <c:v>4.4921230067857983E-3</c:v>
                </c:pt>
                <c:pt idx="477">
                  <c:v>4.4979326591594029E-3</c:v>
                </c:pt>
                <c:pt idx="478">
                  <c:v>4.503919911189082E-3</c:v>
                </c:pt>
                <c:pt idx="479">
                  <c:v>4.5101038919731409E-3</c:v>
                </c:pt>
                <c:pt idx="480">
                  <c:v>4.5334344710472058E-3</c:v>
                </c:pt>
                <c:pt idx="481">
                  <c:v>4.5371896953931776E-3</c:v>
                </c:pt>
                <c:pt idx="482">
                  <c:v>4.5446442675011935E-3</c:v>
                </c:pt>
                <c:pt idx="483">
                  <c:v>4.5524103499214007E-3</c:v>
                </c:pt>
                <c:pt idx="484">
                  <c:v>4.5605070743026301E-3</c:v>
                </c:pt>
                <c:pt idx="485">
                  <c:v>4.5866074247793978E-3</c:v>
                </c:pt>
                <c:pt idx="486">
                  <c:v>4.5965830417610178E-3</c:v>
                </c:pt>
                <c:pt idx="487">
                  <c:v>4.6066199685021146E-3</c:v>
                </c:pt>
                <c:pt idx="488">
                  <c:v>4.6171023382878462E-3</c:v>
                </c:pt>
                <c:pt idx="489">
                  <c:v>4.6280492868464081E-3</c:v>
                </c:pt>
                <c:pt idx="490">
                  <c:v>4.6576405307020719E-3</c:v>
                </c:pt>
                <c:pt idx="491">
                  <c:v>4.6858555915854283E-3</c:v>
                </c:pt>
                <c:pt idx="492">
                  <c:v>4.6992070590222848E-3</c:v>
                </c:pt>
                <c:pt idx="493">
                  <c:v>4.712990878681861E-3</c:v>
                </c:pt>
                <c:pt idx="494">
                  <c:v>4.7455523935327568E-3</c:v>
                </c:pt>
                <c:pt idx="495">
                  <c:v>4.7509838871409573E-3</c:v>
                </c:pt>
                <c:pt idx="496">
                  <c:v>4.7878041336724617E-3</c:v>
                </c:pt>
                <c:pt idx="497">
                  <c:v>4.8038273868663021E-3</c:v>
                </c:pt>
                <c:pt idx="498">
                  <c:v>4.820164762869646E-3</c:v>
                </c:pt>
                <c:pt idx="499">
                  <c:v>4.8552038995050466E-3</c:v>
                </c:pt>
                <c:pt idx="500">
                  <c:v>4.8629181890582638E-3</c:v>
                </c:pt>
                <c:pt idx="501">
                  <c:v>4.9059722736759905E-3</c:v>
                </c:pt>
                <c:pt idx="502">
                  <c:v>4.9238396531302237E-3</c:v>
                </c:pt>
                <c:pt idx="503">
                  <c:v>4.941902906344278E-3</c:v>
                </c:pt>
                <c:pt idx="504">
                  <c:v>4.97842335313348E-3</c:v>
                </c:pt>
                <c:pt idx="505">
                  <c:v>4.9876810270213442E-3</c:v>
                </c:pt>
                <c:pt idx="506">
                  <c:v>5.0345659400869124E-3</c:v>
                </c:pt>
                <c:pt idx="507">
                  <c:v>5.0534496242480593E-3</c:v>
                </c:pt>
                <c:pt idx="508">
                  <c:v>5.0724109059493384E-3</c:v>
                </c:pt>
                <c:pt idx="509">
                  <c:v>5.1094782879324719E-3</c:v>
                </c:pt>
                <c:pt idx="510">
                  <c:v>5.1195088626804853E-3</c:v>
                </c:pt>
                <c:pt idx="511">
                  <c:v>5.1677897862470101E-3</c:v>
                </c:pt>
                <c:pt idx="512">
                  <c:v>5.1779175915888662E-3</c:v>
                </c:pt>
                <c:pt idx="513">
                  <c:v>5.1969717486903934E-3</c:v>
                </c:pt>
                <c:pt idx="514">
                  <c:v>5.2159851949299162E-3</c:v>
                </c:pt>
                <c:pt idx="515">
                  <c:v>5.2527123871314819E-3</c:v>
                </c:pt>
                <c:pt idx="516">
                  <c:v>5.2916318476846471E-3</c:v>
                </c:pt>
                <c:pt idx="517">
                  <c:v>5.4224458507273667E-3</c:v>
                </c:pt>
                <c:pt idx="518">
                  <c:v>5.5512643358181122E-3</c:v>
                </c:pt>
                <c:pt idx="519">
                  <c:v>5.6780869108945461E-3</c:v>
                </c:pt>
                <c:pt idx="520">
                  <c:v>5.8111742691189048E-3</c:v>
                </c:pt>
                <c:pt idx="521">
                  <c:v>5.9338631975803663E-3</c:v>
                </c:pt>
                <c:pt idx="522">
                  <c:v>6.0545550584991869E-3</c:v>
                </c:pt>
                <c:pt idx="523">
                  <c:v>6.1732494824786798E-3</c:v>
                </c:pt>
                <c:pt idx="524">
                  <c:v>6.289946106219889E-3</c:v>
                </c:pt>
                <c:pt idx="525">
                  <c:v>6.4046445725246303E-3</c:v>
                </c:pt>
                <c:pt idx="526">
                  <c:v>6.5173445302980984E-3</c:v>
                </c:pt>
                <c:pt idx="527">
                  <c:v>6.6280456345479974E-3</c:v>
                </c:pt>
                <c:pt idx="528">
                  <c:v>6.7296124458008132E-3</c:v>
                </c:pt>
                <c:pt idx="529">
                  <c:v>6.8294480942362621E-3</c:v>
                </c:pt>
                <c:pt idx="530">
                  <c:v>6.9344324017052142E-3</c:v>
                </c:pt>
                <c:pt idx="531">
                  <c:v>7.0374165979612503E-3</c:v>
                </c:pt>
                <c:pt idx="532">
                  <c:v>7.1384003711224223E-3</c:v>
                </c:pt>
                <c:pt idx="533">
                  <c:v>7.2373834153546908E-3</c:v>
                </c:pt>
                <c:pt idx="534">
                  <c:v>7.3343654308723636E-3</c:v>
                </c:pt>
                <c:pt idx="535">
                  <c:v>7.4355079295129571E-3</c:v>
                </c:pt>
                <c:pt idx="536">
                  <c:v>7.5223252068795966E-3</c:v>
                </c:pt>
                <c:pt idx="537">
                  <c:v>7.5955833068602858E-3</c:v>
                </c:pt>
                <c:pt idx="538">
                  <c:v>7.7022774219055023E-3</c:v>
                </c:pt>
                <c:pt idx="539">
                  <c:v>7.7892500089032984E-3</c:v>
                </c:pt>
                <c:pt idx="540">
                  <c:v>7.8742198955926487E-3</c:v>
                </c:pt>
                <c:pt idx="541">
                  <c:v>7.9571868245741743E-3</c:v>
                </c:pt>
                <c:pt idx="542">
                  <c:v>8.0381677641085201E-3</c:v>
                </c:pt>
                <c:pt idx="543">
                  <c:v>8.1172485724028201E-3</c:v>
                </c:pt>
                <c:pt idx="544">
                  <c:v>8.1945323479534118E-3</c:v>
                </c:pt>
                <c:pt idx="545">
                  <c:v>8.2807884973114462E-3</c:v>
                </c:pt>
                <c:pt idx="546">
                  <c:v>8.3441212996664595E-3</c:v>
                </c:pt>
                <c:pt idx="547">
                  <c:v>8.416632775007097E-3</c:v>
                </c:pt>
                <c:pt idx="548">
                  <c:v>8.4877598143085174E-3</c:v>
                </c:pt>
                <c:pt idx="549">
                  <c:v>8.5576056132908238E-3</c:v>
                </c:pt>
                <c:pt idx="550">
                  <c:v>8.6262733848256716E-3</c:v>
                </c:pt>
                <c:pt idx="551">
                  <c:v>8.6938663582976621E-3</c:v>
                </c:pt>
                <c:pt idx="552">
                  <c:v>8.7604877790179968E-3</c:v>
                </c:pt>
                <c:pt idx="553">
                  <c:v>8.8262409076930327E-3</c:v>
                </c:pt>
                <c:pt idx="554">
                  <c:v>8.8912290199437954E-3</c:v>
                </c:pt>
                <c:pt idx="555">
                  <c:v>8.9646159839122854E-3</c:v>
                </c:pt>
                <c:pt idx="556">
                  <c:v>9.0284102008765105E-3</c:v>
                </c:pt>
                <c:pt idx="557">
                  <c:v>9.0917616731693764E-3</c:v>
                </c:pt>
                <c:pt idx="558">
                  <c:v>9.1547726150640139E-3</c:v>
                </c:pt>
                <c:pt idx="559">
                  <c:v>9.2129254435119965E-3</c:v>
                </c:pt>
                <c:pt idx="560">
                  <c:v>9.2755274389639715E-3</c:v>
                </c:pt>
                <c:pt idx="561">
                  <c:v>9.3559746649110008E-3</c:v>
                </c:pt>
                <c:pt idx="562">
                  <c:v>9.4007210567434857E-3</c:v>
                </c:pt>
                <c:pt idx="563">
                  <c:v>9.4772951202820362E-3</c:v>
                </c:pt>
                <c:pt idx="564">
                  <c:v>9.5314127923343869E-3</c:v>
                </c:pt>
                <c:pt idx="565">
                  <c:v>9.5949031284768022E-3</c:v>
                </c:pt>
                <c:pt idx="566">
                  <c:v>9.6588711223169598E-3</c:v>
                </c:pt>
                <c:pt idx="567">
                  <c:v>9.7234191071406198E-3</c:v>
                </c:pt>
                <c:pt idx="568">
                  <c:v>9.7836066576141283E-3</c:v>
                </c:pt>
                <c:pt idx="569">
                  <c:v>9.8494517934129798E-3</c:v>
                </c:pt>
                <c:pt idx="570">
                  <c:v>9.9159793667373385E-3</c:v>
                </c:pt>
                <c:pt idx="571">
                  <c:v>9.9883669088729962E-3</c:v>
                </c:pt>
                <c:pt idx="572">
                  <c:v>1.0056310216239341E-2</c:v>
                </c:pt>
                <c:pt idx="573">
                  <c:v>1.0124936206499381E-2</c:v>
                </c:pt>
                <c:pt idx="574">
                  <c:v>1.0194244950957816E-2</c:v>
                </c:pt>
                <c:pt idx="575">
                  <c:v>1.0264236521629647E-2</c:v>
                </c:pt>
                <c:pt idx="576">
                  <c:v>1.0334910991241486E-2</c:v>
                </c:pt>
                <c:pt idx="577">
                  <c:v>1.0406268433231974E-2</c:v>
                </c:pt>
                <c:pt idx="578">
                  <c:v>1.0478308921749628E-2</c:v>
                </c:pt>
                <c:pt idx="579">
                  <c:v>1.0551032531656302E-2</c:v>
                </c:pt>
                <c:pt idx="580">
                  <c:v>1.0624439338524591E-2</c:v>
                </c:pt>
                <c:pt idx="581">
                  <c:v>1.0687162988613637E-2</c:v>
                </c:pt>
                <c:pt idx="582">
                  <c:v>1.0761834339611941E-2</c:v>
                </c:pt>
                <c:pt idx="583">
                  <c:v>1.0837189035428777E-2</c:v>
                </c:pt>
                <c:pt idx="584">
                  <c:v>1.0913227153527017E-2</c:v>
                </c:pt>
                <c:pt idx="585">
                  <c:v>1.0995833897902371E-2</c:v>
                </c:pt>
                <c:pt idx="586">
                  <c:v>1.1067353969935941E-2</c:v>
                </c:pt>
                <c:pt idx="587">
                  <c:v>1.1145442826694824E-2</c:v>
                </c:pt>
                <c:pt idx="588">
                  <c:v>1.1224215422629316E-2</c:v>
                </c:pt>
                <c:pt idx="589">
                  <c:v>1.1303671838724744E-2</c:v>
                </c:pt>
                <c:pt idx="590">
                  <c:v>1.1383812156673122E-2</c:v>
                </c:pt>
                <c:pt idx="591">
                  <c:v>1.1464636458870959E-2</c:v>
                </c:pt>
                <c:pt idx="592">
                  <c:v>1.1546144828420131E-2</c:v>
                </c:pt>
                <c:pt idx="593">
                  <c:v>1.1628337349127887E-2</c:v>
                </c:pt>
                <c:pt idx="594">
                  <c:v>1.1711209955152057E-2</c:v>
                </c:pt>
                <c:pt idx="595">
                  <c:v>1.179473296650538E-2</c:v>
                </c:pt>
                <c:pt idx="596">
                  <c:v>1.1878866937016695E-2</c:v>
                </c:pt>
                <c:pt idx="597">
                  <c:v>1.1987873397385619E-2</c:v>
                </c:pt>
                <c:pt idx="598">
                  <c:v>1.2054535600123324E-2</c:v>
                </c:pt>
                <c:pt idx="599">
                  <c:v>1.2134539857442077E-2</c:v>
                </c:pt>
                <c:pt idx="600">
                  <c:v>1.2220722887009009E-2</c:v>
                </c:pt>
                <c:pt idx="601">
                  <c:v>1.2307319455069941E-2</c:v>
                </c:pt>
                <c:pt idx="602">
                  <c:v>1.2394290058033263E-2</c:v>
                </c:pt>
                <c:pt idx="603">
                  <c:v>1.2481595185619532E-2</c:v>
                </c:pt>
                <c:pt idx="604">
                  <c:v>1.2569195320790753E-2</c:v>
                </c:pt>
                <c:pt idx="605">
                  <c:v>1.2657050939691095E-2</c:v>
                </c:pt>
                <c:pt idx="606">
                  <c:v>1.2745122511587581E-2</c:v>
                </c:pt>
                <c:pt idx="607">
                  <c:v>1.2846514061778778E-2</c:v>
                </c:pt>
                <c:pt idx="608">
                  <c:v>1.2934885314947875E-2</c:v>
                </c:pt>
                <c:pt idx="609">
                  <c:v>1.3023349143205002E-2</c:v>
                </c:pt>
                <c:pt idx="610">
                  <c:v>1.3111866414453902E-2</c:v>
                </c:pt>
                <c:pt idx="611">
                  <c:v>1.3219163647381528E-2</c:v>
                </c:pt>
                <c:pt idx="612">
                  <c:v>1.3282389407766979E-2</c:v>
                </c:pt>
                <c:pt idx="613">
                  <c:v>1.3370848700183518E-2</c:v>
                </c:pt>
                <c:pt idx="614">
                  <c:v>1.3459206135425561E-2</c:v>
                </c:pt>
                <c:pt idx="615">
                  <c:v>1.3553884299976157E-2</c:v>
                </c:pt>
                <c:pt idx="616">
                  <c:v>1.3641900061463945E-2</c:v>
                </c:pt>
                <c:pt idx="617">
                  <c:v>1.3729695144610046E-2</c:v>
                </c:pt>
                <c:pt idx="618">
                  <c:v>1.3817230361329941E-2</c:v>
                </c:pt>
                <c:pt idx="619">
                  <c:v>1.3904466516673306E-2</c:v>
                </c:pt>
                <c:pt idx="620">
                  <c:v>1.3985010148932917E-2</c:v>
                </c:pt>
                <c:pt idx="621">
                  <c:v>1.4071589476678525E-2</c:v>
                </c:pt>
                <c:pt idx="622">
                  <c:v>1.4157824852167733E-2</c:v>
                </c:pt>
                <c:pt idx="623">
                  <c:v>1.4256303874814932E-2</c:v>
                </c:pt>
                <c:pt idx="624">
                  <c:v>1.4335537123084519E-2</c:v>
                </c:pt>
                <c:pt idx="625">
                  <c:v>1.4420719176627057E-2</c:v>
                </c:pt>
                <c:pt idx="626">
                  <c:v>1.4505557101052217E-2</c:v>
                </c:pt>
                <c:pt idx="627">
                  <c:v>1.4590050851605803E-2</c:v>
                </c:pt>
                <c:pt idx="628">
                  <c:v>1.4674200383713034E-2</c:v>
                </c:pt>
                <c:pt idx="629">
                  <c:v>1.475800565297942E-2</c:v>
                </c:pt>
                <c:pt idx="630">
                  <c:v>1.4841466615192069E-2</c:v>
                </c:pt>
                <c:pt idx="631">
                  <c:v>1.4924583226316639E-2</c:v>
                </c:pt>
                <c:pt idx="632">
                  <c:v>1.5007355442500817E-2</c:v>
                </c:pt>
                <c:pt idx="633">
                  <c:v>1.5077615566521438E-2</c:v>
                </c:pt>
                <c:pt idx="634">
                  <c:v>1.5159741213383831E-2</c:v>
                </c:pt>
                <c:pt idx="635">
                  <c:v>1.5241522332841817E-2</c:v>
                </c:pt>
                <c:pt idx="636">
                  <c:v>1.5322958882211735E-2</c:v>
                </c:pt>
                <c:pt idx="637">
                  <c:v>1.5404050818985611E-2</c:v>
                </c:pt>
                <c:pt idx="638">
                  <c:v>1.5484798100835548E-2</c:v>
                </c:pt>
                <c:pt idx="639">
                  <c:v>1.5565200685612839E-2</c:v>
                </c:pt>
                <c:pt idx="640">
                  <c:v>1.565119506987081E-2</c:v>
                </c:pt>
                <c:pt idx="641">
                  <c:v>1.572497159624496E-2</c:v>
                </c:pt>
                <c:pt idx="642">
                  <c:v>1.5804339838695738E-2</c:v>
                </c:pt>
                <c:pt idx="643">
                  <c:v>1.5883363217264451E-2</c:v>
                </c:pt>
                <c:pt idx="644">
                  <c:v>1.5962041690697062E-2</c:v>
                </c:pt>
                <c:pt idx="645">
                  <c:v>1.6040375217916101E-2</c:v>
                </c:pt>
                <c:pt idx="646">
                  <c:v>1.6118364338375327E-2</c:v>
                </c:pt>
                <c:pt idx="647">
                  <c:v>1.6196015293374524E-2</c:v>
                </c:pt>
                <c:pt idx="648">
                  <c:v>1.6273337561644896E-2</c:v>
                </c:pt>
                <c:pt idx="649">
                  <c:v>1.63503406607086E-2</c:v>
                </c:pt>
                <c:pt idx="650">
                  <c:v>1.6409809295437863E-2</c:v>
                </c:pt>
                <c:pt idx="651">
                  <c:v>1.6503427429448436E-2</c:v>
                </c:pt>
                <c:pt idx="652">
                  <c:v>1.6579530142267897E-2</c:v>
                </c:pt>
                <c:pt idx="653">
                  <c:v>1.6655351772140548E-2</c:v>
                </c:pt>
                <c:pt idx="654">
                  <c:v>1.6730901844601919E-2</c:v>
                </c:pt>
                <c:pt idx="655">
                  <c:v>1.6806189886750676E-2</c:v>
                </c:pt>
                <c:pt idx="656">
                  <c:v>1.68812254272337E-2</c:v>
                </c:pt>
                <c:pt idx="657">
                  <c:v>1.6956017996233794E-2</c:v>
                </c:pt>
                <c:pt idx="658">
                  <c:v>1.7030577125459561E-2</c:v>
                </c:pt>
                <c:pt idx="659">
                  <c:v>1.7116193536538166E-2</c:v>
                </c:pt>
                <c:pt idx="660">
                  <c:v>1.7190300344452712E-2</c:v>
                </c:pt>
                <c:pt idx="661">
                  <c:v>1.7264203497658941E-2</c:v>
                </c:pt>
                <c:pt idx="662">
                  <c:v>1.7337912430774729E-2</c:v>
                </c:pt>
                <c:pt idx="663">
                  <c:v>1.7405820837362262E-2</c:v>
                </c:pt>
                <c:pt idx="664">
                  <c:v>1.7479174599609151E-2</c:v>
                </c:pt>
                <c:pt idx="665">
                  <c:v>1.7552362072172815E-2</c:v>
                </c:pt>
                <c:pt idx="666">
                  <c:v>1.7646231182616781E-2</c:v>
                </c:pt>
                <c:pt idx="667">
                  <c:v>1.7698276116536904E-2</c:v>
                </c:pt>
                <c:pt idx="668">
                  <c:v>1.7776615930495954E-2</c:v>
                </c:pt>
                <c:pt idx="669">
                  <c:v>1.7849229614818777E-2</c:v>
                </c:pt>
                <c:pt idx="670">
                  <c:v>1.7921724608274466E-2</c:v>
                </c:pt>
                <c:pt idx="671">
                  <c:v>1.7994110358438349E-2</c:v>
                </c:pt>
                <c:pt idx="672">
                  <c:v>1.8060815175335393E-2</c:v>
                </c:pt>
                <c:pt idx="673">
                  <c:v>1.8133006742401096E-2</c:v>
                </c:pt>
                <c:pt idx="674">
                  <c:v>1.8205101187728823E-2</c:v>
                </c:pt>
                <c:pt idx="675">
                  <c:v>1.8277098500547741E-2</c:v>
                </c:pt>
                <c:pt idx="676">
                  <c:v>1.8360133171612277E-2</c:v>
                </c:pt>
                <c:pt idx="677">
                  <c:v>1.8426365711913927E-2</c:v>
                </c:pt>
                <c:pt idx="678">
                  <c:v>1.8498068280705902E-2</c:v>
                </c:pt>
                <c:pt idx="679">
                  <c:v>1.8569673682442171E-2</c:v>
                </c:pt>
                <c:pt idx="680">
                  <c:v>1.8641181906366121E-2</c:v>
                </c:pt>
                <c:pt idx="681">
                  <c:v>1.8712592941735474E-2</c:v>
                </c:pt>
                <c:pt idx="682">
                  <c:v>1.8783906777821425E-2</c:v>
                </c:pt>
                <c:pt idx="683">
                  <c:v>1.8855123403909498E-2</c:v>
                </c:pt>
                <c:pt idx="684">
                  <c:v>1.8926242809299991E-2</c:v>
                </c:pt>
                <c:pt idx="685">
                  <c:v>1.8986188859878513E-2</c:v>
                </c:pt>
                <c:pt idx="686">
                  <c:v>1.9057120226124151E-2</c:v>
                </c:pt>
                <c:pt idx="687">
                  <c:v>1.9127954323777053E-2</c:v>
                </c:pt>
                <c:pt idx="688">
                  <c:v>1.9198691142308492E-2</c:v>
                </c:pt>
                <c:pt idx="689">
                  <c:v>1.9274855968763865E-2</c:v>
                </c:pt>
                <c:pt idx="690">
                  <c:v>1.9345395011129318E-2</c:v>
                </c:pt>
                <c:pt idx="691">
                  <c:v>1.9415836750590242E-2</c:v>
                </c:pt>
                <c:pt idx="692">
                  <c:v>1.9486181176618225E-2</c:v>
                </c:pt>
                <c:pt idx="693">
                  <c:v>1.955642827869971E-2</c:v>
                </c:pt>
                <c:pt idx="694">
                  <c:v>1.9621068604140143E-2</c:v>
                </c:pt>
                <c:pt idx="695">
                  <c:v>1.9691124175215333E-2</c:v>
                </c:pt>
                <c:pt idx="696">
                  <c:v>1.9761082383452731E-2</c:v>
                </c:pt>
                <c:pt idx="697">
                  <c:v>1.9830943218450546E-2</c:v>
                </c:pt>
                <c:pt idx="698">
                  <c:v>1.9906203444970808E-2</c:v>
                </c:pt>
                <c:pt idx="699">
                  <c:v>1.99758640484579E-2</c:v>
                </c:pt>
                <c:pt idx="700">
                  <c:v>2.0045421294593468E-2</c:v>
                </c:pt>
                <c:pt idx="701">
                  <c:v>2.0114871379466E-2</c:v>
                </c:pt>
                <c:pt idx="702">
                  <c:v>2.0188628300898202E-2</c:v>
                </c:pt>
                <c:pt idx="703">
                  <c:v>2.0257841553493812E-2</c:v>
                </c:pt>
                <c:pt idx="704">
                  <c:v>2.0326936106582493E-2</c:v>
                </c:pt>
                <c:pt idx="705">
                  <c:v>2.0395908133633067E-2</c:v>
                </c:pt>
                <c:pt idx="706">
                  <c:v>2.0464753807610144E-2</c:v>
                </c:pt>
                <c:pt idx="707">
                  <c:v>2.0533469300975875E-2</c:v>
                </c:pt>
                <c:pt idx="708">
                  <c:v>2.0602050785692591E-2</c:v>
                </c:pt>
                <c:pt idx="709">
                  <c:v>2.0670494433225446E-2</c:v>
                </c:pt>
                <c:pt idx="710">
                  <c:v>2.0738796414545912E-2</c:v>
                </c:pt>
                <c:pt idx="711">
                  <c:v>2.081778141827852E-2</c:v>
                </c:pt>
                <c:pt idx="712">
                  <c:v>2.0885771253787072E-2</c:v>
                </c:pt>
                <c:pt idx="713">
                  <c:v>2.0953607464279874E-2</c:v>
                </c:pt>
                <c:pt idx="714">
                  <c:v>2.1021286259574844E-2</c:v>
                </c:pt>
                <c:pt idx="715">
                  <c:v>2.1083425934099276E-2</c:v>
                </c:pt>
                <c:pt idx="716">
                  <c:v>2.1150788007266413E-2</c:v>
                </c:pt>
                <c:pt idx="717">
                  <c:v>2.1237148060931164E-2</c:v>
                </c:pt>
                <c:pt idx="718">
                  <c:v>2.1304119076988547E-2</c:v>
                </c:pt>
                <c:pt idx="719">
                  <c:v>2.1370912741721922E-2</c:v>
                </c:pt>
                <c:pt idx="720">
                  <c:v>2.1453501955248571E-2</c:v>
                </c:pt>
                <c:pt idx="721">
                  <c:v>2.1519899312140333E-2</c:v>
                </c:pt>
                <c:pt idx="722">
                  <c:v>2.1586107743213449E-2</c:v>
                </c:pt>
                <c:pt idx="723">
                  <c:v>2.1652123493874728E-2</c:v>
                </c:pt>
                <c:pt idx="724">
                  <c:v>2.1702087707703745E-2</c:v>
                </c:pt>
                <c:pt idx="725">
                  <c:v>2.1767740820426686E-2</c:v>
                </c:pt>
                <c:pt idx="726">
                  <c:v>2.183319692851975E-2</c:v>
                </c:pt>
                <c:pt idx="727">
                  <c:v>2.1914220314350499E-2</c:v>
                </c:pt>
                <c:pt idx="728">
                  <c:v>2.1979251947737224E-2</c:v>
                </c:pt>
                <c:pt idx="729">
                  <c:v>2.204408651259256E-2</c:v>
                </c:pt>
                <c:pt idx="730">
                  <c:v>2.2108723989191215E-2</c:v>
                </c:pt>
                <c:pt idx="731">
                  <c:v>2.2173164357868487E-2</c:v>
                </c:pt>
                <c:pt idx="732">
                  <c:v>2.2221795386773616E-2</c:v>
                </c:pt>
                <c:pt idx="733">
                  <c:v>2.2301453693094903E-2</c:v>
                </c:pt>
                <c:pt idx="734">
                  <c:v>2.2365302620611611E-2</c:v>
                </c:pt>
                <c:pt idx="735">
                  <c:v>2.2428954362141641E-2</c:v>
                </c:pt>
                <c:pt idx="736">
                  <c:v>2.2476918473470338E-2</c:v>
                </c:pt>
                <c:pt idx="737">
                  <c:v>2.2529895800909874E-2</c:v>
                </c:pt>
                <c:pt idx="738">
                  <c:v>2.2593006657250572E-2</c:v>
                </c:pt>
                <c:pt idx="739">
                  <c:v>2.265592026431977E-2</c:v>
                </c:pt>
                <c:pt idx="740">
                  <c:v>2.2718636603485297E-2</c:v>
                </c:pt>
                <c:pt idx="741">
                  <c:v>2.278627061470238E-2</c:v>
                </c:pt>
                <c:pt idx="742">
                  <c:v>2.2848582193261319E-2</c:v>
                </c:pt>
                <c:pt idx="743">
                  <c:v>2.2910696445236613E-2</c:v>
                </c:pt>
                <c:pt idx="744">
                  <c:v>2.297261335213141E-2</c:v>
                </c:pt>
                <c:pt idx="745">
                  <c:v>2.3034332895506833E-2</c:v>
                </c:pt>
                <c:pt idx="746">
                  <c:v>2.3090790976468708E-2</c:v>
                </c:pt>
                <c:pt idx="747">
                  <c:v>2.3152125923509567E-2</c:v>
                </c:pt>
                <c:pt idx="748">
                  <c:v>2.3213263455686303E-2</c:v>
                </c:pt>
                <c:pt idx="749">
                  <c:v>2.327420355489053E-2</c:v>
                </c:pt>
                <c:pt idx="750">
                  <c:v>2.333996944891216E-2</c:v>
                </c:pt>
                <c:pt idx="751">
                  <c:v>2.3400501926384865E-2</c:v>
                </c:pt>
                <c:pt idx="752">
                  <c:v>2.3460829356052461E-2</c:v>
                </c:pt>
                <c:pt idx="753">
                  <c:v>2.3520946429416253E-2</c:v>
                </c:pt>
                <c:pt idx="754">
                  <c:v>2.3575872145434031E-2</c:v>
                </c:pt>
                <c:pt idx="755">
                  <c:v>2.3635566135019229E-2</c:v>
                </c:pt>
                <c:pt idx="756">
                  <c:v>2.3695034447175859E-2</c:v>
                </c:pt>
                <c:pt idx="757">
                  <c:v>2.3754271742449075E-2</c:v>
                </c:pt>
                <c:pt idx="758">
                  <c:v>2.3813272680835964E-2</c:v>
                </c:pt>
                <c:pt idx="759">
                  <c:v>2.3872031921792165E-2</c:v>
                </c:pt>
                <c:pt idx="760">
                  <c:v>2.3930544124237611E-2</c:v>
                </c:pt>
                <c:pt idx="761">
                  <c:v>2.3988803946563605E-2</c:v>
                </c:pt>
                <c:pt idx="762">
                  <c:v>2.4046806046639425E-2</c:v>
                </c:pt>
                <c:pt idx="763">
                  <c:v>2.4128700072982411E-2</c:v>
                </c:pt>
                <c:pt idx="764">
                  <c:v>2.4186080490974978E-2</c:v>
                </c:pt>
                <c:pt idx="765">
                  <c:v>2.4243185446237065E-2</c:v>
                </c:pt>
                <c:pt idx="766">
                  <c:v>2.4300009735107094E-2</c:v>
                </c:pt>
                <c:pt idx="767">
                  <c:v>2.43422825415004E-2</c:v>
                </c:pt>
                <c:pt idx="768">
                  <c:v>2.4398587646794662E-2</c:v>
                </c:pt>
                <c:pt idx="769">
                  <c:v>2.4454597154320586E-2</c:v>
                </c:pt>
                <c:pt idx="770">
                  <c:v>2.4510305775156081E-2</c:v>
                </c:pt>
                <c:pt idx="771">
                  <c:v>2.45657082199226E-2</c:v>
                </c:pt>
                <c:pt idx="772">
                  <c:v>2.4634770009373617E-2</c:v>
                </c:pt>
                <c:pt idx="773">
                  <c:v>2.4689483891506107E-2</c:v>
                </c:pt>
                <c:pt idx="774">
                  <c:v>2.4743875461270402E-2</c:v>
                </c:pt>
                <c:pt idx="775">
                  <c:v>2.4797939510952247E-2</c:v>
                </c:pt>
                <c:pt idx="776">
                  <c:v>2.4837942712837843E-2</c:v>
                </c:pt>
                <c:pt idx="777">
                  <c:v>2.4891399489063545E-2</c:v>
                </c:pt>
                <c:pt idx="778">
                  <c:v>2.4944520573179942E-2</c:v>
                </c:pt>
                <c:pt idx="779">
                  <c:v>2.4997305938256015E-2</c:v>
                </c:pt>
                <c:pt idx="780">
                  <c:v>2.5063239665859278E-2</c:v>
                </c:pt>
                <c:pt idx="781">
                  <c:v>2.5115292361757378E-2</c:v>
                </c:pt>
                <c:pt idx="782">
                  <c:v>2.5167009205564399E-2</c:v>
                </c:pt>
                <c:pt idx="783">
                  <c:v>2.5218390170630253E-2</c:v>
                </c:pt>
                <c:pt idx="784">
                  <c:v>2.5269435230477626E-2</c:v>
                </c:pt>
                <c:pt idx="785">
                  <c:v>2.5320144358801543E-2</c:v>
                </c:pt>
                <c:pt idx="786">
                  <c:v>2.5370517529470647E-2</c:v>
                </c:pt>
                <c:pt idx="787">
                  <c:v>2.5420554716524196E-2</c:v>
                </c:pt>
                <c:pt idx="788">
                  <c:v>2.5470255894176366E-2</c:v>
                </c:pt>
                <c:pt idx="789">
                  <c:v>2.5498059212368519E-2</c:v>
                </c:pt>
                <c:pt idx="790">
                  <c:v>2.554719102370126E-2</c:v>
                </c:pt>
                <c:pt idx="791">
                  <c:v>2.5595986843813739E-2</c:v>
                </c:pt>
                <c:pt idx="792">
                  <c:v>2.5644446648233159E-2</c:v>
                </c:pt>
                <c:pt idx="793">
                  <c:v>2.5696804030055195E-2</c:v>
                </c:pt>
                <c:pt idx="794">
                  <c:v>2.5744571113038302E-2</c:v>
                </c:pt>
                <c:pt idx="795">
                  <c:v>2.5792002088561302E-2</c:v>
                </c:pt>
                <c:pt idx="796">
                  <c:v>2.5839096932701797E-2</c:v>
                </c:pt>
                <c:pt idx="797">
                  <c:v>2.5885855621708233E-2</c:v>
                </c:pt>
                <c:pt idx="798">
                  <c:v>2.5928147795873879E-2</c:v>
                </c:pt>
                <c:pt idx="799">
                  <c:v>2.5974254819313314E-2</c:v>
                </c:pt>
                <c:pt idx="800">
                  <c:v>2.602002563732814E-2</c:v>
                </c:pt>
                <c:pt idx="801">
                  <c:v>2.6065460226957726E-2</c:v>
                </c:pt>
                <c:pt idx="802">
                  <c:v>2.6114605906183995E-2</c:v>
                </c:pt>
                <c:pt idx="803">
                  <c:v>2.6159346668844407E-2</c:v>
                </c:pt>
                <c:pt idx="804">
                  <c:v>2.6203749585222882E-2</c:v>
                </c:pt>
                <c:pt idx="805">
                  <c:v>2.6247813562079194E-2</c:v>
                </c:pt>
                <c:pt idx="806">
                  <c:v>2.6291537506251739E-2</c:v>
                </c:pt>
                <c:pt idx="807">
                  <c:v>2.633097920550348E-2</c:v>
                </c:pt>
                <c:pt idx="808">
                  <c:v>2.6374041502199477E-2</c:v>
                </c:pt>
                <c:pt idx="809">
                  <c:v>2.6416760624499613E-2</c:v>
                </c:pt>
                <c:pt idx="810">
                  <c:v>2.6459135473851918E-2</c:v>
                </c:pt>
                <c:pt idx="811">
                  <c:v>2.6501164951787014E-2</c:v>
                </c:pt>
                <c:pt idx="812">
                  <c:v>2.6542847959924728E-2</c:v>
                </c:pt>
                <c:pt idx="813">
                  <c:v>2.6584183399973656E-2</c:v>
                </c:pt>
                <c:pt idx="814">
                  <c:v>2.6625170173733372E-2</c:v>
                </c:pt>
                <c:pt idx="815">
                  <c:v>2.668460724956143E-2</c:v>
                </c:pt>
                <c:pt idx="816">
                  <c:v>2.6724780143455903E-2</c:v>
                </c:pt>
                <c:pt idx="817">
                  <c:v>2.6764600626580565E-2</c:v>
                </c:pt>
                <c:pt idx="818">
                  <c:v>2.6804067629133531E-2</c:v>
                </c:pt>
                <c:pt idx="819">
                  <c:v>2.6832179492523745E-2</c:v>
                </c:pt>
                <c:pt idx="820">
                  <c:v>2.6871005272691033E-2</c:v>
                </c:pt>
                <c:pt idx="821">
                  <c:v>2.690947456517043E-2</c:v>
                </c:pt>
                <c:pt idx="822">
                  <c:v>2.6947586283959823E-2</c:v>
                </c:pt>
                <c:pt idx="823">
                  <c:v>2.6985339343170239E-2</c:v>
                </c:pt>
                <c:pt idx="824">
                  <c:v>2.7033386657231356E-2</c:v>
                </c:pt>
                <c:pt idx="825">
                  <c:v>2.7070349350526719E-2</c:v>
                </c:pt>
                <c:pt idx="826">
                  <c:v>2.710695000883042E-2</c:v>
                </c:pt>
                <c:pt idx="827">
                  <c:v>2.7143187563368143E-2</c:v>
                </c:pt>
                <c:pt idx="828">
                  <c:v>2.7168686761322131E-2</c:v>
                </c:pt>
                <c:pt idx="829">
                  <c:v>2.7204265569536909E-2</c:v>
                </c:pt>
                <c:pt idx="830">
                  <c:v>2.7239479642352644E-2</c:v>
                </c:pt>
                <c:pt idx="831">
                  <c:v>2.7274328960426562E-2</c:v>
                </c:pt>
                <c:pt idx="832">
                  <c:v>2.7308813504617682E-2</c:v>
                </c:pt>
                <c:pt idx="833">
                  <c:v>2.7352955834676982E-2</c:v>
                </c:pt>
                <c:pt idx="834">
                  <c:v>2.7386640220455283E-2</c:v>
                </c:pt>
                <c:pt idx="835">
                  <c:v>2.7419959698775781E-2</c:v>
                </c:pt>
                <c:pt idx="836">
                  <c:v>2.7452914251035732E-2</c:v>
                </c:pt>
                <c:pt idx="837">
                  <c:v>2.748550385883694E-2</c:v>
                </c:pt>
                <c:pt idx="838">
                  <c:v>2.7517728503984075E-2</c:v>
                </c:pt>
                <c:pt idx="839">
                  <c:v>2.75495881684855E-2</c:v>
                </c:pt>
                <c:pt idx="840">
                  <c:v>2.7581082834552868E-2</c:v>
                </c:pt>
                <c:pt idx="841">
                  <c:v>2.7596441989178967E-2</c:v>
                </c:pt>
                <c:pt idx="842">
                  <c:v>2.7627325221406429E-2</c:v>
                </c:pt>
                <c:pt idx="843">
                  <c:v>2.7657843535232984E-2</c:v>
                </c:pt>
                <c:pt idx="844">
                  <c:v>2.7687996914076529E-2</c:v>
                </c:pt>
                <c:pt idx="845">
                  <c:v>2.7717785341552826E-2</c:v>
                </c:pt>
                <c:pt idx="846">
                  <c:v>2.7750248275749154E-2</c:v>
                </c:pt>
                <c:pt idx="847">
                  <c:v>2.7779282903271175E-2</c:v>
                </c:pt>
                <c:pt idx="848">
                  <c:v>2.7807952504673536E-2</c:v>
                </c:pt>
                <c:pt idx="849">
                  <c:v>2.7836257064293157E-2</c:v>
                </c:pt>
                <c:pt idx="850">
                  <c:v>2.7861252648868334E-2</c:v>
                </c:pt>
                <c:pt idx="851">
                  <c:v>2.7888851035180084E-2</c:v>
                </c:pt>
                <c:pt idx="852">
                  <c:v>2.7916084360986689E-2</c:v>
                </c:pt>
                <c:pt idx="853">
                  <c:v>2.7942952611489828E-2</c:v>
                </c:pt>
                <c:pt idx="854">
                  <c:v>2.797230392513643E-2</c:v>
                </c:pt>
                <c:pt idx="855">
                  <c:v>2.7998425981305562E-2</c:v>
                </c:pt>
                <c:pt idx="856">
                  <c:v>2.8024207261313556E-2</c:v>
                </c:pt>
                <c:pt idx="857">
                  <c:v>2.8049664810868558E-2</c:v>
                </c:pt>
                <c:pt idx="858">
                  <c:v>2.8074815676706454E-2</c:v>
                </c:pt>
                <c:pt idx="859">
                  <c:v>2.8096916891535043E-2</c:v>
                </c:pt>
                <c:pt idx="860">
                  <c:v>2.8121517020826894E-2</c:v>
                </c:pt>
                <c:pt idx="861">
                  <c:v>2.814585978672627E-2</c:v>
                </c:pt>
                <c:pt idx="862">
                  <c:v>2.8169962332717589E-2</c:v>
                </c:pt>
                <c:pt idx="863">
                  <c:v>2.8193841803192839E-2</c:v>
                </c:pt>
                <c:pt idx="864">
                  <c:v>2.8217515343436108E-2</c:v>
                </c:pt>
                <c:pt idx="865">
                  <c:v>2.8241000099602388E-2</c:v>
                </c:pt>
                <c:pt idx="866">
                  <c:v>2.8264313218702118E-2</c:v>
                </c:pt>
                <c:pt idx="867">
                  <c:v>2.8301047110564446E-2</c:v>
                </c:pt>
                <c:pt idx="868">
                  <c:v>2.832407173417344E-2</c:v>
                </c:pt>
                <c:pt idx="869">
                  <c:v>2.8346981464484115E-2</c:v>
                </c:pt>
                <c:pt idx="870">
                  <c:v>2.8369792997318836E-2</c:v>
                </c:pt>
                <c:pt idx="871">
                  <c:v>2.8384349678403926E-2</c:v>
                </c:pt>
                <c:pt idx="872">
                  <c:v>2.8407001726948152E-2</c:v>
                </c:pt>
                <c:pt idx="873">
                  <c:v>2.8429603604852711E-2</c:v>
                </c:pt>
                <c:pt idx="874">
                  <c:v>2.8452172280772722E-2</c:v>
                </c:pt>
                <c:pt idx="875">
                  <c:v>2.847472472413121E-2</c:v>
                </c:pt>
                <c:pt idx="876">
                  <c:v>2.8505535112421928E-2</c:v>
                </c:pt>
                <c:pt idx="877">
                  <c:v>2.8528126811747833E-2</c:v>
                </c:pt>
                <c:pt idx="878">
                  <c:v>2.855075390824581E-2</c:v>
                </c:pt>
                <c:pt idx="879">
                  <c:v>2.857343310471544E-2</c:v>
                </c:pt>
                <c:pt idx="880">
                  <c:v>2.8587837213409628E-2</c:v>
                </c:pt>
                <c:pt idx="881">
                  <c:v>2.8610640638281722E-2</c:v>
                </c:pt>
                <c:pt idx="882">
                  <c:v>2.8633522392357044E-2</c:v>
                </c:pt>
                <c:pt idx="883">
                  <c:v>2.8656482478323288E-2</c:v>
                </c:pt>
                <c:pt idx="884">
                  <c:v>2.8679520898878184E-2</c:v>
                </c:pt>
                <c:pt idx="885">
                  <c:v>2.8711092496226706E-2</c:v>
                </c:pt>
                <c:pt idx="886">
                  <c:v>2.8734309898175658E-2</c:v>
                </c:pt>
                <c:pt idx="887">
                  <c:v>2.8757605666514113E-2</c:v>
                </c:pt>
                <c:pt idx="888">
                  <c:v>2.8780979804022652E-2</c:v>
                </c:pt>
                <c:pt idx="889">
                  <c:v>2.8804432313493011E-2</c:v>
                </c:pt>
                <c:pt idx="890">
                  <c:v>2.8827963197726823E-2</c:v>
                </c:pt>
                <c:pt idx="891">
                  <c:v>2.8851572459532165E-2</c:v>
                </c:pt>
                <c:pt idx="892">
                  <c:v>2.8875260101729146E-2</c:v>
                </c:pt>
                <c:pt idx="893">
                  <c:v>2.8887515948225712E-2</c:v>
                </c:pt>
                <c:pt idx="894">
                  <c:v>2.8911330369399663E-2</c:v>
                </c:pt>
                <c:pt idx="895">
                  <c:v>2.8935223147435712E-2</c:v>
                </c:pt>
                <c:pt idx="896">
                  <c:v>2.8959194285125035E-2</c:v>
                </c:pt>
                <c:pt idx="897">
                  <c:v>2.8983243785268026E-2</c:v>
                </c:pt>
                <c:pt idx="898">
                  <c:v>2.9010285450897517E-2</c:v>
                </c:pt>
                <c:pt idx="899">
                  <c:v>2.9034499220232463E-2</c:v>
                </c:pt>
                <c:pt idx="900">
                  <c:v>2.9058791368568183E-2</c:v>
                </c:pt>
                <c:pt idx="901">
                  <c:v>2.9083161898758356E-2</c:v>
                </c:pt>
                <c:pt idx="902">
                  <c:v>2.9104666821474782E-2</c:v>
                </c:pt>
                <c:pt idx="903">
                  <c:v>2.9129186555677814E-2</c:v>
                </c:pt>
                <c:pt idx="904">
                  <c:v>2.9153784672199506E-2</c:v>
                </c:pt>
                <c:pt idx="905">
                  <c:v>2.9178461173913157E-2</c:v>
                </c:pt>
                <c:pt idx="906">
                  <c:v>2.9206190332753911E-2</c:v>
                </c:pt>
                <c:pt idx="907">
                  <c:v>2.9231027130067356E-2</c:v>
                </c:pt>
                <c:pt idx="908">
                  <c:v>2.9255927339612769E-2</c:v>
                </c:pt>
                <c:pt idx="909">
                  <c:v>2.928087930490934E-2</c:v>
                </c:pt>
                <c:pt idx="910">
                  <c:v>2.9306453383224743E-2</c:v>
                </c:pt>
                <c:pt idx="911">
                  <c:v>2.9331476729383868E-2</c:v>
                </c:pt>
                <c:pt idx="912">
                  <c:v>2.9356516516848015E-2</c:v>
                </c:pt>
                <c:pt idx="913">
                  <c:v>2.9381561023669376E-2</c:v>
                </c:pt>
                <c:pt idx="914">
                  <c:v>2.9406598527315992E-2</c:v>
                </c:pt>
                <c:pt idx="915">
                  <c:v>2.943161730467176E-2</c:v>
                </c:pt>
                <c:pt idx="916">
                  <c:v>2.9456605632035549E-2</c:v>
                </c:pt>
                <c:pt idx="917">
                  <c:v>2.9481551785123399E-2</c:v>
                </c:pt>
                <c:pt idx="918">
                  <c:v>2.950644403907203E-2</c:v>
                </c:pt>
                <c:pt idx="919">
                  <c:v>2.954012062428478E-2</c:v>
                </c:pt>
                <c:pt idx="920">
                  <c:v>2.9564841616561154E-2</c:v>
                </c:pt>
                <c:pt idx="921">
                  <c:v>2.9589471286188627E-2</c:v>
                </c:pt>
                <c:pt idx="922">
                  <c:v>2.9613998093144637E-2</c:v>
                </c:pt>
                <c:pt idx="923">
                  <c:v>2.9646503355596879E-2</c:v>
                </c:pt>
                <c:pt idx="924">
                  <c:v>2.9662696956171127E-2</c:v>
                </c:pt>
                <c:pt idx="925">
                  <c:v>2.9686845929433291E-2</c:v>
                </c:pt>
                <c:pt idx="926">
                  <c:v>2.9710845874422059E-2</c:v>
                </c:pt>
                <c:pt idx="927">
                  <c:v>2.9734685248395745E-2</c:v>
                </c:pt>
                <c:pt idx="928">
                  <c:v>2.9765603794932077E-2</c:v>
                </c:pt>
                <c:pt idx="929">
                  <c:v>2.9789019164510579E-2</c:v>
                </c:pt>
                <c:pt idx="930">
                  <c:v>2.9812234542877659E-2</c:v>
                </c:pt>
                <c:pt idx="931">
                  <c:v>2.9835238323365092E-2</c:v>
                </c:pt>
                <c:pt idx="932">
                  <c:v>2.9855238868210038E-2</c:v>
                </c:pt>
                <c:pt idx="933">
                  <c:v>2.9877807989530707E-2</c:v>
                </c:pt>
                <c:pt idx="934">
                  <c:v>2.9900150593999322E-2</c:v>
                </c:pt>
                <c:pt idx="935">
                  <c:v>2.9922266674006236E-2</c:v>
                </c:pt>
                <c:pt idx="936">
                  <c:v>2.9949601664464354E-2</c:v>
                </c:pt>
                <c:pt idx="937">
                  <c:v>2.9968528171400024E-2</c:v>
                </c:pt>
                <c:pt idx="938">
                  <c:v>2.9989950220522438E-2</c:v>
                </c:pt>
                <c:pt idx="939">
                  <c:v>3.0011145697522917E-2</c:v>
                </c:pt>
                <c:pt idx="940">
                  <c:v>3.0032114595144228E-2</c:v>
                </c:pt>
                <c:pt idx="941">
                  <c:v>3.0052856906205586E-2</c:v>
                </c:pt>
                <c:pt idx="942">
                  <c:v>3.0073372623606588E-2</c:v>
                </c:pt>
                <c:pt idx="943">
                  <c:v>3.009366174032068E-2</c:v>
                </c:pt>
                <c:pt idx="944">
                  <c:v>3.0113724249402115E-2</c:v>
                </c:pt>
                <c:pt idx="945">
                  <c:v>3.0128372626155316E-2</c:v>
                </c:pt>
                <c:pt idx="946">
                  <c:v>3.0148011012104393E-2</c:v>
                </c:pt>
                <c:pt idx="947">
                  <c:v>3.0167422806564162E-2</c:v>
                </c:pt>
                <c:pt idx="948">
                  <c:v>3.0186608002960538E-2</c:v>
                </c:pt>
                <c:pt idx="949">
                  <c:v>3.0205566594795428E-2</c:v>
                </c:pt>
                <c:pt idx="950">
                  <c:v>3.0224298575646711E-2</c:v>
                </c:pt>
                <c:pt idx="951">
                  <c:v>3.0242803939170896E-2</c:v>
                </c:pt>
                <c:pt idx="952">
                  <c:v>3.0263574792735112E-2</c:v>
                </c:pt>
                <c:pt idx="953">
                  <c:v>3.0279134789242129E-2</c:v>
                </c:pt>
                <c:pt idx="954">
                  <c:v>3.0296960263483417E-2</c:v>
                </c:pt>
                <c:pt idx="955">
                  <c:v>3.0314559095786082E-2</c:v>
                </c:pt>
                <c:pt idx="956">
                  <c:v>3.0331931280190058E-2</c:v>
                </c:pt>
                <c:pt idx="957">
                  <c:v>3.0349076810809939E-2</c:v>
                </c:pt>
                <c:pt idx="958">
                  <c:v>3.0365995727886067E-2</c:v>
                </c:pt>
                <c:pt idx="959">
                  <c:v>3.0382688845190346E-2</c:v>
                </c:pt>
                <c:pt idx="960">
                  <c:v>3.0399157618390453E-2</c:v>
                </c:pt>
                <c:pt idx="961">
                  <c:v>3.041540352270326E-2</c:v>
                </c:pt>
                <c:pt idx="962">
                  <c:v>3.0431353497334741E-2</c:v>
                </c:pt>
                <c:pt idx="963">
                  <c:v>3.0447140679151156E-2</c:v>
                </c:pt>
                <c:pt idx="964">
                  <c:v>3.0462709481320387E-2</c:v>
                </c:pt>
                <c:pt idx="965">
                  <c:v>3.0478061387631438E-2</c:v>
                </c:pt>
                <c:pt idx="966">
                  <c:v>3.0493197881988579E-2</c:v>
                </c:pt>
                <c:pt idx="967">
                  <c:v>3.0508120448410465E-2</c:v>
                </c:pt>
                <c:pt idx="968">
                  <c:v>3.0522830571029249E-2</c:v>
                </c:pt>
                <c:pt idx="969">
                  <c:v>3.0537329734085288E-2</c:v>
                </c:pt>
                <c:pt idx="970">
                  <c:v>3.0551619421929341E-2</c:v>
                </c:pt>
                <c:pt idx="971">
                  <c:v>3.0572374213148602E-2</c:v>
                </c:pt>
                <c:pt idx="972">
                  <c:v>3.0586210881908056E-2</c:v>
                </c:pt>
                <c:pt idx="973">
                  <c:v>3.0599842752026422E-2</c:v>
                </c:pt>
                <c:pt idx="974">
                  <c:v>3.0613271284320384E-2</c:v>
                </c:pt>
                <c:pt idx="975">
                  <c:v>3.0624325592141236E-2</c:v>
                </c:pt>
                <c:pt idx="976">
                  <c:v>3.0637364422592857E-2</c:v>
                </c:pt>
                <c:pt idx="977">
                  <c:v>3.0650204256564423E-2</c:v>
                </c:pt>
                <c:pt idx="978">
                  <c:v>3.0666422575836905E-2</c:v>
                </c:pt>
                <c:pt idx="979">
                  <c:v>3.0684799905527384E-2</c:v>
                </c:pt>
                <c:pt idx="980">
                  <c:v>3.0697324703925423E-2</c:v>
                </c:pt>
                <c:pt idx="981">
                  <c:v>3.0709290951660917E-2</c:v>
                </c:pt>
                <c:pt idx="982">
                  <c:v>3.0721065968723388E-2</c:v>
                </c:pt>
                <c:pt idx="983">
                  <c:v>3.0726448088755111E-2</c:v>
                </c:pt>
                <c:pt idx="984">
                  <c:v>3.0737882194962537E-2</c:v>
                </c:pt>
                <c:pt idx="985">
                  <c:v>3.0749128007146093E-2</c:v>
                </c:pt>
                <c:pt idx="986">
                  <c:v>3.0760185522125373E-2</c:v>
                </c:pt>
                <c:pt idx="987">
                  <c:v>3.0777107750280277E-2</c:v>
                </c:pt>
                <c:pt idx="988">
                  <c:v>3.0787751017840894E-2</c:v>
                </c:pt>
                <c:pt idx="989">
                  <c:v>3.0798205931326379E-2</c:v>
                </c:pt>
                <c:pt idx="990">
                  <c:v>3.080847248773225E-2</c:v>
                </c:pt>
                <c:pt idx="991">
                  <c:v>3.0818550684106896E-2</c:v>
                </c:pt>
                <c:pt idx="992">
                  <c:v>3.082257619933226E-2</c:v>
                </c:pt>
                <c:pt idx="993">
                  <c:v>3.0838141985230653E-2</c:v>
                </c:pt>
                <c:pt idx="994">
                  <c:v>3.0847655084347708E-2</c:v>
                </c:pt>
                <c:pt idx="995">
                  <c:v>3.0856979812171146E-2</c:v>
                </c:pt>
                <c:pt idx="996">
                  <c:v>3.0860403664109849E-2</c:v>
                </c:pt>
                <c:pt idx="997">
                  <c:v>3.0865601220658508E-2</c:v>
                </c:pt>
                <c:pt idx="998">
                  <c:v>3.0874424343966273E-2</c:v>
                </c:pt>
                <c:pt idx="999">
                  <c:v>3.0883059165548447E-2</c:v>
                </c:pt>
                <c:pt idx="1000">
                  <c:v>3.0891505682990608E-2</c:v>
                </c:pt>
                <c:pt idx="1001">
                  <c:v>3.0901607796775674E-2</c:v>
                </c:pt>
                <c:pt idx="1002">
                  <c:v>3.0909664934273079E-2</c:v>
                </c:pt>
                <c:pt idx="1003">
                  <c:v>3.0917533744675468E-2</c:v>
                </c:pt>
                <c:pt idx="1004">
                  <c:v>3.0925214225770103E-2</c:v>
                </c:pt>
                <c:pt idx="1005">
                  <c:v>3.0932706375396076E-2</c:v>
                </c:pt>
                <c:pt idx="1006">
                  <c:v>3.0938230272072865E-2</c:v>
                </c:pt>
                <c:pt idx="1007">
                  <c:v>3.0945358597327572E-2</c:v>
                </c:pt>
                <c:pt idx="1008">
                  <c:v>3.0952298601015324E-2</c:v>
                </c:pt>
                <c:pt idx="1009">
                  <c:v>3.0959050281194684E-2</c:v>
                </c:pt>
                <c:pt idx="1010">
                  <c:v>3.096734303970991E-2</c:v>
                </c:pt>
                <c:pt idx="1011">
                  <c:v>3.0973713963589351E-2</c:v>
                </c:pt>
                <c:pt idx="1012">
                  <c:v>3.0979913531092227E-2</c:v>
                </c:pt>
                <c:pt idx="1013">
                  <c:v>3.0989331497681245E-2</c:v>
                </c:pt>
                <c:pt idx="1014">
                  <c:v>3.0990974052500252E-2</c:v>
                </c:pt>
                <c:pt idx="1015">
                  <c:v>3.0995891494336961E-2</c:v>
                </c:pt>
                <c:pt idx="1016">
                  <c:v>3.1001502837633279E-2</c:v>
                </c:pt>
                <c:pt idx="1017">
                  <c:v>3.1006987600235382E-2</c:v>
                </c:pt>
                <c:pt idx="1018">
                  <c:v>3.1012354978769939E-2</c:v>
                </c:pt>
                <c:pt idx="1019">
                  <c:v>3.1017614169982409E-2</c:v>
                </c:pt>
                <c:pt idx="1020">
                  <c:v>3.1022774370732201E-2</c:v>
                </c:pt>
                <c:pt idx="1021">
                  <c:v>3.102784477798869E-2</c:v>
                </c:pt>
                <c:pt idx="1022">
                  <c:v>3.1032834588825914E-2</c:v>
                </c:pt>
                <c:pt idx="1023">
                  <c:v>3.1046066882387247E-2</c:v>
                </c:pt>
                <c:pt idx="1024">
                  <c:v>3.1050926074877777E-2</c:v>
                </c:pt>
                <c:pt idx="1025">
                  <c:v>3.1055734996652547E-2</c:v>
                </c:pt>
                <c:pt idx="1026">
                  <c:v>3.1060502601766255E-2</c:v>
                </c:pt>
                <c:pt idx="1027">
                  <c:v>3.1060231833684112E-2</c:v>
                </c:pt>
                <c:pt idx="1028">
                  <c:v>3.1064936144579045E-2</c:v>
                </c:pt>
                <c:pt idx="1029">
                  <c:v>3.1069624956754291E-2</c:v>
                </c:pt>
                <c:pt idx="1030">
                  <c:v>3.1074307369062231E-2</c:v>
                </c:pt>
                <c:pt idx="1031">
                  <c:v>3.1078992480441742E-2</c:v>
                </c:pt>
                <c:pt idx="1032">
                  <c:v>3.1088742020798255E-2</c:v>
                </c:pt>
                <c:pt idx="1033">
                  <c:v>3.1093471130213293E-2</c:v>
                </c:pt>
                <c:pt idx="1034">
                  <c:v>3.1098230558553333E-2</c:v>
                </c:pt>
                <c:pt idx="1035">
                  <c:v>3.1103029260653964E-2</c:v>
                </c:pt>
                <c:pt idx="1036">
                  <c:v>3.1102776037243551E-2</c:v>
                </c:pt>
                <c:pt idx="1037">
                  <c:v>3.1107659666905964E-2</c:v>
                </c:pt>
                <c:pt idx="1038">
                  <c:v>3.1112592792206132E-2</c:v>
                </c:pt>
                <c:pt idx="1039">
                  <c:v>3.1122710262525624E-2</c:v>
                </c:pt>
                <c:pt idx="1040">
                  <c:v>3.1127754284462097E-2</c:v>
                </c:pt>
                <c:pt idx="1041">
                  <c:v>3.1132847816177641E-2</c:v>
                </c:pt>
                <c:pt idx="1042">
                  <c:v>3.1137990858056467E-2</c:v>
                </c:pt>
                <c:pt idx="1043">
                  <c:v>3.114318341048708E-2</c:v>
                </c:pt>
                <c:pt idx="1044">
                  <c:v>3.1143230973163655E-2</c:v>
                </c:pt>
                <c:pt idx="1045">
                  <c:v>3.1153717048576605E-2</c:v>
                </c:pt>
                <c:pt idx="1046">
                  <c:v>3.115905813503015E-2</c:v>
                </c:pt>
                <c:pt idx="1047">
                  <c:v>3.1164448733626466E-2</c:v>
                </c:pt>
                <c:pt idx="1048">
                  <c:v>3.1164646387689524E-2</c:v>
                </c:pt>
                <c:pt idx="1049">
                  <c:v>3.116662342356644E-2</c:v>
                </c:pt>
                <c:pt idx="1050">
                  <c:v>3.1172142506198677E-2</c:v>
                </c:pt>
                <c:pt idx="1051">
                  <c:v>3.1177711080785757E-2</c:v>
                </c:pt>
                <c:pt idx="1052">
                  <c:v>3.118332914773796E-2</c:v>
                </c:pt>
                <c:pt idx="1053">
                  <c:v>3.1190762813581765E-2</c:v>
                </c:pt>
                <c:pt idx="1054">
                  <c:v>3.1196483893628831E-2</c:v>
                </c:pt>
                <c:pt idx="1055">
                  <c:v>3.1202254471666222E-2</c:v>
                </c:pt>
                <c:pt idx="1056">
                  <c:v>3.1208074548120406E-2</c:v>
                </c:pt>
                <c:pt idx="1057">
                  <c:v>3.1213944123421808E-2</c:v>
                </c:pt>
                <c:pt idx="1058">
                  <c:v>3.121807691247909E-2</c:v>
                </c:pt>
                <c:pt idx="1059">
                  <c:v>3.122404143774659E-2</c:v>
                </c:pt>
                <c:pt idx="1060">
                  <c:v>3.1230055458782456E-2</c:v>
                </c:pt>
                <c:pt idx="1061">
                  <c:v>3.1236118976029653E-2</c:v>
                </c:pt>
                <c:pt idx="1062">
                  <c:v>3.1244034297034363E-2</c:v>
                </c:pt>
                <c:pt idx="1063">
                  <c:v>3.1250193634633001E-2</c:v>
                </c:pt>
                <c:pt idx="1064">
                  <c:v>3.1256380597761632E-2</c:v>
                </c:pt>
                <c:pt idx="1065">
                  <c:v>3.1262579873158391E-2</c:v>
                </c:pt>
                <c:pt idx="1066">
                  <c:v>3.1266977021801326E-2</c:v>
                </c:pt>
                <c:pt idx="1067">
                  <c:v>3.1273160565708072E-2</c:v>
                </c:pt>
                <c:pt idx="1068">
                  <c:v>3.1279312224119907E-2</c:v>
                </c:pt>
                <c:pt idx="1069">
                  <c:v>3.1285416599765317E-2</c:v>
                </c:pt>
                <c:pt idx="1070">
                  <c:v>3.1291458295190817E-2</c:v>
                </c:pt>
                <c:pt idx="1071">
                  <c:v>3.1297421912762739E-2</c:v>
                </c:pt>
                <c:pt idx="1072">
                  <c:v>3.1303292054673859E-2</c:v>
                </c:pt>
                <c:pt idx="1073">
                  <c:v>3.130905332295001E-2</c:v>
                </c:pt>
                <c:pt idx="1074">
                  <c:v>3.1314690319457598E-2</c:v>
                </c:pt>
                <c:pt idx="1075">
                  <c:v>3.1328633822641609E-2</c:v>
                </c:pt>
                <c:pt idx="1076">
                  <c:v>3.1333884007485047E-2</c:v>
                </c:pt>
                <c:pt idx="1077">
                  <c:v>3.1338958859869391E-2</c:v>
                </c:pt>
                <c:pt idx="1078">
                  <c:v>3.1343843388500846E-2</c:v>
                </c:pt>
                <c:pt idx="1079">
                  <c:v>3.1343698875067105E-2</c:v>
                </c:pt>
                <c:pt idx="1080">
                  <c:v>3.1348223336223439E-2</c:v>
                </c:pt>
                <c:pt idx="1081">
                  <c:v>3.1352514420528374E-2</c:v>
                </c:pt>
                <c:pt idx="1082">
                  <c:v>3.1356556894625479E-2</c:v>
                </c:pt>
                <c:pt idx="1083">
                  <c:v>3.1360335525121623E-2</c:v>
                </c:pt>
                <c:pt idx="1084">
                  <c:v>3.1368314238834884E-2</c:v>
                </c:pt>
                <c:pt idx="1085">
                  <c:v>3.1371446738896379E-2</c:v>
                </c:pt>
                <c:pt idx="1086">
                  <c:v>3.1374268982788729E-2</c:v>
                </c:pt>
                <c:pt idx="1087">
                  <c:v>3.1376765978989071E-2</c:v>
                </c:pt>
                <c:pt idx="1088">
                  <c:v>3.1374738054885415E-2</c:v>
                </c:pt>
                <c:pt idx="1089">
                  <c:v>3.1376620924772086E-2</c:v>
                </c:pt>
                <c:pt idx="1090">
                  <c:v>3.137815507818404E-2</c:v>
                </c:pt>
                <c:pt idx="1091">
                  <c:v>3.1379340514318434E-2</c:v>
                </c:pt>
                <c:pt idx="1092">
                  <c:v>3.1384064542684421E-2</c:v>
                </c:pt>
                <c:pt idx="1093">
                  <c:v>3.1384477924352241E-2</c:v>
                </c:pt>
                <c:pt idx="1094">
                  <c:v>3.138454249697175E-2</c:v>
                </c:pt>
                <c:pt idx="1095">
                  <c:v>3.1384258260509425E-2</c:v>
                </c:pt>
                <c:pt idx="1096">
                  <c:v>3.1383625215116118E-2</c:v>
                </c:pt>
                <c:pt idx="1097">
                  <c:v>3.1382643361128754E-2</c:v>
                </c:pt>
                <c:pt idx="1098">
                  <c:v>3.1381312699069075E-2</c:v>
                </c:pt>
                <c:pt idx="1099">
                  <c:v>3.1379633229646188E-2</c:v>
                </c:pt>
                <c:pt idx="1100">
                  <c:v>3.1377604953752712E-2</c:v>
                </c:pt>
                <c:pt idx="1101">
                  <c:v>3.1370939861210756E-2</c:v>
                </c:pt>
                <c:pt idx="1102">
                  <c:v>3.1368314541434676E-2</c:v>
                </c:pt>
                <c:pt idx="1103">
                  <c:v>3.1365340538981143E-2</c:v>
                </c:pt>
                <c:pt idx="1104">
                  <c:v>3.1362017855398362E-2</c:v>
                </c:pt>
                <c:pt idx="1105">
                  <c:v>3.1359321290759558E-2</c:v>
                </c:pt>
                <c:pt idx="1106">
                  <c:v>3.1355275995485279E-2</c:v>
                </c:pt>
                <c:pt idx="1107">
                  <c:v>3.1354555334774291E-2</c:v>
                </c:pt>
                <c:pt idx="1108">
                  <c:v>3.1346139291330934E-2</c:v>
                </c:pt>
                <c:pt idx="1109">
                  <c:v>3.1341047887233922E-2</c:v>
                </c:pt>
                <c:pt idx="1110">
                  <c:v>3.133475955976979E-2</c:v>
                </c:pt>
                <c:pt idx="1111">
                  <c:v>3.1328996166882894E-2</c:v>
                </c:pt>
                <c:pt idx="1112">
                  <c:v>3.1322884111787005E-2</c:v>
                </c:pt>
                <c:pt idx="1113">
                  <c:v>3.1316423397664196E-2</c:v>
                </c:pt>
                <c:pt idx="1114">
                  <c:v>3.1310360872993187E-2</c:v>
                </c:pt>
                <c:pt idx="1115">
                  <c:v>3.1303185531371333E-2</c:v>
                </c:pt>
                <c:pt idx="1116">
                  <c:v>3.1295682450233085E-2</c:v>
                </c:pt>
                <c:pt idx="1117">
                  <c:v>3.1287864957765948E-2</c:v>
                </c:pt>
                <c:pt idx="1118">
                  <c:v>3.1279746382102402E-2</c:v>
                </c:pt>
                <c:pt idx="1119">
                  <c:v>3.127069466090257E-2</c:v>
                </c:pt>
                <c:pt idx="1120">
                  <c:v>3.1262029422392541E-2</c:v>
                </c:pt>
                <c:pt idx="1121">
                  <c:v>3.1253101673899969E-2</c:v>
                </c:pt>
                <c:pt idx="1122">
                  <c:v>3.1243924815192749E-2</c:v>
                </c:pt>
                <c:pt idx="1123">
                  <c:v>3.1234512245892063E-2</c:v>
                </c:pt>
                <c:pt idx="1124">
                  <c:v>3.122487736545133E-2</c:v>
                </c:pt>
                <c:pt idx="1125">
                  <c:v>3.1215033573146526E-2</c:v>
                </c:pt>
                <c:pt idx="1126">
                  <c:v>3.1204994268056861E-2</c:v>
                </c:pt>
                <c:pt idx="1127">
                  <c:v>3.1196997712081339E-2</c:v>
                </c:pt>
                <c:pt idx="1128">
                  <c:v>3.1186582908941007E-2</c:v>
                </c:pt>
                <c:pt idx="1129">
                  <c:v>3.1176016071888333E-2</c:v>
                </c:pt>
                <c:pt idx="1130">
                  <c:v>3.1165310315506286E-2</c:v>
                </c:pt>
                <c:pt idx="1131">
                  <c:v>3.1152870410212443E-2</c:v>
                </c:pt>
                <c:pt idx="1132">
                  <c:v>3.114193604909055E-2</c:v>
                </c:pt>
                <c:pt idx="1133">
                  <c:v>3.1130900508219483E-2</c:v>
                </c:pt>
                <c:pt idx="1134">
                  <c:v>3.1119777112651351E-2</c:v>
                </c:pt>
                <c:pt idx="1135">
                  <c:v>3.1108579187156506E-2</c:v>
                </c:pt>
                <c:pt idx="1136">
                  <c:v>3.1098892854943109E-2</c:v>
                </c:pt>
                <c:pt idx="1137">
                  <c:v>3.1087581849259201E-2</c:v>
                </c:pt>
                <c:pt idx="1138">
                  <c:v>3.1076236831138127E-2</c:v>
                </c:pt>
                <c:pt idx="1139">
                  <c:v>3.1064870912632835E-2</c:v>
                </c:pt>
                <c:pt idx="1140">
                  <c:v>3.1051937782419308E-2</c:v>
                </c:pt>
                <c:pt idx="1141">
                  <c:v>3.1040566182148482E-2</c:v>
                </c:pt>
                <c:pt idx="1142">
                  <c:v>3.1029194284583665E-2</c:v>
                </c:pt>
                <c:pt idx="1143">
                  <c:v>3.101782208973097E-2</c:v>
                </c:pt>
                <c:pt idx="1144">
                  <c:v>3.1006449597595201E-2</c:v>
                </c:pt>
                <c:pt idx="1145">
                  <c:v>3.0996621154402083E-2</c:v>
                </c:pt>
                <c:pt idx="1146">
                  <c:v>3.0985245089710966E-2</c:v>
                </c:pt>
                <c:pt idx="1147">
                  <c:v>3.0973868728741576E-2</c:v>
                </c:pt>
                <c:pt idx="1148">
                  <c:v>3.0962492071500359E-2</c:v>
                </c:pt>
                <c:pt idx="1149">
                  <c:v>3.0951115117992048E-2</c:v>
                </c:pt>
                <c:pt idx="1150">
                  <c:v>3.0939737868223516E-2</c:v>
                </c:pt>
                <c:pt idx="1151">
                  <c:v>3.0928360322199918E-2</c:v>
                </c:pt>
                <c:pt idx="1152">
                  <c:v>3.0916982479928135E-2</c:v>
                </c:pt>
                <c:pt idx="1153">
                  <c:v>3.0903069764078677E-2</c:v>
                </c:pt>
                <c:pt idx="1154">
                  <c:v>3.0891696279338594E-2</c:v>
                </c:pt>
                <c:pt idx="1155">
                  <c:v>3.0880322496722751E-2</c:v>
                </c:pt>
                <c:pt idx="1156">
                  <c:v>3.0868948416236011E-2</c:v>
                </c:pt>
                <c:pt idx="1157">
                  <c:v>3.0857574037884555E-2</c:v>
                </c:pt>
                <c:pt idx="1158">
                  <c:v>3.0846701461851294E-2</c:v>
                </c:pt>
                <c:pt idx="1159">
                  <c:v>3.0835325499501586E-2</c:v>
                </c:pt>
                <c:pt idx="1160">
                  <c:v>3.0823949239633386E-2</c:v>
                </c:pt>
                <c:pt idx="1161">
                  <c:v>3.0812572682252404E-2</c:v>
                </c:pt>
                <c:pt idx="1162">
                  <c:v>3.0800697678359235E-2</c:v>
                </c:pt>
                <c:pt idx="1163">
                  <c:v>3.0789321512940487E-2</c:v>
                </c:pt>
                <c:pt idx="1164">
                  <c:v>3.0777945049697213E-2</c:v>
                </c:pt>
                <c:pt idx="1165">
                  <c:v>3.0766568288635592E-2</c:v>
                </c:pt>
                <c:pt idx="1166">
                  <c:v>3.0755685398056152E-2</c:v>
                </c:pt>
                <c:pt idx="1167">
                  <c:v>3.0744303918884282E-2</c:v>
                </c:pt>
                <c:pt idx="1168">
                  <c:v>3.0732910630453785E-2</c:v>
                </c:pt>
                <c:pt idx="1169">
                  <c:v>3.0721496579376742E-2</c:v>
                </c:pt>
                <c:pt idx="1170">
                  <c:v>3.0708415040803044E-2</c:v>
                </c:pt>
                <c:pt idx="1171">
                  <c:v>3.0696454368809762E-2</c:v>
                </c:pt>
                <c:pt idx="1172">
                  <c:v>3.0684924435828796E-2</c:v>
                </c:pt>
                <c:pt idx="1173">
                  <c:v>3.0673337622254777E-2</c:v>
                </c:pt>
                <c:pt idx="1174">
                  <c:v>3.0661684927034982E-2</c:v>
                </c:pt>
                <c:pt idx="1175">
                  <c:v>3.0649957349328679E-2</c:v>
                </c:pt>
                <c:pt idx="1176">
                  <c:v>3.0638145888514622E-2</c:v>
                </c:pt>
                <c:pt idx="1177">
                  <c:v>3.0626241544189296E-2</c:v>
                </c:pt>
                <c:pt idx="1178">
                  <c:v>3.061423531617442E-2</c:v>
                </c:pt>
                <c:pt idx="1179">
                  <c:v>3.0603654131226343E-2</c:v>
                </c:pt>
                <c:pt idx="1180">
                  <c:v>3.0591360595192428E-2</c:v>
                </c:pt>
                <c:pt idx="1181">
                  <c:v>3.057893588248985E-2</c:v>
                </c:pt>
                <c:pt idx="1182">
                  <c:v>3.0566371185670002E-2</c:v>
                </c:pt>
                <c:pt idx="1183">
                  <c:v>3.0545695882174546E-2</c:v>
                </c:pt>
                <c:pt idx="1184">
                  <c:v>3.0540786611146186E-2</c:v>
                </c:pt>
                <c:pt idx="1185">
                  <c:v>3.0527749119831755E-2</c:v>
                </c:pt>
                <c:pt idx="1186">
                  <c:v>3.0514536417192525E-2</c:v>
                </c:pt>
                <c:pt idx="1187">
                  <c:v>3.0501139697108121E-2</c:v>
                </c:pt>
                <c:pt idx="1188">
                  <c:v>3.0487550153749831E-2</c:v>
                </c:pt>
                <c:pt idx="1189">
                  <c:v>3.0473758981583617E-2</c:v>
                </c:pt>
                <c:pt idx="1190">
                  <c:v>3.04597573753831E-2</c:v>
                </c:pt>
                <c:pt idx="1191">
                  <c:v>3.044553653023515E-2</c:v>
                </c:pt>
                <c:pt idx="1192">
                  <c:v>3.0431087757127023E-2</c:v>
                </c:pt>
                <c:pt idx="1193">
                  <c:v>3.0416406185576315E-2</c:v>
                </c:pt>
                <c:pt idx="1194">
                  <c:v>3.0401491546822885E-2</c:v>
                </c:pt>
                <c:pt idx="1195">
                  <c:v>3.0386343846145528E-2</c:v>
                </c:pt>
                <c:pt idx="1196">
                  <c:v>3.0370963088904291E-2</c:v>
                </c:pt>
                <c:pt idx="1197">
                  <c:v>3.0355349280543027E-2</c:v>
                </c:pt>
                <c:pt idx="1198">
                  <c:v>3.0339502426586833E-2</c:v>
                </c:pt>
                <c:pt idx="1199">
                  <c:v>3.0323422532643331E-2</c:v>
                </c:pt>
                <c:pt idx="1200">
                  <c:v>3.0307109604403536E-2</c:v>
                </c:pt>
                <c:pt idx="1201">
                  <c:v>3.0290563647640132E-2</c:v>
                </c:pt>
                <c:pt idx="1202">
                  <c:v>3.027378466820789E-2</c:v>
                </c:pt>
                <c:pt idx="1203">
                  <c:v>3.025677267204498E-2</c:v>
                </c:pt>
                <c:pt idx="1204">
                  <c:v>3.02395276651721E-2</c:v>
                </c:pt>
                <c:pt idx="1205">
                  <c:v>3.0222307971448426E-2</c:v>
                </c:pt>
                <c:pt idx="1206">
                  <c:v>3.020466940711157E-2</c:v>
                </c:pt>
                <c:pt idx="1207">
                  <c:v>3.0186797922928655E-2</c:v>
                </c:pt>
                <c:pt idx="1208">
                  <c:v>3.0168693525087872E-2</c:v>
                </c:pt>
                <c:pt idx="1209">
                  <c:v>3.0150221706413762E-2</c:v>
                </c:pt>
                <c:pt idx="1210">
                  <c:v>3.0131633320753599E-2</c:v>
                </c:pt>
                <c:pt idx="1211">
                  <c:v>3.0112812022562857E-2</c:v>
                </c:pt>
                <c:pt idx="1212">
                  <c:v>3.0092983848763587E-2</c:v>
                </c:pt>
                <c:pt idx="1213">
                  <c:v>3.007447071487717E-2</c:v>
                </c:pt>
                <c:pt idx="1214">
                  <c:v>3.0055176307875818E-2</c:v>
                </c:pt>
                <c:pt idx="1215">
                  <c:v>3.0035441694446437E-2</c:v>
                </c:pt>
                <c:pt idx="1216">
                  <c:v>3.0015474219760595E-2</c:v>
                </c:pt>
                <c:pt idx="1217">
                  <c:v>2.9995273890729885E-2</c:v>
                </c:pt>
                <c:pt idx="1218">
                  <c:v>2.9974542033600629E-2</c:v>
                </c:pt>
                <c:pt idx="1219">
                  <c:v>2.9953865667895339E-2</c:v>
                </c:pt>
                <c:pt idx="1220">
                  <c:v>2.9932985773788886E-2</c:v>
                </c:pt>
                <c:pt idx="1221">
                  <c:v>2.9911925163715405E-2</c:v>
                </c:pt>
                <c:pt idx="1222">
                  <c:v>2.988261122846364E-2</c:v>
                </c:pt>
                <c:pt idx="1223">
                  <c:v>2.986016579175026E-2</c:v>
                </c:pt>
                <c:pt idx="1224">
                  <c:v>2.9838658759776454E-2</c:v>
                </c:pt>
                <c:pt idx="1225">
                  <c:v>2.9817072027222006E-2</c:v>
                </c:pt>
                <c:pt idx="1226">
                  <c:v>2.9795428401418328E-2</c:v>
                </c:pt>
                <c:pt idx="1227">
                  <c:v>2.9773750688721342E-2</c:v>
                </c:pt>
                <c:pt idx="1228">
                  <c:v>2.9752061694505338E-2</c:v>
                </c:pt>
                <c:pt idx="1229">
                  <c:v>2.973038422315771E-2</c:v>
                </c:pt>
                <c:pt idx="1230">
                  <c:v>2.9708741078083332E-2</c:v>
                </c:pt>
                <c:pt idx="1231">
                  <c:v>2.9686570544955847E-2</c:v>
                </c:pt>
                <c:pt idx="1232">
                  <c:v>2.9665095160149736E-2</c:v>
                </c:pt>
                <c:pt idx="1233">
                  <c:v>2.9643725322113647E-2</c:v>
                </c:pt>
                <c:pt idx="1234">
                  <c:v>2.9622483586038771E-2</c:v>
                </c:pt>
                <c:pt idx="1235">
                  <c:v>2.9601614325551896E-2</c:v>
                </c:pt>
                <c:pt idx="1236">
                  <c:v>2.9580676182836298E-2</c:v>
                </c:pt>
                <c:pt idx="1237">
                  <c:v>2.9559932887493909E-2</c:v>
                </c:pt>
                <c:pt idx="1238">
                  <c:v>2.9533585730934269E-2</c:v>
                </c:pt>
                <c:pt idx="1239">
                  <c:v>2.9519121530121886E-2</c:v>
                </c:pt>
                <c:pt idx="1240">
                  <c:v>2.9498986284903727E-2</c:v>
                </c:pt>
                <c:pt idx="1241">
                  <c:v>2.9479272731030067E-2</c:v>
                </c:pt>
                <c:pt idx="1242">
                  <c:v>2.9459867688355602E-2</c:v>
                </c:pt>
                <c:pt idx="1243">
                  <c:v>2.9440793704371165E-2</c:v>
                </c:pt>
                <c:pt idx="1244">
                  <c:v>2.9422088596699019E-2</c:v>
                </c:pt>
                <c:pt idx="1245">
                  <c:v>2.9403702575915347E-2</c:v>
                </c:pt>
                <c:pt idx="1246">
                  <c:v>2.9385676555843759E-2</c:v>
                </c:pt>
                <c:pt idx="1247">
                  <c:v>2.9368010526737296E-2</c:v>
                </c:pt>
                <c:pt idx="1248">
                  <c:v>2.9350867680517385E-2</c:v>
                </c:pt>
                <c:pt idx="1249">
                  <c:v>2.9333863179473056E-2</c:v>
                </c:pt>
                <c:pt idx="1250">
                  <c:v>2.931730143802827E-2</c:v>
                </c:pt>
                <c:pt idx="1251">
                  <c:v>2.9301099679723303E-2</c:v>
                </c:pt>
                <c:pt idx="1252">
                  <c:v>2.9285257895751284E-2</c:v>
                </c:pt>
                <c:pt idx="1253">
                  <c:v>2.9269776077498238E-2</c:v>
                </c:pt>
                <c:pt idx="1254">
                  <c:v>2.9254654216546116E-2</c:v>
                </c:pt>
                <c:pt idx="1255">
                  <c:v>2.9239892304675837E-2</c:v>
                </c:pt>
                <c:pt idx="1256">
                  <c:v>2.9225490333859044E-2</c:v>
                </c:pt>
                <c:pt idx="1257">
                  <c:v>2.9210849540396884E-2</c:v>
                </c:pt>
                <c:pt idx="1258">
                  <c:v>2.9197118224184023E-2</c:v>
                </c:pt>
                <c:pt idx="1259">
                  <c:v>2.9183746768178285E-2</c:v>
                </c:pt>
                <c:pt idx="1260">
                  <c:v>2.9170735165188068E-2</c:v>
                </c:pt>
                <c:pt idx="1261">
                  <c:v>2.9158083408218082E-2</c:v>
                </c:pt>
                <c:pt idx="1262">
                  <c:v>2.9145791490462349E-2</c:v>
                </c:pt>
                <c:pt idx="1263">
                  <c:v>2.9134305632918852E-2</c:v>
                </c:pt>
                <c:pt idx="1264">
                  <c:v>2.9122287146352639E-2</c:v>
                </c:pt>
                <c:pt idx="1265">
                  <c:v>2.9111074707358228E-2</c:v>
                </c:pt>
                <c:pt idx="1266">
                  <c:v>2.9100222082301144E-2</c:v>
                </c:pt>
                <c:pt idx="1267">
                  <c:v>2.9089729265344737E-2</c:v>
                </c:pt>
                <c:pt idx="1268">
                  <c:v>2.9079596250846926E-2</c:v>
                </c:pt>
                <c:pt idx="1269">
                  <c:v>2.9069823033358443E-2</c:v>
                </c:pt>
                <c:pt idx="1270">
                  <c:v>2.9060408626068655E-2</c:v>
                </c:pt>
                <c:pt idx="1271">
                  <c:v>2.9051335555371708E-2</c:v>
                </c:pt>
                <c:pt idx="1272">
                  <c:v>2.9042572667842697E-2</c:v>
                </c:pt>
                <c:pt idx="1273">
                  <c:v>2.9034088396662584E-2</c:v>
                </c:pt>
                <c:pt idx="1274">
                  <c:v>2.902401715881562E-2</c:v>
                </c:pt>
                <c:pt idx="1275">
                  <c:v>2.9016019510962474E-2</c:v>
                </c:pt>
                <c:pt idx="1276">
                  <c:v>2.9008204796211804E-2</c:v>
                </c:pt>
                <c:pt idx="1277">
                  <c:v>2.9000541278355257E-2</c:v>
                </c:pt>
                <c:pt idx="1278">
                  <c:v>2.8992997221702954E-2</c:v>
                </c:pt>
                <c:pt idx="1279">
                  <c:v>2.8985540891067599E-2</c:v>
                </c:pt>
                <c:pt idx="1280">
                  <c:v>2.8978140551742835E-2</c:v>
                </c:pt>
                <c:pt idx="1281">
                  <c:v>2.8970764469497513E-2</c:v>
                </c:pt>
                <c:pt idx="1282">
                  <c:v>2.8963380910564634E-2</c:v>
                </c:pt>
                <c:pt idx="1283">
                  <c:v>2.8957751264199437E-2</c:v>
                </c:pt>
                <c:pt idx="1284">
                  <c:v>2.8950192953183244E-2</c:v>
                </c:pt>
                <c:pt idx="1285">
                  <c:v>2.8942526102944656E-2</c:v>
                </c:pt>
                <c:pt idx="1286">
                  <c:v>2.8934719491658548E-2</c:v>
                </c:pt>
                <c:pt idx="1287">
                  <c:v>2.8926244370429843E-2</c:v>
                </c:pt>
                <c:pt idx="1288">
                  <c:v>2.8918092967013979E-2</c:v>
                </c:pt>
                <c:pt idx="1289">
                  <c:v>2.8907267062362994E-2</c:v>
                </c:pt>
                <c:pt idx="1290">
                  <c:v>2.889853888168948E-2</c:v>
                </c:pt>
                <c:pt idx="1291">
                  <c:v>2.8888913167815871E-2</c:v>
                </c:pt>
                <c:pt idx="1292">
                  <c:v>2.888113558380077E-2</c:v>
                </c:pt>
                <c:pt idx="1293">
                  <c:v>2.8871302035447965E-2</c:v>
                </c:pt>
                <c:pt idx="1294">
                  <c:v>2.8861069320371829E-2</c:v>
                </c:pt>
                <c:pt idx="1295">
                  <c:v>2.884971169410628E-2</c:v>
                </c:pt>
                <c:pt idx="1296">
                  <c:v>2.8838694538955705E-2</c:v>
                </c:pt>
                <c:pt idx="1297">
                  <c:v>2.8827216563544925E-2</c:v>
                </c:pt>
                <c:pt idx="1298">
                  <c:v>2.8815277775823871E-2</c:v>
                </c:pt>
                <c:pt idx="1299">
                  <c:v>2.8803166809981566E-2</c:v>
                </c:pt>
                <c:pt idx="1300">
                  <c:v>2.8790204597559006E-2</c:v>
                </c:pt>
                <c:pt idx="1301">
                  <c:v>2.8776781492323933E-2</c:v>
                </c:pt>
                <c:pt idx="1302">
                  <c:v>2.8762897503724696E-2</c:v>
                </c:pt>
                <c:pt idx="1303">
                  <c:v>2.8748552641536706E-2</c:v>
                </c:pt>
                <c:pt idx="1304">
                  <c:v>2.873396847642902E-2</c:v>
                </c:pt>
                <c:pt idx="1305">
                  <c:v>2.8718480337112856E-2</c:v>
                </c:pt>
                <c:pt idx="1306">
                  <c:v>2.870275291604716E-2</c:v>
                </c:pt>
                <c:pt idx="1307">
                  <c:v>2.8686564663733465E-2</c:v>
                </c:pt>
                <c:pt idx="1308">
                  <c:v>2.8670547198843762E-2</c:v>
                </c:pt>
                <c:pt idx="1309">
                  <c:v>2.8653778301352597E-2</c:v>
                </c:pt>
                <c:pt idx="1310">
                  <c:v>2.8636344784413965E-2</c:v>
                </c:pt>
                <c:pt idx="1311">
                  <c:v>2.8618450622177605E-2</c:v>
                </c:pt>
                <c:pt idx="1312">
                  <c:v>2.8600095826969919E-2</c:v>
                </c:pt>
                <c:pt idx="1313">
                  <c:v>2.8580904865606944E-2</c:v>
                </c:pt>
                <c:pt idx="1314">
                  <c:v>2.856159442257436E-2</c:v>
                </c:pt>
                <c:pt idx="1315">
                  <c:v>2.8541823351209358E-2</c:v>
                </c:pt>
                <c:pt idx="1316">
                  <c:v>2.8521591665205469E-2</c:v>
                </c:pt>
                <c:pt idx="1317">
                  <c:v>2.8500899378575088E-2</c:v>
                </c:pt>
                <c:pt idx="1318">
                  <c:v>2.8480294493544014E-2</c:v>
                </c:pt>
                <c:pt idx="1319">
                  <c:v>2.8458715639308227E-2</c:v>
                </c:pt>
                <c:pt idx="1320">
                  <c:v>2.8436676262127383E-2</c:v>
                </c:pt>
                <c:pt idx="1321">
                  <c:v>2.8414176377182312E-2</c:v>
                </c:pt>
                <c:pt idx="1322">
                  <c:v>2.8390530621213741E-2</c:v>
                </c:pt>
                <c:pt idx="1323">
                  <c:v>2.8367098253335121E-2</c:v>
                </c:pt>
                <c:pt idx="1324">
                  <c:v>2.8343264634830771E-2</c:v>
                </c:pt>
                <c:pt idx="1325">
                  <c:v>2.8305091827552357E-2</c:v>
                </c:pt>
                <c:pt idx="1326">
                  <c:v>2.8291792647093746E-2</c:v>
                </c:pt>
                <c:pt idx="1327">
                  <c:v>2.8270517900690059E-2</c:v>
                </c:pt>
                <c:pt idx="1328">
                  <c:v>2.8245462582205925E-2</c:v>
                </c:pt>
                <c:pt idx="1329">
                  <c:v>2.8220190529105165E-2</c:v>
                </c:pt>
                <c:pt idx="1330">
                  <c:v>2.8194739651420692E-2</c:v>
                </c:pt>
                <c:pt idx="1331">
                  <c:v>2.8169147857317466E-2</c:v>
                </c:pt>
                <c:pt idx="1332">
                  <c:v>2.8143453053061304E-2</c:v>
                </c:pt>
                <c:pt idx="1333">
                  <c:v>2.8117693142998681E-2</c:v>
                </c:pt>
                <c:pt idx="1334">
                  <c:v>2.8091906029536966E-2</c:v>
                </c:pt>
                <c:pt idx="1335">
                  <c:v>2.8063216299646112E-2</c:v>
                </c:pt>
                <c:pt idx="1336">
                  <c:v>2.8037571137157033E-2</c:v>
                </c:pt>
                <c:pt idx="1337">
                  <c:v>2.8012021931958238E-2</c:v>
                </c:pt>
                <c:pt idx="1338">
                  <c:v>2.7986605774576939E-2</c:v>
                </c:pt>
                <c:pt idx="1339">
                  <c:v>2.7963251889906268E-2</c:v>
                </c:pt>
                <c:pt idx="1340">
                  <c:v>2.793812620543382E-2</c:v>
                </c:pt>
                <c:pt idx="1341">
                  <c:v>2.7913240167489133E-2</c:v>
                </c:pt>
                <c:pt idx="1342">
                  <c:v>2.7888631458959395E-2</c:v>
                </c:pt>
                <c:pt idx="1343">
                  <c:v>2.7864337760980639E-2</c:v>
                </c:pt>
                <c:pt idx="1344">
                  <c:v>2.7838979669033093E-2</c:v>
                </c:pt>
                <c:pt idx="1345">
                  <c:v>2.7815533226198098E-2</c:v>
                </c:pt>
                <c:pt idx="1346">
                  <c:v>2.7792516490359114E-2</c:v>
                </c:pt>
                <c:pt idx="1347">
                  <c:v>2.7769966536582161E-2</c:v>
                </c:pt>
                <c:pt idx="1348">
                  <c:v>2.7748912659480277E-2</c:v>
                </c:pt>
                <c:pt idx="1349">
                  <c:v>2.77272824195209E-2</c:v>
                </c:pt>
                <c:pt idx="1350">
                  <c:v>2.7706177074348394E-2</c:v>
                </c:pt>
                <c:pt idx="1351">
                  <c:v>2.7685596607306791E-2</c:v>
                </c:pt>
                <c:pt idx="1352">
                  <c:v>2.7664979156325625E-2</c:v>
                </c:pt>
                <c:pt idx="1353">
                  <c:v>2.7645556413439347E-2</c:v>
                </c:pt>
                <c:pt idx="1354">
                  <c:v>2.7626658621173247E-2</c:v>
                </c:pt>
                <c:pt idx="1355">
                  <c:v>2.7608285764371271E-2</c:v>
                </c:pt>
                <c:pt idx="1356">
                  <c:v>2.759043782829726E-2</c:v>
                </c:pt>
                <c:pt idx="1357">
                  <c:v>2.7573114798638353E-2</c:v>
                </c:pt>
                <c:pt idx="1358">
                  <c:v>2.7556316661500723E-2</c:v>
                </c:pt>
                <c:pt idx="1359">
                  <c:v>2.7540043403411707E-2</c:v>
                </c:pt>
                <c:pt idx="1360">
                  <c:v>2.7524295011320664E-2</c:v>
                </c:pt>
                <c:pt idx="1361">
                  <c:v>2.7508397881452529E-2</c:v>
                </c:pt>
                <c:pt idx="1362">
                  <c:v>2.7493517394053781E-2</c:v>
                </c:pt>
                <c:pt idx="1363">
                  <c:v>2.747916153804E-2</c:v>
                </c:pt>
                <c:pt idx="1364">
                  <c:v>2.7465330302207769E-2</c:v>
                </c:pt>
                <c:pt idx="1365">
                  <c:v>2.7452297051282347E-2</c:v>
                </c:pt>
                <c:pt idx="1366">
                  <c:v>2.743955152880272E-2</c:v>
                </c:pt>
                <c:pt idx="1367">
                  <c:v>2.7427330634833838E-2</c:v>
                </c:pt>
                <c:pt idx="1368">
                  <c:v>2.7415634359786886E-2</c:v>
                </c:pt>
                <c:pt idx="1369">
                  <c:v>2.7404462694482393E-2</c:v>
                </c:pt>
                <c:pt idx="1370">
                  <c:v>2.7393359335218821E-2</c:v>
                </c:pt>
                <c:pt idx="1371">
                  <c:v>2.73832001613507E-2</c:v>
                </c:pt>
                <c:pt idx="1372">
                  <c:v>2.7373565532775087E-2</c:v>
                </c:pt>
                <c:pt idx="1373">
                  <c:v>2.7364455441973135E-2</c:v>
                </c:pt>
                <c:pt idx="1374">
                  <c:v>2.7356472844978014E-2</c:v>
                </c:pt>
                <c:pt idx="1375">
                  <c:v>2.7348435093108654E-2</c:v>
                </c:pt>
                <c:pt idx="1376">
                  <c:v>2.7340880879518605E-2</c:v>
                </c:pt>
                <c:pt idx="1377">
                  <c:v>2.733378148565373E-2</c:v>
                </c:pt>
                <c:pt idx="1378">
                  <c:v>2.7327108193689435E-2</c:v>
                </c:pt>
                <c:pt idx="1379">
                  <c:v>2.7320099266851739E-2</c:v>
                </c:pt>
                <c:pt idx="1380">
                  <c:v>2.7314176371050082E-2</c:v>
                </c:pt>
                <c:pt idx="1381">
                  <c:v>2.7308596506336158E-2</c:v>
                </c:pt>
                <c:pt idx="1382">
                  <c:v>2.7303330800733334E-2</c:v>
                </c:pt>
                <c:pt idx="1383">
                  <c:v>2.7298350382725163E-2</c:v>
                </c:pt>
                <c:pt idx="1384">
                  <c:v>2.7293626381210336E-2</c:v>
                </c:pt>
                <c:pt idx="1385">
                  <c:v>2.7289129925462043E-2</c:v>
                </c:pt>
                <c:pt idx="1386">
                  <c:v>2.7284832145095316E-2</c:v>
                </c:pt>
                <c:pt idx="1387">
                  <c:v>2.728459899375513E-2</c:v>
                </c:pt>
                <c:pt idx="1388">
                  <c:v>2.7280587738440987E-2</c:v>
                </c:pt>
                <c:pt idx="1389">
                  <c:v>2.7276679608258934E-2</c:v>
                </c:pt>
                <c:pt idx="1390">
                  <c:v>2.7272846499446644E-2</c:v>
                </c:pt>
                <c:pt idx="1391">
                  <c:v>2.7266815849646492E-2</c:v>
                </c:pt>
                <c:pt idx="1392">
                  <c:v>2.7263081875754443E-2</c:v>
                </c:pt>
                <c:pt idx="1393">
                  <c:v>2.7259342102553378E-2</c:v>
                </c:pt>
                <c:pt idx="1394">
                  <c:v>2.7255567972867885E-2</c:v>
                </c:pt>
                <c:pt idx="1395">
                  <c:v>2.7251730929744433E-2</c:v>
                </c:pt>
                <c:pt idx="1396">
                  <c:v>2.7249849512853766E-2</c:v>
                </c:pt>
                <c:pt idx="1397">
                  <c:v>2.7245754667022747E-2</c:v>
                </c:pt>
                <c:pt idx="1398">
                  <c:v>2.7241510020529103E-2</c:v>
                </c:pt>
                <c:pt idx="1399">
                  <c:v>2.723708747170861E-2</c:v>
                </c:pt>
                <c:pt idx="1400">
                  <c:v>2.7230602910152644E-2</c:v>
                </c:pt>
                <c:pt idx="1401">
                  <c:v>2.7225802205209995E-2</c:v>
                </c:pt>
                <c:pt idx="1402">
                  <c:v>2.7220779490549199E-2</c:v>
                </c:pt>
                <c:pt idx="1403">
                  <c:v>2.7215534767846286E-2</c:v>
                </c:pt>
                <c:pt idx="1404">
                  <c:v>2.7210068038854177E-2</c:v>
                </c:pt>
                <c:pt idx="1405">
                  <c:v>2.7205991860321726E-2</c:v>
                </c:pt>
                <c:pt idx="1406">
                  <c:v>2.7200032211755251E-2</c:v>
                </c:pt>
                <c:pt idx="1407">
                  <c:v>2.7193850513381419E-2</c:v>
                </c:pt>
                <c:pt idx="1408">
                  <c:v>2.7187446767298767E-2</c:v>
                </c:pt>
                <c:pt idx="1409">
                  <c:v>2.7180820975680177E-2</c:v>
                </c:pt>
                <c:pt idx="1410">
                  <c:v>2.7173973140775895E-2</c:v>
                </c:pt>
                <c:pt idx="1411">
                  <c:v>2.7166903264909219E-2</c:v>
                </c:pt>
                <c:pt idx="1412">
                  <c:v>2.7159611350480384E-2</c:v>
                </c:pt>
                <c:pt idx="1413">
                  <c:v>2.7150056514209441E-2</c:v>
                </c:pt>
                <c:pt idx="1414">
                  <c:v>2.7142402692947362E-2</c:v>
                </c:pt>
                <c:pt idx="1415">
                  <c:v>2.7134526922081834E-2</c:v>
                </c:pt>
                <c:pt idx="1416">
                  <c:v>2.7126429204214531E-2</c:v>
                </c:pt>
                <c:pt idx="1417">
                  <c:v>2.7118109542019566E-2</c:v>
                </c:pt>
                <c:pt idx="1418">
                  <c:v>2.7109896915072623E-2</c:v>
                </c:pt>
                <c:pt idx="1419">
                  <c:v>2.7101116863614876E-2</c:v>
                </c:pt>
                <c:pt idx="1420">
                  <c:v>2.7092114860132896E-2</c:v>
                </c:pt>
                <c:pt idx="1421">
                  <c:v>2.7082890907615943E-2</c:v>
                </c:pt>
                <c:pt idx="1422">
                  <c:v>2.7073182164874591E-2</c:v>
                </c:pt>
                <c:pt idx="1423">
                  <c:v>2.706353089698673E-2</c:v>
                </c:pt>
                <c:pt idx="1424">
                  <c:v>2.7053657705546186E-2</c:v>
                </c:pt>
                <c:pt idx="1425">
                  <c:v>2.704356259381311E-2</c:v>
                </c:pt>
                <c:pt idx="1426">
                  <c:v>2.703344218413609E-2</c:v>
                </c:pt>
                <c:pt idx="1427">
                  <c:v>2.702289254434621E-2</c:v>
                </c:pt>
                <c:pt idx="1428">
                  <c:v>2.7012138926635187E-2</c:v>
                </c:pt>
                <c:pt idx="1429">
                  <c:v>2.7001193897947421E-2</c:v>
                </c:pt>
                <c:pt idx="1430">
                  <c:v>2.6990070025010793E-2</c:v>
                </c:pt>
                <c:pt idx="1431">
                  <c:v>2.697864269709193E-2</c:v>
                </c:pt>
                <c:pt idx="1432">
                  <c:v>2.6967206188954516E-2</c:v>
                </c:pt>
                <c:pt idx="1433">
                  <c:v>2.6955627186967895E-2</c:v>
                </c:pt>
                <c:pt idx="1434">
                  <c:v>2.6943918325369593E-2</c:v>
                </c:pt>
                <c:pt idx="1435">
                  <c:v>2.6932092238128619E-2</c:v>
                </c:pt>
                <c:pt idx="1436">
                  <c:v>2.6920161558941929E-2</c:v>
                </c:pt>
                <c:pt idx="1437">
                  <c:v>2.6908138921223401E-2</c:v>
                </c:pt>
                <c:pt idx="1438">
                  <c:v>2.6896036958100285E-2</c:v>
                </c:pt>
                <c:pt idx="1439">
                  <c:v>2.6884433455330831E-2</c:v>
                </c:pt>
                <c:pt idx="1440">
                  <c:v>2.6872218863723853E-2</c:v>
                </c:pt>
                <c:pt idx="1441">
                  <c:v>2.685996676147067E-2</c:v>
                </c:pt>
                <c:pt idx="1442">
                  <c:v>2.684768944542815E-2</c:v>
                </c:pt>
                <c:pt idx="1443">
                  <c:v>2.6835025660923287E-2</c:v>
                </c:pt>
                <c:pt idx="1444">
                  <c:v>2.6822721662354873E-2</c:v>
                </c:pt>
                <c:pt idx="1445">
                  <c:v>2.6810427809245141E-2</c:v>
                </c:pt>
                <c:pt idx="1446">
                  <c:v>2.6798156596068618E-2</c:v>
                </c:pt>
                <c:pt idx="1447">
                  <c:v>2.6785920516991874E-2</c:v>
                </c:pt>
                <c:pt idx="1448">
                  <c:v>2.6774184644819808E-2</c:v>
                </c:pt>
                <c:pt idx="1449">
                  <c:v>2.6762075118423122E-2</c:v>
                </c:pt>
                <c:pt idx="1450">
                  <c:v>2.675003874205097E-2</c:v>
                </c:pt>
                <c:pt idx="1451">
                  <c:v>2.6738087809823483E-2</c:v>
                </c:pt>
                <c:pt idx="1452">
                  <c:v>2.6725704243817556E-2</c:v>
                </c:pt>
                <c:pt idx="1453">
                  <c:v>2.6713935422882501E-2</c:v>
                </c:pt>
                <c:pt idx="1454">
                  <c:v>2.6702271338279838E-2</c:v>
                </c:pt>
                <c:pt idx="1455">
                  <c:v>2.6690711988173663E-2</c:v>
                </c:pt>
                <c:pt idx="1456">
                  <c:v>2.6679257370741605E-2</c:v>
                </c:pt>
                <c:pt idx="1457">
                  <c:v>2.6668537158877893E-2</c:v>
                </c:pt>
                <c:pt idx="1458">
                  <c:v>2.6657311965719674E-2</c:v>
                </c:pt>
                <c:pt idx="1459">
                  <c:v>2.6646191523634646E-2</c:v>
                </c:pt>
                <c:pt idx="1460">
                  <c:v>2.6635175830844019E-2</c:v>
                </c:pt>
                <c:pt idx="1461">
                  <c:v>2.6624264885582751E-2</c:v>
                </c:pt>
                <c:pt idx="1462">
                  <c:v>2.6613458686105144E-2</c:v>
                </c:pt>
                <c:pt idx="1463">
                  <c:v>2.6602757230680108E-2</c:v>
                </c:pt>
                <c:pt idx="1464">
                  <c:v>2.6592160517595463E-2</c:v>
                </c:pt>
                <c:pt idx="1465">
                  <c:v>2.6580355066289117E-2</c:v>
                </c:pt>
                <c:pt idx="1466">
                  <c:v>2.6569934248645625E-2</c:v>
                </c:pt>
                <c:pt idx="1467">
                  <c:v>2.6559618129024756E-2</c:v>
                </c:pt>
                <c:pt idx="1468">
                  <c:v>2.6549406705819848E-2</c:v>
                </c:pt>
                <c:pt idx="1469">
                  <c:v>2.6539299977439239E-2</c:v>
                </c:pt>
                <c:pt idx="1470">
                  <c:v>2.6529592979536436E-2</c:v>
                </c:pt>
                <c:pt idx="1471">
                  <c:v>2.6519702389993897E-2</c:v>
                </c:pt>
                <c:pt idx="1472">
                  <c:v>2.6509916498419897E-2</c:v>
                </c:pt>
                <c:pt idx="1473">
                  <c:v>2.6500235303282473E-2</c:v>
                </c:pt>
                <c:pt idx="1474">
                  <c:v>2.6490336703373737E-2</c:v>
                </c:pt>
                <c:pt idx="1475">
                  <c:v>2.6480858111449568E-2</c:v>
                </c:pt>
                <c:pt idx="1476">
                  <c:v>2.6471484203670952E-2</c:v>
                </c:pt>
                <c:pt idx="1477">
                  <c:v>2.6462214978578719E-2</c:v>
                </c:pt>
                <c:pt idx="1478">
                  <c:v>2.645339969775146E-2</c:v>
                </c:pt>
                <c:pt idx="1479">
                  <c:v>2.6444344497749326E-2</c:v>
                </c:pt>
                <c:pt idx="1480">
                  <c:v>2.6435386085569779E-2</c:v>
                </c:pt>
                <c:pt idx="1481">
                  <c:v>2.6426518316771827E-2</c:v>
                </c:pt>
                <c:pt idx="1482">
                  <c:v>2.6416486833836076E-2</c:v>
                </c:pt>
                <c:pt idx="1483">
                  <c:v>2.6407419955781559E-2</c:v>
                </c:pt>
                <c:pt idx="1484">
                  <c:v>2.6398794787978599E-2</c:v>
                </c:pt>
                <c:pt idx="1485">
                  <c:v>2.6390235468571544E-2</c:v>
                </c:pt>
                <c:pt idx="1486">
                  <c:v>2.6381735820223302E-2</c:v>
                </c:pt>
                <c:pt idx="1487">
                  <c:v>2.6373289665707188E-2</c:v>
                </c:pt>
                <c:pt idx="1488">
                  <c:v>2.6364890827902946E-2</c:v>
                </c:pt>
                <c:pt idx="1489">
                  <c:v>2.6356533129797646E-2</c:v>
                </c:pt>
                <c:pt idx="1490">
                  <c:v>2.6348210394485667E-2</c:v>
                </c:pt>
                <c:pt idx="1491">
                  <c:v>2.6341411874701851E-2</c:v>
                </c:pt>
                <c:pt idx="1492">
                  <c:v>2.6333132138992695E-2</c:v>
                </c:pt>
                <c:pt idx="1493">
                  <c:v>2.6324867295811395E-2</c:v>
                </c:pt>
                <c:pt idx="1494">
                  <c:v>2.6311531117820856E-2</c:v>
                </c:pt>
                <c:pt idx="1495">
                  <c:v>2.6307268822254998E-2</c:v>
                </c:pt>
                <c:pt idx="1496">
                  <c:v>2.6300101675061131E-2</c:v>
                </c:pt>
                <c:pt idx="1497">
                  <c:v>2.6291835956124152E-2</c:v>
                </c:pt>
                <c:pt idx="1498">
                  <c:v>2.6283554907287225E-2</c:v>
                </c:pt>
                <c:pt idx="1499">
                  <c:v>2.6275252484369845E-2</c:v>
                </c:pt>
                <c:pt idx="1500">
                  <c:v>2.6266922643293483E-2</c:v>
                </c:pt>
                <c:pt idx="1501">
                  <c:v>2.6258559340082002E-2</c:v>
                </c:pt>
                <c:pt idx="1502">
                  <c:v>2.6250156530863409E-2</c:v>
                </c:pt>
                <c:pt idx="1503">
                  <c:v>2.6241708171872425E-2</c:v>
                </c:pt>
                <c:pt idx="1504">
                  <c:v>2.6233208298746216E-2</c:v>
                </c:pt>
                <c:pt idx="1505">
                  <c:v>2.6224653566977837E-2</c:v>
                </c:pt>
                <c:pt idx="1506">
                  <c:v>2.6216043789319018E-2</c:v>
                </c:pt>
                <c:pt idx="1507">
                  <c:v>2.6207378966490481E-2</c:v>
                </c:pt>
                <c:pt idx="1508">
                  <c:v>2.6198659099218129E-2</c:v>
                </c:pt>
                <c:pt idx="1509">
                  <c:v>2.6189884188232621E-2</c:v>
                </c:pt>
                <c:pt idx="1510">
                  <c:v>2.6181054234268936E-2</c:v>
                </c:pt>
                <c:pt idx="1511">
                  <c:v>2.6172169238066811E-2</c:v>
                </c:pt>
                <c:pt idx="1512">
                  <c:v>2.6163229200370296E-2</c:v>
                </c:pt>
                <c:pt idx="1513">
                  <c:v>2.6154234121928199E-2</c:v>
                </c:pt>
                <c:pt idx="1514">
                  <c:v>2.6145184003494942E-2</c:v>
                </c:pt>
                <c:pt idx="1515">
                  <c:v>2.6136078845827974E-2</c:v>
                </c:pt>
                <c:pt idx="1516">
                  <c:v>2.612691864969036E-2</c:v>
                </c:pt>
                <c:pt idx="1517">
                  <c:v>2.6116904478961821E-2</c:v>
                </c:pt>
                <c:pt idx="1518">
                  <c:v>2.6107648002777151E-2</c:v>
                </c:pt>
                <c:pt idx="1519">
                  <c:v>2.609833650145419E-2</c:v>
                </c:pt>
                <c:pt idx="1520">
                  <c:v>2.6088969975761551E-2</c:v>
                </c:pt>
                <c:pt idx="1521">
                  <c:v>2.6080292118955371E-2</c:v>
                </c:pt>
                <c:pt idx="1522">
                  <c:v>2.6070801708267567E-2</c:v>
                </c:pt>
                <c:pt idx="1523">
                  <c:v>2.6061494072417545E-2</c:v>
                </c:pt>
                <c:pt idx="1524">
                  <c:v>2.6051655788683122E-2</c:v>
                </c:pt>
                <c:pt idx="1525">
                  <c:v>2.6042000281390393E-2</c:v>
                </c:pt>
                <c:pt idx="1526">
                  <c:v>2.6031615353365074E-2</c:v>
                </c:pt>
                <c:pt idx="1527">
                  <c:v>2.6021863678945462E-2</c:v>
                </c:pt>
                <c:pt idx="1528">
                  <c:v>2.6012056986456623E-2</c:v>
                </c:pt>
                <c:pt idx="1529">
                  <c:v>2.6002195276708027E-2</c:v>
                </c:pt>
                <c:pt idx="1530">
                  <c:v>2.5992278554421173E-2</c:v>
                </c:pt>
                <c:pt idx="1531">
                  <c:v>2.5982916743946653E-2</c:v>
                </c:pt>
                <c:pt idx="1532">
                  <c:v>2.5972893354041331E-2</c:v>
                </c:pt>
                <c:pt idx="1533">
                  <c:v>2.5962835296149473E-2</c:v>
                </c:pt>
                <c:pt idx="1534">
                  <c:v>2.5947828420876257E-2</c:v>
                </c:pt>
                <c:pt idx="1535">
                  <c:v>2.5937716842766932E-2</c:v>
                </c:pt>
                <c:pt idx="1536">
                  <c:v>2.5927595075967719E-2</c:v>
                </c:pt>
                <c:pt idx="1537">
                  <c:v>2.5917471165833324E-2</c:v>
                </c:pt>
                <c:pt idx="1538">
                  <c:v>2.5907353157556393E-2</c:v>
                </c:pt>
                <c:pt idx="1539">
                  <c:v>2.5897249096168383E-2</c:v>
                </c:pt>
                <c:pt idx="1540">
                  <c:v>2.5887167026537358E-2</c:v>
                </c:pt>
                <c:pt idx="1541">
                  <c:v>2.5877114993370639E-2</c:v>
                </c:pt>
                <c:pt idx="1542">
                  <c:v>2.5867101041214351E-2</c:v>
                </c:pt>
                <c:pt idx="1543">
                  <c:v>2.5857598678540223E-2</c:v>
                </c:pt>
                <c:pt idx="1544">
                  <c:v>2.5847699406202282E-2</c:v>
                </c:pt>
                <c:pt idx="1545">
                  <c:v>2.583786335628642E-2</c:v>
                </c:pt>
                <c:pt idx="1546">
                  <c:v>2.5828098486378098E-2</c:v>
                </c:pt>
                <c:pt idx="1547">
                  <c:v>2.5818147923276035E-2</c:v>
                </c:pt>
                <c:pt idx="1548">
                  <c:v>2.5808540326530755E-2</c:v>
                </c:pt>
                <c:pt idx="1549">
                  <c:v>2.5796328004934369E-2</c:v>
                </c:pt>
                <c:pt idx="1550">
                  <c:v>2.5789617298805877E-2</c:v>
                </c:pt>
                <c:pt idx="1551">
                  <c:v>2.5780317867565076E-2</c:v>
                </c:pt>
                <c:pt idx="1552">
                  <c:v>2.5770149726858482E-2</c:v>
                </c:pt>
                <c:pt idx="1553">
                  <c:v>2.5761124692307052E-2</c:v>
                </c:pt>
                <c:pt idx="1554">
                  <c:v>2.5752235629974758E-2</c:v>
                </c:pt>
                <c:pt idx="1555">
                  <c:v>2.5743490496217176E-2</c:v>
                </c:pt>
                <c:pt idx="1556">
                  <c:v>2.5734541543221731E-2</c:v>
                </c:pt>
                <c:pt idx="1557">
                  <c:v>2.5726091525722024E-2</c:v>
                </c:pt>
                <c:pt idx="1558">
                  <c:v>2.5717795651850891E-2</c:v>
                </c:pt>
                <c:pt idx="1559">
                  <c:v>2.5709653919684623E-2</c:v>
                </c:pt>
                <c:pt idx="1560">
                  <c:v>2.5702461206134536E-2</c:v>
                </c:pt>
                <c:pt idx="1561">
                  <c:v>2.5694240257868307E-2</c:v>
                </c:pt>
                <c:pt idx="1562">
                  <c:v>2.5686571405410894E-2</c:v>
                </c:pt>
                <c:pt idx="1563">
                  <c:v>2.5679056698279551E-2</c:v>
                </c:pt>
                <c:pt idx="1564">
                  <c:v>2.5671696134721329E-2</c:v>
                </c:pt>
                <c:pt idx="1565">
                  <c:v>2.566448971301934E-2</c:v>
                </c:pt>
                <c:pt idx="1566">
                  <c:v>2.5657437431491893E-2</c:v>
                </c:pt>
                <c:pt idx="1567">
                  <c:v>2.5650539288495078E-2</c:v>
                </c:pt>
                <c:pt idx="1568">
                  <c:v>2.5643795282419318E-2</c:v>
                </c:pt>
                <c:pt idx="1569">
                  <c:v>2.5635734254656189E-2</c:v>
                </c:pt>
                <c:pt idx="1570">
                  <c:v>2.5629266862442816E-2</c:v>
                </c:pt>
                <c:pt idx="1571">
                  <c:v>2.562295356980453E-2</c:v>
                </c:pt>
                <c:pt idx="1572">
                  <c:v>2.5616794375294096E-2</c:v>
                </c:pt>
                <c:pt idx="1573">
                  <c:v>2.5611320897535834E-2</c:v>
                </c:pt>
                <c:pt idx="1574">
                  <c:v>2.560548048892064E-2</c:v>
                </c:pt>
                <c:pt idx="1575">
                  <c:v>2.5599794185189904E-2</c:v>
                </c:pt>
                <c:pt idx="1576">
                  <c:v>2.5594261985030831E-2</c:v>
                </c:pt>
                <c:pt idx="1577">
                  <c:v>2.5588883887166635E-2</c:v>
                </c:pt>
                <c:pt idx="1578">
                  <c:v>2.5583075192227606E-2</c:v>
                </c:pt>
                <c:pt idx="1579">
                  <c:v>2.5577994647013904E-2</c:v>
                </c:pt>
                <c:pt idx="1580">
                  <c:v>2.5573068189611883E-2</c:v>
                </c:pt>
                <c:pt idx="1581">
                  <c:v>2.5568295818890512E-2</c:v>
                </c:pt>
                <c:pt idx="1582">
                  <c:v>2.5564304313036745E-2</c:v>
                </c:pt>
                <c:pt idx="1583">
                  <c:v>2.5559839380285748E-2</c:v>
                </c:pt>
                <c:pt idx="1584">
                  <c:v>2.5555499382789858E-2</c:v>
                </c:pt>
                <c:pt idx="1585">
                  <c:v>2.5551265763954573E-2</c:v>
                </c:pt>
                <c:pt idx="1586">
                  <c:v>2.5545889038221831E-2</c:v>
                </c:pt>
                <c:pt idx="1587">
                  <c:v>2.554182247834625E-2</c:v>
                </c:pt>
                <c:pt idx="1588">
                  <c:v>2.5537806053572049E-2</c:v>
                </c:pt>
                <c:pt idx="1589">
                  <c:v>2.5533821106766365E-2</c:v>
                </c:pt>
                <c:pt idx="1590">
                  <c:v>2.5529848980948268E-2</c:v>
                </c:pt>
                <c:pt idx="1591">
                  <c:v>2.552587101928212E-2</c:v>
                </c:pt>
                <c:pt idx="1592">
                  <c:v>2.5521868565080683E-2</c:v>
                </c:pt>
                <c:pt idx="1593">
                  <c:v>2.5517822961805978E-2</c:v>
                </c:pt>
                <c:pt idx="1594">
                  <c:v>2.5513715553071963E-2</c:v>
                </c:pt>
                <c:pt idx="1595">
                  <c:v>2.5511214629463569E-2</c:v>
                </c:pt>
                <c:pt idx="1596">
                  <c:v>2.5506877508564625E-2</c:v>
                </c:pt>
                <c:pt idx="1597">
                  <c:v>2.550241915593798E-2</c:v>
                </c:pt>
                <c:pt idx="1598">
                  <c:v>2.5497821216234222E-2</c:v>
                </c:pt>
                <c:pt idx="1599">
                  <c:v>2.5492578522177744E-2</c:v>
                </c:pt>
                <c:pt idx="1600">
                  <c:v>2.5486950070072043E-2</c:v>
                </c:pt>
                <c:pt idx="1601">
                  <c:v>2.5481815533259709E-2</c:v>
                </c:pt>
                <c:pt idx="1602">
                  <c:v>2.5476465999096302E-2</c:v>
                </c:pt>
                <c:pt idx="1603">
                  <c:v>2.5470883014379584E-2</c:v>
                </c:pt>
                <c:pt idx="1604">
                  <c:v>2.54661610551816E-2</c:v>
                </c:pt>
                <c:pt idx="1605">
                  <c:v>2.5459985200081591E-2</c:v>
                </c:pt>
                <c:pt idx="1606">
                  <c:v>2.5453519838771609E-2</c:v>
                </c:pt>
                <c:pt idx="1607">
                  <c:v>2.5446746813260413E-2</c:v>
                </c:pt>
                <c:pt idx="1608">
                  <c:v>2.5438822428575477E-2</c:v>
                </c:pt>
                <c:pt idx="1609">
                  <c:v>2.5431469004983907E-2</c:v>
                </c:pt>
                <c:pt idx="1610">
                  <c:v>2.5423787240271927E-2</c:v>
                </c:pt>
                <c:pt idx="1611">
                  <c:v>2.5416388613919792E-2</c:v>
                </c:pt>
                <c:pt idx="1612">
                  <c:v>2.5407978053896735E-2</c:v>
                </c:pt>
                <c:pt idx="1613">
                  <c:v>2.5399239097120451E-2</c:v>
                </c:pt>
                <c:pt idx="1614">
                  <c:v>2.5390171747981399E-2</c:v>
                </c:pt>
                <c:pt idx="1615">
                  <c:v>2.5380776011036367E-2</c:v>
                </c:pt>
                <c:pt idx="1616">
                  <c:v>2.5370801712499818E-2</c:v>
                </c:pt>
                <c:pt idx="1617">
                  <c:v>2.5360999392776352E-2</c:v>
                </c:pt>
                <c:pt idx="1618">
                  <c:v>2.5350618521397937E-2</c:v>
                </c:pt>
                <c:pt idx="1619">
                  <c:v>2.5339909282087108E-2</c:v>
                </c:pt>
                <c:pt idx="1620">
                  <c:v>2.532891174733936E-2</c:v>
                </c:pt>
                <c:pt idx="1621">
                  <c:v>2.5317682109883163E-2</c:v>
                </c:pt>
                <c:pt idx="1622">
                  <c:v>2.5306109107918678E-2</c:v>
                </c:pt>
                <c:pt idx="1623">
                  <c:v>2.5294207871098765E-2</c:v>
                </c:pt>
                <c:pt idx="1624">
                  <c:v>2.5281978405242416E-2</c:v>
                </c:pt>
                <c:pt idx="1625">
                  <c:v>2.5269292926560567E-2</c:v>
                </c:pt>
                <c:pt idx="1626">
                  <c:v>2.5256382677351537E-2</c:v>
                </c:pt>
                <c:pt idx="1627">
                  <c:v>2.5243144195585772E-2</c:v>
                </c:pt>
                <c:pt idx="1628">
                  <c:v>2.5229577487772346E-2</c:v>
                </c:pt>
                <c:pt idx="1629">
                  <c:v>2.5215682560581092E-2</c:v>
                </c:pt>
                <c:pt idx="1630">
                  <c:v>2.5201709146424309E-2</c:v>
                </c:pt>
                <c:pt idx="1631">
                  <c:v>2.5187182253723833E-2</c:v>
                </c:pt>
                <c:pt idx="1632">
                  <c:v>2.5172327184314128E-2</c:v>
                </c:pt>
                <c:pt idx="1633">
                  <c:v>2.5157143945458767E-2</c:v>
                </c:pt>
                <c:pt idx="1634">
                  <c:v>2.5141285266950798E-2</c:v>
                </c:pt>
                <c:pt idx="1635">
                  <c:v>2.5125435164350274E-2</c:v>
                </c:pt>
                <c:pt idx="1636">
                  <c:v>2.5109299170279695E-2</c:v>
                </c:pt>
                <c:pt idx="1637">
                  <c:v>2.5092906885258896E-2</c:v>
                </c:pt>
                <c:pt idx="1638">
                  <c:v>2.5076695844267704E-2</c:v>
                </c:pt>
                <c:pt idx="1639">
                  <c:v>2.5059885722069165E-2</c:v>
                </c:pt>
                <c:pt idx="1640">
                  <c:v>2.5042904752656237E-2</c:v>
                </c:pt>
                <c:pt idx="1641">
                  <c:v>2.502578269442092E-2</c:v>
                </c:pt>
                <c:pt idx="1642">
                  <c:v>2.5008549304780071E-2</c:v>
                </c:pt>
                <c:pt idx="1643">
                  <c:v>2.4991234340152896E-2</c:v>
                </c:pt>
                <c:pt idx="1644">
                  <c:v>2.4973867555947701E-2</c:v>
                </c:pt>
                <c:pt idx="1645">
                  <c:v>2.4956478706554378E-2</c:v>
                </c:pt>
                <c:pt idx="1646">
                  <c:v>2.4939097545334687E-2</c:v>
                </c:pt>
                <c:pt idx="1647">
                  <c:v>2.492000508692575E-2</c:v>
                </c:pt>
                <c:pt idx="1648">
                  <c:v>2.490282192272928E-2</c:v>
                </c:pt>
                <c:pt idx="1649">
                  <c:v>2.4885744993833371E-2</c:v>
                </c:pt>
                <c:pt idx="1650">
                  <c:v>2.4868803259313583E-2</c:v>
                </c:pt>
                <c:pt idx="1651">
                  <c:v>2.4852811175036557E-2</c:v>
                </c:pt>
                <c:pt idx="1652">
                  <c:v>2.483615104311291E-2</c:v>
                </c:pt>
                <c:pt idx="1653">
                  <c:v>2.4819709336829244E-2</c:v>
                </c:pt>
                <c:pt idx="1654">
                  <c:v>2.4803515480425212E-2</c:v>
                </c:pt>
                <c:pt idx="1655">
                  <c:v>2.4787598897268167E-2</c:v>
                </c:pt>
                <c:pt idx="1656">
                  <c:v>2.4771613522345103E-2</c:v>
                </c:pt>
                <c:pt idx="1657">
                  <c:v>2.4756428923825888E-2</c:v>
                </c:pt>
                <c:pt idx="1658">
                  <c:v>2.4741611159513986E-2</c:v>
                </c:pt>
                <c:pt idx="1659">
                  <c:v>2.4727189180848489E-2</c:v>
                </c:pt>
                <c:pt idx="1660">
                  <c:v>2.4713204456229612E-2</c:v>
                </c:pt>
                <c:pt idx="1661">
                  <c:v>2.4699555446628378E-2</c:v>
                </c:pt>
                <c:pt idx="1662">
                  <c:v>2.4686347613561574E-2</c:v>
                </c:pt>
                <c:pt idx="1663">
                  <c:v>2.467358094825458E-2</c:v>
                </c:pt>
                <c:pt idx="1664">
                  <c:v>2.4661610133528231E-2</c:v>
                </c:pt>
                <c:pt idx="1665">
                  <c:v>2.4649817900135887E-2</c:v>
                </c:pt>
                <c:pt idx="1666">
                  <c:v>2.4638466899531919E-2</c:v>
                </c:pt>
                <c:pt idx="1667">
                  <c:v>2.4627557124052773E-2</c:v>
                </c:pt>
                <c:pt idx="1668">
                  <c:v>2.4617088566330578E-2</c:v>
                </c:pt>
                <c:pt idx="1669">
                  <c:v>2.4607061219297014E-2</c:v>
                </c:pt>
                <c:pt idx="1670">
                  <c:v>2.4597475076181582E-2</c:v>
                </c:pt>
                <c:pt idx="1671">
                  <c:v>2.458833013051161E-2</c:v>
                </c:pt>
                <c:pt idx="1672">
                  <c:v>2.4579626376111392E-2</c:v>
                </c:pt>
                <c:pt idx="1673">
                  <c:v>2.4569400355179759E-2</c:v>
                </c:pt>
                <c:pt idx="1674">
                  <c:v>2.4561424110366836E-2</c:v>
                </c:pt>
                <c:pt idx="1675">
                  <c:v>2.4553888891406216E-2</c:v>
                </c:pt>
                <c:pt idx="1676">
                  <c:v>2.4546794693346721E-2</c:v>
                </c:pt>
                <c:pt idx="1677">
                  <c:v>2.4540652274794107E-2</c:v>
                </c:pt>
                <c:pt idx="1678">
                  <c:v>2.453447118641627E-2</c:v>
                </c:pt>
                <c:pt idx="1679">
                  <c:v>2.4528731135542534E-2</c:v>
                </c:pt>
                <c:pt idx="1680">
                  <c:v>2.4523432118381646E-2</c:v>
                </c:pt>
                <c:pt idx="1681">
                  <c:v>2.451857413143179E-2</c:v>
                </c:pt>
                <c:pt idx="1682">
                  <c:v>2.4513490703157878E-2</c:v>
                </c:pt>
                <c:pt idx="1683">
                  <c:v>2.4509483537115358E-2</c:v>
                </c:pt>
                <c:pt idx="1684">
                  <c:v>2.4505917362795972E-2</c:v>
                </c:pt>
                <c:pt idx="1685">
                  <c:v>2.4502792177858175E-2</c:v>
                </c:pt>
                <c:pt idx="1686">
                  <c:v>2.4500899009957222E-2</c:v>
                </c:pt>
                <c:pt idx="1687">
                  <c:v>2.4498667768052138E-2</c:v>
                </c:pt>
                <c:pt idx="1688">
                  <c:v>2.4496818984786319E-2</c:v>
                </c:pt>
                <c:pt idx="1689">
                  <c:v>2.4495311670451433E-2</c:v>
                </c:pt>
                <c:pt idx="1690">
                  <c:v>2.4494104835651866E-2</c:v>
                </c:pt>
                <c:pt idx="1691">
                  <c:v>2.4492287403665124E-2</c:v>
                </c:pt>
                <c:pt idx="1692">
                  <c:v>2.4491557606181245E-2</c:v>
                </c:pt>
                <c:pt idx="1693">
                  <c:v>2.4491009741072826E-2</c:v>
                </c:pt>
                <c:pt idx="1694">
                  <c:v>2.449060259595344E-2</c:v>
                </c:pt>
                <c:pt idx="1695">
                  <c:v>2.4490294958503779E-2</c:v>
                </c:pt>
                <c:pt idx="1696">
                  <c:v>2.449004561645092E-2</c:v>
                </c:pt>
                <c:pt idx="1697">
                  <c:v>2.4489813357548865E-2</c:v>
                </c:pt>
                <c:pt idx="1698">
                  <c:v>2.4489556969574146E-2</c:v>
                </c:pt>
                <c:pt idx="1699">
                  <c:v>2.4493033565469023E-2</c:v>
                </c:pt>
                <c:pt idx="1700">
                  <c:v>2.4492462764887597E-2</c:v>
                </c:pt>
                <c:pt idx="1701">
                  <c:v>2.4491731325110466E-2</c:v>
                </c:pt>
                <c:pt idx="1702">
                  <c:v>2.4490799128455115E-2</c:v>
                </c:pt>
                <c:pt idx="1703">
                  <c:v>2.4487744778998469E-2</c:v>
                </c:pt>
                <c:pt idx="1704">
                  <c:v>2.4486403435891063E-2</c:v>
                </c:pt>
                <c:pt idx="1705">
                  <c:v>2.4484746027107294E-2</c:v>
                </c:pt>
                <c:pt idx="1706">
                  <c:v>2.4482731786285947E-2</c:v>
                </c:pt>
                <c:pt idx="1707">
                  <c:v>2.4480319947409134E-2</c:v>
                </c:pt>
                <c:pt idx="1708">
                  <c:v>2.4478743486657576E-2</c:v>
                </c:pt>
                <c:pt idx="1709">
                  <c:v>2.4475282714424059E-2</c:v>
                </c:pt>
                <c:pt idx="1710">
                  <c:v>2.447130025338011E-2</c:v>
                </c:pt>
                <c:pt idx="1711">
                  <c:v>2.4466755989334191E-2</c:v>
                </c:pt>
                <c:pt idx="1712">
                  <c:v>2.4460870540838606E-2</c:v>
                </c:pt>
                <c:pt idx="1713">
                  <c:v>2.4455236331233074E-2</c:v>
                </c:pt>
                <c:pt idx="1714">
                  <c:v>2.4448977416259891E-2</c:v>
                </c:pt>
                <c:pt idx="1715">
                  <c:v>2.4442093801808111E-2</c:v>
                </c:pt>
                <c:pt idx="1716">
                  <c:v>2.4434585494356051E-2</c:v>
                </c:pt>
                <c:pt idx="1717">
                  <c:v>2.4426515886339924E-2</c:v>
                </c:pt>
                <c:pt idx="1718">
                  <c:v>2.4417622560276825E-2</c:v>
                </c:pt>
                <c:pt idx="1719">
                  <c:v>2.440810444057195E-2</c:v>
                </c:pt>
                <c:pt idx="1720">
                  <c:v>2.4397961536328134E-2</c:v>
                </c:pt>
                <c:pt idx="1721">
                  <c:v>2.4387193857246862E-2</c:v>
                </c:pt>
                <c:pt idx="1722">
                  <c:v>2.4375801413626132E-2</c:v>
                </c:pt>
                <c:pt idx="1723">
                  <c:v>2.4363784216361744E-2</c:v>
                </c:pt>
                <c:pt idx="1724">
                  <c:v>2.4351142276946441E-2</c:v>
                </c:pt>
                <c:pt idx="1725">
                  <c:v>2.4339233931065057E-2</c:v>
                </c:pt>
                <c:pt idx="1726">
                  <c:v>2.4325524712397961E-2</c:v>
                </c:pt>
                <c:pt idx="1727">
                  <c:v>2.4311190951176054E-2</c:v>
                </c:pt>
                <c:pt idx="1728">
                  <c:v>2.4296232660811459E-2</c:v>
                </c:pt>
                <c:pt idx="1729">
                  <c:v>2.428064985530309E-2</c:v>
                </c:pt>
                <c:pt idx="1730">
                  <c:v>2.426388145124922E-2</c:v>
                </c:pt>
                <c:pt idx="1731">
                  <c:v>2.4247003925762314E-2</c:v>
                </c:pt>
                <c:pt idx="1732">
                  <c:v>2.4229501890847629E-2</c:v>
                </c:pt>
                <c:pt idx="1733">
                  <c:v>2.4211375362971119E-2</c:v>
                </c:pt>
                <c:pt idx="1734">
                  <c:v>2.4193368631441534E-2</c:v>
                </c:pt>
                <c:pt idx="1735">
                  <c:v>2.4174039061751619E-2</c:v>
                </c:pt>
                <c:pt idx="1736">
                  <c:v>2.4154085091265577E-2</c:v>
                </c:pt>
                <c:pt idx="1737">
                  <c:v>2.4133506738654633E-2</c:v>
                </c:pt>
                <c:pt idx="1738">
                  <c:v>2.4111376622860361E-2</c:v>
                </c:pt>
                <c:pt idx="1739">
                  <c:v>2.4089527882737886E-2</c:v>
                </c:pt>
                <c:pt idx="1740">
                  <c:v>2.4067128406284114E-2</c:v>
                </c:pt>
                <c:pt idx="1741">
                  <c:v>2.4044229749317029E-2</c:v>
                </c:pt>
                <c:pt idx="1742">
                  <c:v>2.4020883465684588E-2</c:v>
                </c:pt>
                <c:pt idx="1743">
                  <c:v>2.3998201045242525E-2</c:v>
                </c:pt>
                <c:pt idx="1744">
                  <c:v>2.3974121975627389E-2</c:v>
                </c:pt>
                <c:pt idx="1745">
                  <c:v>2.3949744363388665E-2</c:v>
                </c:pt>
                <c:pt idx="1746">
                  <c:v>2.3925120033334094E-2</c:v>
                </c:pt>
                <c:pt idx="1747">
                  <c:v>2.390030080782941E-2</c:v>
                </c:pt>
                <c:pt idx="1748">
                  <c:v>2.3875338506737308E-2</c:v>
                </c:pt>
                <c:pt idx="1749">
                  <c:v>2.3850284947376132E-2</c:v>
                </c:pt>
                <c:pt idx="1750">
                  <c:v>2.3825191944490468E-2</c:v>
                </c:pt>
                <c:pt idx="1751">
                  <c:v>2.3796204091699968E-2</c:v>
                </c:pt>
                <c:pt idx="1752">
                  <c:v>2.3771304479676122E-2</c:v>
                </c:pt>
                <c:pt idx="1753">
                  <c:v>2.3746533941762387E-2</c:v>
                </c:pt>
                <c:pt idx="1754">
                  <c:v>2.3721943180747825E-2</c:v>
                </c:pt>
                <c:pt idx="1755">
                  <c:v>2.3700100578067821E-2</c:v>
                </c:pt>
                <c:pt idx="1756">
                  <c:v>2.3675899364043546E-2</c:v>
                </c:pt>
                <c:pt idx="1757">
                  <c:v>2.3652023543347292E-2</c:v>
                </c:pt>
                <c:pt idx="1758">
                  <c:v>2.3628524630743969E-2</c:v>
                </c:pt>
                <c:pt idx="1759">
                  <c:v>2.3605454138765962E-2</c:v>
                </c:pt>
                <c:pt idx="1760">
                  <c:v>2.3578453868400611E-2</c:v>
                </c:pt>
                <c:pt idx="1761">
                  <c:v>2.3556572626443239E-2</c:v>
                </c:pt>
                <c:pt idx="1762">
                  <c:v>2.3535283197204913E-2</c:v>
                </c:pt>
                <c:pt idx="1763">
                  <c:v>2.3514636534586193E-2</c:v>
                </c:pt>
                <c:pt idx="1764">
                  <c:v>2.3494682922211695E-2</c:v>
                </c:pt>
                <c:pt idx="1765">
                  <c:v>2.347545054951275E-2</c:v>
                </c:pt>
                <c:pt idx="1766">
                  <c:v>2.3456940980486281E-2</c:v>
                </c:pt>
                <c:pt idx="1767">
                  <c:v>2.3439154194755518E-2</c:v>
                </c:pt>
                <c:pt idx="1768">
                  <c:v>2.3422090172741307E-2</c:v>
                </c:pt>
                <c:pt idx="1769">
                  <c:v>2.3405748895656945E-2</c:v>
                </c:pt>
                <c:pt idx="1770">
                  <c:v>2.3390130345515091E-2</c:v>
                </c:pt>
                <c:pt idx="1771">
                  <c:v>2.3375234505121283E-2</c:v>
                </c:pt>
                <c:pt idx="1772">
                  <c:v>2.3361061358079124E-2</c:v>
                </c:pt>
                <c:pt idx="1773">
                  <c:v>2.3347610888784665E-2</c:v>
                </c:pt>
                <c:pt idx="1774">
                  <c:v>2.3334883082432884E-2</c:v>
                </c:pt>
                <c:pt idx="1775">
                  <c:v>2.332287792501336E-2</c:v>
                </c:pt>
                <c:pt idx="1776">
                  <c:v>2.3311595403309432E-2</c:v>
                </c:pt>
                <c:pt idx="1777">
                  <c:v>2.3300074745348533E-2</c:v>
                </c:pt>
                <c:pt idx="1778">
                  <c:v>2.3290033588086404E-2</c:v>
                </c:pt>
                <c:pt idx="1779">
                  <c:v>2.3280714847434787E-2</c:v>
                </c:pt>
                <c:pt idx="1780">
                  <c:v>2.3272118513360158E-2</c:v>
                </c:pt>
                <c:pt idx="1781">
                  <c:v>2.3264681552330916E-2</c:v>
                </c:pt>
                <c:pt idx="1782">
                  <c:v>2.3257581146426801E-2</c:v>
                </c:pt>
                <c:pt idx="1783">
                  <c:v>2.3251203167740951E-2</c:v>
                </c:pt>
                <c:pt idx="1784">
                  <c:v>2.3247959043768845E-2</c:v>
                </c:pt>
                <c:pt idx="1785">
                  <c:v>2.3240614465180033E-2</c:v>
                </c:pt>
                <c:pt idx="1786">
                  <c:v>2.3235710583007416E-2</c:v>
                </c:pt>
                <c:pt idx="1787">
                  <c:v>2.3232170879303786E-2</c:v>
                </c:pt>
                <c:pt idx="1788">
                  <c:v>2.3229353529896316E-2</c:v>
                </c:pt>
                <c:pt idx="1789">
                  <c:v>2.3227258531749201E-2</c:v>
                </c:pt>
                <c:pt idx="1790">
                  <c:v>2.3226784675496912E-2</c:v>
                </c:pt>
                <c:pt idx="1791">
                  <c:v>2.3226174940117365E-2</c:v>
                </c:pt>
                <c:pt idx="1792">
                  <c:v>2.3226247260182905E-2</c:v>
                </c:pt>
                <c:pt idx="1793">
                  <c:v>2.3226970261931046E-2</c:v>
                </c:pt>
                <c:pt idx="1794">
                  <c:v>2.3225831281964086E-2</c:v>
                </c:pt>
                <c:pt idx="1795">
                  <c:v>2.3231242272645454E-2</c:v>
                </c:pt>
                <c:pt idx="1796">
                  <c:v>2.3233958006109938E-2</c:v>
                </c:pt>
                <c:pt idx="1797">
                  <c:v>2.3237185486322254E-2</c:v>
                </c:pt>
                <c:pt idx="1798">
                  <c:v>2.3240893341703664E-2</c:v>
                </c:pt>
                <c:pt idx="1799">
                  <c:v>2.3245050200806753E-2</c:v>
                </c:pt>
                <c:pt idx="1800">
                  <c:v>2.3249624692236362E-2</c:v>
                </c:pt>
                <c:pt idx="1801">
                  <c:v>2.3254585444589439E-2</c:v>
                </c:pt>
                <c:pt idx="1802">
                  <c:v>2.3259901086386061E-2</c:v>
                </c:pt>
                <c:pt idx="1803">
                  <c:v>2.3268039172573793E-2</c:v>
                </c:pt>
                <c:pt idx="1804">
                  <c:v>2.327398161134963E-2</c:v>
                </c:pt>
                <c:pt idx="1805">
                  <c:v>2.3280181008796762E-2</c:v>
                </c:pt>
                <c:pt idx="1806">
                  <c:v>2.3286606329619118E-2</c:v>
                </c:pt>
                <c:pt idx="1807">
                  <c:v>2.3291965760770229E-2</c:v>
                </c:pt>
                <c:pt idx="1808">
                  <c:v>2.3298750902568152E-2</c:v>
                </c:pt>
                <c:pt idx="1809">
                  <c:v>2.3305670086749389E-2</c:v>
                </c:pt>
                <c:pt idx="1810">
                  <c:v>2.3314712922841561E-2</c:v>
                </c:pt>
                <c:pt idx="1811">
                  <c:v>2.331978576452795E-2</c:v>
                </c:pt>
                <c:pt idx="1812">
                  <c:v>2.3328164625118365E-2</c:v>
                </c:pt>
                <c:pt idx="1813">
                  <c:v>2.3335302391061449E-2</c:v>
                </c:pt>
                <c:pt idx="1814">
                  <c:v>2.3342417784415967E-2</c:v>
                </c:pt>
                <c:pt idx="1815">
                  <c:v>2.3349479766246583E-2</c:v>
                </c:pt>
                <c:pt idx="1816">
                  <c:v>2.3355238240207913E-2</c:v>
                </c:pt>
                <c:pt idx="1817">
                  <c:v>2.3362130678262961E-2</c:v>
                </c:pt>
                <c:pt idx="1818">
                  <c:v>2.3368929801263965E-2</c:v>
                </c:pt>
                <c:pt idx="1819">
                  <c:v>2.3375635608256499E-2</c:v>
                </c:pt>
                <c:pt idx="1820">
                  <c:v>2.3384639595588577E-2</c:v>
                </c:pt>
                <c:pt idx="1821">
                  <c:v>2.3389957046770906E-2</c:v>
                </c:pt>
                <c:pt idx="1822">
                  <c:v>2.3396376649034593E-2</c:v>
                </c:pt>
                <c:pt idx="1823">
                  <c:v>2.3402702925613274E-2</c:v>
                </c:pt>
                <c:pt idx="1824">
                  <c:v>2.3408935875614184E-2</c:v>
                </c:pt>
                <c:pt idx="1825">
                  <c:v>2.3415075498154119E-2</c:v>
                </c:pt>
                <c:pt idx="1826">
                  <c:v>2.3421121792365943E-2</c:v>
                </c:pt>
                <c:pt idx="1827">
                  <c:v>2.3427074757394258E-2</c:v>
                </c:pt>
                <c:pt idx="1828">
                  <c:v>2.343293439239582E-2</c:v>
                </c:pt>
                <c:pt idx="1829">
                  <c:v>2.3436420943806359E-2</c:v>
                </c:pt>
                <c:pt idx="1830">
                  <c:v>2.34421065135361E-2</c:v>
                </c:pt>
                <c:pt idx="1831">
                  <c:v>2.3447698762812504E-2</c:v>
                </c:pt>
                <c:pt idx="1832">
                  <c:v>2.3453197690854209E-2</c:v>
                </c:pt>
                <c:pt idx="1833">
                  <c:v>2.3458603296890406E-2</c:v>
                </c:pt>
                <c:pt idx="1834">
                  <c:v>2.3465024181812073E-2</c:v>
                </c:pt>
                <c:pt idx="1835">
                  <c:v>2.3469134539939009E-2</c:v>
                </c:pt>
                <c:pt idx="1836">
                  <c:v>2.3474260175476117E-2</c:v>
                </c:pt>
                <c:pt idx="1837">
                  <c:v>2.3479292486062817E-2</c:v>
                </c:pt>
                <c:pt idx="1838">
                  <c:v>2.3484231470993742E-2</c:v>
                </c:pt>
                <c:pt idx="1839">
                  <c:v>2.3489077129578897E-2</c:v>
                </c:pt>
                <c:pt idx="1840">
                  <c:v>2.34938294611397E-2</c:v>
                </c:pt>
                <c:pt idx="1841">
                  <c:v>2.3498488465012506E-2</c:v>
                </c:pt>
                <c:pt idx="1842">
                  <c:v>2.3503053828024974E-2</c:v>
                </c:pt>
                <c:pt idx="1843">
                  <c:v>2.3507519987667966E-2</c:v>
                </c:pt>
                <c:pt idx="1844">
                  <c:v>2.351187702564541E-2</c:v>
                </c:pt>
                <c:pt idx="1845">
                  <c:v>2.3516114891747843E-2</c:v>
                </c:pt>
                <c:pt idx="1846">
                  <c:v>2.3519782034203914E-2</c:v>
                </c:pt>
                <c:pt idx="1847">
                  <c:v>2.3523743765504496E-2</c:v>
                </c:pt>
                <c:pt idx="1848">
                  <c:v>2.3527555874223796E-2</c:v>
                </c:pt>
                <c:pt idx="1849">
                  <c:v>2.3531208255069738E-2</c:v>
                </c:pt>
                <c:pt idx="1850">
                  <c:v>2.3534690802711825E-2</c:v>
                </c:pt>
                <c:pt idx="1851">
                  <c:v>2.3537993411791743E-2</c:v>
                </c:pt>
                <c:pt idx="1852">
                  <c:v>2.3541105976932177E-2</c:v>
                </c:pt>
                <c:pt idx="1853">
                  <c:v>2.3544018392743456E-2</c:v>
                </c:pt>
                <c:pt idx="1854">
                  <c:v>2.3546720553837674E-2</c:v>
                </c:pt>
                <c:pt idx="1855">
                  <c:v>2.3551785829876208E-2</c:v>
                </c:pt>
                <c:pt idx="1856">
                  <c:v>2.3553973053411108E-2</c:v>
                </c:pt>
                <c:pt idx="1857">
                  <c:v>2.3555917799429244E-2</c:v>
                </c:pt>
                <c:pt idx="1858">
                  <c:v>2.3557610125462029E-2</c:v>
                </c:pt>
                <c:pt idx="1859">
                  <c:v>2.3558270331633498E-2</c:v>
                </c:pt>
                <c:pt idx="1860">
                  <c:v>2.3559737776111998E-2</c:v>
                </c:pt>
                <c:pt idx="1861">
                  <c:v>2.3560554851196749E-2</c:v>
                </c:pt>
                <c:pt idx="1862">
                  <c:v>2.3561077241695257E-2</c:v>
                </c:pt>
                <c:pt idx="1863">
                  <c:v>2.35626229922179E-2</c:v>
                </c:pt>
                <c:pt idx="1864">
                  <c:v>2.3563113637138543E-2</c:v>
                </c:pt>
                <c:pt idx="1865">
                  <c:v>2.3562616415846015E-2</c:v>
                </c:pt>
                <c:pt idx="1866">
                  <c:v>2.356178414039101E-2</c:v>
                </c:pt>
                <c:pt idx="1867">
                  <c:v>2.3558919081361537E-2</c:v>
                </c:pt>
                <c:pt idx="1868">
                  <c:v>2.355746512604168E-2</c:v>
                </c:pt>
                <c:pt idx="1869">
                  <c:v>2.3555656515101539E-2</c:v>
                </c:pt>
                <c:pt idx="1870">
                  <c:v>2.3553493249509963E-2</c:v>
                </c:pt>
                <c:pt idx="1871">
                  <c:v>2.3552357626547102E-2</c:v>
                </c:pt>
                <c:pt idx="1872">
                  <c:v>2.3549408483864352E-2</c:v>
                </c:pt>
                <c:pt idx="1873">
                  <c:v>2.3546104621874769E-2</c:v>
                </c:pt>
                <c:pt idx="1874">
                  <c:v>2.3542446042373481E-2</c:v>
                </c:pt>
                <c:pt idx="1875">
                  <c:v>2.3538432747346853E-2</c:v>
                </c:pt>
                <c:pt idx="1876">
                  <c:v>2.3533065986265551E-2</c:v>
                </c:pt>
                <c:pt idx="1877">
                  <c:v>2.3529342019633456E-2</c:v>
                </c:pt>
                <c:pt idx="1878">
                  <c:v>2.3524264591884243E-2</c:v>
                </c:pt>
                <c:pt idx="1879">
                  <c:v>2.351883245848652E-2</c:v>
                </c:pt>
                <c:pt idx="1880">
                  <c:v>2.3512354935873475E-2</c:v>
                </c:pt>
                <c:pt idx="1881">
                  <c:v>2.3505869329014453E-2</c:v>
                </c:pt>
                <c:pt idx="1882">
                  <c:v>2.3499501838839545E-2</c:v>
                </c:pt>
                <c:pt idx="1883">
                  <c:v>2.3492779769072429E-2</c:v>
                </c:pt>
                <c:pt idx="1884">
                  <c:v>2.3485703123266505E-2</c:v>
                </c:pt>
                <c:pt idx="1885">
                  <c:v>2.3478380656942913E-2</c:v>
                </c:pt>
                <c:pt idx="1886">
                  <c:v>2.3470569038382558E-2</c:v>
                </c:pt>
                <c:pt idx="1887">
                  <c:v>2.3462402833082013E-2</c:v>
                </c:pt>
                <c:pt idx="1888">
                  <c:v>2.3453882045382419E-2</c:v>
                </c:pt>
                <c:pt idx="1889">
                  <c:v>2.3445006679813342E-2</c:v>
                </c:pt>
                <c:pt idx="1890">
                  <c:v>2.3435797374222942E-2</c:v>
                </c:pt>
                <c:pt idx="1891">
                  <c:v>2.3426238811382696E-2</c:v>
                </c:pt>
                <c:pt idx="1892">
                  <c:v>2.3416325707676836E-2</c:v>
                </c:pt>
                <c:pt idx="1893">
                  <c:v>2.3406058068345365E-2</c:v>
                </c:pt>
                <c:pt idx="1894">
                  <c:v>2.3395314456101646E-2</c:v>
                </c:pt>
                <c:pt idx="1895">
                  <c:v>2.3384340164212349E-2</c:v>
                </c:pt>
                <c:pt idx="1896">
                  <c:v>2.3373066191753458E-2</c:v>
                </c:pt>
                <c:pt idx="1897">
                  <c:v>2.3354815535683963E-2</c:v>
                </c:pt>
                <c:pt idx="1898">
                  <c:v>2.3348220301234016E-2</c:v>
                </c:pt>
                <c:pt idx="1899">
                  <c:v>2.3337930951331087E-2</c:v>
                </c:pt>
                <c:pt idx="1900">
                  <c:v>2.3325756442618986E-2</c:v>
                </c:pt>
                <c:pt idx="1901">
                  <c:v>2.3313426858891519E-2</c:v>
                </c:pt>
                <c:pt idx="1902">
                  <c:v>2.3300971903583528E-2</c:v>
                </c:pt>
                <c:pt idx="1903">
                  <c:v>2.3288421279421927E-2</c:v>
                </c:pt>
                <c:pt idx="1904">
                  <c:v>2.3275804688409337E-2</c:v>
                </c:pt>
                <c:pt idx="1905">
                  <c:v>2.3263151831812622E-2</c:v>
                </c:pt>
                <c:pt idx="1906">
                  <c:v>2.3250492410156247E-2</c:v>
                </c:pt>
                <c:pt idx="1907">
                  <c:v>2.3237212955075116E-2</c:v>
                </c:pt>
                <c:pt idx="1908">
                  <c:v>2.3224719016641176E-2</c:v>
                </c:pt>
                <c:pt idx="1909">
                  <c:v>2.321231653643575E-2</c:v>
                </c:pt>
                <c:pt idx="1910">
                  <c:v>2.3200034422658982E-2</c:v>
                </c:pt>
                <c:pt idx="1911">
                  <c:v>2.3188034649659715E-2</c:v>
                </c:pt>
                <c:pt idx="1912">
                  <c:v>2.3176007537915155E-2</c:v>
                </c:pt>
                <c:pt idx="1913">
                  <c:v>2.3164184088734566E-2</c:v>
                </c:pt>
                <c:pt idx="1914">
                  <c:v>2.3152593676046374E-2</c:v>
                </c:pt>
                <c:pt idx="1915">
                  <c:v>2.3141265673167041E-2</c:v>
                </c:pt>
                <c:pt idx="1916">
                  <c:v>2.3130488208076495E-2</c:v>
                </c:pt>
                <c:pt idx="1917">
                  <c:v>2.3119858032623921E-2</c:v>
                </c:pt>
                <c:pt idx="1918">
                  <c:v>2.3109579465986529E-2</c:v>
                </c:pt>
                <c:pt idx="1919">
                  <c:v>2.3099681411085236E-2</c:v>
                </c:pt>
                <c:pt idx="1920">
                  <c:v>2.3089586751130452E-2</c:v>
                </c:pt>
                <c:pt idx="1921">
                  <c:v>2.3080421740485399E-2</c:v>
                </c:pt>
                <c:pt idx="1922">
                  <c:v>2.3071670183590274E-2</c:v>
                </c:pt>
                <c:pt idx="1923">
                  <c:v>2.306419587589667E-2</c:v>
                </c:pt>
                <c:pt idx="1924">
                  <c:v>2.3056358306071702E-2</c:v>
                </c:pt>
                <c:pt idx="1925">
                  <c:v>2.3048934252918818E-2</c:v>
                </c:pt>
                <c:pt idx="1926">
                  <c:v>2.3041923711736405E-2</c:v>
                </c:pt>
                <c:pt idx="1927">
                  <c:v>2.3035326678083286E-2</c:v>
                </c:pt>
                <c:pt idx="1928">
                  <c:v>2.3027843083597819E-2</c:v>
                </c:pt>
                <c:pt idx="1929">
                  <c:v>2.302337311691572E-2</c:v>
                </c:pt>
                <c:pt idx="1930">
                  <c:v>2.3018016581830555E-2</c:v>
                </c:pt>
                <c:pt idx="1931">
                  <c:v>2.3013073539131956E-2</c:v>
                </c:pt>
                <c:pt idx="1932">
                  <c:v>2.3008543985691247E-2</c:v>
                </c:pt>
                <c:pt idx="1933">
                  <c:v>2.3002115847466933E-2</c:v>
                </c:pt>
                <c:pt idx="1934">
                  <c:v>2.2998296097890954E-2</c:v>
                </c:pt>
                <c:pt idx="1935">
                  <c:v>2.2994889725104915E-2</c:v>
                </c:pt>
                <c:pt idx="1936">
                  <c:v>2.2991896726996659E-2</c:v>
                </c:pt>
                <c:pt idx="1937">
                  <c:v>2.2990008184865136E-2</c:v>
                </c:pt>
                <c:pt idx="1938">
                  <c:v>2.2987871321468963E-2</c:v>
                </c:pt>
                <c:pt idx="1939">
                  <c:v>2.2989175879709223E-2</c:v>
                </c:pt>
                <c:pt idx="1940">
                  <c:v>2.2984837781832645E-2</c:v>
                </c:pt>
                <c:pt idx="1941">
                  <c:v>2.2983941103701992E-2</c:v>
                </c:pt>
                <c:pt idx="1942">
                  <c:v>2.2982619520652423E-2</c:v>
                </c:pt>
                <c:pt idx="1943">
                  <c:v>2.2982520107702024E-2</c:v>
                </c:pt>
                <c:pt idx="1944">
                  <c:v>2.298283406176433E-2</c:v>
                </c:pt>
                <c:pt idx="1945">
                  <c:v>2.2983561383033039E-2</c:v>
                </c:pt>
                <c:pt idx="1946">
                  <c:v>2.2985658105529702E-2</c:v>
                </c:pt>
                <c:pt idx="1947">
                  <c:v>2.2987231697856745E-2</c:v>
                </c:pt>
                <c:pt idx="1948">
                  <c:v>2.2989192926280998E-2</c:v>
                </c:pt>
                <c:pt idx="1949">
                  <c:v>2.2991525399477443E-2</c:v>
                </c:pt>
                <c:pt idx="1950">
                  <c:v>2.2993159940706557E-2</c:v>
                </c:pt>
                <c:pt idx="1951">
                  <c:v>2.2996166621529993E-2</c:v>
                </c:pt>
                <c:pt idx="1952">
                  <c:v>2.2999497205986572E-2</c:v>
                </c:pt>
                <c:pt idx="1953">
                  <c:v>2.3003135214099357E-2</c:v>
                </c:pt>
                <c:pt idx="1954">
                  <c:v>2.3007064165917749E-2</c:v>
                </c:pt>
                <c:pt idx="1955">
                  <c:v>2.3011267581493799E-2</c:v>
                </c:pt>
                <c:pt idx="1956">
                  <c:v>2.3015728980858904E-2</c:v>
                </c:pt>
                <c:pt idx="1957">
                  <c:v>2.3020431884001425E-2</c:v>
                </c:pt>
                <c:pt idx="1958">
                  <c:v>2.3025359810846475E-2</c:v>
                </c:pt>
                <c:pt idx="1959">
                  <c:v>2.3035163237116719E-2</c:v>
                </c:pt>
                <c:pt idx="1960">
                  <c:v>2.3040514648080542E-2</c:v>
                </c:pt>
                <c:pt idx="1961">
                  <c:v>2.3046037584705137E-2</c:v>
                </c:pt>
                <c:pt idx="1962">
                  <c:v>2.3051715916815461E-2</c:v>
                </c:pt>
                <c:pt idx="1963">
                  <c:v>2.3053981741403457E-2</c:v>
                </c:pt>
                <c:pt idx="1964">
                  <c:v>2.3059915957633997E-2</c:v>
                </c:pt>
                <c:pt idx="1965">
                  <c:v>2.3065959158970063E-2</c:v>
                </c:pt>
                <c:pt idx="1966">
                  <c:v>2.3072094953269374E-2</c:v>
                </c:pt>
                <c:pt idx="1967">
                  <c:v>2.3078306948201812E-2</c:v>
                </c:pt>
                <c:pt idx="1968">
                  <c:v>2.3088145904861451E-2</c:v>
                </c:pt>
                <c:pt idx="1969">
                  <c:v>2.3094460346715574E-2</c:v>
                </c:pt>
                <c:pt idx="1970">
                  <c:v>2.3100801136493543E-2</c:v>
                </c:pt>
                <c:pt idx="1971">
                  <c:v>2.3107152142368297E-2</c:v>
                </c:pt>
                <c:pt idx="1972">
                  <c:v>2.3109936402016359E-2</c:v>
                </c:pt>
                <c:pt idx="1973">
                  <c:v>2.3116269101288868E-2</c:v>
                </c:pt>
                <c:pt idx="1974">
                  <c:v>2.3122586668628518E-2</c:v>
                </c:pt>
                <c:pt idx="1975">
                  <c:v>2.312888910389246E-2</c:v>
                </c:pt>
                <c:pt idx="1976">
                  <c:v>2.3135176406935246E-2</c:v>
                </c:pt>
                <c:pt idx="1977">
                  <c:v>2.3144999441531786E-2</c:v>
                </c:pt>
                <c:pt idx="1978">
                  <c:v>2.3151254436281899E-2</c:v>
                </c:pt>
                <c:pt idx="1979">
                  <c:v>2.3157494295771224E-2</c:v>
                </c:pt>
                <c:pt idx="1980">
                  <c:v>2.3163719019854073E-2</c:v>
                </c:pt>
                <c:pt idx="1981">
                  <c:v>2.3169928608386042E-2</c:v>
                </c:pt>
                <c:pt idx="1982">
                  <c:v>2.3176123061223596E-2</c:v>
                </c:pt>
                <c:pt idx="1983">
                  <c:v>2.3182302378222761E-2</c:v>
                </c:pt>
                <c:pt idx="1984">
                  <c:v>2.3188466559239562E-2</c:v>
                </c:pt>
                <c:pt idx="1985">
                  <c:v>2.3188724787381029E-2</c:v>
                </c:pt>
                <c:pt idx="1986">
                  <c:v>2.3194862136137528E-2</c:v>
                </c:pt>
                <c:pt idx="1987">
                  <c:v>2.3200984352865803E-2</c:v>
                </c:pt>
                <c:pt idx="1988">
                  <c:v>2.3207091437428058E-2</c:v>
                </c:pt>
                <c:pt idx="1989">
                  <c:v>2.3213183389686507E-2</c:v>
                </c:pt>
                <c:pt idx="1990">
                  <c:v>2.3220434956112774E-2</c:v>
                </c:pt>
                <c:pt idx="1991">
                  <c:v>2.3226495951135569E-2</c:v>
                </c:pt>
                <c:pt idx="1992">
                  <c:v>2.3232541812562891E-2</c:v>
                </c:pt>
                <c:pt idx="1993">
                  <c:v>2.3238572540257262E-2</c:v>
                </c:pt>
                <c:pt idx="1994">
                  <c:v>2.3243416161615307E-2</c:v>
                </c:pt>
                <c:pt idx="1995">
                  <c:v>2.3249417317172769E-2</c:v>
                </c:pt>
                <c:pt idx="1996">
                  <c:v>2.3255403339470283E-2</c:v>
                </c:pt>
                <c:pt idx="1997">
                  <c:v>2.3261374228373148E-2</c:v>
                </c:pt>
                <c:pt idx="1998">
                  <c:v>2.3268499167958055E-2</c:v>
                </c:pt>
                <c:pt idx="1999">
                  <c:v>2.327443909039285E-2</c:v>
                </c:pt>
                <c:pt idx="2000">
                  <c:v>2.3280363878143813E-2</c:v>
                </c:pt>
                <c:pt idx="2001">
                  <c:v>2.3286273531075659E-2</c:v>
                </c:pt>
                <c:pt idx="2002">
                  <c:v>2.3292168049054877E-2</c:v>
                </c:pt>
                <c:pt idx="2003">
                  <c:v>2.3296881752970188E-2</c:v>
                </c:pt>
                <c:pt idx="2004">
                  <c:v>2.3302746704352641E-2</c:v>
                </c:pt>
                <c:pt idx="2005">
                  <c:v>2.3308596521270802E-2</c:v>
                </c:pt>
                <c:pt idx="2006">
                  <c:v>2.3314431203593507E-2</c:v>
                </c:pt>
                <c:pt idx="2007">
                  <c:v>2.3320250751188269E-2</c:v>
                </c:pt>
                <c:pt idx="2008">
                  <c:v>2.3326055163923474E-2</c:v>
                </c:pt>
                <c:pt idx="2009">
                  <c:v>2.3331844441668845E-2</c:v>
                </c:pt>
                <c:pt idx="2010">
                  <c:v>2.3337618584292771E-2</c:v>
                </c:pt>
                <c:pt idx="2011">
                  <c:v>2.334917753128082E-2</c:v>
                </c:pt>
                <c:pt idx="2012">
                  <c:v>2.3354917848019324E-2</c:v>
                </c:pt>
                <c:pt idx="2013">
                  <c:v>2.3360643024771359E-2</c:v>
                </c:pt>
                <c:pt idx="2014">
                  <c:v>2.3366353061402841E-2</c:v>
                </c:pt>
                <c:pt idx="2015">
                  <c:v>2.3368576598656259E-2</c:v>
                </c:pt>
                <c:pt idx="2016">
                  <c:v>2.3374258498869975E-2</c:v>
                </c:pt>
                <c:pt idx="2017">
                  <c:v>2.3379925261261765E-2</c:v>
                </c:pt>
                <c:pt idx="2018">
                  <c:v>2.3385576885701462E-2</c:v>
                </c:pt>
                <c:pt idx="2019">
                  <c:v>2.3391213372061077E-2</c:v>
                </c:pt>
                <c:pt idx="2020">
                  <c:v>2.3400295331278444E-2</c:v>
                </c:pt>
                <c:pt idx="2021">
                  <c:v>2.3405899383379954E-2</c:v>
                </c:pt>
                <c:pt idx="2022">
                  <c:v>2.3411488294310997E-2</c:v>
                </c:pt>
                <c:pt idx="2023">
                  <c:v>2.3417062063942212E-2</c:v>
                </c:pt>
                <c:pt idx="2024">
                  <c:v>2.3419168728161469E-2</c:v>
                </c:pt>
                <c:pt idx="2025">
                  <c:v>2.3424714383348557E-2</c:v>
                </c:pt>
                <c:pt idx="2026">
                  <c:v>2.3430244899561418E-2</c:v>
                </c:pt>
                <c:pt idx="2027">
                  <c:v>2.3435760276674253E-2</c:v>
                </c:pt>
                <c:pt idx="2028">
                  <c:v>2.344126051456082E-2</c:v>
                </c:pt>
                <c:pt idx="2029">
                  <c:v>2.3450186707216981E-2</c:v>
                </c:pt>
                <c:pt idx="2030">
                  <c:v>2.3455654484147988E-2</c:v>
                </c:pt>
                <c:pt idx="2031">
                  <c:v>2.3461107118754185E-2</c:v>
                </c:pt>
                <c:pt idx="2032">
                  <c:v>2.3466544610909214E-2</c:v>
                </c:pt>
                <c:pt idx="2033">
                  <c:v>2.3471966960486732E-2</c:v>
                </c:pt>
                <c:pt idx="2034">
                  <c:v>2.3477374167360811E-2</c:v>
                </c:pt>
                <c:pt idx="2035">
                  <c:v>2.3482766231405966E-2</c:v>
                </c:pt>
                <c:pt idx="2036">
                  <c:v>2.3488143152497993E-2</c:v>
                </c:pt>
                <c:pt idx="2037">
                  <c:v>2.3487798891102907E-2</c:v>
                </c:pt>
                <c:pt idx="2038">
                  <c:v>2.3493149198651954E-2</c:v>
                </c:pt>
                <c:pt idx="2039">
                  <c:v>2.3498484367436942E-2</c:v>
                </c:pt>
                <c:pt idx="2040">
                  <c:v>2.3503804397338637E-2</c:v>
                </c:pt>
                <c:pt idx="2041">
                  <c:v>2.3509109288235588E-2</c:v>
                </c:pt>
                <c:pt idx="2042">
                  <c:v>2.3515536609014936E-2</c:v>
                </c:pt>
                <c:pt idx="2043">
                  <c:v>2.3520810482643296E-2</c:v>
                </c:pt>
                <c:pt idx="2044">
                  <c:v>2.3526069215993612E-2</c:v>
                </c:pt>
                <c:pt idx="2045">
                  <c:v>2.3531312808946419E-2</c:v>
                </c:pt>
                <c:pt idx="2046">
                  <c:v>2.3535406653480542E-2</c:v>
                </c:pt>
                <c:pt idx="2047">
                  <c:v>2.3540620707849801E-2</c:v>
                </c:pt>
                <c:pt idx="2048">
                  <c:v>2.3545819622384036E-2</c:v>
                </c:pt>
                <c:pt idx="2049">
                  <c:v>2.3551003396964452E-2</c:v>
                </c:pt>
                <c:pt idx="2050">
                  <c:v>2.3557303663594254E-2</c:v>
                </c:pt>
                <c:pt idx="2051">
                  <c:v>2.3562456411674339E-2</c:v>
                </c:pt>
                <c:pt idx="2052">
                  <c:v>2.3567594018529887E-2</c:v>
                </c:pt>
                <c:pt idx="2053">
                  <c:v>2.3572716484045825E-2</c:v>
                </c:pt>
                <c:pt idx="2054">
                  <c:v>2.3578552189783372E-2</c:v>
                </c:pt>
                <c:pt idx="2055">
                  <c:v>2.3582514424705169E-2</c:v>
                </c:pt>
                <c:pt idx="2056">
                  <c:v>2.358759005338186E-2</c:v>
                </c:pt>
                <c:pt idx="2057">
                  <c:v>2.3592650541162281E-2</c:v>
                </c:pt>
                <c:pt idx="2058">
                  <c:v>2.3597695887932486E-2</c:v>
                </c:pt>
                <c:pt idx="2059">
                  <c:v>2.3602726093578535E-2</c:v>
                </c:pt>
                <c:pt idx="2060">
                  <c:v>2.3607741157986046E-2</c:v>
                </c:pt>
                <c:pt idx="2061">
                  <c:v>2.3612741081042402E-2</c:v>
                </c:pt>
                <c:pt idx="2062">
                  <c:v>2.3617725862634983E-2</c:v>
                </c:pt>
                <c:pt idx="2063">
                  <c:v>2.3627182362494861E-2</c:v>
                </c:pt>
                <c:pt idx="2064">
                  <c:v>2.363213382657469E-2</c:v>
                </c:pt>
                <c:pt idx="2065">
                  <c:v>2.3637070145138977E-2</c:v>
                </c:pt>
                <c:pt idx="2066">
                  <c:v>2.3643677651549854E-2</c:v>
                </c:pt>
                <c:pt idx="2067">
                  <c:v>2.3643541356231743E-2</c:v>
                </c:pt>
                <c:pt idx="2068">
                  <c:v>2.3651788226591811E-2</c:v>
                </c:pt>
                <c:pt idx="2069">
                  <c:v>2.3656663961952779E-2</c:v>
                </c:pt>
                <c:pt idx="2070">
                  <c:v>2.3661524551230873E-2</c:v>
                </c:pt>
                <c:pt idx="2071">
                  <c:v>2.3666369994313749E-2</c:v>
                </c:pt>
                <c:pt idx="2072">
                  <c:v>2.367120029108993E-2</c:v>
                </c:pt>
                <c:pt idx="2073">
                  <c:v>2.3676015441447072E-2</c:v>
                </c:pt>
                <c:pt idx="2074">
                  <c:v>2.3680815445274995E-2</c:v>
                </c:pt>
                <c:pt idx="2075">
                  <c:v>2.368560030246222E-2</c:v>
                </c:pt>
                <c:pt idx="2076">
                  <c:v>2.3690370012898563E-2</c:v>
                </c:pt>
                <c:pt idx="2077">
                  <c:v>2.3695124576474276E-2</c:v>
                </c:pt>
                <c:pt idx="2078">
                  <c:v>2.369986399307961E-2</c:v>
                </c:pt>
                <c:pt idx="2079">
                  <c:v>2.3704588262604381E-2</c:v>
                </c:pt>
                <c:pt idx="2080">
                  <c:v>2.3709297384940133E-2</c:v>
                </c:pt>
                <c:pt idx="2081">
                  <c:v>2.3713991359977985E-2</c:v>
                </c:pt>
                <c:pt idx="2082">
                  <c:v>2.3718670187609911E-2</c:v>
                </c:pt>
                <c:pt idx="2083">
                  <c:v>2.3723333867727892E-2</c:v>
                </c:pt>
                <c:pt idx="2084">
                  <c:v>2.372798240022304E-2</c:v>
                </c:pt>
                <c:pt idx="2085">
                  <c:v>2.3732615784989929E-2</c:v>
                </c:pt>
                <c:pt idx="2086">
                  <c:v>2.3737234021921398E-2</c:v>
                </c:pt>
                <c:pt idx="2087">
                  <c:v>2.3741837110908565E-2</c:v>
                </c:pt>
                <c:pt idx="2088">
                  <c:v>2.3746425051847726E-2</c:v>
                </c:pt>
                <c:pt idx="2089">
                  <c:v>2.374659108898998E-2</c:v>
                </c:pt>
                <c:pt idx="2090">
                  <c:v>2.3751151865133026E-2</c:v>
                </c:pt>
                <c:pt idx="2091">
                  <c:v>2.3755697496685959E-2</c:v>
                </c:pt>
                <c:pt idx="2092">
                  <c:v>2.3760227983547204E-2</c:v>
                </c:pt>
                <c:pt idx="2093">
                  <c:v>2.3765841918051551E-2</c:v>
                </c:pt>
                <c:pt idx="2094">
                  <c:v>2.3770341328709234E-2</c:v>
                </c:pt>
                <c:pt idx="2095">
                  <c:v>2.3779213392867145E-2</c:v>
                </c:pt>
                <c:pt idx="2096">
                  <c:v>2.3779294712091177E-2</c:v>
                </c:pt>
                <c:pt idx="2097">
                  <c:v>2.3783748684611212E-2</c:v>
                </c:pt>
                <c:pt idx="2098">
                  <c:v>2.3787092860462523E-2</c:v>
                </c:pt>
                <c:pt idx="2099">
                  <c:v>2.3791517331630308E-2</c:v>
                </c:pt>
                <c:pt idx="2100">
                  <c:v>2.3795926657296441E-2</c:v>
                </c:pt>
                <c:pt idx="2101">
                  <c:v>2.3800320837360677E-2</c:v>
                </c:pt>
                <c:pt idx="2102">
                  <c:v>2.3805791351468718E-2</c:v>
                </c:pt>
                <c:pt idx="2103">
                  <c:v>2.3810154444991235E-2</c:v>
                </c:pt>
                <c:pt idx="2104">
                  <c:v>2.3814502391664705E-2</c:v>
                </c:pt>
                <c:pt idx="2105">
                  <c:v>2.3818835191391181E-2</c:v>
                </c:pt>
                <c:pt idx="2106">
                  <c:v>2.38217346887005E-2</c:v>
                </c:pt>
                <c:pt idx="2107">
                  <c:v>2.3829294643648892E-2</c:v>
                </c:pt>
                <c:pt idx="2108">
                  <c:v>2.3833575510240214E-2</c:v>
                </c:pt>
                <c:pt idx="2109">
                  <c:v>2.3837841229450599E-2</c:v>
                </c:pt>
                <c:pt idx="2110">
                  <c:v>2.3842091801184309E-2</c:v>
                </c:pt>
                <c:pt idx="2111">
                  <c:v>2.3846327225344712E-2</c:v>
                </c:pt>
                <c:pt idx="2112">
                  <c:v>2.3850547501834306E-2</c:v>
                </c:pt>
                <c:pt idx="2113">
                  <c:v>2.3854752630558661E-2</c:v>
                </c:pt>
                <c:pt idx="2114">
                  <c:v>2.3858942611421588E-2</c:v>
                </c:pt>
                <c:pt idx="2115">
                  <c:v>2.3865278802750228E-2</c:v>
                </c:pt>
                <c:pt idx="2116">
                  <c:v>2.3869436871544289E-2</c:v>
                </c:pt>
                <c:pt idx="2117">
                  <c:v>2.3873579790276715E-2</c:v>
                </c:pt>
                <c:pt idx="2118">
                  <c:v>2.3877707558853222E-2</c:v>
                </c:pt>
                <c:pt idx="2119">
                  <c:v>2.3880742750993191E-2</c:v>
                </c:pt>
                <c:pt idx="2120">
                  <c:v>2.3884841030897486E-2</c:v>
                </c:pt>
                <c:pt idx="2121">
                  <c:v>2.3890087987443669E-2</c:v>
                </c:pt>
                <c:pt idx="2122">
                  <c:v>2.3892992142172394E-2</c:v>
                </c:pt>
                <c:pt idx="2123">
                  <c:v>2.3897044973357363E-2</c:v>
                </c:pt>
                <c:pt idx="2124">
                  <c:v>2.3902156011744533E-2</c:v>
                </c:pt>
                <c:pt idx="2125">
                  <c:v>2.3906177726592634E-2</c:v>
                </c:pt>
                <c:pt idx="2126">
                  <c:v>2.3910184290535423E-2</c:v>
                </c:pt>
                <c:pt idx="2127">
                  <c:v>2.3914175703480801E-2</c:v>
                </c:pt>
                <c:pt idx="2128">
                  <c:v>2.3917081881068086E-2</c:v>
                </c:pt>
                <c:pt idx="2129">
                  <c:v>2.3921043812326782E-2</c:v>
                </c:pt>
                <c:pt idx="2130">
                  <c:v>2.3924990593278239E-2</c:v>
                </c:pt>
                <c:pt idx="2131">
                  <c:v>2.3928922223834224E-2</c:v>
                </c:pt>
                <c:pt idx="2132">
                  <c:v>2.3934972264347536E-2</c:v>
                </c:pt>
                <c:pt idx="2133">
                  <c:v>2.3937806005118408E-2</c:v>
                </c:pt>
                <c:pt idx="2134">
                  <c:v>2.3941691358540011E-2</c:v>
                </c:pt>
                <c:pt idx="2135">
                  <c:v>2.3945561560242173E-2</c:v>
                </c:pt>
                <c:pt idx="2136">
                  <c:v>2.3949416610135395E-2</c:v>
                </c:pt>
                <c:pt idx="2137">
                  <c:v>2.395325650813062E-2</c:v>
                </c:pt>
                <c:pt idx="2138">
                  <c:v>2.3957081254140093E-2</c:v>
                </c:pt>
                <c:pt idx="2139">
                  <c:v>2.3960890848076923E-2</c:v>
                </c:pt>
                <c:pt idx="2140">
                  <c:v>2.3964685289852055E-2</c:v>
                </c:pt>
                <c:pt idx="2141">
                  <c:v>2.3966345863656351E-2</c:v>
                </c:pt>
                <c:pt idx="2142">
                  <c:v>2.3970111667029659E-2</c:v>
                </c:pt>
                <c:pt idx="2143">
                  <c:v>2.3973862319921664E-2</c:v>
                </c:pt>
                <c:pt idx="2144">
                  <c:v>2.3977597822248467E-2</c:v>
                </c:pt>
                <c:pt idx="2145">
                  <c:v>2.3982374210321043E-2</c:v>
                </c:pt>
                <c:pt idx="2146">
                  <c:v>2.3986078574348372E-2</c:v>
                </c:pt>
                <c:pt idx="2147">
                  <c:v>2.3989767786583745E-2</c:v>
                </c:pt>
                <c:pt idx="2148">
                  <c:v>2.3993441846942864E-2</c:v>
                </c:pt>
                <c:pt idx="2149">
                  <c:v>2.3997100755343607E-2</c:v>
                </c:pt>
                <c:pt idx="2150">
                  <c:v>2.3999692669587007E-2</c:v>
                </c:pt>
                <c:pt idx="2151">
                  <c:v>2.4003322115593601E-2</c:v>
                </c:pt>
                <c:pt idx="2152">
                  <c:v>2.4006936410364763E-2</c:v>
                </c:pt>
                <c:pt idx="2153">
                  <c:v>2.4010535553818803E-2</c:v>
                </c:pt>
                <c:pt idx="2154">
                  <c:v>2.4015168015036312E-2</c:v>
                </c:pt>
                <c:pt idx="2155">
                  <c:v>2.4018736009935628E-2</c:v>
                </c:pt>
                <c:pt idx="2156">
                  <c:v>2.4022288852297794E-2</c:v>
                </c:pt>
                <c:pt idx="2157">
                  <c:v>2.4025826542042002E-2</c:v>
                </c:pt>
                <c:pt idx="2158">
                  <c:v>2.4028806102406697E-2</c:v>
                </c:pt>
                <c:pt idx="2159">
                  <c:v>2.4032312171703124E-2</c:v>
                </c:pt>
                <c:pt idx="2160">
                  <c:v>2.4035803089105308E-2</c:v>
                </c:pt>
                <c:pt idx="2161">
                  <c:v>2.4039278854534187E-2</c:v>
                </c:pt>
                <c:pt idx="2162">
                  <c:v>2.4042739467912026E-2</c:v>
                </c:pt>
                <c:pt idx="2163">
                  <c:v>2.4046184929158883E-2</c:v>
                </c:pt>
                <c:pt idx="2164">
                  <c:v>2.4049615238197024E-2</c:v>
                </c:pt>
                <c:pt idx="2165">
                  <c:v>2.4053030394949146E-2</c:v>
                </c:pt>
                <c:pt idx="2166">
                  <c:v>2.4056430399336626E-2</c:v>
                </c:pt>
                <c:pt idx="2167">
                  <c:v>2.4061889768288474E-2</c:v>
                </c:pt>
                <c:pt idx="2168">
                  <c:v>2.4065257750526793E-2</c:v>
                </c:pt>
                <c:pt idx="2169">
                  <c:v>2.40686105782075E-2</c:v>
                </c:pt>
                <c:pt idx="2170">
                  <c:v>2.4071948251254575E-2</c:v>
                </c:pt>
                <c:pt idx="2171">
                  <c:v>2.4074236969696777E-2</c:v>
                </c:pt>
                <c:pt idx="2172">
                  <c:v>2.4078487619935123E-2</c:v>
                </c:pt>
                <c:pt idx="2173">
                  <c:v>2.4081776362494717E-2</c:v>
                </c:pt>
                <c:pt idx="2174">
                  <c:v>2.408504995107744E-2</c:v>
                </c:pt>
                <c:pt idx="2175">
                  <c:v>2.4088308385609034E-2</c:v>
                </c:pt>
                <c:pt idx="2176">
                  <c:v>2.4094639242052504E-2</c:v>
                </c:pt>
                <c:pt idx="2177">
                  <c:v>2.4097864764525277E-2</c:v>
                </c:pt>
                <c:pt idx="2178">
                  <c:v>2.4101075129769028E-2</c:v>
                </c:pt>
                <c:pt idx="2179">
                  <c:v>2.410427033770984E-2</c:v>
                </c:pt>
                <c:pt idx="2180">
                  <c:v>2.4104373244900182E-2</c:v>
                </c:pt>
                <c:pt idx="2181">
                  <c:v>2.4107540753571272E-2</c:v>
                </c:pt>
                <c:pt idx="2182">
                  <c:v>2.4110693107677984E-2</c:v>
                </c:pt>
                <c:pt idx="2183">
                  <c:v>2.4116899594960148E-2</c:v>
                </c:pt>
                <c:pt idx="2184">
                  <c:v>2.41200190152779E-2</c:v>
                </c:pt>
                <c:pt idx="2185">
                  <c:v>2.4123123277852637E-2</c:v>
                </c:pt>
                <c:pt idx="2186">
                  <c:v>2.4126212382612582E-2</c:v>
                </c:pt>
                <c:pt idx="2187">
                  <c:v>2.412928632948597E-2</c:v>
                </c:pt>
                <c:pt idx="2188">
                  <c:v>2.4129288982439785E-2</c:v>
                </c:pt>
                <c:pt idx="2189">
                  <c:v>2.4135388749285558E-2</c:v>
                </c:pt>
                <c:pt idx="2190">
                  <c:v>2.4138417222071655E-2</c:v>
                </c:pt>
                <c:pt idx="2191">
                  <c:v>2.414143053668712E-2</c:v>
                </c:pt>
                <c:pt idx="2192">
                  <c:v>2.414138313199047E-2</c:v>
                </c:pt>
                <c:pt idx="2193">
                  <c:v>2.4142339977036444E-2</c:v>
                </c:pt>
                <c:pt idx="2194">
                  <c:v>2.4145312239617914E-2</c:v>
                </c:pt>
                <c:pt idx="2195">
                  <c:v>2.4148269348707667E-2</c:v>
                </c:pt>
                <c:pt idx="2196">
                  <c:v>2.4151211304238567E-2</c:v>
                </c:pt>
                <c:pt idx="2197">
                  <c:v>2.41551489847356E-2</c:v>
                </c:pt>
                <c:pt idx="2198">
                  <c:v>2.4158059744660999E-2</c:v>
                </c:pt>
                <c:pt idx="2199">
                  <c:v>2.4160955349837292E-2</c:v>
                </c:pt>
                <c:pt idx="2200">
                  <c:v>2.4163835800197722E-2</c:v>
                </c:pt>
                <c:pt idx="2201">
                  <c:v>2.4166701095678162E-2</c:v>
                </c:pt>
                <c:pt idx="2202">
                  <c:v>2.4168544808989872E-2</c:v>
                </c:pt>
                <c:pt idx="2203">
                  <c:v>2.4171380687767204E-2</c:v>
                </c:pt>
                <c:pt idx="2204">
                  <c:v>2.4174201412463674E-2</c:v>
                </c:pt>
                <c:pt idx="2205">
                  <c:v>2.4177006983016128E-2</c:v>
                </c:pt>
                <c:pt idx="2206">
                  <c:v>2.4180800237511537E-2</c:v>
                </c:pt>
                <c:pt idx="2207">
                  <c:v>2.4183574238659446E-2</c:v>
                </c:pt>
                <c:pt idx="2208">
                  <c:v>2.4186331985545682E-2</c:v>
                </c:pt>
                <c:pt idx="2209">
                  <c:v>2.4189072708849811E-2</c:v>
                </c:pt>
                <c:pt idx="2210">
                  <c:v>2.4190797374061799E-2</c:v>
                </c:pt>
                <c:pt idx="2211">
                  <c:v>2.4193503128957516E-2</c:v>
                </c:pt>
                <c:pt idx="2212">
                  <c:v>2.4196189640987811E-2</c:v>
                </c:pt>
                <c:pt idx="2213">
                  <c:v>2.4198856136619405E-2</c:v>
                </c:pt>
                <c:pt idx="2214">
                  <c:v>2.4201501842315915E-2</c:v>
                </c:pt>
                <c:pt idx="2215">
                  <c:v>2.420412598453877E-2</c:v>
                </c:pt>
                <c:pt idx="2216">
                  <c:v>2.4206727789743646E-2</c:v>
                </c:pt>
                <c:pt idx="2217">
                  <c:v>2.420930648438489E-2</c:v>
                </c:pt>
                <c:pt idx="2218">
                  <c:v>2.4211861294911118E-2</c:v>
                </c:pt>
                <c:pt idx="2219">
                  <c:v>2.4219304518289669E-2</c:v>
                </c:pt>
                <c:pt idx="2220">
                  <c:v>2.422179903415107E-2</c:v>
                </c:pt>
                <c:pt idx="2221">
                  <c:v>2.4224267095841141E-2</c:v>
                </c:pt>
                <c:pt idx="2222">
                  <c:v>2.4226707950336008E-2</c:v>
                </c:pt>
                <c:pt idx="2223">
                  <c:v>2.4226198874088726E-2</c:v>
                </c:pt>
                <c:pt idx="2224">
                  <c:v>2.4228589708543729E-2</c:v>
                </c:pt>
                <c:pt idx="2225">
                  <c:v>2.4230951176039593E-2</c:v>
                </c:pt>
                <c:pt idx="2226">
                  <c:v>2.4233282511356303E-2</c:v>
                </c:pt>
                <c:pt idx="2227">
                  <c:v>2.4235582949268159E-2</c:v>
                </c:pt>
                <c:pt idx="2228">
                  <c:v>2.4240739556506744E-2</c:v>
                </c:pt>
                <c:pt idx="2229">
                  <c:v>2.4242968875737899E-2</c:v>
                </c:pt>
                <c:pt idx="2230">
                  <c:v>2.4245164963492126E-2</c:v>
                </c:pt>
                <c:pt idx="2231">
                  <c:v>2.4247327066724059E-2</c:v>
                </c:pt>
                <c:pt idx="2232">
                  <c:v>2.424659490480794E-2</c:v>
                </c:pt>
                <c:pt idx="2233">
                  <c:v>2.4248694250215398E-2</c:v>
                </c:pt>
                <c:pt idx="2234">
                  <c:v>2.4250758434631797E-2</c:v>
                </c:pt>
                <c:pt idx="2235">
                  <c:v>2.4252787457947064E-2</c:v>
                </c:pt>
                <c:pt idx="2236">
                  <c:v>2.4257612357690934E-2</c:v>
                </c:pt>
                <c:pt idx="2237">
                  <c:v>2.4259563915897155E-2</c:v>
                </c:pt>
                <c:pt idx="2238">
                  <c:v>2.4261480305630509E-2</c:v>
                </c:pt>
                <c:pt idx="2239">
                  <c:v>2.4263361526786993E-2</c:v>
                </c:pt>
                <c:pt idx="2240">
                  <c:v>2.4265207579266479E-2</c:v>
                </c:pt>
                <c:pt idx="2241">
                  <c:v>2.4267018462969685E-2</c:v>
                </c:pt>
                <c:pt idx="2242">
                  <c:v>2.4268794177797766E-2</c:v>
                </c:pt>
                <c:pt idx="2243">
                  <c:v>2.4270534723655746E-2</c:v>
                </c:pt>
                <c:pt idx="2244">
                  <c:v>2.4272240100450794E-2</c:v>
                </c:pt>
                <c:pt idx="2245">
                  <c:v>2.4269298532553871E-2</c:v>
                </c:pt>
                <c:pt idx="2246">
                  <c:v>2.4270945579521631E-2</c:v>
                </c:pt>
                <c:pt idx="2247">
                  <c:v>2.4272557468930762E-2</c:v>
                </c:pt>
                <c:pt idx="2248">
                  <c:v>2.4274134200698232E-2</c:v>
                </c:pt>
                <c:pt idx="2249">
                  <c:v>2.4276588888175243E-2</c:v>
                </c:pt>
                <c:pt idx="2250">
                  <c:v>2.4278092893933859E-2</c:v>
                </c:pt>
                <c:pt idx="2251">
                  <c:v>2.4279561739452043E-2</c:v>
                </c:pt>
                <c:pt idx="2252">
                  <c:v>2.4280995424652053E-2</c:v>
                </c:pt>
                <c:pt idx="2253">
                  <c:v>2.4282393949458782E-2</c:v>
                </c:pt>
                <c:pt idx="2254">
                  <c:v>2.4282856276316003E-2</c:v>
                </c:pt>
                <c:pt idx="2255">
                  <c:v>2.4284186902377054E-2</c:v>
                </c:pt>
                <c:pt idx="2256">
                  <c:v>2.4285482370186542E-2</c:v>
                </c:pt>
                <c:pt idx="2257">
                  <c:v>2.4286742679676461E-2</c:v>
                </c:pt>
                <c:pt idx="2258">
                  <c:v>2.4288859165073961E-2</c:v>
                </c:pt>
                <c:pt idx="2259">
                  <c:v>2.4290046726036935E-2</c:v>
                </c:pt>
                <c:pt idx="2260">
                  <c:v>2.4291199126129648E-2</c:v>
                </c:pt>
                <c:pt idx="2261">
                  <c:v>2.4292316365291056E-2</c:v>
                </c:pt>
                <c:pt idx="2262">
                  <c:v>2.4293398443462295E-2</c:v>
                </c:pt>
                <c:pt idx="2263">
                  <c:v>2.4293566208337461E-2</c:v>
                </c:pt>
                <c:pt idx="2264">
                  <c:v>2.4294580407845042E-2</c:v>
                </c:pt>
                <c:pt idx="2265">
                  <c:v>2.4295559448556086E-2</c:v>
                </c:pt>
                <c:pt idx="2266">
                  <c:v>2.4296503330420688E-2</c:v>
                </c:pt>
                <c:pt idx="2267">
                  <c:v>2.4297412053387618E-2</c:v>
                </c:pt>
                <c:pt idx="2268">
                  <c:v>2.4298285617410063E-2</c:v>
                </c:pt>
                <c:pt idx="2269">
                  <c:v>2.4299124022442092E-2</c:v>
                </c:pt>
                <c:pt idx="2270">
                  <c:v>2.4299927268440866E-2</c:v>
                </c:pt>
                <c:pt idx="2271">
                  <c:v>2.4304991077320648E-2</c:v>
                </c:pt>
                <c:pt idx="2272">
                  <c:v>2.4305711689974498E-2</c:v>
                </c:pt>
                <c:pt idx="2273">
                  <c:v>2.4306397131671018E-2</c:v>
                </c:pt>
                <c:pt idx="2274">
                  <c:v>2.4307047402372821E-2</c:v>
                </c:pt>
                <c:pt idx="2275">
                  <c:v>2.4305115262644478E-2</c:v>
                </c:pt>
                <c:pt idx="2276">
                  <c:v>2.4305702609675819E-2</c:v>
                </c:pt>
                <c:pt idx="2277">
                  <c:v>2.4306254792696436E-2</c:v>
                </c:pt>
                <c:pt idx="2278">
                  <c:v>2.4306771811676633E-2</c:v>
                </c:pt>
                <c:pt idx="2279">
                  <c:v>2.4307253666588889E-2</c:v>
                </c:pt>
                <c:pt idx="2280">
                  <c:v>2.4310210433872336E-2</c:v>
                </c:pt>
                <c:pt idx="2281">
                  <c:v>2.4310614506739114E-2</c:v>
                </c:pt>
                <c:pt idx="2282">
                  <c:v>2.4310983408384262E-2</c:v>
                </c:pt>
                <c:pt idx="2283">
                  <c:v>2.4311317138787574E-2</c:v>
                </c:pt>
                <c:pt idx="2284">
                  <c:v>2.4309135479306781E-2</c:v>
                </c:pt>
                <c:pt idx="2285">
                  <c:v>2.4309406349342255E-2</c:v>
                </c:pt>
                <c:pt idx="2286">
                  <c:v>2.4309642055170007E-2</c:v>
                </c:pt>
                <c:pt idx="2287">
                  <c:v>2.430984259677868E-2</c:v>
                </c:pt>
                <c:pt idx="2288">
                  <c:v>2.4310007974156483E-2</c:v>
                </c:pt>
                <c:pt idx="2289">
                  <c:v>2.4312580924267281E-2</c:v>
                </c:pt>
                <c:pt idx="2290">
                  <c:v>2.4312668455583667E-2</c:v>
                </c:pt>
                <c:pt idx="2291">
                  <c:v>2.4312720815569264E-2</c:v>
                </c:pt>
                <c:pt idx="2292">
                  <c:v>2.4312738004219337E-2</c:v>
                </c:pt>
                <c:pt idx="2293">
                  <c:v>2.4312720021533459E-2</c:v>
                </c:pt>
                <c:pt idx="2294">
                  <c:v>2.4312666867512059E-2</c:v>
                </c:pt>
                <c:pt idx="2295">
                  <c:v>2.4312578542159863E-2</c:v>
                </c:pt>
                <c:pt idx="2296">
                  <c:v>2.4312455045479887E-2</c:v>
                </c:pt>
                <c:pt idx="2297">
                  <c:v>2.4308324685431145E-2</c:v>
                </c:pt>
                <c:pt idx="2298">
                  <c:v>2.4308143468116401E-2</c:v>
                </c:pt>
                <c:pt idx="2299">
                  <c:v>2.4307927091294968E-2</c:v>
                </c:pt>
                <c:pt idx="2300">
                  <c:v>2.4307675554977887E-2</c:v>
                </c:pt>
                <c:pt idx="2301">
                  <c:v>2.4307388859177527E-2</c:v>
                </c:pt>
                <c:pt idx="2302">
                  <c:v>2.4307849111491076E-2</c:v>
                </c:pt>
                <c:pt idx="2303">
                  <c:v>2.4307489561258853E-2</c:v>
                </c:pt>
                <c:pt idx="2304">
                  <c:v>2.4307094849237543E-2</c:v>
                </c:pt>
                <c:pt idx="2305">
                  <c:v>2.4306664975446913E-2</c:v>
                </c:pt>
                <c:pt idx="2306">
                  <c:v>2.4305427988536861E-2</c:v>
                </c:pt>
                <c:pt idx="2307">
                  <c:v>2.430493033622369E-2</c:v>
                </c:pt>
                <c:pt idx="2308">
                  <c:v>2.4304397524572096E-2</c:v>
                </c:pt>
                <c:pt idx="2309">
                  <c:v>2.43038295536099E-2</c:v>
                </c:pt>
                <c:pt idx="2310">
                  <c:v>2.4303988180826668E-2</c:v>
                </c:pt>
                <c:pt idx="2311">
                  <c:v>2.4303347336966492E-2</c:v>
                </c:pt>
                <c:pt idx="2312">
                  <c:v>2.4302671331534638E-2</c:v>
                </c:pt>
                <c:pt idx="2313">
                  <c:v>2.4301960164567565E-2</c:v>
                </c:pt>
                <c:pt idx="2314">
                  <c:v>2.4301213836102602E-2</c:v>
                </c:pt>
                <c:pt idx="2315">
                  <c:v>2.4299683384112446E-2</c:v>
                </c:pt>
                <c:pt idx="2316">
                  <c:v>2.4298869298913194E-2</c:v>
                </c:pt>
                <c:pt idx="2317">
                  <c:v>2.4298020054693493E-2</c:v>
                </c:pt>
                <c:pt idx="2318">
                  <c:v>2.4297135651497069E-2</c:v>
                </c:pt>
                <c:pt idx="2319">
                  <c:v>2.4296216089370295E-2</c:v>
                </c:pt>
                <c:pt idx="2320">
                  <c:v>2.4295261368361746E-2</c:v>
                </c:pt>
                <c:pt idx="2321">
                  <c:v>2.4294271488521771E-2</c:v>
                </c:pt>
                <c:pt idx="2322">
                  <c:v>2.429324644990204E-2</c:v>
                </c:pt>
                <c:pt idx="2323">
                  <c:v>2.4295825942687057E-2</c:v>
                </c:pt>
                <c:pt idx="2324">
                  <c:v>2.4294717658463093E-2</c:v>
                </c:pt>
                <c:pt idx="2325">
                  <c:v>2.4293574203872726E-2</c:v>
                </c:pt>
                <c:pt idx="2326">
                  <c:v>2.4292395578978269E-2</c:v>
                </c:pt>
                <c:pt idx="2327">
                  <c:v>2.428902968744303E-2</c:v>
                </c:pt>
                <c:pt idx="2328">
                  <c:v>2.4287788508277904E-2</c:v>
                </c:pt>
                <c:pt idx="2329">
                  <c:v>2.4286512166051242E-2</c:v>
                </c:pt>
                <c:pt idx="2330">
                  <c:v>2.428520066082944E-2</c:v>
                </c:pt>
                <c:pt idx="2331">
                  <c:v>2.4283853992683263E-2</c:v>
                </c:pt>
                <c:pt idx="2332">
                  <c:v>2.4284585256913474E-2</c:v>
                </c:pt>
                <c:pt idx="2333">
                  <c:v>2.4283160441773626E-2</c:v>
                </c:pt>
                <c:pt idx="2334">
                  <c:v>2.4281700456890098E-2</c:v>
                </c:pt>
                <c:pt idx="2335">
                  <c:v>2.42802053023424E-2</c:v>
                </c:pt>
                <c:pt idx="2336">
                  <c:v>2.4276593210635966E-2</c:v>
                </c:pt>
                <c:pt idx="2337">
                  <c:v>2.4275035566502071E-2</c:v>
                </c:pt>
                <c:pt idx="2338">
                  <c:v>2.4273442759981952E-2</c:v>
                </c:pt>
                <c:pt idx="2339">
                  <c:v>2.4271814791159033E-2</c:v>
                </c:pt>
                <c:pt idx="2340">
                  <c:v>2.4270151660120681E-2</c:v>
                </c:pt>
                <c:pt idx="2341">
                  <c:v>2.4270495816732469E-2</c:v>
                </c:pt>
                <c:pt idx="2342">
                  <c:v>2.4268754476891117E-2</c:v>
                </c:pt>
                <c:pt idx="2343">
                  <c:v>2.4266977968081381E-2</c:v>
                </c:pt>
                <c:pt idx="2344">
                  <c:v>2.4265166290399098E-2</c:v>
                </c:pt>
                <c:pt idx="2345">
                  <c:v>2.426331944394269E-2</c:v>
                </c:pt>
                <c:pt idx="2346">
                  <c:v>2.4261437428811424E-2</c:v>
                </c:pt>
                <c:pt idx="2347">
                  <c:v>2.4259520245105439E-2</c:v>
                </c:pt>
                <c:pt idx="2348">
                  <c:v>2.4257567892929169E-2</c:v>
                </c:pt>
                <c:pt idx="2349">
                  <c:v>2.4252941023930857E-2</c:v>
                </c:pt>
                <c:pt idx="2350">
                  <c:v>2.4250928922116465E-2</c:v>
                </c:pt>
                <c:pt idx="2351">
                  <c:v>2.4248881661492579E-2</c:v>
                </c:pt>
                <c:pt idx="2352">
                  <c:v>2.4246799242166373E-2</c:v>
                </c:pt>
                <c:pt idx="2353">
                  <c:v>2.4244681664248521E-2</c:v>
                </c:pt>
                <c:pt idx="2354">
                  <c:v>2.4243175845619164E-2</c:v>
                </c:pt>
                <c:pt idx="2355">
                  <c:v>2.4240985292954001E-2</c:v>
                </c:pt>
                <c:pt idx="2356">
                  <c:v>2.4241323719707233E-2</c:v>
                </c:pt>
                <c:pt idx="2357">
                  <c:v>2.4236498705994126E-2</c:v>
                </c:pt>
                <c:pt idx="2358">
                  <c:v>2.4233566399747178E-2</c:v>
                </c:pt>
                <c:pt idx="2359">
                  <c:v>2.4231237872684584E-2</c:v>
                </c:pt>
                <c:pt idx="2360">
                  <c:v>2.422887418784947E-2</c:v>
                </c:pt>
                <c:pt idx="2361">
                  <c:v>2.4226475345366573E-2</c:v>
                </c:pt>
                <c:pt idx="2362">
                  <c:v>2.4224666934709878E-2</c:v>
                </c:pt>
                <c:pt idx="2363">
                  <c:v>2.422219510078763E-2</c:v>
                </c:pt>
                <c:pt idx="2364">
                  <c:v>2.4219688107276482E-2</c:v>
                </c:pt>
                <c:pt idx="2365">
                  <c:v>2.4217145954310536E-2</c:v>
                </c:pt>
                <c:pt idx="2366">
                  <c:v>2.4213583098659452E-2</c:v>
                </c:pt>
                <c:pt idx="2367">
                  <c:v>2.4210968290610688E-2</c:v>
                </c:pt>
                <c:pt idx="2368">
                  <c:v>2.4208318325858E-2</c:v>
                </c:pt>
                <c:pt idx="2369">
                  <c:v>2.4205633204540181E-2</c:v>
                </c:pt>
                <c:pt idx="2370">
                  <c:v>2.4202912926799096E-2</c:v>
                </c:pt>
                <c:pt idx="2371">
                  <c:v>2.4200157492777485E-2</c:v>
                </c:pt>
                <c:pt idx="2372">
                  <c:v>2.419736690262073E-2</c:v>
                </c:pt>
                <c:pt idx="2373">
                  <c:v>2.4194541156476401E-2</c:v>
                </c:pt>
                <c:pt idx="2374">
                  <c:v>2.4191680254493395E-2</c:v>
                </c:pt>
                <c:pt idx="2375">
                  <c:v>2.4190554180382458E-2</c:v>
                </c:pt>
                <c:pt idx="2376">
                  <c:v>2.4187614845126399E-2</c:v>
                </c:pt>
                <c:pt idx="2377">
                  <c:v>2.4184640347552314E-2</c:v>
                </c:pt>
                <c:pt idx="2378">
                  <c:v>2.418163068781834E-2</c:v>
                </c:pt>
                <c:pt idx="2379">
                  <c:v>2.4178585866086514E-2</c:v>
                </c:pt>
                <c:pt idx="2380">
                  <c:v>2.4175505882519297E-2</c:v>
                </c:pt>
                <c:pt idx="2381">
                  <c:v>2.4172390737282615E-2</c:v>
                </c:pt>
                <c:pt idx="2382">
                  <c:v>2.4166285826460934E-2</c:v>
                </c:pt>
                <c:pt idx="2383">
                  <c:v>2.4166054962466689E-2</c:v>
                </c:pt>
                <c:pt idx="2384">
                  <c:v>2.4160879159336519E-2</c:v>
                </c:pt>
                <c:pt idx="2385">
                  <c:v>2.4157611029617498E-2</c:v>
                </c:pt>
                <c:pt idx="2386">
                  <c:v>2.4154307741458839E-2</c:v>
                </c:pt>
                <c:pt idx="2387">
                  <c:v>2.4150969295036486E-2</c:v>
                </c:pt>
                <c:pt idx="2388">
                  <c:v>2.4147042244465716E-2</c:v>
                </c:pt>
                <c:pt idx="2389">
                  <c:v>2.4143636220366013E-2</c:v>
                </c:pt>
                <c:pt idx="2390">
                  <c:v>2.4140195040839765E-2</c:v>
                </c:pt>
                <c:pt idx="2391">
                  <c:v>2.4136718706069114E-2</c:v>
                </c:pt>
                <c:pt idx="2392">
                  <c:v>2.4134291935847419E-2</c:v>
                </c:pt>
                <c:pt idx="2393">
                  <c:v>2.4130200303055047E-2</c:v>
                </c:pt>
                <c:pt idx="2394">
                  <c:v>2.4126615753871049E-2</c:v>
                </c:pt>
                <c:pt idx="2395">
                  <c:v>2.4122996047898266E-2</c:v>
                </c:pt>
                <c:pt idx="2396">
                  <c:v>2.411934118532915E-2</c:v>
                </c:pt>
                <c:pt idx="2397">
                  <c:v>2.4115651166358335E-2</c:v>
                </c:pt>
                <c:pt idx="2398">
                  <c:v>2.4111925991183052E-2</c:v>
                </c:pt>
                <c:pt idx="2399">
                  <c:v>2.4108165660001832E-2</c:v>
                </c:pt>
                <c:pt idx="2400">
                  <c:v>2.4104370173013655E-2</c:v>
                </c:pt>
                <c:pt idx="2401">
                  <c:v>2.4099503950820014E-2</c:v>
                </c:pt>
                <c:pt idx="2402">
                  <c:v>2.4095643688678427E-2</c:v>
                </c:pt>
                <c:pt idx="2403">
                  <c:v>2.4091748275907616E-2</c:v>
                </c:pt>
                <c:pt idx="2404">
                  <c:v>2.4087817712712255E-2</c:v>
                </c:pt>
                <c:pt idx="2405">
                  <c:v>2.4083851999300531E-2</c:v>
                </c:pt>
                <c:pt idx="2406">
                  <c:v>2.4080355184843527E-2</c:v>
                </c:pt>
                <c:pt idx="2407">
                  <c:v>2.4075815122662488E-2</c:v>
                </c:pt>
                <c:pt idx="2408">
                  <c:v>2.4071743959860007E-2</c:v>
                </c:pt>
                <c:pt idx="2409">
                  <c:v>2.406763764768664E-2</c:v>
                </c:pt>
                <c:pt idx="2410">
                  <c:v>2.4063496186360233E-2</c:v>
                </c:pt>
                <c:pt idx="2411">
                  <c:v>2.4059319576096881E-2</c:v>
                </c:pt>
                <c:pt idx="2412">
                  <c:v>2.4055107817118379E-2</c:v>
                </c:pt>
                <c:pt idx="2413">
                  <c:v>2.4050860909645651E-2</c:v>
                </c:pt>
                <c:pt idx="2414">
                  <c:v>2.4046578853902698E-2</c:v>
                </c:pt>
                <c:pt idx="2415">
                  <c:v>2.4042261650114388E-2</c:v>
                </c:pt>
                <c:pt idx="2416">
                  <c:v>2.4037909298509554E-2</c:v>
                </c:pt>
                <c:pt idx="2417">
                  <c:v>2.4033521799316584E-2</c:v>
                </c:pt>
                <c:pt idx="2418">
                  <c:v>2.4027994081191932E-2</c:v>
                </c:pt>
                <c:pt idx="2419">
                  <c:v>2.4023534072873467E-2</c:v>
                </c:pt>
                <c:pt idx="2420">
                  <c:v>2.4019038919957936E-2</c:v>
                </c:pt>
                <c:pt idx="2421">
                  <c:v>2.4014508622682496E-2</c:v>
                </c:pt>
                <c:pt idx="2422">
                  <c:v>2.4009943181283865E-2</c:v>
                </c:pt>
                <c:pt idx="2423">
                  <c:v>2.4005342596000526E-2</c:v>
                </c:pt>
                <c:pt idx="2424">
                  <c:v>2.4000706867074052E-2</c:v>
                </c:pt>
                <c:pt idx="2425">
                  <c:v>2.3996035994747346E-2</c:v>
                </c:pt>
                <c:pt idx="2426">
                  <c:v>2.3991329979265071E-2</c:v>
                </c:pt>
                <c:pt idx="2427">
                  <c:v>2.3987923241705261E-2</c:v>
                </c:pt>
                <c:pt idx="2428">
                  <c:v>2.3983138459722463E-2</c:v>
                </c:pt>
                <c:pt idx="2429">
                  <c:v>2.3978318528592158E-2</c:v>
                </c:pt>
                <c:pt idx="2430">
                  <c:v>2.3973463448571101E-2</c:v>
                </c:pt>
                <c:pt idx="2431">
                  <c:v>2.3968139986161902E-2</c:v>
                </c:pt>
                <c:pt idx="2432">
                  <c:v>2.3961804549843826E-2</c:v>
                </c:pt>
                <c:pt idx="2433">
                  <c:v>2.3956836821611118E-2</c:v>
                </c:pt>
                <c:pt idx="2434">
                  <c:v>2.3951833947845589E-2</c:v>
                </c:pt>
                <c:pt idx="2435">
                  <c:v>2.394691440150086E-2</c:v>
                </c:pt>
                <c:pt idx="2436">
                  <c:v>2.3942976653388005E-2</c:v>
                </c:pt>
                <c:pt idx="2437">
                  <c:v>2.39378597992605E-2</c:v>
                </c:pt>
                <c:pt idx="2438">
                  <c:v>2.3932707793979609E-2</c:v>
                </c:pt>
                <c:pt idx="2439">
                  <c:v>2.3926292405371117E-2</c:v>
                </c:pt>
                <c:pt idx="2440">
                  <c:v>2.3921078664040866E-2</c:v>
                </c:pt>
                <c:pt idx="2441">
                  <c:v>2.3915829779071356E-2</c:v>
                </c:pt>
                <c:pt idx="2442">
                  <c:v>2.3910545750742151E-2</c:v>
                </c:pt>
                <c:pt idx="2443">
                  <c:v>2.3906420510039036E-2</c:v>
                </c:pt>
                <c:pt idx="2444">
                  <c:v>2.3901057603724303E-2</c:v>
                </c:pt>
                <c:pt idx="2445">
                  <c:v>2.3895659548236969E-2</c:v>
                </c:pt>
                <c:pt idx="2446">
                  <c:v>2.389022634386798E-2</c:v>
                </c:pt>
                <c:pt idx="2447">
                  <c:v>2.3884757990908712E-2</c:v>
                </c:pt>
                <c:pt idx="2448">
                  <c:v>2.3878103585995174E-2</c:v>
                </c:pt>
                <c:pt idx="2449">
                  <c:v>2.387371584040035E-2</c:v>
                </c:pt>
                <c:pt idx="2450">
                  <c:v>2.3868142043446044E-2</c:v>
                </c:pt>
                <c:pt idx="2451">
                  <c:v>2.3862533099090619E-2</c:v>
                </c:pt>
                <c:pt idx="2452">
                  <c:v>2.3855772645106389E-2</c:v>
                </c:pt>
                <c:pt idx="2453">
                  <c:v>2.3849362287598458E-2</c:v>
                </c:pt>
                <c:pt idx="2454">
                  <c:v>2.3843662331898097E-2</c:v>
                </c:pt>
                <c:pt idx="2455">
                  <c:v>2.3837927241023408E-2</c:v>
                </c:pt>
                <c:pt idx="2456">
                  <c:v>2.3832157015275586E-2</c:v>
                </c:pt>
                <c:pt idx="2457">
                  <c:v>2.3826710116489569E-2</c:v>
                </c:pt>
                <c:pt idx="2458">
                  <c:v>2.3820866727981123E-2</c:v>
                </c:pt>
                <c:pt idx="2459">
                  <c:v>2.381498820331715E-2</c:v>
                </c:pt>
                <c:pt idx="2460">
                  <c:v>2.3809074542807295E-2</c:v>
                </c:pt>
                <c:pt idx="2461">
                  <c:v>2.3803125746763399E-2</c:v>
                </c:pt>
                <c:pt idx="2462">
                  <c:v>2.3796797845511933E-2</c:v>
                </c:pt>
                <c:pt idx="2463">
                  <c:v>2.3790781684218592E-2</c:v>
                </c:pt>
                <c:pt idx="2464">
                  <c:v>2.3784730390523069E-2</c:v>
                </c:pt>
                <c:pt idx="2465">
                  <c:v>2.3778643964740252E-2</c:v>
                </c:pt>
                <c:pt idx="2466">
                  <c:v>2.3772854981011362E-2</c:v>
                </c:pt>
                <c:pt idx="2467">
                  <c:v>2.3766697546944125E-2</c:v>
                </c:pt>
                <c:pt idx="2468">
                  <c:v>2.376050916337151E-2</c:v>
                </c:pt>
                <c:pt idx="2469">
                  <c:v>2.3750727449235686E-2</c:v>
                </c:pt>
                <c:pt idx="2470">
                  <c:v>2.374683067422384E-2</c:v>
                </c:pt>
                <c:pt idx="2471">
                  <c:v>2.3741458094571958E-2</c:v>
                </c:pt>
                <c:pt idx="2472">
                  <c:v>2.3735169583269555E-2</c:v>
                </c:pt>
                <c:pt idx="2473">
                  <c:v>2.372886115062478E-2</c:v>
                </c:pt>
                <c:pt idx="2474">
                  <c:v>2.372253506190098E-2</c:v>
                </c:pt>
                <c:pt idx="2475">
                  <c:v>2.3716193582335867E-2</c:v>
                </c:pt>
                <c:pt idx="2476">
                  <c:v>2.3709838977135373E-2</c:v>
                </c:pt>
                <c:pt idx="2477">
                  <c:v>2.3703473511479802E-2</c:v>
                </c:pt>
                <c:pt idx="2478">
                  <c:v>2.3697099450520755E-2</c:v>
                </c:pt>
                <c:pt idx="2479">
                  <c:v>2.3692317919148241E-2</c:v>
                </c:pt>
                <c:pt idx="2480">
                  <c:v>2.3685935617770524E-2</c:v>
                </c:pt>
                <c:pt idx="2481">
                  <c:v>2.3679552195000796E-2</c:v>
                </c:pt>
                <c:pt idx="2482">
                  <c:v>2.3673169855701587E-2</c:v>
                </c:pt>
                <c:pt idx="2483">
                  <c:v>2.3665823652248591E-2</c:v>
                </c:pt>
                <c:pt idx="2484">
                  <c:v>2.3659447377205767E-2</c:v>
                </c:pt>
                <c:pt idx="2485">
                  <c:v>2.3653078540103914E-2</c:v>
                </c:pt>
                <c:pt idx="2486">
                  <c:v>2.3646719381400907E-2</c:v>
                </c:pt>
                <c:pt idx="2487">
                  <c:v>2.3640372141524483E-2</c:v>
                </c:pt>
                <c:pt idx="2488">
                  <c:v>2.3635022041345578E-2</c:v>
                </c:pt>
                <c:pt idx="2489">
                  <c:v>2.3628709020024823E-2</c:v>
                </c:pt>
                <c:pt idx="2490">
                  <c:v>2.3622414720029201E-2</c:v>
                </c:pt>
                <c:pt idx="2491">
                  <c:v>2.3616141345964244E-2</c:v>
                </c:pt>
                <c:pt idx="2492">
                  <c:v>2.3608892902399588E-2</c:v>
                </c:pt>
                <c:pt idx="2493">
                  <c:v>2.3602662066249603E-2</c:v>
                </c:pt>
                <c:pt idx="2494">
                  <c:v>2.3596454670277503E-2</c:v>
                </c:pt>
                <c:pt idx="2495">
                  <c:v>2.359128011354699E-2</c:v>
                </c:pt>
                <c:pt idx="2496">
                  <c:v>2.3585123417201564E-2</c:v>
                </c:pt>
                <c:pt idx="2497">
                  <c:v>2.3578990165222156E-2</c:v>
                </c:pt>
                <c:pt idx="2498">
                  <c:v>2.3572880357390445E-2</c:v>
                </c:pt>
                <c:pt idx="2499">
                  <c:v>2.3566793993486393E-2</c:v>
                </c:pt>
                <c:pt idx="2500">
                  <c:v>2.3559702525971706E-2</c:v>
                </c:pt>
                <c:pt idx="2501">
                  <c:v>2.3554691596589711E-2</c:v>
                </c:pt>
                <c:pt idx="2502">
                  <c:v>2.3548675563163018E-2</c:v>
                </c:pt>
                <c:pt idx="2503">
                  <c:v>2.354268297279543E-2</c:v>
                </c:pt>
                <c:pt idx="2504">
                  <c:v>2.3535669872552029E-2</c:v>
                </c:pt>
                <c:pt idx="2505">
                  <c:v>2.352902245246254E-2</c:v>
                </c:pt>
                <c:pt idx="2506">
                  <c:v>2.3523093743985014E-2</c:v>
                </c:pt>
                <c:pt idx="2507">
                  <c:v>2.3517188469695562E-2</c:v>
                </c:pt>
                <c:pt idx="2508">
                  <c:v>2.3511306629385286E-2</c:v>
                </c:pt>
                <c:pt idx="2509">
                  <c:v>2.3505802244318207E-2</c:v>
                </c:pt>
                <c:pt idx="2510">
                  <c:v>2.3499968566552298E-2</c:v>
                </c:pt>
                <c:pt idx="2511">
                  <c:v>2.3494158323752446E-2</c:v>
                </c:pt>
                <c:pt idx="2512">
                  <c:v>2.3488371515714417E-2</c:v>
                </c:pt>
                <c:pt idx="2513">
                  <c:v>2.3482608142235732E-2</c:v>
                </c:pt>
                <c:pt idx="2514">
                  <c:v>2.3476507689669621E-2</c:v>
                </c:pt>
                <c:pt idx="2515">
                  <c:v>2.347078988151825E-2</c:v>
                </c:pt>
                <c:pt idx="2516">
                  <c:v>2.3465095505726577E-2</c:v>
                </c:pt>
                <c:pt idx="2517">
                  <c:v>2.345942456209631E-2</c:v>
                </c:pt>
                <c:pt idx="2518">
                  <c:v>2.3454142786170938E-2</c:v>
                </c:pt>
                <c:pt idx="2519">
                  <c:v>2.3448520015824471E-2</c:v>
                </c:pt>
                <c:pt idx="2520">
                  <c:v>2.344292067863803E-2</c:v>
                </c:pt>
                <c:pt idx="2521">
                  <c:v>2.3437344774415291E-2</c:v>
                </c:pt>
                <c:pt idx="2522">
                  <c:v>2.3431421319467252E-2</c:v>
                </c:pt>
                <c:pt idx="2523">
                  <c:v>2.3425890964676562E-2</c:v>
                </c:pt>
                <c:pt idx="2524">
                  <c:v>2.3420384040678643E-2</c:v>
                </c:pt>
                <c:pt idx="2525">
                  <c:v>2.3414900547281393E-2</c:v>
                </c:pt>
                <c:pt idx="2526">
                  <c:v>2.3409440484293133E-2</c:v>
                </c:pt>
                <c:pt idx="2527">
                  <c:v>2.3404003851523084E-2</c:v>
                </c:pt>
                <c:pt idx="2528">
                  <c:v>2.3398590648781338E-2</c:v>
                </c:pt>
                <c:pt idx="2529">
                  <c:v>2.339320087587932E-2</c:v>
                </c:pt>
                <c:pt idx="2530">
                  <c:v>2.3387834532628448E-2</c:v>
                </c:pt>
                <c:pt idx="2531">
                  <c:v>2.3384407474724627E-2</c:v>
                </c:pt>
                <c:pt idx="2532">
                  <c:v>2.3379094642963862E-2</c:v>
                </c:pt>
                <c:pt idx="2533">
                  <c:v>2.3373805248178895E-2</c:v>
                </c:pt>
                <c:pt idx="2534">
                  <c:v>2.3368539290178059E-2</c:v>
                </c:pt>
                <c:pt idx="2535">
                  <c:v>2.3362130826524257E-2</c:v>
                </c:pt>
                <c:pt idx="2536">
                  <c:v>2.3356907730365833E-2</c:v>
                </c:pt>
                <c:pt idx="2537">
                  <c:v>2.3351708065708961E-2</c:v>
                </c:pt>
                <c:pt idx="2538">
                  <c:v>2.3346531832371484E-2</c:v>
                </c:pt>
                <c:pt idx="2539">
                  <c:v>2.3341379030170823E-2</c:v>
                </c:pt>
                <c:pt idx="2540">
                  <c:v>2.3337435704139264E-2</c:v>
                </c:pt>
                <c:pt idx="2541">
                  <c:v>2.3332333798391069E-2</c:v>
                </c:pt>
                <c:pt idx="2542">
                  <c:v>2.332725532794002E-2</c:v>
                </c:pt>
                <c:pt idx="2543">
                  <c:v>2.332220029260389E-2</c:v>
                </c:pt>
                <c:pt idx="2544">
                  <c:v>2.3315966479873291E-2</c:v>
                </c:pt>
                <c:pt idx="2545">
                  <c:v>2.3310954260698943E-2</c:v>
                </c:pt>
                <c:pt idx="2546">
                  <c:v>2.3305965471406016E-2</c:v>
                </c:pt>
                <c:pt idx="2547">
                  <c:v>2.3301000111816732E-2</c:v>
                </c:pt>
                <c:pt idx="2548">
                  <c:v>2.3297276636329155E-2</c:v>
                </c:pt>
                <c:pt idx="2549">
                  <c:v>2.32923622079028E-2</c:v>
                </c:pt>
                <c:pt idx="2550">
                  <c:v>2.3287471213340752E-2</c:v>
                </c:pt>
                <c:pt idx="2551">
                  <c:v>2.3282603652465528E-2</c:v>
                </c:pt>
                <c:pt idx="2552">
                  <c:v>2.3277759525103497E-2</c:v>
                </c:pt>
                <c:pt idx="2553">
                  <c:v>2.3272938831080173E-2</c:v>
                </c:pt>
                <c:pt idx="2554">
                  <c:v>2.3268141570223659E-2</c:v>
                </c:pt>
                <c:pt idx="2555">
                  <c:v>2.3263367742361183E-2</c:v>
                </c:pt>
                <c:pt idx="2556">
                  <c:v>2.3258617347320841E-2</c:v>
                </c:pt>
                <c:pt idx="2557">
                  <c:v>2.3252216985173595E-2</c:v>
                </c:pt>
                <c:pt idx="2558">
                  <c:v>2.3247507969911471E-2</c:v>
                </c:pt>
                <c:pt idx="2559">
                  <c:v>2.3242822380752162E-2</c:v>
                </c:pt>
                <c:pt idx="2560">
                  <c:v>2.3238160217530529E-2</c:v>
                </c:pt>
                <c:pt idx="2561">
                  <c:v>2.3233521480084063E-2</c:v>
                </c:pt>
                <c:pt idx="2562">
                  <c:v>2.3229331165281485E-2</c:v>
                </c:pt>
                <c:pt idx="2563">
                  <c:v>2.3224740657686892E-2</c:v>
                </c:pt>
                <c:pt idx="2564">
                  <c:v>2.3220173576929595E-2</c:v>
                </c:pt>
                <c:pt idx="2565">
                  <c:v>2.3215629922848421E-2</c:v>
                </c:pt>
                <c:pt idx="2566">
                  <c:v>2.3210679173800673E-2</c:v>
                </c:pt>
                <c:pt idx="2567">
                  <c:v>2.3206180987610989E-2</c:v>
                </c:pt>
                <c:pt idx="2568">
                  <c:v>2.3201706226073416E-2</c:v>
                </c:pt>
                <c:pt idx="2569">
                  <c:v>2.3197254889030714E-2</c:v>
                </c:pt>
                <c:pt idx="2570">
                  <c:v>2.3193263046996648E-2</c:v>
                </c:pt>
                <c:pt idx="2571">
                  <c:v>2.3188859949631904E-2</c:v>
                </c:pt>
                <c:pt idx="2572">
                  <c:v>2.3184480277837712E-2</c:v>
                </c:pt>
                <c:pt idx="2573">
                  <c:v>2.318012403145988E-2</c:v>
                </c:pt>
                <c:pt idx="2574">
                  <c:v>2.3175791210344653E-2</c:v>
                </c:pt>
                <c:pt idx="2575">
                  <c:v>2.317103877247529E-2</c:v>
                </c:pt>
                <c:pt idx="2576">
                  <c:v>2.3166751402566965E-2</c:v>
                </c:pt>
                <c:pt idx="2577">
                  <c:v>2.3162487455927677E-2</c:v>
                </c:pt>
                <c:pt idx="2578">
                  <c:v>2.315824693240634E-2</c:v>
                </c:pt>
                <c:pt idx="2579">
                  <c:v>2.3154029831853624E-2</c:v>
                </c:pt>
                <c:pt idx="2580">
                  <c:v>2.3149836154122829E-2</c:v>
                </c:pt>
                <c:pt idx="2581">
                  <c:v>2.3145665899065946E-2</c:v>
                </c:pt>
                <c:pt idx="2582">
                  <c:v>2.3141519066535839E-2</c:v>
                </c:pt>
                <c:pt idx="2583">
                  <c:v>2.3139213685461416E-2</c:v>
                </c:pt>
                <c:pt idx="2584">
                  <c:v>2.3135119343335862E-2</c:v>
                </c:pt>
                <c:pt idx="2585">
                  <c:v>2.3131048429431821E-2</c:v>
                </c:pt>
                <c:pt idx="2586">
                  <c:v>2.3127000943603607E-2</c:v>
                </c:pt>
                <c:pt idx="2587">
                  <c:v>2.3121596166251566E-2</c:v>
                </c:pt>
                <c:pt idx="2588">
                  <c:v>2.3117591283125235E-2</c:v>
                </c:pt>
                <c:pt idx="2589">
                  <c:v>2.311360982305475E-2</c:v>
                </c:pt>
                <c:pt idx="2590">
                  <c:v>2.3109651785898144E-2</c:v>
                </c:pt>
                <c:pt idx="2591">
                  <c:v>2.3105717171517388E-2</c:v>
                </c:pt>
                <c:pt idx="2592">
                  <c:v>2.3103208010149621E-2</c:v>
                </c:pt>
                <c:pt idx="2593">
                  <c:v>2.3099324516831728E-2</c:v>
                </c:pt>
                <c:pt idx="2594">
                  <c:v>2.3095464450451644E-2</c:v>
                </c:pt>
                <c:pt idx="2595">
                  <c:v>2.3091627810870558E-2</c:v>
                </c:pt>
                <c:pt idx="2596">
                  <c:v>2.308639543639885E-2</c:v>
                </c:pt>
                <c:pt idx="2597">
                  <c:v>2.3082601355779334E-2</c:v>
                </c:pt>
                <c:pt idx="2598">
                  <c:v>2.3078830696979056E-2</c:v>
                </c:pt>
                <c:pt idx="2599">
                  <c:v>2.3075083459865666E-2</c:v>
                </c:pt>
                <c:pt idx="2600">
                  <c:v>2.3071359644306368E-2</c:v>
                </c:pt>
                <c:pt idx="2601">
                  <c:v>2.3069099928510559E-2</c:v>
                </c:pt>
                <c:pt idx="2602">
                  <c:v>2.3065427272716023E-2</c:v>
                </c:pt>
                <c:pt idx="2603">
                  <c:v>2.306177804264177E-2</c:v>
                </c:pt>
                <c:pt idx="2604">
                  <c:v>2.3058152238157593E-2</c:v>
                </c:pt>
                <c:pt idx="2605">
                  <c:v>2.3054549859134552E-2</c:v>
                </c:pt>
                <c:pt idx="2606">
                  <c:v>2.3050970905442437E-2</c:v>
                </c:pt>
                <c:pt idx="2607">
                  <c:v>2.3047415376952742E-2</c:v>
                </c:pt>
                <c:pt idx="2608">
                  <c:v>2.3043883273538689E-2</c:v>
                </c:pt>
                <c:pt idx="2609">
                  <c:v>2.3037916489326033E-2</c:v>
                </c:pt>
                <c:pt idx="2610">
                  <c:v>2.3034423980926866E-2</c:v>
                </c:pt>
                <c:pt idx="2611">
                  <c:v>2.3030954889653173E-2</c:v>
                </c:pt>
                <c:pt idx="2612">
                  <c:v>2.3027509215383948E-2</c:v>
                </c:pt>
                <c:pt idx="2613">
                  <c:v>2.3024086957998628E-2</c:v>
                </c:pt>
                <c:pt idx="2614">
                  <c:v>2.3021186687211689E-2</c:v>
                </c:pt>
                <c:pt idx="2615">
                  <c:v>2.3017812721348511E-2</c:v>
                </c:pt>
                <c:pt idx="2616">
                  <c:v>2.3014462173525145E-2</c:v>
                </c:pt>
                <c:pt idx="2617">
                  <c:v>2.3011135043623451E-2</c:v>
                </c:pt>
                <c:pt idx="2618">
                  <c:v>2.3007326920178719E-2</c:v>
                </c:pt>
                <c:pt idx="2619">
                  <c:v>2.3004045161617907E-2</c:v>
                </c:pt>
                <c:pt idx="2620">
                  <c:v>2.3000786819121759E-2</c:v>
                </c:pt>
                <c:pt idx="2621">
                  <c:v>2.2997551892576337E-2</c:v>
                </c:pt>
                <c:pt idx="2622">
                  <c:v>2.2994850658883886E-2</c:v>
                </c:pt>
                <c:pt idx="2623">
                  <c:v>2.2991664034089081E-2</c:v>
                </c:pt>
                <c:pt idx="2624">
                  <c:v>2.298850082641658E-2</c:v>
                </c:pt>
                <c:pt idx="2625">
                  <c:v>2.2985361035753511E-2</c:v>
                </c:pt>
                <c:pt idx="2626">
                  <c:v>2.2981801377317805E-2</c:v>
                </c:pt>
                <c:pt idx="2627">
                  <c:v>2.2978193911576513E-2</c:v>
                </c:pt>
                <c:pt idx="2628">
                  <c:v>2.2975126238590604E-2</c:v>
                </c:pt>
                <c:pt idx="2629">
                  <c:v>2.2972081980659781E-2</c:v>
                </c:pt>
                <c:pt idx="2630">
                  <c:v>2.2969061137678052E-2</c:v>
                </c:pt>
                <c:pt idx="2631">
                  <c:v>2.296606370953987E-2</c:v>
                </c:pt>
                <c:pt idx="2632">
                  <c:v>2.2963089696140124E-2</c:v>
                </c:pt>
                <c:pt idx="2633">
                  <c:v>2.2960139097376795E-2</c:v>
                </c:pt>
                <c:pt idx="2634">
                  <c:v>2.2957211913145214E-2</c:v>
                </c:pt>
                <c:pt idx="2635">
                  <c:v>2.2956428010763332E-2</c:v>
                </c:pt>
                <c:pt idx="2636">
                  <c:v>2.295355361629127E-2</c:v>
                </c:pt>
                <c:pt idx="2637">
                  <c:v>2.2950702642047127E-2</c:v>
                </c:pt>
                <c:pt idx="2638">
                  <c:v>2.2947875087927633E-2</c:v>
                </c:pt>
                <c:pt idx="2639">
                  <c:v>2.2943462894729635E-2</c:v>
                </c:pt>
                <c:pt idx="2640">
                  <c:v>2.2942290239661621E-2</c:v>
                </c:pt>
                <c:pt idx="2641">
                  <c:v>2.2939532945316345E-2</c:v>
                </c:pt>
                <c:pt idx="2642">
                  <c:v>2.2934164463776472E-2</c:v>
                </c:pt>
                <c:pt idx="2643">
                  <c:v>2.293408861570996E-2</c:v>
                </c:pt>
                <c:pt idx="2644">
                  <c:v>2.2931401580253551E-2</c:v>
                </c:pt>
                <c:pt idx="2645">
                  <c:v>2.2928737964234339E-2</c:v>
                </c:pt>
                <c:pt idx="2646">
                  <c:v>2.2926097767555977E-2</c:v>
                </c:pt>
                <c:pt idx="2647">
                  <c:v>2.2923480990126425E-2</c:v>
                </c:pt>
                <c:pt idx="2648">
                  <c:v>2.2920887631850621E-2</c:v>
                </c:pt>
                <c:pt idx="2649">
                  <c:v>2.2918317692636105E-2</c:v>
                </c:pt>
                <c:pt idx="2650">
                  <c:v>2.2915771172392133E-2</c:v>
                </c:pt>
                <c:pt idx="2651">
                  <c:v>2.2913248071027108E-2</c:v>
                </c:pt>
                <c:pt idx="2652">
                  <c:v>2.2910748388451151E-2</c:v>
                </c:pt>
                <c:pt idx="2653">
                  <c:v>2.2908272124574823E-2</c:v>
                </c:pt>
                <c:pt idx="2654">
                  <c:v>2.2905819279309975E-2</c:v>
                </c:pt>
                <c:pt idx="2655">
                  <c:v>2.2903389852569331E-2</c:v>
                </c:pt>
                <c:pt idx="2656">
                  <c:v>2.2900983844266039E-2</c:v>
                </c:pt>
                <c:pt idx="2657">
                  <c:v>2.2898601254313679E-2</c:v>
                </c:pt>
                <c:pt idx="2658">
                  <c:v>2.2896242082628863E-2</c:v>
                </c:pt>
                <c:pt idx="2659">
                  <c:v>2.28939063291256E-2</c:v>
                </c:pt>
                <c:pt idx="2660">
                  <c:v>2.2891593993720934E-2</c:v>
                </c:pt>
                <c:pt idx="2661">
                  <c:v>2.288702827808425E-2</c:v>
                </c:pt>
                <c:pt idx="2662">
                  <c:v>2.2884756662252679E-2</c:v>
                </c:pt>
                <c:pt idx="2663">
                  <c:v>2.2882508458322032E-2</c:v>
                </c:pt>
                <c:pt idx="2664">
                  <c:v>2.2880283666214144E-2</c:v>
                </c:pt>
                <c:pt idx="2665">
                  <c:v>2.2878657354237466E-2</c:v>
                </c:pt>
                <c:pt idx="2666">
                  <c:v>2.287648092028045E-2</c:v>
                </c:pt>
                <c:pt idx="2667">
                  <c:v>2.2876642170873668E-2</c:v>
                </c:pt>
                <c:pt idx="2668">
                  <c:v>2.2872198291527725E-2</c:v>
                </c:pt>
                <c:pt idx="2669">
                  <c:v>2.2870092096580485E-2</c:v>
                </c:pt>
                <c:pt idx="2670">
                  <c:v>2.2867426557537866E-2</c:v>
                </c:pt>
                <c:pt idx="2671">
                  <c:v>2.2865365646056176E-2</c:v>
                </c:pt>
                <c:pt idx="2672">
                  <c:v>2.2863328145797938E-2</c:v>
                </c:pt>
                <c:pt idx="2673">
                  <c:v>2.2861314056692943E-2</c:v>
                </c:pt>
                <c:pt idx="2674">
                  <c:v>2.2859912313205551E-2</c:v>
                </c:pt>
                <c:pt idx="2675">
                  <c:v>2.2857946594304051E-2</c:v>
                </c:pt>
                <c:pt idx="2676">
                  <c:v>2.2856004287828836E-2</c:v>
                </c:pt>
                <c:pt idx="2677">
                  <c:v>2.2854085393714019E-2</c:v>
                </c:pt>
                <c:pt idx="2678">
                  <c:v>2.2849597845448759E-2</c:v>
                </c:pt>
                <c:pt idx="2679">
                  <c:v>2.2849522693744087E-2</c:v>
                </c:pt>
                <c:pt idx="2680">
                  <c:v>2.2847684070070116E-2</c:v>
                </c:pt>
                <c:pt idx="2681">
                  <c:v>2.2845868858463597E-2</c:v>
                </c:pt>
                <c:pt idx="2682">
                  <c:v>2.2844077058861278E-2</c:v>
                </c:pt>
                <c:pt idx="2683">
                  <c:v>2.284230867119948E-2</c:v>
                </c:pt>
                <c:pt idx="2684">
                  <c:v>2.2840563695417149E-2</c:v>
                </c:pt>
                <c:pt idx="2685">
                  <c:v>2.2838842131451917E-2</c:v>
                </c:pt>
                <c:pt idx="2686">
                  <c:v>2.2837143979244495E-2</c:v>
                </c:pt>
                <c:pt idx="2687">
                  <c:v>2.2836689459679437E-2</c:v>
                </c:pt>
                <c:pt idx="2688">
                  <c:v>2.2835041267436317E-2</c:v>
                </c:pt>
                <c:pt idx="2689">
                  <c:v>2.2833416489732632E-2</c:v>
                </c:pt>
                <c:pt idx="2690">
                  <c:v>2.2831815126512781E-2</c:v>
                </c:pt>
                <c:pt idx="2691">
                  <c:v>2.282962069691076E-2</c:v>
                </c:pt>
                <c:pt idx="2692">
                  <c:v>2.2828064588152407E-2</c:v>
                </c:pt>
                <c:pt idx="2693">
                  <c:v>2.2826098279418647E-2</c:v>
                </c:pt>
                <c:pt idx="2694">
                  <c:v>2.2825022609089442E-2</c:v>
                </c:pt>
                <c:pt idx="2695">
                  <c:v>2.2823536738677815E-2</c:v>
                </c:pt>
                <c:pt idx="2696">
                  <c:v>2.2822698648208344E-2</c:v>
                </c:pt>
                <c:pt idx="2697">
                  <c:v>2.282126118482437E-2</c:v>
                </c:pt>
                <c:pt idx="2698">
                  <c:v>2.2819847135491525E-2</c:v>
                </c:pt>
                <c:pt idx="2699">
                  <c:v>2.2818456500159418E-2</c:v>
                </c:pt>
                <c:pt idx="2700">
                  <c:v>2.2816458575743794E-2</c:v>
                </c:pt>
                <c:pt idx="2701">
                  <c:v>2.2815113180631754E-2</c:v>
                </c:pt>
                <c:pt idx="2702">
                  <c:v>2.2813791197899072E-2</c:v>
                </c:pt>
                <c:pt idx="2703">
                  <c:v>2.28124926274977E-2</c:v>
                </c:pt>
                <c:pt idx="2704">
                  <c:v>2.2812491773372544E-2</c:v>
                </c:pt>
                <c:pt idx="2705">
                  <c:v>2.2810604379493137E-2</c:v>
                </c:pt>
                <c:pt idx="2706">
                  <c:v>2.2809377640836393E-2</c:v>
                </c:pt>
                <c:pt idx="2707">
                  <c:v>2.2808174315808512E-2</c:v>
                </c:pt>
                <c:pt idx="2708">
                  <c:v>2.280699440436822E-2</c:v>
                </c:pt>
                <c:pt idx="2709">
                  <c:v>2.2805837906473815E-2</c:v>
                </c:pt>
                <c:pt idx="2710">
                  <c:v>2.2804704822082283E-2</c:v>
                </c:pt>
                <c:pt idx="2711">
                  <c:v>2.280359515115583E-2</c:v>
                </c:pt>
                <c:pt idx="2712">
                  <c:v>2.2802508893654056E-2</c:v>
                </c:pt>
                <c:pt idx="2713">
                  <c:v>2.2800143315585809E-2</c:v>
                </c:pt>
                <c:pt idx="2714">
                  <c:v>2.2799100671382747E-2</c:v>
                </c:pt>
                <c:pt idx="2715">
                  <c:v>2.2798081437542122E-2</c:v>
                </c:pt>
                <c:pt idx="2716">
                  <c:v>2.2797085614027924E-2</c:v>
                </c:pt>
                <c:pt idx="2717">
                  <c:v>2.2793484170562921E-2</c:v>
                </c:pt>
                <c:pt idx="2718">
                  <c:v>2.2795164197841326E-2</c:v>
                </c:pt>
                <c:pt idx="2719">
                  <c:v>2.2794238605100416E-2</c:v>
                </c:pt>
                <c:pt idx="2720">
                  <c:v>2.2793336422551089E-2</c:v>
                </c:pt>
                <c:pt idx="2721">
                  <c:v>2.2792457650160847E-2</c:v>
                </c:pt>
                <c:pt idx="2722">
                  <c:v>2.2791602287901582E-2</c:v>
                </c:pt>
                <c:pt idx="2723">
                  <c:v>2.2790770335739917E-2</c:v>
                </c:pt>
                <c:pt idx="2724">
                  <c:v>2.2789961793649054E-2</c:v>
                </c:pt>
                <c:pt idx="2725">
                  <c:v>2.278917666159869E-2</c:v>
                </c:pt>
                <c:pt idx="2726">
                  <c:v>2.2788414939563791E-2</c:v>
                </c:pt>
                <c:pt idx="2727">
                  <c:v>2.2787676627514492E-2</c:v>
                </c:pt>
                <c:pt idx="2728">
                  <c:v>2.2786961725427074E-2</c:v>
                </c:pt>
                <c:pt idx="2729">
                  <c:v>2.2786270233276062E-2</c:v>
                </c:pt>
                <c:pt idx="2730">
                  <c:v>2.2784829783773015E-2</c:v>
                </c:pt>
                <c:pt idx="2731">
                  <c:v>2.278418682402172E-2</c:v>
                </c:pt>
                <c:pt idx="2732">
                  <c:v>2.2783567272660347E-2</c:v>
                </c:pt>
                <c:pt idx="2733">
                  <c:v>2.2782971129667255E-2</c:v>
                </c:pt>
                <c:pt idx="2734">
                  <c:v>2.2782398395021688E-2</c:v>
                </c:pt>
                <c:pt idx="2735">
                  <c:v>2.2781849068703775E-2</c:v>
                </c:pt>
                <c:pt idx="2736">
                  <c:v>2.2781323150694078E-2</c:v>
                </c:pt>
                <c:pt idx="2737">
                  <c:v>2.2780820640974499E-2</c:v>
                </c:pt>
                <c:pt idx="2738">
                  <c:v>2.2780341539526922E-2</c:v>
                </c:pt>
                <c:pt idx="2739">
                  <c:v>2.2781967133318724E-2</c:v>
                </c:pt>
                <c:pt idx="2740">
                  <c:v>2.2781539783756466E-2</c:v>
                </c:pt>
                <c:pt idx="2741">
                  <c:v>2.2781135846836033E-2</c:v>
                </c:pt>
                <c:pt idx="2742">
                  <c:v>2.2780755322543519E-2</c:v>
                </c:pt>
                <c:pt idx="2743">
                  <c:v>2.2779599468733074E-2</c:v>
                </c:pt>
                <c:pt idx="2744">
                  <c:v>2.2779270807319799E-2</c:v>
                </c:pt>
                <c:pt idx="2745">
                  <c:v>2.2778965557019568E-2</c:v>
                </c:pt>
                <c:pt idx="2746">
                  <c:v>2.2778683717823652E-2</c:v>
                </c:pt>
                <c:pt idx="2747">
                  <c:v>2.2779806195946932E-2</c:v>
                </c:pt>
                <c:pt idx="2748">
                  <c:v>2.2780318688145999E-2</c:v>
                </c:pt>
                <c:pt idx="2749">
                  <c:v>2.2780112059866353E-2</c:v>
                </c:pt>
                <c:pt idx="2750">
                  <c:v>2.2779928847072171E-2</c:v>
                </c:pt>
                <c:pt idx="2751">
                  <c:v>2.2777625688069791E-2</c:v>
                </c:pt>
                <c:pt idx="2752">
                  <c:v>2.2777484315312353E-2</c:v>
                </c:pt>
                <c:pt idx="2753">
                  <c:v>2.277736635360594E-2</c:v>
                </c:pt>
                <c:pt idx="2754">
                  <c:v>2.277727180294618E-2</c:v>
                </c:pt>
                <c:pt idx="2755">
                  <c:v>2.2779364015193267E-2</c:v>
                </c:pt>
                <c:pt idx="2756">
                  <c:v>2.2779321295207437E-2</c:v>
                </c:pt>
                <c:pt idx="2757">
                  <c:v>2.2779301990679568E-2</c:v>
                </c:pt>
                <c:pt idx="2758">
                  <c:v>2.277930610160837E-2</c:v>
                </c:pt>
                <c:pt idx="2759">
                  <c:v>2.2779333627994704E-2</c:v>
                </c:pt>
                <c:pt idx="2760">
                  <c:v>2.2777196130840224E-2</c:v>
                </c:pt>
                <c:pt idx="2761">
                  <c:v>2.2779458927142966E-2</c:v>
                </c:pt>
                <c:pt idx="2762">
                  <c:v>2.2779556699909619E-2</c:v>
                </c:pt>
                <c:pt idx="2763">
                  <c:v>2.2779677888143262E-2</c:v>
                </c:pt>
                <c:pt idx="2764">
                  <c:v>2.2777613903593882E-2</c:v>
                </c:pt>
                <c:pt idx="2765">
                  <c:v>2.2777039379338133E-2</c:v>
                </c:pt>
                <c:pt idx="2766">
                  <c:v>2.2777224077376534E-2</c:v>
                </c:pt>
                <c:pt idx="2767">
                  <c:v>2.2777432185009203E-2</c:v>
                </c:pt>
                <c:pt idx="2768">
                  <c:v>2.2777663702243597E-2</c:v>
                </c:pt>
                <c:pt idx="2769">
                  <c:v>2.2778662868355927E-2</c:v>
                </c:pt>
                <c:pt idx="2770">
                  <c:v>2.2778942894551821E-2</c:v>
                </c:pt>
                <c:pt idx="2771">
                  <c:v>2.2782238744480585E-2</c:v>
                </c:pt>
                <c:pt idx="2772">
                  <c:v>2.2779573180260908E-2</c:v>
                </c:pt>
                <c:pt idx="2773">
                  <c:v>2.2779923439796821E-2</c:v>
                </c:pt>
                <c:pt idx="2774">
                  <c:v>2.2779544407796646E-2</c:v>
                </c:pt>
                <c:pt idx="2775">
                  <c:v>2.2779939792516777E-2</c:v>
                </c:pt>
                <c:pt idx="2776">
                  <c:v>2.2780358586926036E-2</c:v>
                </c:pt>
                <c:pt idx="2777">
                  <c:v>2.2780800791039363E-2</c:v>
                </c:pt>
                <c:pt idx="2778">
                  <c:v>2.2782025904808524E-2</c:v>
                </c:pt>
                <c:pt idx="2779">
                  <c:v>2.2782516631380471E-2</c:v>
                </c:pt>
                <c:pt idx="2780">
                  <c:v>2.2783030769180784E-2</c:v>
                </c:pt>
                <c:pt idx="2781">
                  <c:v>2.2783886000292068E-2</c:v>
                </c:pt>
                <c:pt idx="2782">
                  <c:v>2.2783444762020856E-2</c:v>
                </c:pt>
                <c:pt idx="2783">
                  <c:v>2.2783945620441969E-2</c:v>
                </c:pt>
                <c:pt idx="2784">
                  <c:v>2.2784551692967323E-2</c:v>
                </c:pt>
                <c:pt idx="2785">
                  <c:v>2.2785181175344314E-2</c:v>
                </c:pt>
                <c:pt idx="2786">
                  <c:v>2.2785834067595347E-2</c:v>
                </c:pt>
                <c:pt idx="2787">
                  <c:v>2.2786510369741938E-2</c:v>
                </c:pt>
                <c:pt idx="2788">
                  <c:v>2.2787210081810005E-2</c:v>
                </c:pt>
                <c:pt idx="2789">
                  <c:v>2.2787933203822386E-2</c:v>
                </c:pt>
                <c:pt idx="2790">
                  <c:v>2.278867973580543E-2</c:v>
                </c:pt>
                <c:pt idx="2791">
                  <c:v>2.2792577878613499E-2</c:v>
                </c:pt>
                <c:pt idx="2792">
                  <c:v>2.2793378120667625E-2</c:v>
                </c:pt>
                <c:pt idx="2793">
                  <c:v>2.2794201778683396E-2</c:v>
                </c:pt>
                <c:pt idx="2794">
                  <c:v>2.2795048852690892E-2</c:v>
                </c:pt>
                <c:pt idx="2795">
                  <c:v>2.2793552197918437E-2</c:v>
                </c:pt>
                <c:pt idx="2796">
                  <c:v>2.2794440918404053E-2</c:v>
                </c:pt>
                <c:pt idx="2797">
                  <c:v>2.2795353050540871E-2</c:v>
                </c:pt>
                <c:pt idx="2798">
                  <c:v>2.2796288594357273E-2</c:v>
                </c:pt>
                <c:pt idx="2799">
                  <c:v>2.2797247549889526E-2</c:v>
                </c:pt>
                <c:pt idx="2800">
                  <c:v>2.2800623034318568E-2</c:v>
                </c:pt>
                <c:pt idx="2801">
                  <c:v>2.2801634021164634E-2</c:v>
                </c:pt>
                <c:pt idx="2802">
                  <c:v>2.2802668424268022E-2</c:v>
                </c:pt>
                <c:pt idx="2803">
                  <c:v>2.2803726243668269E-2</c:v>
                </c:pt>
                <c:pt idx="2804">
                  <c:v>2.2802393504481367E-2</c:v>
                </c:pt>
                <c:pt idx="2805">
                  <c:v>2.2803492931039032E-2</c:v>
                </c:pt>
                <c:pt idx="2806">
                  <c:v>2.2804615769567636E-2</c:v>
                </c:pt>
                <c:pt idx="2807">
                  <c:v>2.2805762020103433E-2</c:v>
                </c:pt>
                <c:pt idx="2808">
                  <c:v>2.2809366586452069E-2</c:v>
                </c:pt>
                <c:pt idx="2809">
                  <c:v>2.2810564904448726E-2</c:v>
                </c:pt>
                <c:pt idx="2810">
                  <c:v>2.2811786639025028E-2</c:v>
                </c:pt>
                <c:pt idx="2811">
                  <c:v>2.2813031790223089E-2</c:v>
                </c:pt>
                <c:pt idx="2812">
                  <c:v>2.2814300358088038E-2</c:v>
                </c:pt>
                <c:pt idx="2813">
                  <c:v>2.2815592342666283E-2</c:v>
                </c:pt>
                <c:pt idx="2814">
                  <c:v>2.2816907744002097E-2</c:v>
                </c:pt>
                <c:pt idx="2815">
                  <c:v>2.2818246562144897E-2</c:v>
                </c:pt>
                <c:pt idx="2816">
                  <c:v>2.2819608797141101E-2</c:v>
                </c:pt>
                <c:pt idx="2817">
                  <c:v>2.2816858374496703E-2</c:v>
                </c:pt>
                <c:pt idx="2818">
                  <c:v>2.2818258638817993E-2</c:v>
                </c:pt>
                <c:pt idx="2819">
                  <c:v>2.2819682312717648E-2</c:v>
                </c:pt>
                <c:pt idx="2820">
                  <c:v>2.2821129396246895E-2</c:v>
                </c:pt>
                <c:pt idx="2821">
                  <c:v>2.2823433749130213E-2</c:v>
                </c:pt>
                <c:pt idx="2822">
                  <c:v>2.2824929418481219E-2</c:v>
                </c:pt>
                <c:pt idx="2823">
                  <c:v>2.2826448499101194E-2</c:v>
                </c:pt>
                <c:pt idx="2824">
                  <c:v>2.2827990991043722E-2</c:v>
                </c:pt>
                <c:pt idx="2825">
                  <c:v>2.2829556894361502E-2</c:v>
                </c:pt>
                <c:pt idx="2826">
                  <c:v>2.2830303502518901E-2</c:v>
                </c:pt>
                <c:pt idx="2827">
                  <c:v>2.2831914454911818E-2</c:v>
                </c:pt>
                <c:pt idx="2828">
                  <c:v>2.2833548817360071E-2</c:v>
                </c:pt>
                <c:pt idx="2829">
                  <c:v>2.2835206589921948E-2</c:v>
                </c:pt>
                <c:pt idx="2830">
                  <c:v>2.2837737583551742E-2</c:v>
                </c:pt>
                <c:pt idx="2831">
                  <c:v>2.2839443956311756E-2</c:v>
                </c:pt>
                <c:pt idx="2832">
                  <c:v>2.284117374084934E-2</c:v>
                </c:pt>
                <c:pt idx="2833">
                  <c:v>2.2842926937226865E-2</c:v>
                </c:pt>
                <c:pt idx="2834">
                  <c:v>2.2844703545504063E-2</c:v>
                </c:pt>
                <c:pt idx="2835">
                  <c:v>2.2845644840965136E-2</c:v>
                </c:pt>
                <c:pt idx="2836">
                  <c:v>2.2847466485984718E-2</c:v>
                </c:pt>
                <c:pt idx="2837">
                  <c:v>2.2849311541602399E-2</c:v>
                </c:pt>
                <c:pt idx="2838">
                  <c:v>2.2851180007884424E-2</c:v>
                </c:pt>
                <c:pt idx="2839">
                  <c:v>2.2853071884894834E-2</c:v>
                </c:pt>
                <c:pt idx="2840">
                  <c:v>2.2854987172698991E-2</c:v>
                </c:pt>
                <c:pt idx="2841">
                  <c:v>2.2856925871365348E-2</c:v>
                </c:pt>
                <c:pt idx="2842">
                  <c:v>2.2858887980961029E-2</c:v>
                </c:pt>
                <c:pt idx="2843">
                  <c:v>2.2865240911399083E-2</c:v>
                </c:pt>
                <c:pt idx="2844">
                  <c:v>2.2867258841219314E-2</c:v>
                </c:pt>
                <c:pt idx="2845">
                  <c:v>2.2869300189651113E-2</c:v>
                </c:pt>
                <c:pt idx="2846">
                  <c:v>2.2871364956769256E-2</c:v>
                </c:pt>
                <c:pt idx="2847">
                  <c:v>2.2870810445400125E-2</c:v>
                </c:pt>
                <c:pt idx="2848">
                  <c:v>2.2872916632600729E-2</c:v>
                </c:pt>
                <c:pt idx="2849">
                  <c:v>2.2875046234221021E-2</c:v>
                </c:pt>
                <c:pt idx="2850">
                  <c:v>2.2877199250335704E-2</c:v>
                </c:pt>
                <c:pt idx="2851">
                  <c:v>2.2879375681020341E-2</c:v>
                </c:pt>
                <c:pt idx="2852">
                  <c:v>2.2884245356077249E-2</c:v>
                </c:pt>
                <c:pt idx="2853">
                  <c:v>2.2886474056115103E-2</c:v>
                </c:pt>
                <c:pt idx="2854">
                  <c:v>2.2888726175453435E-2</c:v>
                </c:pt>
                <c:pt idx="2855">
                  <c:v>2.2891001714174759E-2</c:v>
                </c:pt>
                <c:pt idx="2856">
                  <c:v>2.2890609055713298E-2</c:v>
                </c:pt>
                <c:pt idx="2857">
                  <c:v>2.2892925975461813E-2</c:v>
                </c:pt>
                <c:pt idx="2858">
                  <c:v>2.2895266310335033E-2</c:v>
                </c:pt>
                <c:pt idx="2859">
                  <c:v>2.2897630060415074E-2</c:v>
                </c:pt>
                <c:pt idx="2860">
                  <c:v>2.2900017225787991E-2</c:v>
                </c:pt>
                <c:pt idx="2861">
                  <c:v>2.2905146758161625E-2</c:v>
                </c:pt>
                <c:pt idx="2862">
                  <c:v>2.2907586234891922E-2</c:v>
                </c:pt>
                <c:pt idx="2863">
                  <c:v>2.291004913168123E-2</c:v>
                </c:pt>
                <c:pt idx="2864">
                  <c:v>2.2912535448618081E-2</c:v>
                </c:pt>
                <c:pt idx="2865">
                  <c:v>2.2915045185791003E-2</c:v>
                </c:pt>
                <c:pt idx="2866">
                  <c:v>2.2917578343290251E-2</c:v>
                </c:pt>
                <c:pt idx="2867">
                  <c:v>2.2920134921207359E-2</c:v>
                </c:pt>
                <c:pt idx="2868">
                  <c:v>2.2922714919633873E-2</c:v>
                </c:pt>
                <c:pt idx="2869">
                  <c:v>2.292071454093347E-2</c:v>
                </c:pt>
                <c:pt idx="2870">
                  <c:v>2.2923332187339843E-2</c:v>
                </c:pt>
                <c:pt idx="2871">
                  <c:v>2.2925973246993248E-2</c:v>
                </c:pt>
                <c:pt idx="2872">
                  <c:v>2.2928637719985986E-2</c:v>
                </c:pt>
                <c:pt idx="2873">
                  <c:v>2.2931325606411247E-2</c:v>
                </c:pt>
                <c:pt idx="2874">
                  <c:v>2.2934966443009866E-2</c:v>
                </c:pt>
                <c:pt idx="2875">
                  <c:v>2.2937703002340656E-2</c:v>
                </c:pt>
                <c:pt idx="2876">
                  <c:v>2.2940462976899004E-2</c:v>
                </c:pt>
                <c:pt idx="2877">
                  <c:v>2.2943246366780658E-2</c:v>
                </c:pt>
                <c:pt idx="2878">
                  <c:v>2.29451162433367E-2</c:v>
                </c:pt>
                <c:pt idx="2879">
                  <c:v>2.2947944612356354E-2</c:v>
                </c:pt>
                <c:pt idx="2880">
                  <c:v>2.2950796395482906E-2</c:v>
                </c:pt>
                <c:pt idx="2881">
                  <c:v>2.2953671592813953E-2</c:v>
                </c:pt>
                <c:pt idx="2882">
                  <c:v>2.295751454950521E-2</c:v>
                </c:pt>
                <c:pt idx="2883">
                  <c:v>2.2960438433414703E-2</c:v>
                </c:pt>
                <c:pt idx="2884">
                  <c:v>2.2963385733348482E-2</c:v>
                </c:pt>
                <c:pt idx="2885">
                  <c:v>2.2966356449411956E-2</c:v>
                </c:pt>
                <c:pt idx="2886">
                  <c:v>2.2969350581708778E-2</c:v>
                </c:pt>
                <c:pt idx="2887">
                  <c:v>2.2971414480810793E-2</c:v>
                </c:pt>
                <c:pt idx="2888">
                  <c:v>2.2974453580440427E-2</c:v>
                </c:pt>
                <c:pt idx="2889">
                  <c:v>2.2977516095103068E-2</c:v>
                </c:pt>
                <c:pt idx="2890">
                  <c:v>2.2980602024904265E-2</c:v>
                </c:pt>
                <c:pt idx="2891">
                  <c:v>2.2983711369952219E-2</c:v>
                </c:pt>
                <c:pt idx="2892">
                  <c:v>2.2986844130354692E-2</c:v>
                </c:pt>
                <c:pt idx="2893">
                  <c:v>2.2990000306222089E-2</c:v>
                </c:pt>
                <c:pt idx="2894">
                  <c:v>2.2993179897663939E-2</c:v>
                </c:pt>
                <c:pt idx="2895">
                  <c:v>2.3001228187727263E-2</c:v>
                </c:pt>
                <c:pt idx="2896">
                  <c:v>2.3004464001055942E-2</c:v>
                </c:pt>
                <c:pt idx="2897">
                  <c:v>2.3007723237918276E-2</c:v>
                </c:pt>
                <c:pt idx="2898">
                  <c:v>2.3011005898432014E-2</c:v>
                </c:pt>
                <c:pt idx="2899">
                  <c:v>2.3011381584382703E-2</c:v>
                </c:pt>
                <c:pt idx="2900">
                  <c:v>2.3014705439306896E-2</c:v>
                </c:pt>
                <c:pt idx="2901">
                  <c:v>2.3018052713654868E-2</c:v>
                </c:pt>
                <c:pt idx="2902">
                  <c:v>2.3021423407543682E-2</c:v>
                </c:pt>
                <c:pt idx="2903">
                  <c:v>2.3024817521094334E-2</c:v>
                </c:pt>
                <c:pt idx="2904">
                  <c:v>2.3031193764844551E-2</c:v>
                </c:pt>
                <c:pt idx="2905">
                  <c:v>2.3034640394261688E-2</c:v>
                </c:pt>
                <c:pt idx="2906">
                  <c:v>2.3038110448295051E-2</c:v>
                </c:pt>
                <c:pt idx="2907">
                  <c:v>2.304160392707056E-2</c:v>
                </c:pt>
                <c:pt idx="2908">
                  <c:v>2.3042139387975957E-2</c:v>
                </c:pt>
                <c:pt idx="2909">
                  <c:v>2.3045674022033752E-2</c:v>
                </c:pt>
                <c:pt idx="2910">
                  <c:v>2.3049232076609093E-2</c:v>
                </c:pt>
                <c:pt idx="2911">
                  <c:v>2.3052813551826035E-2</c:v>
                </c:pt>
                <c:pt idx="2912">
                  <c:v>2.3056418447812126E-2</c:v>
                </c:pt>
                <c:pt idx="2913">
                  <c:v>2.3063056726367555E-2</c:v>
                </c:pt>
                <c:pt idx="2914">
                  <c:v>2.3066714181888368E-2</c:v>
                </c:pt>
                <c:pt idx="2915">
                  <c:v>2.3070395063177169E-2</c:v>
                </c:pt>
                <c:pt idx="2916">
                  <c:v>2.3074099370365472E-2</c:v>
                </c:pt>
                <c:pt idx="2917">
                  <c:v>2.3077827103586069E-2</c:v>
                </c:pt>
                <c:pt idx="2918">
                  <c:v>2.3081578262973051E-2</c:v>
                </c:pt>
                <c:pt idx="2919">
                  <c:v>2.3085352848660933E-2</c:v>
                </c:pt>
                <c:pt idx="2920">
                  <c:v>2.3089150860784658E-2</c:v>
                </c:pt>
                <c:pt idx="2921">
                  <c:v>2.3087880378822052E-2</c:v>
                </c:pt>
                <c:pt idx="2922">
                  <c:v>2.3091715654406462E-2</c:v>
                </c:pt>
                <c:pt idx="2923">
                  <c:v>2.3095574349117843E-2</c:v>
                </c:pt>
                <c:pt idx="2924">
                  <c:v>2.3099456463088683E-2</c:v>
                </c:pt>
                <c:pt idx="2925">
                  <c:v>2.3103361996455889E-2</c:v>
                </c:pt>
                <c:pt idx="2926">
                  <c:v>2.3108318483390709E-2</c:v>
                </c:pt>
                <c:pt idx="2927">
                  <c:v>2.3112272781180578E-2</c:v>
                </c:pt>
                <c:pt idx="2928">
                  <c:v>2.3116250500324537E-2</c:v>
                </c:pt>
                <c:pt idx="2929">
                  <c:v>2.3120251640964443E-2</c:v>
                </c:pt>
                <c:pt idx="2930">
                  <c:v>2.3123240959029175E-2</c:v>
                </c:pt>
                <c:pt idx="2931">
                  <c:v>2.3127287011662882E-2</c:v>
                </c:pt>
                <c:pt idx="2932">
                  <c:v>2.3131356484664113E-2</c:v>
                </c:pt>
                <c:pt idx="2933">
                  <c:v>2.3135449378175073E-2</c:v>
                </c:pt>
                <c:pt idx="2934">
                  <c:v>2.3140608671532496E-2</c:v>
                </c:pt>
                <c:pt idx="2935">
                  <c:v>2.3144750344120241E-2</c:v>
                </c:pt>
                <c:pt idx="2936">
                  <c:v>2.3148915439203579E-2</c:v>
                </c:pt>
                <c:pt idx="2937">
                  <c:v>2.31531039569292E-2</c:v>
                </c:pt>
                <c:pt idx="2938">
                  <c:v>2.3157919515303681E-2</c:v>
                </c:pt>
                <c:pt idx="2939">
                  <c:v>2.3161105264184332E-2</c:v>
                </c:pt>
                <c:pt idx="2940">
                  <c:v>2.316536545125198E-2</c:v>
                </c:pt>
                <c:pt idx="2941">
                  <c:v>2.31696490600178E-2</c:v>
                </c:pt>
                <c:pt idx="2942">
                  <c:v>2.3173956090629739E-2</c:v>
                </c:pt>
                <c:pt idx="2943">
                  <c:v>2.3178286543237957E-2</c:v>
                </c:pt>
                <c:pt idx="2944">
                  <c:v>2.3182640417993929E-2</c:v>
                </c:pt>
                <c:pt idx="2945">
                  <c:v>2.3187017715050464E-2</c:v>
                </c:pt>
                <c:pt idx="2946">
                  <c:v>2.3191418434559047E-2</c:v>
                </c:pt>
                <c:pt idx="2947">
                  <c:v>2.3200118251051224E-2</c:v>
                </c:pt>
                <c:pt idx="2948">
                  <c:v>2.3204573649916637E-2</c:v>
                </c:pt>
                <c:pt idx="2949">
                  <c:v>2.3209052477966695E-2</c:v>
                </c:pt>
                <c:pt idx="2950">
                  <c:v>2.3213554735360405E-2</c:v>
                </c:pt>
                <c:pt idx="2951">
                  <c:v>2.3214849785751411E-2</c:v>
                </c:pt>
                <c:pt idx="2952">
                  <c:v>2.3222629538823036E-2</c:v>
                </c:pt>
                <c:pt idx="2953">
                  <c:v>2.3227661384925533E-2</c:v>
                </c:pt>
                <c:pt idx="2954">
                  <c:v>2.3231798061601215E-2</c:v>
                </c:pt>
                <c:pt idx="2955">
                  <c:v>2.3236417468141961E-2</c:v>
                </c:pt>
                <c:pt idx="2956">
                  <c:v>2.3241060305002875E-2</c:v>
                </c:pt>
                <c:pt idx="2957">
                  <c:v>2.3245726572350744E-2</c:v>
                </c:pt>
                <c:pt idx="2958">
                  <c:v>2.325041627035106E-2</c:v>
                </c:pt>
                <c:pt idx="2959">
                  <c:v>2.3255129399171473E-2</c:v>
                </c:pt>
                <c:pt idx="2960">
                  <c:v>2.3259865958979626E-2</c:v>
                </c:pt>
                <c:pt idx="2961">
                  <c:v>2.3264625949945338E-2</c:v>
                </c:pt>
                <c:pt idx="2962">
                  <c:v>2.3269409372237981E-2</c:v>
                </c:pt>
                <c:pt idx="2963">
                  <c:v>2.3274216226029095E-2</c:v>
                </c:pt>
                <c:pt idx="2964">
                  <c:v>2.3279046511489786E-2</c:v>
                </c:pt>
                <c:pt idx="2965">
                  <c:v>2.3283900228791163E-2</c:v>
                </c:pt>
                <c:pt idx="2966">
                  <c:v>2.3288777378108218E-2</c:v>
                </c:pt>
                <c:pt idx="2967">
                  <c:v>2.329367795961465E-2</c:v>
                </c:pt>
                <c:pt idx="2968">
                  <c:v>2.329860197348373E-2</c:v>
                </c:pt>
                <c:pt idx="2969">
                  <c:v>2.330354941989347E-2</c:v>
                </c:pt>
                <c:pt idx="2970">
                  <c:v>2.3308520299019305E-2</c:v>
                </c:pt>
                <c:pt idx="2971">
                  <c:v>2.3313514611038387E-2</c:v>
                </c:pt>
                <c:pt idx="2972">
                  <c:v>2.3318532356129601E-2</c:v>
                </c:pt>
                <c:pt idx="2973">
                  <c:v>2.3320212121941217E-2</c:v>
                </c:pt>
                <c:pt idx="2974">
                  <c:v>2.3325270734676069E-2</c:v>
                </c:pt>
                <c:pt idx="2975">
                  <c:v>2.3330352776245178E-2</c:v>
                </c:pt>
                <c:pt idx="2976">
                  <c:v>2.3335458246824228E-2</c:v>
                </c:pt>
                <c:pt idx="2977">
                  <c:v>2.3343972583956658E-2</c:v>
                </c:pt>
                <c:pt idx="2978">
                  <c:v>2.3350261897222377E-2</c:v>
                </c:pt>
                <c:pt idx="2979">
                  <c:v>2.3354312712920745E-2</c:v>
                </c:pt>
                <c:pt idx="2980">
                  <c:v>2.3359517929102284E-2</c:v>
                </c:pt>
                <c:pt idx="2981">
                  <c:v>2.3364746579997455E-2</c:v>
                </c:pt>
                <c:pt idx="2982">
                  <c:v>2.3366583089630622E-2</c:v>
                </c:pt>
                <c:pt idx="2983">
                  <c:v>2.3371852568353443E-2</c:v>
                </c:pt>
                <c:pt idx="2984">
                  <c:v>2.3377145477543937E-2</c:v>
                </c:pt>
                <c:pt idx="2985">
                  <c:v>2.3382461817388771E-2</c:v>
                </c:pt>
                <c:pt idx="2986">
                  <c:v>2.3387801587434243E-2</c:v>
                </c:pt>
                <c:pt idx="2987">
                  <c:v>2.339660978651267E-2</c:v>
                </c:pt>
                <c:pt idx="2988">
                  <c:v>2.34019996506655E-2</c:v>
                </c:pt>
                <c:pt idx="2989">
                  <c:v>2.3407409617797074E-2</c:v>
                </c:pt>
                <c:pt idx="2990">
                  <c:v>2.3411709821521239E-2</c:v>
                </c:pt>
                <c:pt idx="2991">
                  <c:v>2.3417159795475567E-2</c:v>
                </c:pt>
                <c:pt idx="2992">
                  <c:v>2.3422625861702902E-2</c:v>
                </c:pt>
                <c:pt idx="2993">
                  <c:v>2.3428106702951007E-2</c:v>
                </c:pt>
                <c:pt idx="2994">
                  <c:v>2.3433601001954463E-2</c:v>
                </c:pt>
                <c:pt idx="2995">
                  <c:v>2.3439107441430278E-2</c:v>
                </c:pt>
                <c:pt idx="2996">
                  <c:v>2.3444624704084933E-2</c:v>
                </c:pt>
                <c:pt idx="2997">
                  <c:v>2.3450151472607768E-2</c:v>
                </c:pt>
                <c:pt idx="2998">
                  <c:v>2.3455686429676267E-2</c:v>
                </c:pt>
                <c:pt idx="2999">
                  <c:v>2.3463546604459755E-2</c:v>
                </c:pt>
                <c:pt idx="3000">
                  <c:v>2.3469094179188479E-2</c:v>
                </c:pt>
                <c:pt idx="3001">
                  <c:v>2.3474645827444369E-2</c:v>
                </c:pt>
                <c:pt idx="3002">
                  <c:v>2.3480200245995123E-2</c:v>
                </c:pt>
                <c:pt idx="3003">
                  <c:v>2.3484597024432615E-2</c:v>
                </c:pt>
                <c:pt idx="3004">
                  <c:v>2.3491740616475326E-2</c:v>
                </c:pt>
                <c:pt idx="3005">
                  <c:v>2.3495708413442815E-2</c:v>
                </c:pt>
                <c:pt idx="3006">
                  <c:v>2.3501261167724986E-2</c:v>
                </c:pt>
                <c:pt idx="3007">
                  <c:v>2.3506810214740534E-2</c:v>
                </c:pt>
                <c:pt idx="3008">
                  <c:v>2.3514303415525638E-2</c:v>
                </c:pt>
                <c:pt idx="3009">
                  <c:v>2.3519839720470125E-2</c:v>
                </c:pt>
                <c:pt idx="3010">
                  <c:v>2.3525368183127792E-2</c:v>
                </c:pt>
                <c:pt idx="3011">
                  <c:v>2.3530887500131662E-2</c:v>
                </c:pt>
                <c:pt idx="3012">
                  <c:v>2.3535240408543632E-2</c:v>
                </c:pt>
                <c:pt idx="3013">
                  <c:v>2.3540738954833829E-2</c:v>
                </c:pt>
                <c:pt idx="3014">
                  <c:v>2.3546226680168088E-2</c:v>
                </c:pt>
                <c:pt idx="3015">
                  <c:v>2.3551703584455561E-2</c:v>
                </c:pt>
                <c:pt idx="3016">
                  <c:v>2.3559478422821242E-2</c:v>
                </c:pt>
                <c:pt idx="3017">
                  <c:v>2.3563778884054233E-2</c:v>
                </c:pt>
                <c:pt idx="3018">
                  <c:v>2.3569222905941437E-2</c:v>
                </c:pt>
                <c:pt idx="3019">
                  <c:v>2.3574656105797977E-2</c:v>
                </c:pt>
                <c:pt idx="3020">
                  <c:v>2.3580078483532187E-2</c:v>
                </c:pt>
                <c:pt idx="3021">
                  <c:v>2.3585490039055881E-2</c:v>
                </c:pt>
                <c:pt idx="3022">
                  <c:v>2.359089077228043E-2</c:v>
                </c:pt>
                <c:pt idx="3023">
                  <c:v>2.3596280683117647E-2</c:v>
                </c:pt>
                <c:pt idx="3024">
                  <c:v>2.3601659771478035E-2</c:v>
                </c:pt>
                <c:pt idx="3025">
                  <c:v>2.3603576304235332E-2</c:v>
                </c:pt>
                <c:pt idx="3026">
                  <c:v>2.3608935018497493E-2</c:v>
                </c:pt>
                <c:pt idx="3027">
                  <c:v>2.3614282911919297E-2</c:v>
                </c:pt>
                <c:pt idx="3028">
                  <c:v>2.3619619984412862E-2</c:v>
                </c:pt>
                <c:pt idx="3029">
                  <c:v>2.3626095105824765E-2</c:v>
                </c:pt>
                <c:pt idx="3030">
                  <c:v>2.3631410110031188E-2</c:v>
                </c:pt>
                <c:pt idx="3031">
                  <c:v>2.3636714292416809E-2</c:v>
                </c:pt>
                <c:pt idx="3032">
                  <c:v>2.364200765289598E-2</c:v>
                </c:pt>
                <c:pt idx="3033">
                  <c:v>2.3647290191382619E-2</c:v>
                </c:pt>
                <c:pt idx="3034">
                  <c:v>2.3651415175081462E-2</c:v>
                </c:pt>
                <c:pt idx="3035">
                  <c:v>2.3656676498678808E-2</c:v>
                </c:pt>
                <c:pt idx="3036">
                  <c:v>2.3661927000663378E-2</c:v>
                </c:pt>
                <c:pt idx="3037">
                  <c:v>2.3667166680952586E-2</c:v>
                </c:pt>
                <c:pt idx="3038">
                  <c:v>2.3673540550934614E-2</c:v>
                </c:pt>
                <c:pt idx="3039">
                  <c:v>2.3678758155671886E-2</c:v>
                </c:pt>
                <c:pt idx="3040">
                  <c:v>2.3683964937819303E-2</c:v>
                </c:pt>
                <c:pt idx="3041">
                  <c:v>2.3689160897293851E-2</c:v>
                </c:pt>
                <c:pt idx="3042">
                  <c:v>2.3693942666336863E-2</c:v>
                </c:pt>
                <c:pt idx="3043">
                  <c:v>2.3699115868638758E-2</c:v>
                </c:pt>
                <c:pt idx="3044">
                  <c:v>2.3704278248643778E-2</c:v>
                </c:pt>
                <c:pt idx="3045">
                  <c:v>2.3709429806267137E-2</c:v>
                </c:pt>
                <c:pt idx="3046">
                  <c:v>2.3714570541428007E-2</c:v>
                </c:pt>
                <c:pt idx="3047">
                  <c:v>2.3719700454041603E-2</c:v>
                </c:pt>
                <c:pt idx="3048">
                  <c:v>2.3724819544025333E-2</c:v>
                </c:pt>
                <c:pt idx="3049">
                  <c:v>2.3729927811297496E-2</c:v>
                </c:pt>
                <c:pt idx="3050">
                  <c:v>2.3735025255775068E-2</c:v>
                </c:pt>
                <c:pt idx="3051">
                  <c:v>2.3743529751843247E-2</c:v>
                </c:pt>
                <c:pt idx="3052">
                  <c:v>2.3748604229256735E-2</c:v>
                </c:pt>
                <c:pt idx="3053">
                  <c:v>2.3753667881695389E-2</c:v>
                </c:pt>
                <c:pt idx="3054">
                  <c:v>2.3758720709073634E-2</c:v>
                </c:pt>
                <c:pt idx="3055">
                  <c:v>2.3763344643613939E-2</c:v>
                </c:pt>
                <c:pt idx="3056">
                  <c:v>2.3768374717312704E-2</c:v>
                </c:pt>
                <c:pt idx="3057">
                  <c:v>2.3773393966338291E-2</c:v>
                </c:pt>
                <c:pt idx="3058">
                  <c:v>2.3778402390611197E-2</c:v>
                </c:pt>
                <c:pt idx="3059">
                  <c:v>2.3783399990047121E-2</c:v>
                </c:pt>
                <c:pt idx="3060">
                  <c:v>2.3791792528755771E-2</c:v>
                </c:pt>
                <c:pt idx="3061">
                  <c:v>2.3796767138880459E-2</c:v>
                </c:pt>
                <c:pt idx="3062">
                  <c:v>2.3801730921975985E-2</c:v>
                </c:pt>
                <c:pt idx="3063">
                  <c:v>2.380668387796241E-2</c:v>
                </c:pt>
                <c:pt idx="3064">
                  <c:v>2.3808225611837545E-2</c:v>
                </c:pt>
                <c:pt idx="3065">
                  <c:v>2.3813158260550638E-2</c:v>
                </c:pt>
                <c:pt idx="3066">
                  <c:v>2.3818080083860643E-2</c:v>
                </c:pt>
                <c:pt idx="3067">
                  <c:v>2.3826387429159056E-2</c:v>
                </c:pt>
                <c:pt idx="3068">
                  <c:v>2.3831286248363111E-2</c:v>
                </c:pt>
                <c:pt idx="3069">
                  <c:v>2.3836174239966843E-2</c:v>
                </c:pt>
                <c:pt idx="3070">
                  <c:v>2.3841051403888598E-2</c:v>
                </c:pt>
                <c:pt idx="3071">
                  <c:v>2.3845917740046723E-2</c:v>
                </c:pt>
                <c:pt idx="3072">
                  <c:v>2.3847383685760625E-2</c:v>
                </c:pt>
                <c:pt idx="3073">
                  <c:v>2.3855617928753622E-2</c:v>
                </c:pt>
                <c:pt idx="3074">
                  <c:v>2.3860451781140372E-2</c:v>
                </c:pt>
                <c:pt idx="3075">
                  <c:v>2.3865274805442031E-2</c:v>
                </c:pt>
                <c:pt idx="3076">
                  <c:v>2.38667029021844E-2</c:v>
                </c:pt>
                <c:pt idx="3077">
                  <c:v>2.3869250516969462E-2</c:v>
                </c:pt>
                <c:pt idx="3078">
                  <c:v>2.3874043343982961E-2</c:v>
                </c:pt>
                <c:pt idx="3079">
                  <c:v>2.3878825345874446E-2</c:v>
                </c:pt>
                <c:pt idx="3080">
                  <c:v>2.3883596522567069E-2</c:v>
                </c:pt>
                <c:pt idx="3081">
                  <c:v>2.3889482599714591E-2</c:v>
                </c:pt>
                <c:pt idx="3082">
                  <c:v>2.3894231665808376E-2</c:v>
                </c:pt>
                <c:pt idx="3083">
                  <c:v>2.3898969905814443E-2</c:v>
                </c:pt>
                <c:pt idx="3084">
                  <c:v>2.3903697319657247E-2</c:v>
                </c:pt>
                <c:pt idx="3085">
                  <c:v>2.3908413907258608E-2</c:v>
                </c:pt>
                <c:pt idx="3086">
                  <c:v>2.3911996249251881E-2</c:v>
                </c:pt>
                <c:pt idx="3087">
                  <c:v>2.3916691647407472E-2</c:v>
                </c:pt>
                <c:pt idx="3088">
                  <c:v>2.3921376219752537E-2</c:v>
                </c:pt>
                <c:pt idx="3089">
                  <c:v>2.3926049966211997E-2</c:v>
                </c:pt>
                <c:pt idx="3090">
                  <c:v>2.3931834448980869E-2</c:v>
                </c:pt>
                <c:pt idx="3091">
                  <c:v>2.3936486077535298E-2</c:v>
                </c:pt>
                <c:pt idx="3092">
                  <c:v>2.3941126879318601E-2</c:v>
                </c:pt>
                <c:pt idx="3093">
                  <c:v>2.3945756854250839E-2</c:v>
                </c:pt>
                <c:pt idx="3094">
                  <c:v>2.3949256307591361E-2</c:v>
                </c:pt>
                <c:pt idx="3095">
                  <c:v>2.3953865097159244E-2</c:v>
                </c:pt>
                <c:pt idx="3096">
                  <c:v>2.3958463060315981E-2</c:v>
                </c:pt>
                <c:pt idx="3097">
                  <c:v>2.3963050196987815E-2</c:v>
                </c:pt>
                <c:pt idx="3098">
                  <c:v>2.3967626507102758E-2</c:v>
                </c:pt>
                <c:pt idx="3099">
                  <c:v>2.3972191990583969E-2</c:v>
                </c:pt>
                <c:pt idx="3100">
                  <c:v>2.3976746647360346E-2</c:v>
                </c:pt>
                <c:pt idx="3101">
                  <c:v>2.398129047735548E-2</c:v>
                </c:pt>
                <c:pt idx="3102">
                  <c:v>2.3985823480499158E-2</c:v>
                </c:pt>
                <c:pt idx="3103">
                  <c:v>2.3995922963554281E-2</c:v>
                </c:pt>
                <c:pt idx="3104">
                  <c:v>2.4000431939320374E-2</c:v>
                </c:pt>
                <c:pt idx="3105">
                  <c:v>2.4004930084679358E-2</c:v>
                </c:pt>
                <c:pt idx="3106">
                  <c:v>2.4009417399557312E-2</c:v>
                </c:pt>
                <c:pt idx="3107">
                  <c:v>2.4010553197559084E-2</c:v>
                </c:pt>
                <c:pt idx="3108">
                  <c:v>2.401502028355855E-2</c:v>
                </c:pt>
                <c:pt idx="3109">
                  <c:v>2.401947654085964E-2</c:v>
                </c:pt>
                <c:pt idx="3110">
                  <c:v>2.4023921969389406E-2</c:v>
                </c:pt>
                <c:pt idx="3111">
                  <c:v>2.4028356569074469E-2</c:v>
                </c:pt>
                <c:pt idx="3112">
                  <c:v>2.4036113844545296E-2</c:v>
                </c:pt>
                <c:pt idx="3113">
                  <c:v>2.404052534397471E-2</c:v>
                </c:pt>
                <c:pt idx="3114">
                  <c:v>2.4044926012332171E-2</c:v>
                </c:pt>
                <c:pt idx="3115">
                  <c:v>2.404931584954376E-2</c:v>
                </c:pt>
                <c:pt idx="3116">
                  <c:v>2.4050367132317094E-2</c:v>
                </c:pt>
                <c:pt idx="3117">
                  <c:v>2.4054736757425619E-2</c:v>
                </c:pt>
                <c:pt idx="3118">
                  <c:v>2.4059095553185791E-2</c:v>
                </c:pt>
                <c:pt idx="3119">
                  <c:v>2.4063443519530353E-2</c:v>
                </c:pt>
                <c:pt idx="3120">
                  <c:v>2.4071102565879288E-2</c:v>
                </c:pt>
                <c:pt idx="3121">
                  <c:v>2.4075427414695136E-2</c:v>
                </c:pt>
                <c:pt idx="3122">
                  <c:v>2.4079741431859279E-2</c:v>
                </c:pt>
                <c:pt idx="3123">
                  <c:v>2.4084044617301237E-2</c:v>
                </c:pt>
                <c:pt idx="3124">
                  <c:v>2.4088336970947519E-2</c:v>
                </c:pt>
                <c:pt idx="3125">
                  <c:v>2.4092618492728504E-2</c:v>
                </c:pt>
                <c:pt idx="3126">
                  <c:v>2.4096889182572419E-2</c:v>
                </c:pt>
                <c:pt idx="3127">
                  <c:v>2.4101149040409216E-2</c:v>
                </c:pt>
                <c:pt idx="3128">
                  <c:v>2.4105398066167984E-2</c:v>
                </c:pt>
                <c:pt idx="3129">
                  <c:v>2.410412175163525E-2</c:v>
                </c:pt>
                <c:pt idx="3130">
                  <c:v>2.4108351573816598E-2</c:v>
                </c:pt>
                <c:pt idx="3131">
                  <c:v>2.4112570567094652E-2</c:v>
                </c:pt>
                <c:pt idx="3132">
                  <c:v>2.4116778731398746E-2</c:v>
                </c:pt>
                <c:pt idx="3133">
                  <c:v>2.4122076992576246E-2</c:v>
                </c:pt>
                <c:pt idx="3134">
                  <c:v>2.4126263004019655E-2</c:v>
                </c:pt>
                <c:pt idx="3135">
                  <c:v>2.4130438185609126E-2</c:v>
                </c:pt>
                <c:pt idx="3136">
                  <c:v>2.4134602537275705E-2</c:v>
                </c:pt>
                <c:pt idx="3137">
                  <c:v>2.4138756058953072E-2</c:v>
                </c:pt>
                <c:pt idx="3138">
                  <c:v>2.4141800305006064E-2</c:v>
                </c:pt>
                <c:pt idx="3139">
                  <c:v>2.4145932664609737E-2</c:v>
                </c:pt>
                <c:pt idx="3140">
                  <c:v>2.4150054194699774E-2</c:v>
                </c:pt>
                <c:pt idx="3141">
                  <c:v>2.4154164895213898E-2</c:v>
                </c:pt>
                <c:pt idx="3142">
                  <c:v>2.4159361215140958E-2</c:v>
                </c:pt>
                <c:pt idx="3143">
                  <c:v>2.4163449755470547E-2</c:v>
                </c:pt>
                <c:pt idx="3144">
                  <c:v>2.416752746534185E-2</c:v>
                </c:pt>
                <c:pt idx="3145">
                  <c:v>2.4171594344688983E-2</c:v>
                </c:pt>
                <c:pt idx="3146">
                  <c:v>2.4175650393445627E-2</c:v>
                </c:pt>
                <c:pt idx="3147">
                  <c:v>2.4178601673451518E-2</c:v>
                </c:pt>
                <c:pt idx="3148">
                  <c:v>2.418263656507013E-2</c:v>
                </c:pt>
                <c:pt idx="3149">
                  <c:v>2.4186660626585959E-2</c:v>
                </c:pt>
                <c:pt idx="3150">
                  <c:v>2.4190673857931437E-2</c:v>
                </c:pt>
                <c:pt idx="3151">
                  <c:v>2.4194676259042966E-2</c:v>
                </c:pt>
                <c:pt idx="3152">
                  <c:v>2.4198667829856954E-2</c:v>
                </c:pt>
                <c:pt idx="3153">
                  <c:v>2.4202648570307152E-2</c:v>
                </c:pt>
                <c:pt idx="3154">
                  <c:v>2.420661848033041E-2</c:v>
                </c:pt>
                <c:pt idx="3155">
                  <c:v>2.4216026982683742E-2</c:v>
                </c:pt>
                <c:pt idx="3156">
                  <c:v>2.4219972682281762E-2</c:v>
                </c:pt>
                <c:pt idx="3157">
                  <c:v>2.4223907547829562E-2</c:v>
                </c:pt>
                <c:pt idx="3158">
                  <c:v>2.4227831579260967E-2</c:v>
                </c:pt>
                <c:pt idx="3159">
                  <c:v>2.4228481255348887E-2</c:v>
                </c:pt>
                <c:pt idx="3160">
                  <c:v>2.4232385156465145E-2</c:v>
                </c:pt>
                <c:pt idx="3161">
                  <c:v>2.4236278225333512E-2</c:v>
                </c:pt>
                <c:pt idx="3162">
                  <c:v>2.4240160461892406E-2</c:v>
                </c:pt>
                <c:pt idx="3163">
                  <c:v>2.4244031866076741E-2</c:v>
                </c:pt>
                <c:pt idx="3164">
                  <c:v>2.4251148247801425E-2</c:v>
                </c:pt>
                <c:pt idx="3165">
                  <c:v>2.4254996438613452E-2</c:v>
                </c:pt>
                <c:pt idx="3166">
                  <c:v>2.4258833794794651E-2</c:v>
                </c:pt>
                <c:pt idx="3167">
                  <c:v>2.426266031628185E-2</c:v>
                </c:pt>
                <c:pt idx="3168">
                  <c:v>2.4263226399181114E-2</c:v>
                </c:pt>
                <c:pt idx="3169">
                  <c:v>2.4267032807800234E-2</c:v>
                </c:pt>
                <c:pt idx="3170">
                  <c:v>2.4270828383606672E-2</c:v>
                </c:pt>
                <c:pt idx="3171">
                  <c:v>2.4274613126537968E-2</c:v>
                </c:pt>
                <c:pt idx="3172">
                  <c:v>2.4278387036533407E-2</c:v>
                </c:pt>
                <c:pt idx="3173">
                  <c:v>2.4285391913065672E-2</c:v>
                </c:pt>
                <c:pt idx="3174">
                  <c:v>2.4289142589921219E-2</c:v>
                </c:pt>
                <c:pt idx="3175">
                  <c:v>2.4292882431578223E-2</c:v>
                </c:pt>
                <c:pt idx="3176">
                  <c:v>2.4296611437975225E-2</c:v>
                </c:pt>
                <c:pt idx="3177">
                  <c:v>2.4300329609051201E-2</c:v>
                </c:pt>
                <c:pt idx="3178">
                  <c:v>2.430403694474426E-2</c:v>
                </c:pt>
                <c:pt idx="3179">
                  <c:v>2.4307733444991233E-2</c:v>
                </c:pt>
                <c:pt idx="3180">
                  <c:v>2.431141910973281E-2</c:v>
                </c:pt>
                <c:pt idx="3181">
                  <c:v>2.4310788327980611E-2</c:v>
                </c:pt>
                <c:pt idx="3182">
                  <c:v>2.4314454432994025E-2</c:v>
                </c:pt>
                <c:pt idx="3183">
                  <c:v>2.4318109705097485E-2</c:v>
                </c:pt>
                <c:pt idx="3184">
                  <c:v>2.4321754144231697E-2</c:v>
                </c:pt>
                <c:pt idx="3185">
                  <c:v>2.4325387750338247E-2</c:v>
                </c:pt>
                <c:pt idx="3186">
                  <c:v>2.4330084283946184E-2</c:v>
                </c:pt>
                <c:pt idx="3187">
                  <c:v>2.433369569259853E-2</c:v>
                </c:pt>
                <c:pt idx="3188">
                  <c:v>2.4341587027845321E-2</c:v>
                </c:pt>
                <c:pt idx="3189">
                  <c:v>2.4340886008142375E-2</c:v>
                </c:pt>
                <c:pt idx="3190">
                  <c:v>2.4343393283383887E-2</c:v>
                </c:pt>
                <c:pt idx="3191">
                  <c:v>2.4346961890086335E-2</c:v>
                </c:pt>
                <c:pt idx="3192">
                  <c:v>2.4350519663352221E-2</c:v>
                </c:pt>
                <c:pt idx="3193">
                  <c:v>2.4354066603121807E-2</c:v>
                </c:pt>
                <c:pt idx="3194">
                  <c:v>2.4358672200655931E-2</c:v>
                </c:pt>
                <c:pt idx="3195">
                  <c:v>2.4362196936464509E-2</c:v>
                </c:pt>
                <c:pt idx="3196">
                  <c:v>2.4365710837905369E-2</c:v>
                </c:pt>
                <c:pt idx="3197">
                  <c:v>2.4369213904922596E-2</c:v>
                </c:pt>
                <c:pt idx="3198">
                  <c:v>2.4372706137458972E-2</c:v>
                </c:pt>
                <c:pt idx="3199">
                  <c:v>2.437512073512358E-2</c:v>
                </c:pt>
                <c:pt idx="3200">
                  <c:v>2.4378591838822558E-2</c:v>
                </c:pt>
                <c:pt idx="3201">
                  <c:v>2.4382052108569776E-2</c:v>
                </c:pt>
                <c:pt idx="3202">
                  <c:v>2.4385501544310337E-2</c:v>
                </c:pt>
                <c:pt idx="3203">
                  <c:v>2.438894014598714E-2</c:v>
                </c:pt>
                <c:pt idx="3204">
                  <c:v>2.4392367913544849E-2</c:v>
                </c:pt>
                <c:pt idx="3205">
                  <c:v>2.439578484692724E-2</c:v>
                </c:pt>
                <c:pt idx="3206">
                  <c:v>2.4399190946079417E-2</c:v>
                </c:pt>
                <c:pt idx="3207">
                  <c:v>2.4406836017186701E-2</c:v>
                </c:pt>
                <c:pt idx="3208">
                  <c:v>2.4410218263579767E-2</c:v>
                </c:pt>
                <c:pt idx="3209">
                  <c:v>2.4413589672765572E-2</c:v>
                </c:pt>
                <c:pt idx="3210">
                  <c:v>2.4416950244689106E-2</c:v>
                </c:pt>
                <c:pt idx="3211">
                  <c:v>2.4417119196960102E-2</c:v>
                </c:pt>
                <c:pt idx="3212">
                  <c:v>2.4420459740855813E-2</c:v>
                </c:pt>
                <c:pt idx="3213">
                  <c:v>2.4423789449434179E-2</c:v>
                </c:pt>
                <c:pt idx="3214">
                  <c:v>2.4427108322641475E-2</c:v>
                </c:pt>
                <c:pt idx="3215">
                  <c:v>2.4430416360420919E-2</c:v>
                </c:pt>
                <c:pt idx="3216">
                  <c:v>2.44362985732412E-2</c:v>
                </c:pt>
                <c:pt idx="3217">
                  <c:v>2.4439582287130109E-2</c:v>
                </c:pt>
                <c:pt idx="3218">
                  <c:v>2.4442855164014215E-2</c:v>
                </c:pt>
                <c:pt idx="3219">
                  <c:v>2.4446117203838203E-2</c:v>
                </c:pt>
                <c:pt idx="3220">
                  <c:v>2.4449368406547201E-2</c:v>
                </c:pt>
                <c:pt idx="3221">
                  <c:v>2.4452608772088064E-2</c:v>
                </c:pt>
                <c:pt idx="3222">
                  <c:v>2.4455838300408945E-2</c:v>
                </c:pt>
                <c:pt idx="3223">
                  <c:v>2.445905699145496E-2</c:v>
                </c:pt>
                <c:pt idx="3224">
                  <c:v>2.4462264845173401E-2</c:v>
                </c:pt>
                <c:pt idx="3225">
                  <c:v>2.446546186151155E-2</c:v>
                </c:pt>
                <c:pt idx="3226">
                  <c:v>2.4468648040415829E-2</c:v>
                </c:pt>
                <c:pt idx="3227">
                  <c:v>2.447182338183396E-2</c:v>
                </c:pt>
                <c:pt idx="3228">
                  <c:v>2.4474987885714519E-2</c:v>
                </c:pt>
                <c:pt idx="3229">
                  <c:v>2.4478141552003497E-2</c:v>
                </c:pt>
                <c:pt idx="3230">
                  <c:v>2.448128438065077E-2</c:v>
                </c:pt>
                <c:pt idx="3231">
                  <c:v>2.4484416371603198E-2</c:v>
                </c:pt>
                <c:pt idx="3232">
                  <c:v>2.4487537524810216E-2</c:v>
                </c:pt>
                <c:pt idx="3233">
                  <c:v>2.4486456033259787E-2</c:v>
                </c:pt>
                <c:pt idx="3234">
                  <c:v>2.4489557768466147E-2</c:v>
                </c:pt>
                <c:pt idx="3235">
                  <c:v>2.4492648668611481E-2</c:v>
                </c:pt>
                <c:pt idx="3236">
                  <c:v>2.4495728733646766E-2</c:v>
                </c:pt>
                <c:pt idx="3237">
                  <c:v>2.449984366401867E-2</c:v>
                </c:pt>
                <c:pt idx="3238">
                  <c:v>2.450290149156369E-2</c:v>
                </c:pt>
                <c:pt idx="3239">
                  <c:v>2.4510126672429845E-2</c:v>
                </c:pt>
                <c:pt idx="3240">
                  <c:v>2.4508984638693446E-2</c:v>
                </c:pt>
                <c:pt idx="3241">
                  <c:v>2.4512009958180682E-2</c:v>
                </c:pt>
                <c:pt idx="3242">
                  <c:v>2.451398158377624E-2</c:v>
                </c:pt>
                <c:pt idx="3243">
                  <c:v>2.4516985801657554E-2</c:v>
                </c:pt>
                <c:pt idx="3244">
                  <c:v>2.4519979184036651E-2</c:v>
                </c:pt>
                <c:pt idx="3245">
                  <c:v>2.4522961730863622E-2</c:v>
                </c:pt>
                <c:pt idx="3246">
                  <c:v>2.4526974012873192E-2</c:v>
                </c:pt>
                <c:pt idx="3247">
                  <c:v>2.4529934314922838E-2</c:v>
                </c:pt>
                <c:pt idx="3248">
                  <c:v>2.453288378056423E-2</c:v>
                </c:pt>
                <c:pt idx="3249">
                  <c:v>2.4535822409749494E-2</c:v>
                </c:pt>
                <c:pt idx="3250">
                  <c:v>2.4536887552258718E-2</c:v>
                </c:pt>
                <c:pt idx="3251">
                  <c:v>2.4542913965289213E-2</c:v>
                </c:pt>
                <c:pt idx="3252">
                  <c:v>2.454581544054751E-2</c:v>
                </c:pt>
                <c:pt idx="3253">
                  <c:v>2.4548706079138859E-2</c:v>
                </c:pt>
                <c:pt idx="3254">
                  <c:v>2.4551585881016261E-2</c:v>
                </c:pt>
                <c:pt idx="3255">
                  <c:v>2.4554454846133604E-2</c:v>
                </c:pt>
                <c:pt idx="3256">
                  <c:v>2.4557312974444769E-2</c:v>
                </c:pt>
                <c:pt idx="3257">
                  <c:v>2.4560160265902322E-2</c:v>
                </c:pt>
                <c:pt idx="3258">
                  <c:v>2.4562996720459269E-2</c:v>
                </c:pt>
                <c:pt idx="3259">
                  <c:v>2.4567887929808355E-2</c:v>
                </c:pt>
                <c:pt idx="3260">
                  <c:v>2.4570701543904411E-2</c:v>
                </c:pt>
                <c:pt idx="3261">
                  <c:v>2.4573504319528608E-2</c:v>
                </c:pt>
                <c:pt idx="3262">
                  <c:v>2.4576296256637504E-2</c:v>
                </c:pt>
                <c:pt idx="3263">
                  <c:v>2.4578046901391058E-2</c:v>
                </c:pt>
                <c:pt idx="3264">
                  <c:v>2.4580817747504487E-2</c:v>
                </c:pt>
                <c:pt idx="3265">
                  <c:v>2.4584364338799233E-2</c:v>
                </c:pt>
                <c:pt idx="3266">
                  <c:v>2.4586326925878314E-2</c:v>
                </c:pt>
                <c:pt idx="3267">
                  <c:v>2.4589065258048728E-2</c:v>
                </c:pt>
                <c:pt idx="3268">
                  <c:v>2.4592820267885063E-2</c:v>
                </c:pt>
                <c:pt idx="3269">
                  <c:v>2.4595536334103951E-2</c:v>
                </c:pt>
                <c:pt idx="3270">
                  <c:v>2.4598241561444349E-2</c:v>
                </c:pt>
                <c:pt idx="3271">
                  <c:v>2.4600935949861947E-2</c:v>
                </c:pt>
                <c:pt idx="3272">
                  <c:v>2.4602594346955824E-2</c:v>
                </c:pt>
                <c:pt idx="3273">
                  <c:v>2.4605267650039422E-2</c:v>
                </c:pt>
                <c:pt idx="3274">
                  <c:v>2.4607930114787329E-2</c:v>
                </c:pt>
                <c:pt idx="3275">
                  <c:v>2.4610581741155858E-2</c:v>
                </c:pt>
                <c:pt idx="3276">
                  <c:v>2.4615268073401461E-2</c:v>
                </c:pt>
                <c:pt idx="3277">
                  <c:v>2.4616874660526724E-2</c:v>
                </c:pt>
                <c:pt idx="3278">
                  <c:v>2.4619493175256985E-2</c:v>
                </c:pt>
                <c:pt idx="3279">
                  <c:v>2.4622100850715596E-2</c:v>
                </c:pt>
                <c:pt idx="3280">
                  <c:v>2.4624697686859976E-2</c:v>
                </c:pt>
                <c:pt idx="3281">
                  <c:v>2.4627283683647118E-2</c:v>
                </c:pt>
                <c:pt idx="3282">
                  <c:v>2.4629858841034014E-2</c:v>
                </c:pt>
                <c:pt idx="3283">
                  <c:v>2.4632423158979393E-2</c:v>
                </c:pt>
                <c:pt idx="3284">
                  <c:v>2.463497663744111E-2</c:v>
                </c:pt>
                <c:pt idx="3285">
                  <c:v>2.4635484481361582E-2</c:v>
                </c:pt>
                <c:pt idx="3286">
                  <c:v>2.4638017484674615E-2</c:v>
                </c:pt>
                <c:pt idx="3287">
                  <c:v>2.4640539649822997E-2</c:v>
                </c:pt>
                <c:pt idx="3288">
                  <c:v>2.4643050976767198E-2</c:v>
                </c:pt>
                <c:pt idx="3289">
                  <c:v>2.4641491382875913E-2</c:v>
                </c:pt>
                <c:pt idx="3290">
                  <c:v>2.4648041115878355E-2</c:v>
                </c:pt>
                <c:pt idx="3291">
                  <c:v>2.4650519927964496E-2</c:v>
                </c:pt>
                <c:pt idx="3292">
                  <c:v>2.4652987901682633E-2</c:v>
                </c:pt>
                <c:pt idx="3293">
                  <c:v>2.4655445036995433E-2</c:v>
                </c:pt>
                <c:pt idx="3294">
                  <c:v>2.4657891333860728E-2</c:v>
                </c:pt>
                <c:pt idx="3295">
                  <c:v>2.4660326792238119E-2</c:v>
                </c:pt>
                <c:pt idx="3296">
                  <c:v>2.4662751412091143E-2</c:v>
                </c:pt>
                <c:pt idx="3297">
                  <c:v>2.4665165193378077E-2</c:v>
                </c:pt>
                <c:pt idx="3298">
                  <c:v>2.4667568136060272E-2</c:v>
                </c:pt>
                <c:pt idx="3299">
                  <c:v>2.466996024009864E-2</c:v>
                </c:pt>
                <c:pt idx="3300">
                  <c:v>2.4672341505455407E-2</c:v>
                </c:pt>
                <c:pt idx="3301">
                  <c:v>2.467471193208929E-2</c:v>
                </c:pt>
                <c:pt idx="3302">
                  <c:v>2.4676400721785258E-2</c:v>
                </c:pt>
                <c:pt idx="3303">
                  <c:v>2.4678748536709833E-2</c:v>
                </c:pt>
                <c:pt idx="3304">
                  <c:v>2.4681085513519031E-2</c:v>
                </c:pt>
                <c:pt idx="3305">
                  <c:v>2.4683411652174428E-2</c:v>
                </c:pt>
                <c:pt idx="3306">
                  <c:v>2.4685726952638484E-2</c:v>
                </c:pt>
                <c:pt idx="3307">
                  <c:v>2.4688031414874991E-2</c:v>
                </c:pt>
                <c:pt idx="3308">
                  <c:v>2.469032503884596E-2</c:v>
                </c:pt>
                <c:pt idx="3309">
                  <c:v>2.4692607824514743E-2</c:v>
                </c:pt>
                <c:pt idx="3310">
                  <c:v>2.4694879771843356E-2</c:v>
                </c:pt>
                <c:pt idx="3311">
                  <c:v>2.4700145168119036E-2</c:v>
                </c:pt>
                <c:pt idx="3312">
                  <c:v>2.4702393576004563E-2</c:v>
                </c:pt>
                <c:pt idx="3313">
                  <c:v>2.4704631143255613E-2</c:v>
                </c:pt>
                <c:pt idx="3314">
                  <c:v>2.470685786983743E-2</c:v>
                </c:pt>
                <c:pt idx="3315">
                  <c:v>2.4708706126016375E-2</c:v>
                </c:pt>
                <c:pt idx="3316">
                  <c:v>2.4710908697889021E-2</c:v>
                </c:pt>
                <c:pt idx="3317">
                  <c:v>2.4713100429701457E-2</c:v>
                </c:pt>
                <c:pt idx="3318">
                  <c:v>2.4715281321418293E-2</c:v>
                </c:pt>
                <c:pt idx="3319">
                  <c:v>2.4719752797787917E-2</c:v>
                </c:pt>
                <c:pt idx="3320">
                  <c:v>2.4722597403214669E-2</c:v>
                </c:pt>
                <c:pt idx="3321">
                  <c:v>2.4724743890911501E-2</c:v>
                </c:pt>
                <c:pt idx="3322">
                  <c:v>2.4726879536181592E-2</c:v>
                </c:pt>
                <c:pt idx="3323">
                  <c:v>2.472602317732361E-2</c:v>
                </c:pt>
                <c:pt idx="3324">
                  <c:v>2.4728139027723851E-2</c:v>
                </c:pt>
                <c:pt idx="3325">
                  <c:v>2.4730244037783008E-2</c:v>
                </c:pt>
                <c:pt idx="3326">
                  <c:v>2.4732338207466138E-2</c:v>
                </c:pt>
                <c:pt idx="3327">
                  <c:v>2.4737395124900089E-2</c:v>
                </c:pt>
                <c:pt idx="3328">
                  <c:v>2.4739465714873118E-2</c:v>
                </c:pt>
                <c:pt idx="3329">
                  <c:v>2.4741525462175729E-2</c:v>
                </c:pt>
                <c:pt idx="3330">
                  <c:v>2.4743574366772252E-2</c:v>
                </c:pt>
                <c:pt idx="3331">
                  <c:v>2.4745612428630024E-2</c:v>
                </c:pt>
                <c:pt idx="3332">
                  <c:v>2.4744675575770377E-2</c:v>
                </c:pt>
                <c:pt idx="3333">
                  <c:v>2.4749656023994374E-2</c:v>
                </c:pt>
                <c:pt idx="3334">
                  <c:v>2.4751661557433052E-2</c:v>
                </c:pt>
                <c:pt idx="3335">
                  <c:v>2.4753656247998461E-2</c:v>
                </c:pt>
                <c:pt idx="3336">
                  <c:v>2.4752683676194473E-2</c:v>
                </c:pt>
                <c:pt idx="3337">
                  <c:v>2.4752688850603118E-2</c:v>
                </c:pt>
                <c:pt idx="3338">
                  <c:v>2.4754654213223169E-2</c:v>
                </c:pt>
                <c:pt idx="3339">
                  <c:v>2.4756608736501866E-2</c:v>
                </c:pt>
                <c:pt idx="3340">
                  <c:v>2.4758552420408728E-2</c:v>
                </c:pt>
                <c:pt idx="3341">
                  <c:v>2.4761467583202884E-2</c:v>
                </c:pt>
                <c:pt idx="3342">
                  <c:v>2.4763388945353584E-2</c:v>
                </c:pt>
                <c:pt idx="3343">
                  <c:v>2.4765299467305654E-2</c:v>
                </c:pt>
                <c:pt idx="3344">
                  <c:v>2.4767199149026156E-2</c:v>
                </c:pt>
                <c:pt idx="3345">
                  <c:v>2.4769087990484783E-2</c:v>
                </c:pt>
                <c:pt idx="3346">
                  <c:v>2.4769986895266077E-2</c:v>
                </c:pt>
                <c:pt idx="3347">
                  <c:v>2.4771854702691269E-2</c:v>
                </c:pt>
                <c:pt idx="3348">
                  <c:v>2.4773711670498636E-2</c:v>
                </c:pt>
                <c:pt idx="3349">
                  <c:v>2.4775557798655503E-2</c:v>
                </c:pt>
                <c:pt idx="3350">
                  <c:v>2.4778369592788219E-2</c:v>
                </c:pt>
                <c:pt idx="3351">
                  <c:v>2.4780193392039622E-2</c:v>
                </c:pt>
                <c:pt idx="3352">
                  <c:v>2.4782006350817887E-2</c:v>
                </c:pt>
                <c:pt idx="3353">
                  <c:v>2.478483338379088E-2</c:v>
                </c:pt>
                <c:pt idx="3354">
                  <c:v>2.4784880948707701E-2</c:v>
                </c:pt>
                <c:pt idx="3355">
                  <c:v>2.4786406933309583E-2</c:v>
                </c:pt>
                <c:pt idx="3356">
                  <c:v>2.4788177183097226E-2</c:v>
                </c:pt>
                <c:pt idx="3357">
                  <c:v>2.4789936593002507E-2</c:v>
                </c:pt>
                <c:pt idx="3358">
                  <c:v>2.4791685162996277E-2</c:v>
                </c:pt>
                <c:pt idx="3359">
                  <c:v>2.4793422893050716E-2</c:v>
                </c:pt>
                <c:pt idx="3360">
                  <c:v>2.4795149783137994E-2</c:v>
                </c:pt>
                <c:pt idx="3361">
                  <c:v>2.4796865833229414E-2</c:v>
                </c:pt>
                <c:pt idx="3362">
                  <c:v>2.4798571043296708E-2</c:v>
                </c:pt>
                <c:pt idx="3363">
                  <c:v>2.4805105247821497E-2</c:v>
                </c:pt>
                <c:pt idx="3364">
                  <c:v>2.4806785481393989E-2</c:v>
                </c:pt>
                <c:pt idx="3365">
                  <c:v>2.4808454871176958E-2</c:v>
                </c:pt>
                <c:pt idx="3366">
                  <c:v>2.4810113417144619E-2</c:v>
                </c:pt>
                <c:pt idx="3367">
                  <c:v>2.4808865200797701E-2</c:v>
                </c:pt>
                <c:pt idx="3368">
                  <c:v>2.4810504046005873E-2</c:v>
                </c:pt>
                <c:pt idx="3369">
                  <c:v>2.4812132049528028E-2</c:v>
                </c:pt>
                <c:pt idx="3370">
                  <c:v>2.4813749211336208E-2</c:v>
                </c:pt>
                <c:pt idx="3371">
                  <c:v>2.4815355531406829E-2</c:v>
                </c:pt>
                <c:pt idx="3372">
                  <c:v>2.4819836971288412E-2</c:v>
                </c:pt>
                <c:pt idx="3373">
                  <c:v>2.482141960978437E-2</c:v>
                </c:pt>
                <c:pt idx="3374">
                  <c:v>2.4822991404249702E-2</c:v>
                </c:pt>
                <c:pt idx="3375">
                  <c:v>2.4824552354657775E-2</c:v>
                </c:pt>
                <c:pt idx="3376">
                  <c:v>2.4823224504753851E-2</c:v>
                </c:pt>
                <c:pt idx="3377">
                  <c:v>2.4824765773843474E-2</c:v>
                </c:pt>
                <c:pt idx="3378">
                  <c:v>2.4826296201012951E-2</c:v>
                </c:pt>
                <c:pt idx="3379">
                  <c:v>2.4830687715203838E-2</c:v>
                </c:pt>
                <c:pt idx="3380">
                  <c:v>2.4832194444941374E-2</c:v>
                </c:pt>
                <c:pt idx="3381">
                  <c:v>2.4833690330468648E-2</c:v>
                </c:pt>
                <c:pt idx="3382">
                  <c:v>2.4835175371762885E-2</c:v>
                </c:pt>
                <c:pt idx="3383">
                  <c:v>2.4836649568797008E-2</c:v>
                </c:pt>
                <c:pt idx="3384">
                  <c:v>2.4835251082344269E-2</c:v>
                </c:pt>
                <c:pt idx="3385">
                  <c:v>2.4839565429988216E-2</c:v>
                </c:pt>
                <c:pt idx="3386">
                  <c:v>2.484100709409889E-2</c:v>
                </c:pt>
                <c:pt idx="3387">
                  <c:v>2.4842437913853179E-2</c:v>
                </c:pt>
                <c:pt idx="3388">
                  <c:v>2.4843857889226162E-2</c:v>
                </c:pt>
                <c:pt idx="3389">
                  <c:v>2.4841464718742035E-2</c:v>
                </c:pt>
                <c:pt idx="3390">
                  <c:v>2.4842865719351626E-2</c:v>
                </c:pt>
                <c:pt idx="3391">
                  <c:v>2.4844255878470875E-2</c:v>
                </c:pt>
                <c:pt idx="3392">
                  <c:v>2.4845635196076063E-2</c:v>
                </c:pt>
                <c:pt idx="3393">
                  <c:v>2.484795156169313E-2</c:v>
                </c:pt>
                <c:pt idx="3394">
                  <c:v>2.4853097128802442E-2</c:v>
                </c:pt>
                <c:pt idx="3395">
                  <c:v>2.4850654625743755E-2</c:v>
                </c:pt>
                <c:pt idx="3396">
                  <c:v>2.4851989894266829E-2</c:v>
                </c:pt>
                <c:pt idx="3397">
                  <c:v>2.4853314320426392E-2</c:v>
                </c:pt>
                <c:pt idx="3398">
                  <c:v>2.4853683428695313E-2</c:v>
                </c:pt>
                <c:pt idx="3399">
                  <c:v>2.4854986855092898E-2</c:v>
                </c:pt>
                <c:pt idx="3400">
                  <c:v>2.4856279439802054E-2</c:v>
                </c:pt>
                <c:pt idx="3401">
                  <c:v>2.4857561182803901E-2</c:v>
                </c:pt>
                <c:pt idx="3402">
                  <c:v>2.4859773815017628E-2</c:v>
                </c:pt>
                <c:pt idx="3403">
                  <c:v>2.4861033186546221E-2</c:v>
                </c:pt>
                <c:pt idx="3404">
                  <c:v>2.4862281715564535E-2</c:v>
                </c:pt>
                <c:pt idx="3405">
                  <c:v>2.4863519402050293E-2</c:v>
                </c:pt>
                <c:pt idx="3406">
                  <c:v>2.4863807271464693E-2</c:v>
                </c:pt>
                <c:pt idx="3407">
                  <c:v>2.4865023963785652E-2</c:v>
                </c:pt>
                <c:pt idx="3408">
                  <c:v>2.4866229814256118E-2</c:v>
                </c:pt>
                <c:pt idx="3409">
                  <c:v>2.4867424822857642E-2</c:v>
                </c:pt>
                <c:pt idx="3410">
                  <c:v>2.4868608989568705E-2</c:v>
                </c:pt>
                <c:pt idx="3411">
                  <c:v>2.4869782314371296E-2</c:v>
                </c:pt>
                <c:pt idx="3412">
                  <c:v>2.4870944797246532E-2</c:v>
                </c:pt>
                <c:pt idx="3413">
                  <c:v>2.4872096438175086E-2</c:v>
                </c:pt>
                <c:pt idx="3414">
                  <c:v>2.4873237237138513E-2</c:v>
                </c:pt>
                <c:pt idx="3415">
                  <c:v>2.4878097966914585E-2</c:v>
                </c:pt>
                <c:pt idx="3416">
                  <c:v>2.4879214290742798E-2</c:v>
                </c:pt>
                <c:pt idx="3417">
                  <c:v>2.488031976958073E-2</c:v>
                </c:pt>
                <c:pt idx="3418">
                  <c:v>2.4881414403410334E-2</c:v>
                </c:pt>
                <c:pt idx="3419">
                  <c:v>2.4879708536023788E-2</c:v>
                </c:pt>
                <c:pt idx="3420">
                  <c:v>2.4880783582206575E-2</c:v>
                </c:pt>
                <c:pt idx="3421">
                  <c:v>2.4881847785555841E-2</c:v>
                </c:pt>
                <c:pt idx="3422">
                  <c:v>2.4882901146054997E-2</c:v>
                </c:pt>
                <c:pt idx="3423">
                  <c:v>2.488394366368438E-2</c:v>
                </c:pt>
                <c:pt idx="3424">
                  <c:v>2.4887754460204303E-2</c:v>
                </c:pt>
                <c:pt idx="3425">
                  <c:v>2.4888773178474904E-2</c:v>
                </c:pt>
                <c:pt idx="3426">
                  <c:v>2.4889781051597931E-2</c:v>
                </c:pt>
                <c:pt idx="3427">
                  <c:v>2.48907780795549E-2</c:v>
                </c:pt>
                <c:pt idx="3428">
                  <c:v>2.4888993608215556E-2</c:v>
                </c:pt>
                <c:pt idx="3429">
                  <c:v>2.4889971068283414E-2</c:v>
                </c:pt>
                <c:pt idx="3430">
                  <c:v>2.4890937685367057E-2</c:v>
                </c:pt>
                <c:pt idx="3431">
                  <c:v>2.4891893459450323E-2</c:v>
                </c:pt>
                <c:pt idx="3432">
                  <c:v>2.4892838390519235E-2</c:v>
                </c:pt>
                <c:pt idx="3433">
                  <c:v>2.4896532497904463E-2</c:v>
                </c:pt>
                <c:pt idx="3434">
                  <c:v>2.4897453609248651E-2</c:v>
                </c:pt>
                <c:pt idx="3435">
                  <c:v>2.4898363875299576E-2</c:v>
                </c:pt>
                <c:pt idx="3436">
                  <c:v>2.4899263296043479E-2</c:v>
                </c:pt>
                <c:pt idx="3437">
                  <c:v>2.4900151871464892E-2</c:v>
                </c:pt>
                <c:pt idx="3438">
                  <c:v>2.4901029601547057E-2</c:v>
                </c:pt>
                <c:pt idx="3439">
                  <c:v>2.4901896486277938E-2</c:v>
                </c:pt>
                <c:pt idx="3440">
                  <c:v>2.4902752525642065E-2</c:v>
                </c:pt>
                <c:pt idx="3441">
                  <c:v>2.4899026107048243E-2</c:v>
                </c:pt>
                <c:pt idx="3442">
                  <c:v>2.4899864040970714E-2</c:v>
                </c:pt>
                <c:pt idx="3443">
                  <c:v>2.4900691133206296E-2</c:v>
                </c:pt>
                <c:pt idx="3444">
                  <c:v>2.4901507383743072E-2</c:v>
                </c:pt>
                <c:pt idx="3445">
                  <c:v>2.4902312792566023E-2</c:v>
                </c:pt>
                <c:pt idx="3446">
                  <c:v>2.4904018143668522E-2</c:v>
                </c:pt>
                <c:pt idx="3447">
                  <c:v>2.4904801148441631E-2</c:v>
                </c:pt>
                <c:pt idx="3448">
                  <c:v>2.4905573310718167E-2</c:v>
                </c:pt>
                <c:pt idx="3449">
                  <c:v>2.4906334630486714E-2</c:v>
                </c:pt>
                <c:pt idx="3450">
                  <c:v>2.4906177210532641E-2</c:v>
                </c:pt>
                <c:pt idx="3451">
                  <c:v>2.4906917568808983E-2</c:v>
                </c:pt>
                <c:pt idx="3452">
                  <c:v>2.4907647085285384E-2</c:v>
                </c:pt>
                <c:pt idx="3453">
                  <c:v>2.4908365759948588E-2</c:v>
                </c:pt>
                <c:pt idx="3454">
                  <c:v>2.4909978591268183E-2</c:v>
                </c:pt>
                <c:pt idx="3455">
                  <c:v>2.4910674855729655E-2</c:v>
                </c:pt>
                <c:pt idx="3456">
                  <c:v>2.4911360277599683E-2</c:v>
                </c:pt>
                <c:pt idx="3457">
                  <c:v>2.4912034856866855E-2</c:v>
                </c:pt>
                <c:pt idx="3458">
                  <c:v>2.4912698593520188E-2</c:v>
                </c:pt>
                <c:pt idx="3459">
                  <c:v>2.4912450129233363E-2</c:v>
                </c:pt>
                <c:pt idx="3460">
                  <c:v>2.4913092910895072E-2</c:v>
                </c:pt>
                <c:pt idx="3461">
                  <c:v>2.4913724850656585E-2</c:v>
                </c:pt>
                <c:pt idx="3462">
                  <c:v>2.4914345948507749E-2</c:v>
                </c:pt>
                <c:pt idx="3463">
                  <c:v>2.4914956204438399E-2</c:v>
                </c:pt>
                <c:pt idx="3464">
                  <c:v>2.4915555618437939E-2</c:v>
                </c:pt>
                <c:pt idx="3465">
                  <c:v>2.491614419049798E-2</c:v>
                </c:pt>
                <c:pt idx="3466">
                  <c:v>2.49167219206088E-2</c:v>
                </c:pt>
                <c:pt idx="3467">
                  <c:v>2.4921765992232048E-2</c:v>
                </c:pt>
                <c:pt idx="3468">
                  <c:v>2.4922318356218429E-2</c:v>
                </c:pt>
                <c:pt idx="3469">
                  <c:v>2.4922859874500256E-2</c:v>
                </c:pt>
                <c:pt idx="3470">
                  <c:v>2.4923390547066791E-2</c:v>
                </c:pt>
                <c:pt idx="3471">
                  <c:v>2.4921233003689685E-2</c:v>
                </c:pt>
                <c:pt idx="3472">
                  <c:v>2.4921744203380787E-2</c:v>
                </c:pt>
                <c:pt idx="3473">
                  <c:v>2.4922244559568745E-2</c:v>
                </c:pt>
                <c:pt idx="3474">
                  <c:v>2.4922734072245694E-2</c:v>
                </c:pt>
                <c:pt idx="3475">
                  <c:v>2.4923212741402904E-2</c:v>
                </c:pt>
                <c:pt idx="3476">
                  <c:v>2.4926346821979833E-2</c:v>
                </c:pt>
                <c:pt idx="3477">
                  <c:v>2.4926801574307669E-2</c:v>
                </c:pt>
                <c:pt idx="3478">
                  <c:v>2.4927245480855748E-2</c:v>
                </c:pt>
                <c:pt idx="3479">
                  <c:v>2.4927678541616764E-2</c:v>
                </c:pt>
                <c:pt idx="3480">
                  <c:v>2.4925443434141624E-2</c:v>
                </c:pt>
                <c:pt idx="3481">
                  <c:v>2.4925857042027488E-2</c:v>
                </c:pt>
                <c:pt idx="3482">
                  <c:v>2.4926259806344251E-2</c:v>
                </c:pt>
                <c:pt idx="3483">
                  <c:v>2.4926651727084047E-2</c:v>
                </c:pt>
                <c:pt idx="3484">
                  <c:v>2.4927032804241637E-2</c:v>
                </c:pt>
                <c:pt idx="3485">
                  <c:v>2.4930049144254826E-2</c:v>
                </c:pt>
                <c:pt idx="3486">
                  <c:v>2.4930406284312569E-2</c:v>
                </c:pt>
                <c:pt idx="3487">
                  <c:v>2.4930752578531244E-2</c:v>
                </c:pt>
                <c:pt idx="3488">
                  <c:v>2.4931088026903549E-2</c:v>
                </c:pt>
                <c:pt idx="3489">
                  <c:v>2.4931412629424325E-2</c:v>
                </c:pt>
                <c:pt idx="3490">
                  <c:v>2.4931726386088846E-2</c:v>
                </c:pt>
                <c:pt idx="3491">
                  <c:v>2.4932029296891953E-2</c:v>
                </c:pt>
                <c:pt idx="3492">
                  <c:v>2.4932321361828061E-2</c:v>
                </c:pt>
                <c:pt idx="3493">
                  <c:v>2.4928222346701785E-2</c:v>
                </c:pt>
                <c:pt idx="3494">
                  <c:v>2.4928496499075074E-2</c:v>
                </c:pt>
                <c:pt idx="3495">
                  <c:v>2.4928759809298644E-2</c:v>
                </c:pt>
                <c:pt idx="3496">
                  <c:v>2.4929012277369402E-2</c:v>
                </c:pt>
                <c:pt idx="3497">
                  <c:v>2.4929253903282052E-2</c:v>
                </c:pt>
                <c:pt idx="3498">
                  <c:v>2.4930357012321224E-2</c:v>
                </c:pt>
                <c:pt idx="3499">
                  <c:v>2.4930576194550514E-2</c:v>
                </c:pt>
                <c:pt idx="3500">
                  <c:v>2.4930784533864665E-2</c:v>
                </c:pt>
                <c:pt idx="3501">
                  <c:v>2.4930982030260167E-2</c:v>
                </c:pt>
                <c:pt idx="3502">
                  <c:v>2.4930299400355717E-2</c:v>
                </c:pt>
                <c:pt idx="3503">
                  <c:v>2.49304759732486E-2</c:v>
                </c:pt>
                <c:pt idx="3504">
                  <c:v>2.4930641703959963E-2</c:v>
                </c:pt>
                <c:pt idx="3505">
                  <c:v>2.4930796592487602E-2</c:v>
                </c:pt>
                <c:pt idx="3506">
                  <c:v>2.4931806869981088E-2</c:v>
                </c:pt>
                <c:pt idx="3507">
                  <c:v>2.4931939454911376E-2</c:v>
                </c:pt>
                <c:pt idx="3508">
                  <c:v>2.4932061733092804E-2</c:v>
                </c:pt>
                <c:pt idx="3509">
                  <c:v>2.4932174121562324E-2</c:v>
                </c:pt>
                <c:pt idx="3510">
                  <c:v>2.4932290990646404E-2</c:v>
                </c:pt>
                <c:pt idx="3511">
                  <c:v>2.4931520506621545E-2</c:v>
                </c:pt>
                <c:pt idx="3512">
                  <c:v>2.4931604986510706E-2</c:v>
                </c:pt>
                <c:pt idx="3513">
                  <c:v>2.4931681259874904E-2</c:v>
                </c:pt>
                <c:pt idx="3514">
                  <c:v>2.4931749746025578E-2</c:v>
                </c:pt>
                <c:pt idx="3515">
                  <c:v>2.4931810864271955E-2</c:v>
                </c:pt>
                <c:pt idx="3516">
                  <c:v>2.4931865033925908E-2</c:v>
                </c:pt>
                <c:pt idx="3517">
                  <c:v>2.4931912674298441E-2</c:v>
                </c:pt>
                <c:pt idx="3518">
                  <c:v>2.4931954204701866E-2</c:v>
                </c:pt>
                <c:pt idx="3519">
                  <c:v>2.4935432379795185E-2</c:v>
                </c:pt>
                <c:pt idx="3520">
                  <c:v>2.4935462295488459E-2</c:v>
                </c:pt>
                <c:pt idx="3521">
                  <c:v>2.4935487462748734E-2</c:v>
                </c:pt>
                <c:pt idx="3522">
                  <c:v>2.4935508291932734E-2</c:v>
                </c:pt>
                <c:pt idx="3523">
                  <c:v>2.4932944905283569E-2</c:v>
                </c:pt>
                <c:pt idx="3524">
                  <c:v>2.4935538577509159E-2</c:v>
                </c:pt>
                <c:pt idx="3525">
                  <c:v>2.4933833566490503E-2</c:v>
                </c:pt>
                <c:pt idx="3526">
                  <c:v>2.4935556435083606E-2</c:v>
                </c:pt>
                <c:pt idx="3527">
                  <c:v>2.4935561729266861E-2</c:v>
                </c:pt>
                <c:pt idx="3528">
                  <c:v>2.4935565147525401E-2</c:v>
                </c:pt>
                <c:pt idx="3529">
                  <c:v>2.493556710021811E-2</c:v>
                </c:pt>
                <c:pt idx="3530">
                  <c:v>2.4935567997702576E-2</c:v>
                </c:pt>
                <c:pt idx="3531">
                  <c:v>2.4935568250338543E-2</c:v>
                </c:pt>
                <c:pt idx="3532">
                  <c:v>2.4935568263099794E-2</c:v>
                </c:pt>
              </c:numCache>
            </c:numRef>
          </c:yVal>
          <c:smooth val="0"/>
        </c:ser>
        <c:dLbls>
          <c:showLegendKey val="0"/>
          <c:showVal val="0"/>
          <c:showCatName val="0"/>
          <c:showSerName val="0"/>
          <c:showPercent val="0"/>
          <c:showBubbleSize val="0"/>
        </c:dLbls>
        <c:axId val="339629952"/>
        <c:axId val="339640320"/>
      </c:scatterChart>
      <c:valAx>
        <c:axId val="339629952"/>
        <c:scaling>
          <c:orientation val="minMax"/>
          <c:max val="45748"/>
          <c:min val="41547"/>
        </c:scaling>
        <c:delete val="0"/>
        <c:axPos val="b"/>
        <c:numFmt formatCode="mmm\ yy" sourceLinked="0"/>
        <c:majorTickMark val="out"/>
        <c:minorTickMark val="in"/>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39640320"/>
        <c:crossesAt val="-5.0000000000000001E-3"/>
        <c:crossBetween val="midCat"/>
        <c:majorUnit val="182.625"/>
        <c:minorUnit val="91.3125"/>
      </c:valAx>
      <c:valAx>
        <c:axId val="339640320"/>
        <c:scaling>
          <c:orientation val="minMax"/>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629952"/>
        <c:crosses val="autoZero"/>
        <c:crossBetween val="midCat"/>
        <c:majorUnit val="5.0000000000000001E-3"/>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553323029366303E-2"/>
          <c:y val="0.11061970802446597"/>
          <c:w val="0.87635239567233381"/>
          <c:h val="0.63274472989994535"/>
        </c:manualLayout>
      </c:layout>
      <c:scatterChart>
        <c:scatterStyle val="smoothMarker"/>
        <c:varyColors val="0"/>
        <c:ser>
          <c:idx val="0"/>
          <c:order val="0"/>
          <c:spPr>
            <a:ln w="28575">
              <a:noFill/>
            </a:ln>
          </c:spPr>
          <c:marker>
            <c:symbol val="diamond"/>
            <c:size val="2"/>
            <c:spPr>
              <a:solidFill>
                <a:srgbClr val="000080"/>
              </a:solidFill>
              <a:ln>
                <a:solidFill>
                  <a:srgbClr val="000080"/>
                </a:solidFill>
                <a:prstDash val="solid"/>
              </a:ln>
            </c:spPr>
          </c:marker>
          <c:xVal>
            <c:numRef>
              <c:f>Monitor!$C$5:$C$15377</c:f>
              <c:numCache>
                <c:formatCode>ddd\,\ dd\-mmm\-yyyy</c:formatCode>
                <c:ptCount val="15372"/>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numCache>
            </c:numRef>
          </c:xVal>
          <c:yVal>
            <c:numRef>
              <c:f>Monitor!$D$5:$D$15377</c:f>
              <c:numCache>
                <c:formatCode>0.0000%</c:formatCode>
                <c:ptCount val="15372"/>
                <c:pt idx="0">
                  <c:v>3.8825524408421133E-3</c:v>
                </c:pt>
                <c:pt idx="1">
                  <c:v>3.8619352703961451E-3</c:v>
                </c:pt>
                <c:pt idx="2">
                  <c:v>3.762591618581898E-3</c:v>
                </c:pt>
                <c:pt idx="3">
                  <c:v>3.7360392201340751E-3</c:v>
                </c:pt>
                <c:pt idx="4">
                  <c:v>3.7103343107802362E-3</c:v>
                </c:pt>
                <c:pt idx="5">
                  <c:v>3.685194534659722E-3</c:v>
                </c:pt>
                <c:pt idx="6">
                  <c:v>3.6408363837411579E-3</c:v>
                </c:pt>
                <c:pt idx="7">
                  <c:v>3.589343934461402E-3</c:v>
                </c:pt>
                <c:pt idx="8">
                  <c:v>3.567278170357189E-3</c:v>
                </c:pt>
                <c:pt idx="9">
                  <c:v>3.5462884415623564E-3</c:v>
                </c:pt>
                <c:pt idx="10">
                  <c:v>3.5265333787186407E-3</c:v>
                </c:pt>
                <c:pt idx="11">
                  <c:v>3.4928412470990717E-3</c:v>
                </c:pt>
                <c:pt idx="12">
                  <c:v>3.4593856330838368E-3</c:v>
                </c:pt>
                <c:pt idx="13">
                  <c:v>3.4447075927059468E-3</c:v>
                </c:pt>
                <c:pt idx="14">
                  <c:v>3.4305066512951661E-3</c:v>
                </c:pt>
                <c:pt idx="15">
                  <c:v>3.4165995897766106E-3</c:v>
                </c:pt>
                <c:pt idx="16">
                  <c:v>3.3926100826588263E-3</c:v>
                </c:pt>
                <c:pt idx="17">
                  <c:v>3.3626594461545279E-3</c:v>
                </c:pt>
                <c:pt idx="18">
                  <c:v>3.3497740163817308E-3</c:v>
                </c:pt>
                <c:pt idx="19">
                  <c:v>3.3269906456359585E-3</c:v>
                </c:pt>
                <c:pt idx="20">
                  <c:v>3.3091371254391965E-3</c:v>
                </c:pt>
                <c:pt idx="21">
                  <c:v>3.2800000000011566E-3</c:v>
                </c:pt>
                <c:pt idx="22">
                  <c:v>3.2709129973088166E-3</c:v>
                </c:pt>
                <c:pt idx="23">
                  <c:v>3.2621584819208351E-3</c:v>
                </c:pt>
                <c:pt idx="24">
                  <c:v>3.2563956254829944E-3</c:v>
                </c:pt>
                <c:pt idx="25">
                  <c:v>3.2478786648384261E-3</c:v>
                </c:pt>
                <c:pt idx="26">
                  <c:v>3.2266008002222193E-3</c:v>
                </c:pt>
                <c:pt idx="27">
                  <c:v>3.2208347181747359E-3</c:v>
                </c:pt>
                <c:pt idx="28">
                  <c:v>3.2154572429643966E-3</c:v>
                </c:pt>
                <c:pt idx="29">
                  <c:v>3.2170760528976174E-3</c:v>
                </c:pt>
                <c:pt idx="30">
                  <c:v>3.2092218538407814E-3</c:v>
                </c:pt>
                <c:pt idx="31">
                  <c:v>3.1935008558963531E-3</c:v>
                </c:pt>
                <c:pt idx="32">
                  <c:v>3.1899161592311965E-3</c:v>
                </c:pt>
                <c:pt idx="33">
                  <c:v>3.1865404520265601E-3</c:v>
                </c:pt>
                <c:pt idx="34">
                  <c:v>3.1918223250334658E-3</c:v>
                </c:pt>
                <c:pt idx="35">
                  <c:v>3.1846043127112993E-3</c:v>
                </c:pt>
                <c:pt idx="36">
                  <c:v>3.1718987226428529E-3</c:v>
                </c:pt>
                <c:pt idx="37">
                  <c:v>3.1692381337301906E-3</c:v>
                </c:pt>
                <c:pt idx="38">
                  <c:v>3.1666069297824244E-3</c:v>
                </c:pt>
                <c:pt idx="39">
                  <c:v>3.1719279512115906E-3</c:v>
                </c:pt>
                <c:pt idx="40">
                  <c:v>3.1652726162406577E-3</c:v>
                </c:pt>
                <c:pt idx="41">
                  <c:v>3.1529936892840792E-3</c:v>
                </c:pt>
                <c:pt idx="42">
                  <c:v>3.1499999999997836E-3</c:v>
                </c:pt>
                <c:pt idx="43">
                  <c:v>3.1468616528002764E-3</c:v>
                </c:pt>
                <c:pt idx="44">
                  <c:v>3.1404984170714592E-3</c:v>
                </c:pt>
                <c:pt idx="45">
                  <c:v>3.1428119309527798E-3</c:v>
                </c:pt>
                <c:pt idx="46">
                  <c:v>3.1291851303949032E-3</c:v>
                </c:pt>
                <c:pt idx="47">
                  <c:v>3.1253065470204307E-3</c:v>
                </c:pt>
                <c:pt idx="48">
                  <c:v>3.1213314299753359E-3</c:v>
                </c:pt>
                <c:pt idx="49">
                  <c:v>3.120457054485768E-3</c:v>
                </c:pt>
                <c:pt idx="50">
                  <c:v>3.1146698453577175E-3</c:v>
                </c:pt>
                <c:pt idx="51">
                  <c:v>3.1002762241881957E-3</c:v>
                </c:pt>
                <c:pt idx="52">
                  <c:v>3.0958829350370277E-3</c:v>
                </c:pt>
                <c:pt idx="53">
                  <c:v>3.0914467883105452E-3</c:v>
                </c:pt>
                <c:pt idx="54">
                  <c:v>3.0886660339402372E-3</c:v>
                </c:pt>
                <c:pt idx="55">
                  <c:v>3.0832977761696334E-3</c:v>
                </c:pt>
                <c:pt idx="56">
                  <c:v>3.0688915604755273E-3</c:v>
                </c:pt>
                <c:pt idx="57">
                  <c:v>3.0643592889808995E-3</c:v>
                </c:pt>
                <c:pt idx="58">
                  <c:v>3.0598378328188141E-3</c:v>
                </c:pt>
                <c:pt idx="59">
                  <c:v>3.0562441148290582E-3</c:v>
                </c:pt>
                <c:pt idx="60">
                  <c:v>3.0513115802061697E-3</c:v>
                </c:pt>
                <c:pt idx="61">
                  <c:v>3.0376611342473824E-3</c:v>
                </c:pt>
                <c:pt idx="62">
                  <c:v>3.0333655804729628E-3</c:v>
                </c:pt>
                <c:pt idx="63">
                  <c:v>3.0291345115368816E-3</c:v>
                </c:pt>
                <c:pt idx="64">
                  <c:v>3.0245459272588413E-3</c:v>
                </c:pt>
                <c:pt idx="65">
                  <c:v>3.0200000000001961E-3</c:v>
                </c:pt>
                <c:pt idx="66">
                  <c:v>3.0081625230648202E-3</c:v>
                </c:pt>
                <c:pt idx="67">
                  <c:v>3.0038580247290798E-3</c:v>
                </c:pt>
                <c:pt idx="68">
                  <c:v>3.0001209726407455E-3</c:v>
                </c:pt>
                <c:pt idx="69">
                  <c:v>2.9964553740086017E-3</c:v>
                </c:pt>
                <c:pt idx="70">
                  <c:v>2.9928612901754027E-3</c:v>
                </c:pt>
                <c:pt idx="71">
                  <c:v>2.9831332901543882E-3</c:v>
                </c:pt>
                <c:pt idx="72">
                  <c:v>2.9792013299300337E-3</c:v>
                </c:pt>
                <c:pt idx="73">
                  <c:v>2.9759657404797432E-3</c:v>
                </c:pt>
                <c:pt idx="74">
                  <c:v>2.9728020340359612E-3</c:v>
                </c:pt>
                <c:pt idx="75">
                  <c:v>2.969710271991347E-3</c:v>
                </c:pt>
                <c:pt idx="76">
                  <c:v>2.961749161420695E-3</c:v>
                </c:pt>
                <c:pt idx="77">
                  <c:v>2.9580638959408297E-3</c:v>
                </c:pt>
                <c:pt idx="78">
                  <c:v>2.9553327770583996E-3</c:v>
                </c:pt>
                <c:pt idx="79">
                  <c:v>2.952673971093171E-3</c:v>
                </c:pt>
                <c:pt idx="80">
                  <c:v>2.9500875394921238E-3</c:v>
                </c:pt>
                <c:pt idx="81">
                  <c:v>2.9440310778621266E-3</c:v>
                </c:pt>
                <c:pt idx="82">
                  <c:v>2.9404667859051826E-3</c:v>
                </c:pt>
                <c:pt idx="83">
                  <c:v>2.938243148076176E-3</c:v>
                </c:pt>
                <c:pt idx="84">
                  <c:v>2.9360922534451537E-3</c:v>
                </c:pt>
                <c:pt idx="85">
                  <c:v>2.9340141635125342E-3</c:v>
                </c:pt>
                <c:pt idx="86">
                  <c:v>2.929999999999914E-3</c:v>
                </c:pt>
                <c:pt idx="87">
                  <c:v>2.928297314339317E-3</c:v>
                </c:pt>
                <c:pt idx="88">
                  <c:v>2.9266676683172331E-3</c:v>
                </c:pt>
                <c:pt idx="89">
                  <c:v>2.9251084284362865E-3</c:v>
                </c:pt>
                <c:pt idx="90">
                  <c:v>2.9315205622726377E-3</c:v>
                </c:pt>
                <c:pt idx="91">
                  <c:v>2.9215268503263443E-3</c:v>
                </c:pt>
                <c:pt idx="92">
                  <c:v>2.918276149787514E-3</c:v>
                </c:pt>
                <c:pt idx="93">
                  <c:v>2.9170840441306877E-3</c:v>
                </c:pt>
                <c:pt idx="94">
                  <c:v>2.9159439105282143E-3</c:v>
                </c:pt>
                <c:pt idx="95">
                  <c:v>2.9148531155872488E-3</c:v>
                </c:pt>
                <c:pt idx="96">
                  <c:v>2.911850428936279E-3</c:v>
                </c:pt>
                <c:pt idx="97">
                  <c:v>2.9109306548868274E-3</c:v>
                </c:pt>
                <c:pt idx="98">
                  <c:v>2.9100470526629112E-3</c:v>
                </c:pt>
                <c:pt idx="99">
                  <c:v>2.9091969889195588E-3</c:v>
                </c:pt>
                <c:pt idx="100">
                  <c:v>2.9083778303179491E-3</c:v>
                </c:pt>
                <c:pt idx="101">
                  <c:v>2.906079452066274E-3</c:v>
                </c:pt>
                <c:pt idx="102">
                  <c:v>2.9053575807598069E-3</c:v>
                </c:pt>
                <c:pt idx="103">
                  <c:v>2.9046534479839846E-3</c:v>
                </c:pt>
                <c:pt idx="104">
                  <c:v>2.9039644204307295E-3</c:v>
                </c:pt>
                <c:pt idx="105">
                  <c:v>2.903287864795039E-3</c:v>
                </c:pt>
                <c:pt idx="106">
                  <c:v>2.901306696410528E-3</c:v>
                </c:pt>
                <c:pt idx="107">
                  <c:v>2.900653695479398E-3</c:v>
                </c:pt>
                <c:pt idx="108">
                  <c:v>2.9000000000001126E-3</c:v>
                </c:pt>
                <c:pt idx="109">
                  <c:v>2.8993438283564988E-3</c:v>
                </c:pt>
                <c:pt idx="110">
                  <c:v>2.9015488427630025E-3</c:v>
                </c:pt>
                <c:pt idx="111">
                  <c:v>2.8967353977364281E-3</c:v>
                </c:pt>
                <c:pt idx="112">
                  <c:v>2.9001828011808307E-3</c:v>
                </c:pt>
                <c:pt idx="113">
                  <c:v>2.8998252603993188E-3</c:v>
                </c:pt>
                <c:pt idx="114">
                  <c:v>2.8994662882231353E-3</c:v>
                </c:pt>
                <c:pt idx="115">
                  <c:v>2.8991083750305713E-3</c:v>
                </c:pt>
                <c:pt idx="116">
                  <c:v>2.8926146418170808E-3</c:v>
                </c:pt>
                <c:pt idx="117">
                  <c:v>2.8977371195691264E-3</c:v>
                </c:pt>
                <c:pt idx="118">
                  <c:v>2.8974218568864262E-3</c:v>
                </c:pt>
                <c:pt idx="119">
                  <c:v>2.8971225954142485E-3</c:v>
                </c:pt>
                <c:pt idx="120">
                  <c:v>2.896841825518518E-3</c:v>
                </c:pt>
                <c:pt idx="121">
                  <c:v>2.8897871208788152E-3</c:v>
                </c:pt>
                <c:pt idx="122">
                  <c:v>2.8959534689969135E-3</c:v>
                </c:pt>
                <c:pt idx="123">
                  <c:v>2.8958025124537364E-3</c:v>
                </c:pt>
                <c:pt idx="124">
                  <c:v>2.8956849896746039E-3</c:v>
                </c:pt>
                <c:pt idx="125">
                  <c:v>2.8956033910258819E-3</c:v>
                </c:pt>
                <c:pt idx="126">
                  <c:v>2.8891023374198669E-3</c:v>
                </c:pt>
                <c:pt idx="127">
                  <c:v>2.8956860451145382E-3</c:v>
                </c:pt>
                <c:pt idx="128">
                  <c:v>2.89582142267475E-3</c:v>
                </c:pt>
                <c:pt idx="129">
                  <c:v>2.8960076666094993E-3</c:v>
                </c:pt>
                <c:pt idx="130">
                  <c:v>2.8900000014091616E-3</c:v>
                </c:pt>
                <c:pt idx="131">
                  <c:v>2.8913848270268566E-3</c:v>
                </c:pt>
                <c:pt idx="132">
                  <c:v>2.8919740438134271E-3</c:v>
                </c:pt>
                <c:pt idx="133">
                  <c:v>2.892621944050185E-3</c:v>
                </c:pt>
                <c:pt idx="134">
                  <c:v>2.8933254553363346E-3</c:v>
                </c:pt>
                <c:pt idx="135">
                  <c:v>2.8940815052702022E-3</c:v>
                </c:pt>
                <c:pt idx="136">
                  <c:v>2.8966341629422542E-3</c:v>
                </c:pt>
                <c:pt idx="137">
                  <c:v>2.8975696434410335E-3</c:v>
                </c:pt>
                <c:pt idx="138">
                  <c:v>2.8985423005629114E-3</c:v>
                </c:pt>
                <c:pt idx="139">
                  <c:v>2.8995490618947948E-3</c:v>
                </c:pt>
                <c:pt idx="140">
                  <c:v>2.9005868550174415E-3</c:v>
                </c:pt>
                <c:pt idx="141">
                  <c:v>2.9038557008751733E-3</c:v>
                </c:pt>
                <c:pt idx="142">
                  <c:v>2.9049868968762187E-3</c:v>
                </c:pt>
                <c:pt idx="143">
                  <c:v>2.9061337624958338E-3</c:v>
                </c:pt>
                <c:pt idx="144">
                  <c:v>2.9072932252800793E-3</c:v>
                </c:pt>
                <c:pt idx="145">
                  <c:v>2.9084622127693053E-3</c:v>
                </c:pt>
                <c:pt idx="146">
                  <c:v>2.9119955987544233E-3</c:v>
                </c:pt>
                <c:pt idx="147">
                  <c:v>2.9131719603159912E-3</c:v>
                </c:pt>
                <c:pt idx="148">
                  <c:v>2.9143424841718557E-3</c:v>
                </c:pt>
                <c:pt idx="149">
                  <c:v>2.9200000000021761E-3</c:v>
                </c:pt>
                <c:pt idx="150">
                  <c:v>2.9210662504545026E-3</c:v>
                </c:pt>
                <c:pt idx="151">
                  <c:v>2.9199090309147036E-3</c:v>
                </c:pt>
                <c:pt idx="152">
                  <c:v>2.9209681038077336E-3</c:v>
                </c:pt>
                <c:pt idx="153">
                  <c:v>2.9259605659954831E-3</c:v>
                </c:pt>
                <c:pt idx="154">
                  <c:v>2.922430038866932E-3</c:v>
                </c:pt>
                <c:pt idx="155">
                  <c:v>2.9226901859690244E-3</c:v>
                </c:pt>
                <c:pt idx="156">
                  <c:v>2.9229189551997657E-3</c:v>
                </c:pt>
                <c:pt idx="157">
                  <c:v>2.923121724964943E-3</c:v>
                </c:pt>
                <c:pt idx="158">
                  <c:v>2.9290122171013607E-3</c:v>
                </c:pt>
                <c:pt idx="159">
                  <c:v>2.9237803775829141E-3</c:v>
                </c:pt>
                <c:pt idx="160">
                  <c:v>2.9239338261989379E-3</c:v>
                </c:pt>
                <c:pt idx="161">
                  <c:v>2.9240935458353496E-3</c:v>
                </c:pt>
                <c:pt idx="162">
                  <c:v>2.924264914912952E-3</c:v>
                </c:pt>
                <c:pt idx="163">
                  <c:v>2.9309405980784595E-3</c:v>
                </c:pt>
                <c:pt idx="164">
                  <c:v>2.9251744541268416E-3</c:v>
                </c:pt>
                <c:pt idx="165">
                  <c:v>2.9254847468076729E-3</c:v>
                </c:pt>
                <c:pt idx="166">
                  <c:v>2.9258389595141318E-3</c:v>
                </c:pt>
                <c:pt idx="167">
                  <c:v>2.9262424706952852E-3</c:v>
                </c:pt>
                <c:pt idx="168">
                  <c:v>2.9335803898596705E-3</c:v>
                </c:pt>
                <c:pt idx="169">
                  <c:v>2.9284570694259821E-3</c:v>
                </c:pt>
                <c:pt idx="170">
                  <c:v>2.9291877500231146E-3</c:v>
                </c:pt>
                <c:pt idx="171">
                  <c:v>2.930000000000006E-3</c:v>
                </c:pt>
                <c:pt idx="172">
                  <c:v>2.9361395261322362E-3</c:v>
                </c:pt>
                <c:pt idx="173">
                  <c:v>2.9389091480618375E-3</c:v>
                </c:pt>
                <c:pt idx="174">
                  <c:v>2.9352983160078135E-3</c:v>
                </c:pt>
                <c:pt idx="175">
                  <c:v>2.936585732969801E-3</c:v>
                </c:pt>
                <c:pt idx="176">
                  <c:v>2.9379420487773119E-3</c:v>
                </c:pt>
                <c:pt idx="177">
                  <c:v>2.9393642552554221E-3</c:v>
                </c:pt>
                <c:pt idx="178">
                  <c:v>2.9479915464350015E-3</c:v>
                </c:pt>
                <c:pt idx="179">
                  <c:v>2.9456518242949861E-3</c:v>
                </c:pt>
                <c:pt idx="180">
                  <c:v>2.9473583614072719E-3</c:v>
                </c:pt>
                <c:pt idx="181">
                  <c:v>2.9491127400699474E-3</c:v>
                </c:pt>
                <c:pt idx="182">
                  <c:v>2.9509119520767318E-3</c:v>
                </c:pt>
                <c:pt idx="183">
                  <c:v>2.959911179190546E-3</c:v>
                </c:pt>
                <c:pt idx="184">
                  <c:v>2.9584969691318396E-3</c:v>
                </c:pt>
                <c:pt idx="185">
                  <c:v>2.9604752244695035E-3</c:v>
                </c:pt>
                <c:pt idx="186">
                  <c:v>2.9624802637289883E-3</c:v>
                </c:pt>
                <c:pt idx="187">
                  <c:v>2.964509078637326E-3</c:v>
                </c:pt>
                <c:pt idx="188">
                  <c:v>2.9736418884476058E-3</c:v>
                </c:pt>
                <c:pt idx="189">
                  <c:v>2.9728019289063548E-3</c:v>
                </c:pt>
                <c:pt idx="190">
                  <c:v>2.9749044975634362E-3</c:v>
                </c:pt>
                <c:pt idx="191">
                  <c:v>2.9770127919860143E-3</c:v>
                </c:pt>
                <c:pt idx="192">
                  <c:v>2.9900000000002524E-3</c:v>
                </c:pt>
                <c:pt idx="193">
                  <c:v>2.9935137662004761E-3</c:v>
                </c:pt>
                <c:pt idx="194">
                  <c:v>2.9956013431852316E-3</c:v>
                </c:pt>
                <c:pt idx="195">
                  <c:v>2.9977047085970746E-3</c:v>
                </c:pt>
                <c:pt idx="196">
                  <c:v>3.0050811905228455E-3</c:v>
                </c:pt>
                <c:pt idx="197">
                  <c:v>3.0046018717245445E-3</c:v>
                </c:pt>
                <c:pt idx="198">
                  <c:v>3.008480434634198E-3</c:v>
                </c:pt>
                <c:pt idx="199">
                  <c:v>3.0106917741973996E-3</c:v>
                </c:pt>
                <c:pt idx="200">
                  <c:v>3.0129233167481453E-3</c:v>
                </c:pt>
                <c:pt idx="201">
                  <c:v>3.0207107748674513E-3</c:v>
                </c:pt>
                <c:pt idx="202">
                  <c:v>3.0202418871046336E-3</c:v>
                </c:pt>
                <c:pt idx="203">
                  <c:v>3.0244061477146607E-3</c:v>
                </c:pt>
                <c:pt idx="204">
                  <c:v>3.0267721522817103E-3</c:v>
                </c:pt>
                <c:pt idx="205">
                  <c:v>3.0291627745679278E-3</c:v>
                </c:pt>
                <c:pt idx="206">
                  <c:v>3.0377318965112096E-3</c:v>
                </c:pt>
                <c:pt idx="207">
                  <c:v>3.0371352005956367E-3</c:v>
                </c:pt>
                <c:pt idx="208">
                  <c:v>3.0415072261301837E-3</c:v>
                </c:pt>
                <c:pt idx="209">
                  <c:v>3.0440587993959016E-3</c:v>
                </c:pt>
                <c:pt idx="210">
                  <c:v>3.046639405308341E-3</c:v>
                </c:pt>
                <c:pt idx="211">
                  <c:v>3.0563585688860428E-3</c:v>
                </c:pt>
                <c:pt idx="212">
                  <c:v>3.0554969762769725E-3</c:v>
                </c:pt>
                <c:pt idx="213">
                  <c:v>3.0599999999998025E-3</c:v>
                </c:pt>
                <c:pt idx="214">
                  <c:v>3.0588748200893112E-3</c:v>
                </c:pt>
                <c:pt idx="215">
                  <c:v>3.0615981836746653E-3</c:v>
                </c:pt>
                <c:pt idx="216">
                  <c:v>3.0643672263803968E-3</c:v>
                </c:pt>
                <c:pt idx="217">
                  <c:v>3.0788363440623127E-3</c:v>
                </c:pt>
                <c:pt idx="218">
                  <c:v>3.081842691791326E-3</c:v>
                </c:pt>
                <c:pt idx="219">
                  <c:v>3.0848824620008605E-3</c:v>
                </c:pt>
                <c:pt idx="220">
                  <c:v>3.095665519146841E-3</c:v>
                </c:pt>
                <c:pt idx="221">
                  <c:v>3.0973407478512393E-3</c:v>
                </c:pt>
                <c:pt idx="222">
                  <c:v>3.1005213655365331E-3</c:v>
                </c:pt>
                <c:pt idx="223">
                  <c:v>3.1037248996630298E-3</c:v>
                </c:pt>
                <c:pt idx="224">
                  <c:v>3.1069495991881409E-3</c:v>
                </c:pt>
                <c:pt idx="225">
                  <c:v>3.1158944075123144E-3</c:v>
                </c:pt>
                <c:pt idx="226">
                  <c:v>3.1200250300616925E-3</c:v>
                </c:pt>
                <c:pt idx="227">
                  <c:v>3.1233292905710527E-3</c:v>
                </c:pt>
                <c:pt idx="228">
                  <c:v>3.1266442099950379E-3</c:v>
                </c:pt>
                <c:pt idx="229">
                  <c:v>3.1299680372146171E-3</c:v>
                </c:pt>
                <c:pt idx="230">
                  <c:v>3.1354103193584506E-3</c:v>
                </c:pt>
                <c:pt idx="231">
                  <c:v>3.1433174012222686E-3</c:v>
                </c:pt>
                <c:pt idx="232">
                  <c:v>3.1466595001988511E-3</c:v>
                </c:pt>
                <c:pt idx="233">
                  <c:v>3.1499999999999974E-3</c:v>
                </c:pt>
                <c:pt idx="234">
                  <c:v>3.1533371548824844E-3</c:v>
                </c:pt>
                <c:pt idx="235">
                  <c:v>3.164409716034957E-3</c:v>
                </c:pt>
                <c:pt idx="236">
                  <c:v>3.1674071974202339E-3</c:v>
                </c:pt>
                <c:pt idx="237">
                  <c:v>3.1704046488029887E-3</c:v>
                </c:pt>
                <c:pt idx="238">
                  <c:v>3.1666872303134828E-3</c:v>
                </c:pt>
                <c:pt idx="239">
                  <c:v>3.1728898049172265E-3</c:v>
                </c:pt>
                <c:pt idx="240">
                  <c:v>3.1853316357820663E-3</c:v>
                </c:pt>
                <c:pt idx="241">
                  <c:v>3.1882930150638625E-3</c:v>
                </c:pt>
                <c:pt idx="242">
                  <c:v>3.1912424002173596E-3</c:v>
                </c:pt>
                <c:pt idx="243">
                  <c:v>3.1847823863683268E-3</c:v>
                </c:pt>
                <c:pt idx="244">
                  <c:v>3.1922945901782392E-3</c:v>
                </c:pt>
                <c:pt idx="245">
                  <c:v>3.2057495916489828E-3</c:v>
                </c:pt>
                <c:pt idx="246">
                  <c:v>3.2085911184493617E-3</c:v>
                </c:pt>
                <c:pt idx="247">
                  <c:v>3.2114086865034485E-3</c:v>
                </c:pt>
                <c:pt idx="248">
                  <c:v>3.2034448344391139E-3</c:v>
                </c:pt>
                <c:pt idx="249">
                  <c:v>3.2115256851801039E-3</c:v>
                </c:pt>
                <c:pt idx="250">
                  <c:v>3.2250773208856217E-3</c:v>
                </c:pt>
                <c:pt idx="251">
                  <c:v>3.2277152415266762E-3</c:v>
                </c:pt>
                <c:pt idx="252">
                  <c:v>3.230317238366406E-3</c:v>
                </c:pt>
                <c:pt idx="253">
                  <c:v>3.2220946381606779E-3</c:v>
                </c:pt>
                <c:pt idx="254">
                  <c:v>3.2300000000000965E-3</c:v>
                </c:pt>
                <c:pt idx="255">
                  <c:v>3.248098620899492E-3</c:v>
                </c:pt>
                <c:pt idx="256">
                  <c:v>3.2503980500768314E-3</c:v>
                </c:pt>
                <c:pt idx="257">
                  <c:v>3.2526627714673621E-3</c:v>
                </c:pt>
                <c:pt idx="258">
                  <c:v>3.254899084305879E-3</c:v>
                </c:pt>
                <c:pt idx="259">
                  <c:v>3.2475878299155787E-3</c:v>
                </c:pt>
                <c:pt idx="260">
                  <c:v>3.263686235878375E-3</c:v>
                </c:pt>
                <c:pt idx="261">
                  <c:v>3.2658749955113658E-3</c:v>
                </c:pt>
                <c:pt idx="262">
                  <c:v>3.2680731426122087E-3</c:v>
                </c:pt>
                <c:pt idx="263">
                  <c:v>3.2702869766170683E-3</c:v>
                </c:pt>
                <c:pt idx="264">
                  <c:v>3.2659731099128134E-3</c:v>
                </c:pt>
                <c:pt idx="265">
                  <c:v>3.2794251713967448E-3</c:v>
                </c:pt>
                <c:pt idx="266">
                  <c:v>3.2818119324775413E-3</c:v>
                </c:pt>
                <c:pt idx="267">
                  <c:v>3.2842521777039749E-3</c:v>
                </c:pt>
                <c:pt idx="268">
                  <c:v>3.286752206730614E-3</c:v>
                </c:pt>
                <c:pt idx="269">
                  <c:v>3.2872932555085953E-3</c:v>
                </c:pt>
                <c:pt idx="270">
                  <c:v>3.2974761552886332E-3</c:v>
                </c:pt>
                <c:pt idx="271">
                  <c:v>3.3003695995186379E-3</c:v>
                </c:pt>
                <c:pt idx="272">
                  <c:v>3.3033606263372091E-3</c:v>
                </c:pt>
                <c:pt idx="273">
                  <c:v>3.3117771007983689E-3</c:v>
                </c:pt>
                <c:pt idx="274">
                  <c:v>3.3136857848952094E-3</c:v>
                </c:pt>
                <c:pt idx="275">
                  <c:v>3.3200000000001718E-3</c:v>
                </c:pt>
                <c:pt idx="276">
                  <c:v>3.3274756266858845E-3</c:v>
                </c:pt>
                <c:pt idx="277">
                  <c:v>3.3468765135572856E-3</c:v>
                </c:pt>
                <c:pt idx="278">
                  <c:v>3.3466828279157001E-3</c:v>
                </c:pt>
                <c:pt idx="279">
                  <c:v>3.3461400249676565E-3</c:v>
                </c:pt>
                <c:pt idx="280">
                  <c:v>3.3546572823660728E-3</c:v>
                </c:pt>
                <c:pt idx="281">
                  <c:v>3.3594603488875377E-3</c:v>
                </c:pt>
                <c:pt idx="282">
                  <c:v>3.3643251681002239E-3</c:v>
                </c:pt>
                <c:pt idx="283">
                  <c:v>3.38398325937839E-3</c:v>
                </c:pt>
                <c:pt idx="284">
                  <c:v>3.3817200158036227E-3</c:v>
                </c:pt>
                <c:pt idx="285">
                  <c:v>3.389363087859025E-3</c:v>
                </c:pt>
                <c:pt idx="286">
                  <c:v>3.3944709424022675E-3</c:v>
                </c:pt>
                <c:pt idx="287">
                  <c:v>3.39959805547767E-3</c:v>
                </c:pt>
                <c:pt idx="288">
                  <c:v>3.4213292329479399E-3</c:v>
                </c:pt>
                <c:pt idx="289">
                  <c:v>3.4182359700743446E-3</c:v>
                </c:pt>
                <c:pt idx="290">
                  <c:v>3.4253100172816934E-3</c:v>
                </c:pt>
                <c:pt idx="291">
                  <c:v>3.430425191727446E-3</c:v>
                </c:pt>
                <c:pt idx="292">
                  <c:v>3.4355171275052519E-3</c:v>
                </c:pt>
                <c:pt idx="293">
                  <c:v>3.4566606976794661E-3</c:v>
                </c:pt>
                <c:pt idx="294">
                  <c:v>3.4536167744661072E-3</c:v>
                </c:pt>
                <c:pt idx="295">
                  <c:v>3.4604157293946385E-3</c:v>
                </c:pt>
                <c:pt idx="296">
                  <c:v>3.465240734140384E-3</c:v>
                </c:pt>
                <c:pt idx="297">
                  <c:v>3.4699999999983177E-3</c:v>
                </c:pt>
                <c:pt idx="298">
                  <c:v>3.4675861145541075E-3</c:v>
                </c:pt>
                <c:pt idx="299">
                  <c:v>3.4652872935844099E-3</c:v>
                </c:pt>
                <c:pt idx="300">
                  <c:v>3.4927945418480274E-3</c:v>
                </c:pt>
                <c:pt idx="301">
                  <c:v>3.4971751432435667E-3</c:v>
                </c:pt>
                <c:pt idx="302">
                  <c:v>3.5015041841332411E-3</c:v>
                </c:pt>
                <c:pt idx="303">
                  <c:v>3.5164121384230695E-3</c:v>
                </c:pt>
                <c:pt idx="304">
                  <c:v>3.5152672983693495E-3</c:v>
                </c:pt>
                <c:pt idx="305">
                  <c:v>3.5224941118587295E-3</c:v>
                </c:pt>
                <c:pt idx="306">
                  <c:v>3.5265846686806926E-3</c:v>
                </c:pt>
                <c:pt idx="307">
                  <c:v>3.5306472916126715E-3</c:v>
                </c:pt>
                <c:pt idx="308">
                  <c:v>3.5433394385851699E-3</c:v>
                </c:pt>
                <c:pt idx="309">
                  <c:v>3.5429844999501701E-3</c:v>
                </c:pt>
                <c:pt idx="310">
                  <c:v>3.5506595362597513E-3</c:v>
                </c:pt>
                <c:pt idx="311">
                  <c:v>3.5546254392509785E-3</c:v>
                </c:pt>
                <c:pt idx="312">
                  <c:v>3.5585870364139029E-3</c:v>
                </c:pt>
                <c:pt idx="313">
                  <c:v>3.5699834695301553E-3</c:v>
                </c:pt>
                <c:pt idx="314">
                  <c:v>3.5702076219934912E-3</c:v>
                </c:pt>
                <c:pt idx="315">
                  <c:v>3.5784485799450487E-3</c:v>
                </c:pt>
                <c:pt idx="316">
                  <c:v>3.5824552296062268E-3</c:v>
                </c:pt>
                <c:pt idx="317">
                  <c:v>3.5864812028523112E-3</c:v>
                </c:pt>
                <c:pt idx="318">
                  <c:v>3.5974896347930551E-3</c:v>
                </c:pt>
                <c:pt idx="319">
                  <c:v>3.5980882393140622E-3</c:v>
                </c:pt>
                <c:pt idx="320">
                  <c:v>3.5999999999994279E-3</c:v>
                </c:pt>
                <c:pt idx="321">
                  <c:v>3.6041913891907539E-3</c:v>
                </c:pt>
                <c:pt idx="322">
                  <c:v>3.6084093754999943E-3</c:v>
                </c:pt>
                <c:pt idx="323">
                  <c:v>3.612656052736671E-3</c:v>
                </c:pt>
                <c:pt idx="324">
                  <c:v>3.6169335147300695E-3</c:v>
                </c:pt>
                <c:pt idx="325">
                  <c:v>3.6299715478342095E-3</c:v>
                </c:pt>
                <c:pt idx="326">
                  <c:v>3.6343930875386882E-3</c:v>
                </c:pt>
                <c:pt idx="327">
                  <c:v>3.6388558814436623E-3</c:v>
                </c:pt>
                <c:pt idx="328">
                  <c:v>3.6433620235000784E-3</c:v>
                </c:pt>
                <c:pt idx="329">
                  <c:v>3.6479136076817222E-3</c:v>
                </c:pt>
                <c:pt idx="330">
                  <c:v>3.6618619530417672E-3</c:v>
                </c:pt>
                <c:pt idx="331">
                  <c:v>3.6666162459057781E-3</c:v>
                </c:pt>
                <c:pt idx="332">
                  <c:v>3.6714264511030137E-3</c:v>
                </c:pt>
                <c:pt idx="333">
                  <c:v>3.676294662748685E-3</c:v>
                </c:pt>
                <c:pt idx="334">
                  <c:v>3.6812229749830379E-3</c:v>
                </c:pt>
                <c:pt idx="335">
                  <c:v>3.6963894570119804E-3</c:v>
                </c:pt>
                <c:pt idx="336">
                  <c:v>3.7015791135327652E-3</c:v>
                </c:pt>
                <c:pt idx="337">
                  <c:v>3.7068393417470937E-3</c:v>
                </c:pt>
                <c:pt idx="338">
                  <c:v>3.7121722359629902E-3</c:v>
                </c:pt>
                <c:pt idx="339">
                  <c:v>3.7393974032362909E-3</c:v>
                </c:pt>
                <c:pt idx="340">
                  <c:v>3.7399922739104145E-3</c:v>
                </c:pt>
                <c:pt idx="341">
                  <c:v>3.739999999978736E-3</c:v>
                </c:pt>
                <c:pt idx="342">
                  <c:v>3.7518180954700178E-3</c:v>
                </c:pt>
                <c:pt idx="343">
                  <c:v>3.7578094649479373E-3</c:v>
                </c:pt>
                <c:pt idx="344">
                  <c:v>3.776396911289069E-3</c:v>
                </c:pt>
                <c:pt idx="345">
                  <c:v>3.7821363040938839E-3</c:v>
                </c:pt>
                <c:pt idx="346">
                  <c:v>3.7882925931811383E-3</c:v>
                </c:pt>
                <c:pt idx="347">
                  <c:v>3.7944724094534019E-3</c:v>
                </c:pt>
                <c:pt idx="348">
                  <c:v>3.8006726005763241E-3</c:v>
                </c:pt>
                <c:pt idx="349">
                  <c:v>3.8193085848834533E-3</c:v>
                </c:pt>
                <c:pt idx="350">
                  <c:v>3.8256140655120968E-3</c:v>
                </c:pt>
                <c:pt idx="351">
                  <c:v>3.8318688444958083E-3</c:v>
                </c:pt>
                <c:pt idx="352">
                  <c:v>3.8381250834950164E-3</c:v>
                </c:pt>
                <c:pt idx="353">
                  <c:v>3.844379629898434E-3</c:v>
                </c:pt>
                <c:pt idx="354">
                  <c:v>3.8610269564204537E-3</c:v>
                </c:pt>
                <c:pt idx="355">
                  <c:v>3.8693178359136414E-3</c:v>
                </c:pt>
                <c:pt idx="356">
                  <c:v>3.8755166287600968E-3</c:v>
                </c:pt>
                <c:pt idx="357">
                  <c:v>3.8816948125021834E-3</c:v>
                </c:pt>
                <c:pt idx="358">
                  <c:v>3.8878492342512413E-3</c:v>
                </c:pt>
                <c:pt idx="359">
                  <c:v>3.9004822350491393E-3</c:v>
                </c:pt>
                <c:pt idx="360">
                  <c:v>3.9121662421881167E-3</c:v>
                </c:pt>
                <c:pt idx="361">
                  <c:v>3.9181545592971868E-3</c:v>
                </c:pt>
                <c:pt idx="362">
                  <c:v>3.9241001962836515E-3</c:v>
                </c:pt>
                <c:pt idx="363">
                  <c:v>3.9299999999985111E-3</c:v>
                </c:pt>
                <c:pt idx="364">
                  <c:v>3.934803230393082E-3</c:v>
                </c:pt>
                <c:pt idx="365">
                  <c:v>3.9533317883864673E-3</c:v>
                </c:pt>
                <c:pt idx="366">
                  <c:v>3.9593966951070409E-3</c:v>
                </c:pt>
                <c:pt idx="367">
                  <c:v>3.9654111947596453E-3</c:v>
                </c:pt>
                <c:pt idx="368">
                  <c:v>3.971378426949777E-3</c:v>
                </c:pt>
                <c:pt idx="369">
                  <c:v>3.9773015313251002E-3</c:v>
                </c:pt>
                <c:pt idx="370">
                  <c:v>3.9948374746383653E-3</c:v>
                </c:pt>
                <c:pt idx="371">
                  <c:v>4.0006154650286839E-3</c:v>
                </c:pt>
                <c:pt idx="372">
                  <c:v>4.0063650264371966E-3</c:v>
                </c:pt>
                <c:pt idx="373">
                  <c:v>4.0120892987452264E-3</c:v>
                </c:pt>
                <c:pt idx="374">
                  <c:v>4.0177914218723042E-3</c:v>
                </c:pt>
                <c:pt idx="375">
                  <c:v>4.0347962959130547E-3</c:v>
                </c:pt>
                <c:pt idx="376">
                  <c:v>4.0404412222429442E-3</c:v>
                </c:pt>
                <c:pt idx="377">
                  <c:v>4.0460796995368037E-3</c:v>
                </c:pt>
                <c:pt idx="378">
                  <c:v>4.0517148679315735E-3</c:v>
                </c:pt>
                <c:pt idx="379">
                  <c:v>4.0573498676002113E-3</c:v>
                </c:pt>
                <c:pt idx="380">
                  <c:v>4.0742852565103464E-3</c:v>
                </c:pt>
                <c:pt idx="381">
                  <c:v>4.0799509837159825E-3</c:v>
                </c:pt>
                <c:pt idx="382">
                  <c:v>4.0856322435956676E-3</c:v>
                </c:pt>
                <c:pt idx="383">
                  <c:v>4.0913321765388873E-3</c:v>
                </c:pt>
                <c:pt idx="384">
                  <c:v>4.0970539229698262E-3</c:v>
                </c:pt>
                <c:pt idx="385">
                  <c:v>4.1100000000000841E-3</c:v>
                </c:pt>
                <c:pt idx="386">
                  <c:v>4.1159299088193643E-3</c:v>
                </c:pt>
                <c:pt idx="387">
                  <c:v>4.1218944074503158E-3</c:v>
                </c:pt>
                <c:pt idx="388">
                  <c:v>4.1278771351458627E-3</c:v>
                </c:pt>
                <c:pt idx="389">
                  <c:v>4.1263287277008044E-3</c:v>
                </c:pt>
                <c:pt idx="390">
                  <c:v>4.151663114678102E-3</c:v>
                </c:pt>
                <c:pt idx="391">
                  <c:v>4.1574915695522466E-3</c:v>
                </c:pt>
                <c:pt idx="392">
                  <c:v>4.1632400848693411E-3</c:v>
                </c:pt>
                <c:pt idx="393">
                  <c:v>4.1688922985264557E-3</c:v>
                </c:pt>
                <c:pt idx="394">
                  <c:v>4.1681605179008071E-3</c:v>
                </c:pt>
                <c:pt idx="395">
                  <c:v>4.1902108885926177E-3</c:v>
                </c:pt>
                <c:pt idx="396">
                  <c:v>4.1951361566330246E-3</c:v>
                </c:pt>
                <c:pt idx="397">
                  <c:v>4.1998669470791842E-3</c:v>
                </c:pt>
                <c:pt idx="398">
                  <c:v>4.2043868968344262E-3</c:v>
                </c:pt>
                <c:pt idx="399">
                  <c:v>4.2037166234296357E-3</c:v>
                </c:pt>
                <c:pt idx="400">
                  <c:v>4.220031024389349E-3</c:v>
                </c:pt>
                <c:pt idx="401">
                  <c:v>4.2232513218947278E-3</c:v>
                </c:pt>
                <c:pt idx="402">
                  <c:v>4.2261625990083172E-3</c:v>
                </c:pt>
                <c:pt idx="403">
                  <c:v>4.2287484924622186E-3</c:v>
                </c:pt>
                <c:pt idx="404">
                  <c:v>4.2355109673600918E-3</c:v>
                </c:pt>
                <c:pt idx="405">
                  <c:v>4.2362244969408672E-3</c:v>
                </c:pt>
                <c:pt idx="406">
                  <c:v>4.236521235647479E-3</c:v>
                </c:pt>
                <c:pt idx="407">
                  <c:v>4.2377164347545499E-3</c:v>
                </c:pt>
                <c:pt idx="408">
                  <c:v>4.2333047938984056E-3</c:v>
                </c:pt>
                <c:pt idx="409">
                  <c:v>4.2314426214048375E-3</c:v>
                </c:pt>
                <c:pt idx="410">
                  <c:v>4.2293255262941887E-3</c:v>
                </c:pt>
                <c:pt idx="411">
                  <c:v>4.2269778997509142E-3</c:v>
                </c:pt>
                <c:pt idx="412">
                  <c:v>4.2244241329296058E-3</c:v>
                </c:pt>
                <c:pt idx="413">
                  <c:v>4.2157699013705341E-3</c:v>
                </c:pt>
                <c:pt idx="414">
                  <c:v>4.2126354835292125E-3</c:v>
                </c:pt>
                <c:pt idx="415">
                  <c:v>4.2094168799139348E-3</c:v>
                </c:pt>
                <c:pt idx="416">
                  <c:v>4.2061384810441948E-3</c:v>
                </c:pt>
                <c:pt idx="417">
                  <c:v>4.2028246772883998E-3</c:v>
                </c:pt>
                <c:pt idx="418">
                  <c:v>4.1929147379559609E-3</c:v>
                </c:pt>
                <c:pt idx="419">
                  <c:v>4.1897032150977629E-3</c:v>
                </c:pt>
                <c:pt idx="420">
                  <c:v>4.1865782367750586E-3</c:v>
                </c:pt>
                <c:pt idx="421">
                  <c:v>4.1835641924123949E-3</c:v>
                </c:pt>
                <c:pt idx="422">
                  <c:v>4.1806854713003581E-3</c:v>
                </c:pt>
                <c:pt idx="423">
                  <c:v>4.1731051387483686E-3</c:v>
                </c:pt>
                <c:pt idx="424">
                  <c:v>4.1710116015102952E-3</c:v>
                </c:pt>
                <c:pt idx="425">
                  <c:v>4.1691753326357573E-3</c:v>
                </c:pt>
                <c:pt idx="426">
                  <c:v>4.167620721046407E-3</c:v>
                </c:pt>
                <c:pt idx="427">
                  <c:v>4.1663721557016666E-3</c:v>
                </c:pt>
                <c:pt idx="428">
                  <c:v>4.1645609593522837E-3</c:v>
                </c:pt>
                <c:pt idx="429">
                  <c:v>4.1645808505429566E-3</c:v>
                </c:pt>
                <c:pt idx="430">
                  <c:v>4.1648992512386554E-3</c:v>
                </c:pt>
                <c:pt idx="431">
                  <c:v>4.1655081803576516E-3</c:v>
                </c:pt>
                <c:pt idx="432">
                  <c:v>4.166399656937241E-3</c:v>
                </c:pt>
                <c:pt idx="433">
                  <c:v>4.1706895633756742E-3</c:v>
                </c:pt>
                <c:pt idx="434">
                  <c:v>4.1726314221799789E-3</c:v>
                </c:pt>
                <c:pt idx="435">
                  <c:v>4.1748159250434144E-3</c:v>
                </c:pt>
                <c:pt idx="436">
                  <c:v>4.1772350914951913E-3</c:v>
                </c:pt>
                <c:pt idx="437">
                  <c:v>4.1798809411084407E-3</c:v>
                </c:pt>
                <c:pt idx="438">
                  <c:v>4.1890987851718724E-3</c:v>
                </c:pt>
                <c:pt idx="439">
                  <c:v>4.1925715637886355E-3</c:v>
                </c:pt>
                <c:pt idx="440">
                  <c:v>4.1962311238212275E-3</c:v>
                </c:pt>
                <c:pt idx="441">
                  <c:v>4.2000694849380878E-3</c:v>
                </c:pt>
                <c:pt idx="442">
                  <c:v>4.2040786667962363E-3</c:v>
                </c:pt>
                <c:pt idx="443">
                  <c:v>4.2170513330587666E-3</c:v>
                </c:pt>
                <c:pt idx="444">
                  <c:v>4.2216639939687004E-3</c:v>
                </c:pt>
                <c:pt idx="445">
                  <c:v>4.2264075734882141E-3</c:v>
                </c:pt>
                <c:pt idx="446">
                  <c:v>4.2312740910657029E-3</c:v>
                </c:pt>
                <c:pt idx="447">
                  <c:v>4.2362555660951018E-3</c:v>
                </c:pt>
                <c:pt idx="448">
                  <c:v>4.2624402229144483E-3</c:v>
                </c:pt>
                <c:pt idx="449">
                  <c:v>4.2679511651239795E-3</c:v>
                </c:pt>
                <c:pt idx="450">
                  <c:v>4.2735378818380071E-3</c:v>
                </c:pt>
                <c:pt idx="451">
                  <c:v>4.290438790668873E-3</c:v>
                </c:pt>
                <c:pt idx="452">
                  <c:v>4.2905875129445837E-3</c:v>
                </c:pt>
                <c:pt idx="453">
                  <c:v>4.3024009993010487E-3</c:v>
                </c:pt>
                <c:pt idx="454">
                  <c:v>4.3083181119496017E-3</c:v>
                </c:pt>
                <c:pt idx="455">
                  <c:v>4.3142695814659396E-3</c:v>
                </c:pt>
                <c:pt idx="456">
                  <c:v>4.332464108845701E-3</c:v>
                </c:pt>
                <c:pt idx="457">
                  <c:v>4.3324099273052384E-3</c:v>
                </c:pt>
                <c:pt idx="458">
                  <c:v>4.344335181995145E-3</c:v>
                </c:pt>
                <c:pt idx="459">
                  <c:v>4.3503685316715265E-3</c:v>
                </c:pt>
                <c:pt idx="460">
                  <c:v>4.3563948171938642E-3</c:v>
                </c:pt>
                <c:pt idx="461">
                  <c:v>4.3755597117814135E-3</c:v>
                </c:pt>
                <c:pt idx="462">
                  <c:v>4.3750308111168831E-3</c:v>
                </c:pt>
                <c:pt idx="463">
                  <c:v>4.3862131647019681E-3</c:v>
                </c:pt>
                <c:pt idx="464">
                  <c:v>4.392072793627088E-3</c:v>
                </c:pt>
                <c:pt idx="465">
                  <c:v>4.3978839338487197E-3</c:v>
                </c:pt>
                <c:pt idx="466">
                  <c:v>4.4177176815550449E-3</c:v>
                </c:pt>
                <c:pt idx="467">
                  <c:v>4.4314010960487477E-3</c:v>
                </c:pt>
                <c:pt idx="468">
                  <c:v>4.436711262678205E-3</c:v>
                </c:pt>
                <c:pt idx="469">
                  <c:v>4.4344677360117889E-3</c:v>
                </c:pt>
                <c:pt idx="470">
                  <c:v>4.4547043874193894E-3</c:v>
                </c:pt>
                <c:pt idx="471">
                  <c:v>4.4548214407076608E-3</c:v>
                </c:pt>
                <c:pt idx="472">
                  <c:v>4.4599234888009582E-3</c:v>
                </c:pt>
                <c:pt idx="473">
                  <c:v>4.4650692398336663E-3</c:v>
                </c:pt>
                <c:pt idx="474">
                  <c:v>4.4702778212429035E-3</c:v>
                </c:pt>
                <c:pt idx="475">
                  <c:v>4.4916302982085741E-3</c:v>
                </c:pt>
                <c:pt idx="476">
                  <c:v>4.4921230067857983E-3</c:v>
                </c:pt>
                <c:pt idx="477">
                  <c:v>4.4979326591594029E-3</c:v>
                </c:pt>
                <c:pt idx="478">
                  <c:v>4.503919911189082E-3</c:v>
                </c:pt>
                <c:pt idx="479">
                  <c:v>4.5101038919731409E-3</c:v>
                </c:pt>
                <c:pt idx="480">
                  <c:v>4.5334344710472058E-3</c:v>
                </c:pt>
                <c:pt idx="481">
                  <c:v>4.5371896953931776E-3</c:v>
                </c:pt>
                <c:pt idx="482">
                  <c:v>4.5446442675011935E-3</c:v>
                </c:pt>
                <c:pt idx="483">
                  <c:v>4.5524103499214007E-3</c:v>
                </c:pt>
                <c:pt idx="484">
                  <c:v>4.5605070743026301E-3</c:v>
                </c:pt>
                <c:pt idx="485">
                  <c:v>4.5866074247793978E-3</c:v>
                </c:pt>
                <c:pt idx="486">
                  <c:v>4.5965830417610178E-3</c:v>
                </c:pt>
                <c:pt idx="487">
                  <c:v>4.6066199685021146E-3</c:v>
                </c:pt>
                <c:pt idx="488">
                  <c:v>4.6171023382878462E-3</c:v>
                </c:pt>
                <c:pt idx="489">
                  <c:v>4.6280492868464081E-3</c:v>
                </c:pt>
                <c:pt idx="490">
                  <c:v>4.6576405307020719E-3</c:v>
                </c:pt>
                <c:pt idx="491">
                  <c:v>4.6858555915854283E-3</c:v>
                </c:pt>
                <c:pt idx="492">
                  <c:v>4.6992070590222848E-3</c:v>
                </c:pt>
                <c:pt idx="493">
                  <c:v>4.712990878681861E-3</c:v>
                </c:pt>
                <c:pt idx="494">
                  <c:v>4.7455523935327568E-3</c:v>
                </c:pt>
                <c:pt idx="495">
                  <c:v>4.7509838871409573E-3</c:v>
                </c:pt>
                <c:pt idx="496">
                  <c:v>4.7878041336724617E-3</c:v>
                </c:pt>
                <c:pt idx="497">
                  <c:v>4.8038273868663021E-3</c:v>
                </c:pt>
                <c:pt idx="498">
                  <c:v>4.820164762869646E-3</c:v>
                </c:pt>
                <c:pt idx="499">
                  <c:v>4.8552038995050466E-3</c:v>
                </c:pt>
                <c:pt idx="500">
                  <c:v>4.8629181890582638E-3</c:v>
                </c:pt>
                <c:pt idx="501">
                  <c:v>4.9059722736759905E-3</c:v>
                </c:pt>
                <c:pt idx="502">
                  <c:v>4.9238396531302237E-3</c:v>
                </c:pt>
                <c:pt idx="503">
                  <c:v>4.941902906344278E-3</c:v>
                </c:pt>
                <c:pt idx="504">
                  <c:v>4.97842335313348E-3</c:v>
                </c:pt>
                <c:pt idx="505">
                  <c:v>4.9876810270213442E-3</c:v>
                </c:pt>
                <c:pt idx="506">
                  <c:v>5.0345659400869124E-3</c:v>
                </c:pt>
                <c:pt idx="507">
                  <c:v>5.0534496242480593E-3</c:v>
                </c:pt>
                <c:pt idx="508">
                  <c:v>5.0724109059493384E-3</c:v>
                </c:pt>
                <c:pt idx="509">
                  <c:v>5.1094782879324719E-3</c:v>
                </c:pt>
                <c:pt idx="510">
                  <c:v>5.1195088626804853E-3</c:v>
                </c:pt>
                <c:pt idx="511">
                  <c:v>5.1677897862470101E-3</c:v>
                </c:pt>
                <c:pt idx="512">
                  <c:v>5.1779175915888662E-3</c:v>
                </c:pt>
                <c:pt idx="513">
                  <c:v>5.1969717486903934E-3</c:v>
                </c:pt>
                <c:pt idx="514">
                  <c:v>5.2159851949299162E-3</c:v>
                </c:pt>
                <c:pt idx="515">
                  <c:v>5.2527123871314819E-3</c:v>
                </c:pt>
                <c:pt idx="516">
                  <c:v>5.2916318476846471E-3</c:v>
                </c:pt>
                <c:pt idx="517">
                  <c:v>5.4224458507273667E-3</c:v>
                </c:pt>
                <c:pt idx="518">
                  <c:v>5.5512643358181122E-3</c:v>
                </c:pt>
                <c:pt idx="519">
                  <c:v>5.6780869108945461E-3</c:v>
                </c:pt>
                <c:pt idx="520">
                  <c:v>5.8111742691189048E-3</c:v>
                </c:pt>
                <c:pt idx="521">
                  <c:v>5.9338631975803663E-3</c:v>
                </c:pt>
                <c:pt idx="522">
                  <c:v>6.0545550584991869E-3</c:v>
                </c:pt>
                <c:pt idx="523">
                  <c:v>6.1732494824786798E-3</c:v>
                </c:pt>
                <c:pt idx="524">
                  <c:v>6.289946106219889E-3</c:v>
                </c:pt>
                <c:pt idx="525">
                  <c:v>6.4046445725246303E-3</c:v>
                </c:pt>
                <c:pt idx="526">
                  <c:v>6.5173445302980984E-3</c:v>
                </c:pt>
                <c:pt idx="527">
                  <c:v>6.6280456345479974E-3</c:v>
                </c:pt>
                <c:pt idx="528">
                  <c:v>6.7296124458008132E-3</c:v>
                </c:pt>
                <c:pt idx="529">
                  <c:v>6.8294480942362621E-3</c:v>
                </c:pt>
                <c:pt idx="530">
                  <c:v>6.9344324017052142E-3</c:v>
                </c:pt>
                <c:pt idx="531">
                  <c:v>7.0374165979612503E-3</c:v>
                </c:pt>
                <c:pt idx="532">
                  <c:v>7.1384003711224223E-3</c:v>
                </c:pt>
                <c:pt idx="533">
                  <c:v>7.2373834153546908E-3</c:v>
                </c:pt>
                <c:pt idx="534">
                  <c:v>7.3343654308723636E-3</c:v>
                </c:pt>
                <c:pt idx="535">
                  <c:v>7.4355079295129571E-3</c:v>
                </c:pt>
                <c:pt idx="536">
                  <c:v>7.5223252068795966E-3</c:v>
                </c:pt>
                <c:pt idx="537">
                  <c:v>7.5955833068602858E-3</c:v>
                </c:pt>
                <c:pt idx="538">
                  <c:v>7.7022774219055023E-3</c:v>
                </c:pt>
                <c:pt idx="539">
                  <c:v>7.7892500089032984E-3</c:v>
                </c:pt>
                <c:pt idx="540">
                  <c:v>7.8742198955926487E-3</c:v>
                </c:pt>
                <c:pt idx="541">
                  <c:v>7.9571868245741743E-3</c:v>
                </c:pt>
                <c:pt idx="542">
                  <c:v>8.0381677641085201E-3</c:v>
                </c:pt>
                <c:pt idx="543">
                  <c:v>8.1172485724028201E-3</c:v>
                </c:pt>
                <c:pt idx="544">
                  <c:v>8.1945323479534118E-3</c:v>
                </c:pt>
                <c:pt idx="545">
                  <c:v>8.2807884973114462E-3</c:v>
                </c:pt>
                <c:pt idx="546">
                  <c:v>8.3441212996664595E-3</c:v>
                </c:pt>
                <c:pt idx="547">
                  <c:v>8.416632775007097E-3</c:v>
                </c:pt>
                <c:pt idx="548">
                  <c:v>8.4877598143085174E-3</c:v>
                </c:pt>
                <c:pt idx="549">
                  <c:v>8.5576056132908238E-3</c:v>
                </c:pt>
                <c:pt idx="550">
                  <c:v>8.6262733848256716E-3</c:v>
                </c:pt>
                <c:pt idx="551">
                  <c:v>8.6938663582976621E-3</c:v>
                </c:pt>
                <c:pt idx="552">
                  <c:v>8.7604877790179968E-3</c:v>
                </c:pt>
                <c:pt idx="553">
                  <c:v>8.8262409076930327E-3</c:v>
                </c:pt>
                <c:pt idx="554">
                  <c:v>8.8912290199437954E-3</c:v>
                </c:pt>
                <c:pt idx="555">
                  <c:v>8.9646159839122854E-3</c:v>
                </c:pt>
                <c:pt idx="556">
                  <c:v>9.0284102008765105E-3</c:v>
                </c:pt>
                <c:pt idx="557">
                  <c:v>9.0917616731693764E-3</c:v>
                </c:pt>
                <c:pt idx="558">
                  <c:v>9.1547726150640139E-3</c:v>
                </c:pt>
                <c:pt idx="559">
                  <c:v>9.2129254435119965E-3</c:v>
                </c:pt>
                <c:pt idx="560">
                  <c:v>9.2755274389639715E-3</c:v>
                </c:pt>
                <c:pt idx="561">
                  <c:v>9.3559746649110008E-3</c:v>
                </c:pt>
                <c:pt idx="562">
                  <c:v>9.4007210567434857E-3</c:v>
                </c:pt>
                <c:pt idx="563">
                  <c:v>9.4772951202820362E-3</c:v>
                </c:pt>
                <c:pt idx="564">
                  <c:v>9.5314127923343869E-3</c:v>
                </c:pt>
                <c:pt idx="565">
                  <c:v>9.5949031284768022E-3</c:v>
                </c:pt>
                <c:pt idx="566">
                  <c:v>9.6588711223169598E-3</c:v>
                </c:pt>
                <c:pt idx="567">
                  <c:v>9.7234191071406198E-3</c:v>
                </c:pt>
                <c:pt idx="568">
                  <c:v>9.7836066576141283E-3</c:v>
                </c:pt>
                <c:pt idx="569">
                  <c:v>9.8494517934129798E-3</c:v>
                </c:pt>
                <c:pt idx="570">
                  <c:v>9.9159793667373385E-3</c:v>
                </c:pt>
                <c:pt idx="571">
                  <c:v>9.9883669088729962E-3</c:v>
                </c:pt>
                <c:pt idx="572">
                  <c:v>1.0056310216239341E-2</c:v>
                </c:pt>
                <c:pt idx="573">
                  <c:v>1.0124936206499381E-2</c:v>
                </c:pt>
                <c:pt idx="574">
                  <c:v>1.0194244950957816E-2</c:v>
                </c:pt>
                <c:pt idx="575">
                  <c:v>1.0264236521629647E-2</c:v>
                </c:pt>
                <c:pt idx="576">
                  <c:v>1.0334910991241486E-2</c:v>
                </c:pt>
                <c:pt idx="577">
                  <c:v>1.0406268433231974E-2</c:v>
                </c:pt>
                <c:pt idx="578">
                  <c:v>1.0478308921749628E-2</c:v>
                </c:pt>
                <c:pt idx="579">
                  <c:v>1.0551032531656302E-2</c:v>
                </c:pt>
                <c:pt idx="580">
                  <c:v>1.0624439338524591E-2</c:v>
                </c:pt>
                <c:pt idx="581">
                  <c:v>1.0687162988613637E-2</c:v>
                </c:pt>
                <c:pt idx="582">
                  <c:v>1.0761834339611941E-2</c:v>
                </c:pt>
                <c:pt idx="583">
                  <c:v>1.0837189035428777E-2</c:v>
                </c:pt>
                <c:pt idx="584">
                  <c:v>1.0913227153527017E-2</c:v>
                </c:pt>
                <c:pt idx="585">
                  <c:v>1.0995833897902371E-2</c:v>
                </c:pt>
                <c:pt idx="586">
                  <c:v>1.1067353969935941E-2</c:v>
                </c:pt>
                <c:pt idx="587">
                  <c:v>1.1145442826694824E-2</c:v>
                </c:pt>
                <c:pt idx="588">
                  <c:v>1.1224215422629316E-2</c:v>
                </c:pt>
                <c:pt idx="589">
                  <c:v>1.1303671838724744E-2</c:v>
                </c:pt>
                <c:pt idx="590">
                  <c:v>1.1383812156673122E-2</c:v>
                </c:pt>
                <c:pt idx="591">
                  <c:v>1.1464636458870959E-2</c:v>
                </c:pt>
                <c:pt idx="592">
                  <c:v>1.1546144828420131E-2</c:v>
                </c:pt>
                <c:pt idx="593">
                  <c:v>1.1628337349127887E-2</c:v>
                </c:pt>
                <c:pt idx="594">
                  <c:v>1.1711209955152057E-2</c:v>
                </c:pt>
                <c:pt idx="595">
                  <c:v>1.179473296650538E-2</c:v>
                </c:pt>
                <c:pt idx="596">
                  <c:v>1.1878866937016695E-2</c:v>
                </c:pt>
                <c:pt idx="597">
                  <c:v>1.1987873397385619E-2</c:v>
                </c:pt>
                <c:pt idx="598">
                  <c:v>1.2054535600123324E-2</c:v>
                </c:pt>
                <c:pt idx="599">
                  <c:v>1.2134539857442077E-2</c:v>
                </c:pt>
                <c:pt idx="600">
                  <c:v>1.2220722887009009E-2</c:v>
                </c:pt>
                <c:pt idx="601">
                  <c:v>1.2307319455069941E-2</c:v>
                </c:pt>
                <c:pt idx="602">
                  <c:v>1.2394290058033263E-2</c:v>
                </c:pt>
                <c:pt idx="603">
                  <c:v>1.2481595185619532E-2</c:v>
                </c:pt>
                <c:pt idx="604">
                  <c:v>1.2569195320790753E-2</c:v>
                </c:pt>
                <c:pt idx="605">
                  <c:v>1.2657050939691095E-2</c:v>
                </c:pt>
                <c:pt idx="606">
                  <c:v>1.2745122511587581E-2</c:v>
                </c:pt>
                <c:pt idx="607">
                  <c:v>1.2846514061778778E-2</c:v>
                </c:pt>
                <c:pt idx="608">
                  <c:v>1.2934885314947875E-2</c:v>
                </c:pt>
                <c:pt idx="609">
                  <c:v>1.3023349143205002E-2</c:v>
                </c:pt>
                <c:pt idx="610">
                  <c:v>1.3111866414453902E-2</c:v>
                </c:pt>
                <c:pt idx="611">
                  <c:v>1.3219163647381528E-2</c:v>
                </c:pt>
                <c:pt idx="612">
                  <c:v>1.3282389407766979E-2</c:v>
                </c:pt>
                <c:pt idx="613">
                  <c:v>1.3370848700183518E-2</c:v>
                </c:pt>
                <c:pt idx="614">
                  <c:v>1.3459206135425561E-2</c:v>
                </c:pt>
                <c:pt idx="615">
                  <c:v>1.3553884299976157E-2</c:v>
                </c:pt>
                <c:pt idx="616">
                  <c:v>1.3641900061463945E-2</c:v>
                </c:pt>
                <c:pt idx="617">
                  <c:v>1.3729695144610046E-2</c:v>
                </c:pt>
                <c:pt idx="618">
                  <c:v>1.3817230361329941E-2</c:v>
                </c:pt>
                <c:pt idx="619">
                  <c:v>1.3904466516673306E-2</c:v>
                </c:pt>
                <c:pt idx="620">
                  <c:v>1.3985010148932917E-2</c:v>
                </c:pt>
                <c:pt idx="621">
                  <c:v>1.4071589476678525E-2</c:v>
                </c:pt>
                <c:pt idx="622">
                  <c:v>1.4157824852167733E-2</c:v>
                </c:pt>
                <c:pt idx="623">
                  <c:v>1.4256303874814932E-2</c:v>
                </c:pt>
                <c:pt idx="624">
                  <c:v>1.4335537123084519E-2</c:v>
                </c:pt>
                <c:pt idx="625">
                  <c:v>1.4420719176627057E-2</c:v>
                </c:pt>
                <c:pt idx="626">
                  <c:v>1.4505557101052217E-2</c:v>
                </c:pt>
                <c:pt idx="627">
                  <c:v>1.4590050851605803E-2</c:v>
                </c:pt>
                <c:pt idx="628">
                  <c:v>1.4674200383713034E-2</c:v>
                </c:pt>
                <c:pt idx="629">
                  <c:v>1.475800565297942E-2</c:v>
                </c:pt>
                <c:pt idx="630">
                  <c:v>1.4841466615192069E-2</c:v>
                </c:pt>
                <c:pt idx="631">
                  <c:v>1.4924583226316639E-2</c:v>
                </c:pt>
                <c:pt idx="632">
                  <c:v>1.5007355442500817E-2</c:v>
                </c:pt>
                <c:pt idx="633">
                  <c:v>1.5077615566521438E-2</c:v>
                </c:pt>
                <c:pt idx="634">
                  <c:v>1.5159741213383831E-2</c:v>
                </c:pt>
                <c:pt idx="635">
                  <c:v>1.5241522332841817E-2</c:v>
                </c:pt>
                <c:pt idx="636">
                  <c:v>1.5322958882211735E-2</c:v>
                </c:pt>
                <c:pt idx="637">
                  <c:v>1.5404050818985611E-2</c:v>
                </c:pt>
                <c:pt idx="638">
                  <c:v>1.5484798100835548E-2</c:v>
                </c:pt>
                <c:pt idx="639">
                  <c:v>1.5565200685612839E-2</c:v>
                </c:pt>
                <c:pt idx="640">
                  <c:v>1.565119506987081E-2</c:v>
                </c:pt>
                <c:pt idx="641">
                  <c:v>1.572497159624496E-2</c:v>
                </c:pt>
                <c:pt idx="642">
                  <c:v>1.5804339838695738E-2</c:v>
                </c:pt>
                <c:pt idx="643">
                  <c:v>1.5883363217264451E-2</c:v>
                </c:pt>
                <c:pt idx="644">
                  <c:v>1.5962041690697062E-2</c:v>
                </c:pt>
                <c:pt idx="645">
                  <c:v>1.6040375217916101E-2</c:v>
                </c:pt>
                <c:pt idx="646">
                  <c:v>1.6118364338375327E-2</c:v>
                </c:pt>
                <c:pt idx="647">
                  <c:v>1.6196015293374524E-2</c:v>
                </c:pt>
                <c:pt idx="648">
                  <c:v>1.6273337561644896E-2</c:v>
                </c:pt>
                <c:pt idx="649">
                  <c:v>1.63503406607086E-2</c:v>
                </c:pt>
                <c:pt idx="650">
                  <c:v>1.6409809295437863E-2</c:v>
                </c:pt>
                <c:pt idx="651">
                  <c:v>1.6503427429448436E-2</c:v>
                </c:pt>
                <c:pt idx="652">
                  <c:v>1.6579530142267897E-2</c:v>
                </c:pt>
                <c:pt idx="653">
                  <c:v>1.6655351772140548E-2</c:v>
                </c:pt>
                <c:pt idx="654">
                  <c:v>1.6730901844601919E-2</c:v>
                </c:pt>
                <c:pt idx="655">
                  <c:v>1.6806189886750676E-2</c:v>
                </c:pt>
                <c:pt idx="656">
                  <c:v>1.68812254272337E-2</c:v>
                </c:pt>
                <c:pt idx="657">
                  <c:v>1.6956017996233794E-2</c:v>
                </c:pt>
                <c:pt idx="658">
                  <c:v>1.7030577125459561E-2</c:v>
                </c:pt>
                <c:pt idx="659">
                  <c:v>1.7116193536538166E-2</c:v>
                </c:pt>
                <c:pt idx="660">
                  <c:v>1.7190300344452712E-2</c:v>
                </c:pt>
                <c:pt idx="661">
                  <c:v>1.7264203497658941E-2</c:v>
                </c:pt>
                <c:pt idx="662">
                  <c:v>1.7337912430774729E-2</c:v>
                </c:pt>
                <c:pt idx="663">
                  <c:v>1.7405820837362262E-2</c:v>
                </c:pt>
                <c:pt idx="664">
                  <c:v>1.7479174599609151E-2</c:v>
                </c:pt>
                <c:pt idx="665">
                  <c:v>1.7552362072172815E-2</c:v>
                </c:pt>
                <c:pt idx="666">
                  <c:v>1.7646231182616781E-2</c:v>
                </c:pt>
                <c:pt idx="667">
                  <c:v>1.7698276116536904E-2</c:v>
                </c:pt>
                <c:pt idx="668">
                  <c:v>1.7776615930495954E-2</c:v>
                </c:pt>
                <c:pt idx="669">
                  <c:v>1.7849229614818777E-2</c:v>
                </c:pt>
                <c:pt idx="670">
                  <c:v>1.7921724608274466E-2</c:v>
                </c:pt>
                <c:pt idx="671">
                  <c:v>1.7994110358438349E-2</c:v>
                </c:pt>
                <c:pt idx="672">
                  <c:v>1.8060815175335393E-2</c:v>
                </c:pt>
                <c:pt idx="673">
                  <c:v>1.8133006742401096E-2</c:v>
                </c:pt>
                <c:pt idx="674">
                  <c:v>1.8205101187728823E-2</c:v>
                </c:pt>
                <c:pt idx="675">
                  <c:v>1.8277098500547741E-2</c:v>
                </c:pt>
                <c:pt idx="676">
                  <c:v>1.8360133171612277E-2</c:v>
                </c:pt>
                <c:pt idx="677">
                  <c:v>1.8426365711913927E-2</c:v>
                </c:pt>
                <c:pt idx="678">
                  <c:v>1.8498068280705902E-2</c:v>
                </c:pt>
                <c:pt idx="679">
                  <c:v>1.8569673682442171E-2</c:v>
                </c:pt>
                <c:pt idx="680">
                  <c:v>1.8641181906366121E-2</c:v>
                </c:pt>
                <c:pt idx="681">
                  <c:v>1.8712592941735474E-2</c:v>
                </c:pt>
                <c:pt idx="682">
                  <c:v>1.8783906777821425E-2</c:v>
                </c:pt>
                <c:pt idx="683">
                  <c:v>1.8855123403909498E-2</c:v>
                </c:pt>
                <c:pt idx="684">
                  <c:v>1.8926242809299991E-2</c:v>
                </c:pt>
                <c:pt idx="685">
                  <c:v>1.8986188859878513E-2</c:v>
                </c:pt>
                <c:pt idx="686">
                  <c:v>1.9057120226124151E-2</c:v>
                </c:pt>
                <c:pt idx="687">
                  <c:v>1.9127954323777053E-2</c:v>
                </c:pt>
                <c:pt idx="688">
                  <c:v>1.9198691142308492E-2</c:v>
                </c:pt>
                <c:pt idx="689">
                  <c:v>1.9274855968763865E-2</c:v>
                </c:pt>
                <c:pt idx="690">
                  <c:v>1.9345395011129318E-2</c:v>
                </c:pt>
                <c:pt idx="691">
                  <c:v>1.9415836750590242E-2</c:v>
                </c:pt>
                <c:pt idx="692">
                  <c:v>1.9486181176618225E-2</c:v>
                </c:pt>
                <c:pt idx="693">
                  <c:v>1.955642827869971E-2</c:v>
                </c:pt>
                <c:pt idx="694">
                  <c:v>1.9621068604140143E-2</c:v>
                </c:pt>
                <c:pt idx="695">
                  <c:v>1.9691124175215333E-2</c:v>
                </c:pt>
                <c:pt idx="696">
                  <c:v>1.9761082383452731E-2</c:v>
                </c:pt>
                <c:pt idx="697">
                  <c:v>1.9830943218450546E-2</c:v>
                </c:pt>
                <c:pt idx="698">
                  <c:v>1.9906203444970808E-2</c:v>
                </c:pt>
                <c:pt idx="699">
                  <c:v>1.99758640484579E-2</c:v>
                </c:pt>
                <c:pt idx="700">
                  <c:v>2.0045421294593468E-2</c:v>
                </c:pt>
                <c:pt idx="701">
                  <c:v>2.0114871379466E-2</c:v>
                </c:pt>
                <c:pt idx="702">
                  <c:v>2.0188628300898202E-2</c:v>
                </c:pt>
                <c:pt idx="703">
                  <c:v>2.0257841553493812E-2</c:v>
                </c:pt>
                <c:pt idx="704">
                  <c:v>2.0326936106582493E-2</c:v>
                </c:pt>
                <c:pt idx="705">
                  <c:v>2.0395908133633067E-2</c:v>
                </c:pt>
                <c:pt idx="706">
                  <c:v>2.0464753807610144E-2</c:v>
                </c:pt>
                <c:pt idx="707">
                  <c:v>2.0533469300975875E-2</c:v>
                </c:pt>
                <c:pt idx="708">
                  <c:v>2.0602050785692591E-2</c:v>
                </c:pt>
                <c:pt idx="709">
                  <c:v>2.0670494433225446E-2</c:v>
                </c:pt>
                <c:pt idx="710">
                  <c:v>2.0738796414545912E-2</c:v>
                </c:pt>
                <c:pt idx="711">
                  <c:v>2.081778141827852E-2</c:v>
                </c:pt>
                <c:pt idx="712">
                  <c:v>2.0885771253787072E-2</c:v>
                </c:pt>
                <c:pt idx="713">
                  <c:v>2.0953607464279874E-2</c:v>
                </c:pt>
                <c:pt idx="714">
                  <c:v>2.1021286259574844E-2</c:v>
                </c:pt>
                <c:pt idx="715">
                  <c:v>2.1083425934099276E-2</c:v>
                </c:pt>
                <c:pt idx="716">
                  <c:v>2.1150788007266413E-2</c:v>
                </c:pt>
                <c:pt idx="717">
                  <c:v>2.1237148060931164E-2</c:v>
                </c:pt>
                <c:pt idx="718">
                  <c:v>2.1304119076988547E-2</c:v>
                </c:pt>
                <c:pt idx="719">
                  <c:v>2.1370912741721922E-2</c:v>
                </c:pt>
                <c:pt idx="720">
                  <c:v>2.1453501955248571E-2</c:v>
                </c:pt>
                <c:pt idx="721">
                  <c:v>2.1519899312140333E-2</c:v>
                </c:pt>
                <c:pt idx="722">
                  <c:v>2.1586107743213449E-2</c:v>
                </c:pt>
                <c:pt idx="723">
                  <c:v>2.1652123493874728E-2</c:v>
                </c:pt>
                <c:pt idx="724">
                  <c:v>2.1702087707703745E-2</c:v>
                </c:pt>
                <c:pt idx="725">
                  <c:v>2.1767740820426686E-2</c:v>
                </c:pt>
                <c:pt idx="726">
                  <c:v>2.183319692851975E-2</c:v>
                </c:pt>
                <c:pt idx="727">
                  <c:v>2.1914220314350499E-2</c:v>
                </c:pt>
                <c:pt idx="728">
                  <c:v>2.1979251947737224E-2</c:v>
                </c:pt>
                <c:pt idx="729">
                  <c:v>2.204408651259256E-2</c:v>
                </c:pt>
                <c:pt idx="730">
                  <c:v>2.2108723989191215E-2</c:v>
                </c:pt>
                <c:pt idx="731">
                  <c:v>2.2173164357868487E-2</c:v>
                </c:pt>
                <c:pt idx="732">
                  <c:v>2.2221795386773616E-2</c:v>
                </c:pt>
                <c:pt idx="733">
                  <c:v>2.2301453693094903E-2</c:v>
                </c:pt>
                <c:pt idx="734">
                  <c:v>2.2365302620611611E-2</c:v>
                </c:pt>
                <c:pt idx="735">
                  <c:v>2.2428954362141641E-2</c:v>
                </c:pt>
                <c:pt idx="736">
                  <c:v>2.2476918473470338E-2</c:v>
                </c:pt>
                <c:pt idx="737">
                  <c:v>2.2529895800909874E-2</c:v>
                </c:pt>
                <c:pt idx="738">
                  <c:v>2.2593006657250572E-2</c:v>
                </c:pt>
                <c:pt idx="739">
                  <c:v>2.265592026431977E-2</c:v>
                </c:pt>
                <c:pt idx="740">
                  <c:v>2.2718636603485297E-2</c:v>
                </c:pt>
                <c:pt idx="741">
                  <c:v>2.278627061470238E-2</c:v>
                </c:pt>
                <c:pt idx="742">
                  <c:v>2.2848582193261319E-2</c:v>
                </c:pt>
                <c:pt idx="743">
                  <c:v>2.2910696445236613E-2</c:v>
                </c:pt>
                <c:pt idx="744">
                  <c:v>2.297261335213141E-2</c:v>
                </c:pt>
                <c:pt idx="745">
                  <c:v>2.3034332895506833E-2</c:v>
                </c:pt>
                <c:pt idx="746">
                  <c:v>2.3090790976468708E-2</c:v>
                </c:pt>
                <c:pt idx="747">
                  <c:v>2.3152125923509567E-2</c:v>
                </c:pt>
                <c:pt idx="748">
                  <c:v>2.3213263455686303E-2</c:v>
                </c:pt>
                <c:pt idx="749">
                  <c:v>2.327420355489053E-2</c:v>
                </c:pt>
                <c:pt idx="750">
                  <c:v>2.333996944891216E-2</c:v>
                </c:pt>
                <c:pt idx="751">
                  <c:v>2.3400501926384865E-2</c:v>
                </c:pt>
                <c:pt idx="752">
                  <c:v>2.3460829356052461E-2</c:v>
                </c:pt>
                <c:pt idx="753">
                  <c:v>2.3520946429416253E-2</c:v>
                </c:pt>
                <c:pt idx="754">
                  <c:v>2.3575872145434031E-2</c:v>
                </c:pt>
                <c:pt idx="755">
                  <c:v>2.3635566135019229E-2</c:v>
                </c:pt>
                <c:pt idx="756">
                  <c:v>2.3695034447175859E-2</c:v>
                </c:pt>
                <c:pt idx="757">
                  <c:v>2.3754271742449075E-2</c:v>
                </c:pt>
                <c:pt idx="758">
                  <c:v>2.3813272680835964E-2</c:v>
                </c:pt>
                <c:pt idx="759">
                  <c:v>2.3872031921792165E-2</c:v>
                </c:pt>
                <c:pt idx="760">
                  <c:v>2.3930544124237611E-2</c:v>
                </c:pt>
                <c:pt idx="761">
                  <c:v>2.3988803946563605E-2</c:v>
                </c:pt>
                <c:pt idx="762">
                  <c:v>2.4046806046639425E-2</c:v>
                </c:pt>
                <c:pt idx="763">
                  <c:v>2.4128700072982411E-2</c:v>
                </c:pt>
                <c:pt idx="764">
                  <c:v>2.4186080490974978E-2</c:v>
                </c:pt>
                <c:pt idx="765">
                  <c:v>2.4243185446237065E-2</c:v>
                </c:pt>
                <c:pt idx="766">
                  <c:v>2.4300009735107094E-2</c:v>
                </c:pt>
                <c:pt idx="767">
                  <c:v>2.43422825415004E-2</c:v>
                </c:pt>
                <c:pt idx="768">
                  <c:v>2.4398587646794662E-2</c:v>
                </c:pt>
                <c:pt idx="769">
                  <c:v>2.4454597154320586E-2</c:v>
                </c:pt>
                <c:pt idx="770">
                  <c:v>2.4510305775156081E-2</c:v>
                </c:pt>
                <c:pt idx="771">
                  <c:v>2.45657082199226E-2</c:v>
                </c:pt>
                <c:pt idx="772">
                  <c:v>2.4634770009373617E-2</c:v>
                </c:pt>
                <c:pt idx="773">
                  <c:v>2.4689483891506107E-2</c:v>
                </c:pt>
                <c:pt idx="774">
                  <c:v>2.4743875461270402E-2</c:v>
                </c:pt>
                <c:pt idx="775">
                  <c:v>2.4797939510952247E-2</c:v>
                </c:pt>
                <c:pt idx="776">
                  <c:v>2.4837942712837843E-2</c:v>
                </c:pt>
                <c:pt idx="777">
                  <c:v>2.4891399489063545E-2</c:v>
                </c:pt>
                <c:pt idx="778">
                  <c:v>2.4944520573179942E-2</c:v>
                </c:pt>
                <c:pt idx="779">
                  <c:v>2.4997305938256015E-2</c:v>
                </c:pt>
                <c:pt idx="780">
                  <c:v>2.5063239665859278E-2</c:v>
                </c:pt>
                <c:pt idx="781">
                  <c:v>2.5115292361757378E-2</c:v>
                </c:pt>
                <c:pt idx="782">
                  <c:v>2.5167009205564399E-2</c:v>
                </c:pt>
                <c:pt idx="783">
                  <c:v>2.5218390170630253E-2</c:v>
                </c:pt>
                <c:pt idx="784">
                  <c:v>2.5269435230477626E-2</c:v>
                </c:pt>
                <c:pt idx="785">
                  <c:v>2.5320144358801543E-2</c:v>
                </c:pt>
                <c:pt idx="786">
                  <c:v>2.5370517529470647E-2</c:v>
                </c:pt>
                <c:pt idx="787">
                  <c:v>2.5420554716524196E-2</c:v>
                </c:pt>
                <c:pt idx="788">
                  <c:v>2.5470255894176366E-2</c:v>
                </c:pt>
                <c:pt idx="789">
                  <c:v>2.5498059212368519E-2</c:v>
                </c:pt>
                <c:pt idx="790">
                  <c:v>2.554719102370126E-2</c:v>
                </c:pt>
                <c:pt idx="791">
                  <c:v>2.5595986843813739E-2</c:v>
                </c:pt>
                <c:pt idx="792">
                  <c:v>2.5644446648233159E-2</c:v>
                </c:pt>
                <c:pt idx="793">
                  <c:v>2.5696804030055195E-2</c:v>
                </c:pt>
                <c:pt idx="794">
                  <c:v>2.5744571113038302E-2</c:v>
                </c:pt>
                <c:pt idx="795">
                  <c:v>2.5792002088561302E-2</c:v>
                </c:pt>
                <c:pt idx="796">
                  <c:v>2.5839096932701797E-2</c:v>
                </c:pt>
                <c:pt idx="797">
                  <c:v>2.5885855621708233E-2</c:v>
                </c:pt>
                <c:pt idx="798">
                  <c:v>2.5928147795873879E-2</c:v>
                </c:pt>
                <c:pt idx="799">
                  <c:v>2.5974254819313314E-2</c:v>
                </c:pt>
                <c:pt idx="800">
                  <c:v>2.602002563732814E-2</c:v>
                </c:pt>
                <c:pt idx="801">
                  <c:v>2.6065460226957726E-2</c:v>
                </c:pt>
                <c:pt idx="802">
                  <c:v>2.6114605906183995E-2</c:v>
                </c:pt>
                <c:pt idx="803">
                  <c:v>2.6159346668844407E-2</c:v>
                </c:pt>
                <c:pt idx="804">
                  <c:v>2.6203749585222882E-2</c:v>
                </c:pt>
                <c:pt idx="805">
                  <c:v>2.6247813562079194E-2</c:v>
                </c:pt>
                <c:pt idx="806">
                  <c:v>2.6291537506251739E-2</c:v>
                </c:pt>
                <c:pt idx="807">
                  <c:v>2.633097920550348E-2</c:v>
                </c:pt>
                <c:pt idx="808">
                  <c:v>2.6374041502199477E-2</c:v>
                </c:pt>
                <c:pt idx="809">
                  <c:v>2.6416760624499613E-2</c:v>
                </c:pt>
                <c:pt idx="810">
                  <c:v>2.6459135473851918E-2</c:v>
                </c:pt>
                <c:pt idx="811">
                  <c:v>2.6501164951787014E-2</c:v>
                </c:pt>
                <c:pt idx="812">
                  <c:v>2.6542847959924728E-2</c:v>
                </c:pt>
                <c:pt idx="813">
                  <c:v>2.6584183399973656E-2</c:v>
                </c:pt>
                <c:pt idx="814">
                  <c:v>2.6625170173733372E-2</c:v>
                </c:pt>
                <c:pt idx="815">
                  <c:v>2.668460724956143E-2</c:v>
                </c:pt>
                <c:pt idx="816">
                  <c:v>2.6724780143455903E-2</c:v>
                </c:pt>
                <c:pt idx="817">
                  <c:v>2.6764600626580565E-2</c:v>
                </c:pt>
                <c:pt idx="818">
                  <c:v>2.6804067629133531E-2</c:v>
                </c:pt>
                <c:pt idx="819">
                  <c:v>2.6832179492523745E-2</c:v>
                </c:pt>
                <c:pt idx="820">
                  <c:v>2.6871005272691033E-2</c:v>
                </c:pt>
                <c:pt idx="821">
                  <c:v>2.690947456517043E-2</c:v>
                </c:pt>
                <c:pt idx="822">
                  <c:v>2.6947586283959823E-2</c:v>
                </c:pt>
                <c:pt idx="823">
                  <c:v>2.6985339343170239E-2</c:v>
                </c:pt>
                <c:pt idx="824">
                  <c:v>2.7033386657231356E-2</c:v>
                </c:pt>
                <c:pt idx="825">
                  <c:v>2.7070349350526719E-2</c:v>
                </c:pt>
                <c:pt idx="826">
                  <c:v>2.710695000883042E-2</c:v>
                </c:pt>
                <c:pt idx="827">
                  <c:v>2.7143187563368143E-2</c:v>
                </c:pt>
                <c:pt idx="828">
                  <c:v>2.7168686761322131E-2</c:v>
                </c:pt>
                <c:pt idx="829">
                  <c:v>2.7204265569536909E-2</c:v>
                </c:pt>
                <c:pt idx="830">
                  <c:v>2.7239479642352644E-2</c:v>
                </c:pt>
                <c:pt idx="831">
                  <c:v>2.7274328960426562E-2</c:v>
                </c:pt>
                <c:pt idx="832">
                  <c:v>2.7308813504617682E-2</c:v>
                </c:pt>
                <c:pt idx="833">
                  <c:v>2.7352955834676982E-2</c:v>
                </c:pt>
                <c:pt idx="834">
                  <c:v>2.7386640220455283E-2</c:v>
                </c:pt>
                <c:pt idx="835">
                  <c:v>2.7419959698775781E-2</c:v>
                </c:pt>
                <c:pt idx="836">
                  <c:v>2.7452914251035732E-2</c:v>
                </c:pt>
                <c:pt idx="837">
                  <c:v>2.748550385883694E-2</c:v>
                </c:pt>
                <c:pt idx="838">
                  <c:v>2.7517728503984075E-2</c:v>
                </c:pt>
                <c:pt idx="839">
                  <c:v>2.75495881684855E-2</c:v>
                </c:pt>
                <c:pt idx="840">
                  <c:v>2.7581082834552868E-2</c:v>
                </c:pt>
                <c:pt idx="841">
                  <c:v>2.7596441989178967E-2</c:v>
                </c:pt>
                <c:pt idx="842">
                  <c:v>2.7627325221406429E-2</c:v>
                </c:pt>
                <c:pt idx="843">
                  <c:v>2.7657843535232984E-2</c:v>
                </c:pt>
                <c:pt idx="844">
                  <c:v>2.7687996914076529E-2</c:v>
                </c:pt>
                <c:pt idx="845">
                  <c:v>2.7717785341552826E-2</c:v>
                </c:pt>
                <c:pt idx="846">
                  <c:v>2.7750248275749154E-2</c:v>
                </c:pt>
                <c:pt idx="847">
                  <c:v>2.7779282903271175E-2</c:v>
                </c:pt>
                <c:pt idx="848">
                  <c:v>2.7807952504673536E-2</c:v>
                </c:pt>
                <c:pt idx="849">
                  <c:v>2.7836257064293157E-2</c:v>
                </c:pt>
                <c:pt idx="850">
                  <c:v>2.7861252648868334E-2</c:v>
                </c:pt>
                <c:pt idx="851">
                  <c:v>2.7888851035180084E-2</c:v>
                </c:pt>
                <c:pt idx="852">
                  <c:v>2.7916084360986689E-2</c:v>
                </c:pt>
                <c:pt idx="853">
                  <c:v>2.7942952611489828E-2</c:v>
                </c:pt>
                <c:pt idx="854">
                  <c:v>2.797230392513643E-2</c:v>
                </c:pt>
                <c:pt idx="855">
                  <c:v>2.7998425981305562E-2</c:v>
                </c:pt>
                <c:pt idx="856">
                  <c:v>2.8024207261313556E-2</c:v>
                </c:pt>
                <c:pt idx="857">
                  <c:v>2.8049664810868558E-2</c:v>
                </c:pt>
                <c:pt idx="858">
                  <c:v>2.8074815676706454E-2</c:v>
                </c:pt>
                <c:pt idx="859">
                  <c:v>2.8096916891535043E-2</c:v>
                </c:pt>
                <c:pt idx="860">
                  <c:v>2.8121517020826894E-2</c:v>
                </c:pt>
                <c:pt idx="861">
                  <c:v>2.814585978672627E-2</c:v>
                </c:pt>
                <c:pt idx="862">
                  <c:v>2.8169962332717589E-2</c:v>
                </c:pt>
                <c:pt idx="863">
                  <c:v>2.8193841803192839E-2</c:v>
                </c:pt>
                <c:pt idx="864">
                  <c:v>2.8217515343436108E-2</c:v>
                </c:pt>
                <c:pt idx="865">
                  <c:v>2.8241000099602388E-2</c:v>
                </c:pt>
                <c:pt idx="866">
                  <c:v>2.8264313218702118E-2</c:v>
                </c:pt>
                <c:pt idx="867">
                  <c:v>2.8301047110564446E-2</c:v>
                </c:pt>
                <c:pt idx="868">
                  <c:v>2.832407173417344E-2</c:v>
                </c:pt>
                <c:pt idx="869">
                  <c:v>2.8346981464484115E-2</c:v>
                </c:pt>
                <c:pt idx="870">
                  <c:v>2.8369792997318836E-2</c:v>
                </c:pt>
                <c:pt idx="871">
                  <c:v>2.8384349678403926E-2</c:v>
                </c:pt>
                <c:pt idx="872">
                  <c:v>2.8407001726948152E-2</c:v>
                </c:pt>
                <c:pt idx="873">
                  <c:v>2.8429603604852711E-2</c:v>
                </c:pt>
                <c:pt idx="874">
                  <c:v>2.8452172280772722E-2</c:v>
                </c:pt>
                <c:pt idx="875">
                  <c:v>2.847472472413121E-2</c:v>
                </c:pt>
                <c:pt idx="876">
                  <c:v>2.8505535112421928E-2</c:v>
                </c:pt>
                <c:pt idx="877">
                  <c:v>2.8528126811747833E-2</c:v>
                </c:pt>
                <c:pt idx="878">
                  <c:v>2.855075390824581E-2</c:v>
                </c:pt>
                <c:pt idx="879">
                  <c:v>2.857343310471544E-2</c:v>
                </c:pt>
                <c:pt idx="880">
                  <c:v>2.8587837213409628E-2</c:v>
                </c:pt>
                <c:pt idx="881">
                  <c:v>2.8610640638281722E-2</c:v>
                </c:pt>
                <c:pt idx="882">
                  <c:v>2.8633522392357044E-2</c:v>
                </c:pt>
                <c:pt idx="883">
                  <c:v>2.8656482478323288E-2</c:v>
                </c:pt>
                <c:pt idx="884">
                  <c:v>2.8679520898878184E-2</c:v>
                </c:pt>
                <c:pt idx="885">
                  <c:v>2.8711092496226706E-2</c:v>
                </c:pt>
                <c:pt idx="886">
                  <c:v>2.8734309898175658E-2</c:v>
                </c:pt>
                <c:pt idx="887">
                  <c:v>2.8757605666514113E-2</c:v>
                </c:pt>
                <c:pt idx="888">
                  <c:v>2.8780979804022652E-2</c:v>
                </c:pt>
                <c:pt idx="889">
                  <c:v>2.8804432313493011E-2</c:v>
                </c:pt>
                <c:pt idx="890">
                  <c:v>2.8827963197726823E-2</c:v>
                </c:pt>
                <c:pt idx="891">
                  <c:v>2.8851572459532165E-2</c:v>
                </c:pt>
                <c:pt idx="892">
                  <c:v>2.8875260101729146E-2</c:v>
                </c:pt>
                <c:pt idx="893">
                  <c:v>2.8887515948225712E-2</c:v>
                </c:pt>
                <c:pt idx="894">
                  <c:v>2.8911330369399663E-2</c:v>
                </c:pt>
                <c:pt idx="895">
                  <c:v>2.8935223147435712E-2</c:v>
                </c:pt>
                <c:pt idx="896">
                  <c:v>2.8959194285125035E-2</c:v>
                </c:pt>
                <c:pt idx="897">
                  <c:v>2.8983243785268026E-2</c:v>
                </c:pt>
                <c:pt idx="898">
                  <c:v>2.9010285450897517E-2</c:v>
                </c:pt>
                <c:pt idx="899">
                  <c:v>2.9034499220232463E-2</c:v>
                </c:pt>
                <c:pt idx="900">
                  <c:v>2.9058791368568183E-2</c:v>
                </c:pt>
                <c:pt idx="901">
                  <c:v>2.9083161898758356E-2</c:v>
                </c:pt>
                <c:pt idx="902">
                  <c:v>2.9104666821474782E-2</c:v>
                </c:pt>
                <c:pt idx="903">
                  <c:v>2.9129186555677814E-2</c:v>
                </c:pt>
                <c:pt idx="904">
                  <c:v>2.9153784672199506E-2</c:v>
                </c:pt>
                <c:pt idx="905">
                  <c:v>2.9178461173913157E-2</c:v>
                </c:pt>
                <c:pt idx="906">
                  <c:v>2.9206190332753911E-2</c:v>
                </c:pt>
                <c:pt idx="907">
                  <c:v>2.9231027130067356E-2</c:v>
                </c:pt>
                <c:pt idx="908">
                  <c:v>2.9255927339612769E-2</c:v>
                </c:pt>
                <c:pt idx="909">
                  <c:v>2.928087930490934E-2</c:v>
                </c:pt>
                <c:pt idx="910">
                  <c:v>2.9306453383224743E-2</c:v>
                </c:pt>
                <c:pt idx="911">
                  <c:v>2.9331476729383868E-2</c:v>
                </c:pt>
                <c:pt idx="912">
                  <c:v>2.9356516516848015E-2</c:v>
                </c:pt>
                <c:pt idx="913">
                  <c:v>2.9381561023669376E-2</c:v>
                </c:pt>
                <c:pt idx="914">
                  <c:v>2.9406598527315992E-2</c:v>
                </c:pt>
                <c:pt idx="915">
                  <c:v>2.943161730467176E-2</c:v>
                </c:pt>
                <c:pt idx="916">
                  <c:v>2.9456605632035549E-2</c:v>
                </c:pt>
                <c:pt idx="917">
                  <c:v>2.9481551785123399E-2</c:v>
                </c:pt>
                <c:pt idx="918">
                  <c:v>2.950644403907203E-2</c:v>
                </c:pt>
                <c:pt idx="919">
                  <c:v>2.954012062428478E-2</c:v>
                </c:pt>
                <c:pt idx="920">
                  <c:v>2.9564841616561154E-2</c:v>
                </c:pt>
                <c:pt idx="921">
                  <c:v>2.9589471286188627E-2</c:v>
                </c:pt>
                <c:pt idx="922">
                  <c:v>2.9613998093144637E-2</c:v>
                </c:pt>
                <c:pt idx="923">
                  <c:v>2.9646503355596879E-2</c:v>
                </c:pt>
                <c:pt idx="924">
                  <c:v>2.9662696956171127E-2</c:v>
                </c:pt>
                <c:pt idx="925">
                  <c:v>2.9686845929433291E-2</c:v>
                </c:pt>
                <c:pt idx="926">
                  <c:v>2.9710845874422059E-2</c:v>
                </c:pt>
                <c:pt idx="927">
                  <c:v>2.9734685248395745E-2</c:v>
                </c:pt>
                <c:pt idx="928">
                  <c:v>2.9765603794932077E-2</c:v>
                </c:pt>
                <c:pt idx="929">
                  <c:v>2.9789019164510579E-2</c:v>
                </c:pt>
                <c:pt idx="930">
                  <c:v>2.9812234542877659E-2</c:v>
                </c:pt>
                <c:pt idx="931">
                  <c:v>2.9835238323365092E-2</c:v>
                </c:pt>
                <c:pt idx="932">
                  <c:v>2.9855238868210038E-2</c:v>
                </c:pt>
                <c:pt idx="933">
                  <c:v>2.9877807989530707E-2</c:v>
                </c:pt>
                <c:pt idx="934">
                  <c:v>2.9900150593999322E-2</c:v>
                </c:pt>
                <c:pt idx="935">
                  <c:v>2.9922266674006236E-2</c:v>
                </c:pt>
                <c:pt idx="936">
                  <c:v>2.9949601664464354E-2</c:v>
                </c:pt>
                <c:pt idx="937">
                  <c:v>2.9968528171400024E-2</c:v>
                </c:pt>
                <c:pt idx="938">
                  <c:v>2.9989950220522438E-2</c:v>
                </c:pt>
                <c:pt idx="939">
                  <c:v>3.0011145697522917E-2</c:v>
                </c:pt>
                <c:pt idx="940">
                  <c:v>3.0032114595144228E-2</c:v>
                </c:pt>
                <c:pt idx="941">
                  <c:v>3.0052856906205586E-2</c:v>
                </c:pt>
                <c:pt idx="942">
                  <c:v>3.0073372623606588E-2</c:v>
                </c:pt>
                <c:pt idx="943">
                  <c:v>3.009366174032068E-2</c:v>
                </c:pt>
                <c:pt idx="944">
                  <c:v>3.0113724249402115E-2</c:v>
                </c:pt>
                <c:pt idx="945">
                  <c:v>3.0128372626155316E-2</c:v>
                </c:pt>
                <c:pt idx="946">
                  <c:v>3.0148011012104393E-2</c:v>
                </c:pt>
                <c:pt idx="947">
                  <c:v>3.0167422806564162E-2</c:v>
                </c:pt>
                <c:pt idx="948">
                  <c:v>3.0186608002960538E-2</c:v>
                </c:pt>
                <c:pt idx="949">
                  <c:v>3.0205566594795428E-2</c:v>
                </c:pt>
                <c:pt idx="950">
                  <c:v>3.0224298575646711E-2</c:v>
                </c:pt>
                <c:pt idx="951">
                  <c:v>3.0242803939170896E-2</c:v>
                </c:pt>
                <c:pt idx="952">
                  <c:v>3.0263574792735112E-2</c:v>
                </c:pt>
                <c:pt idx="953">
                  <c:v>3.0279134789242129E-2</c:v>
                </c:pt>
                <c:pt idx="954">
                  <c:v>3.0296960263483417E-2</c:v>
                </c:pt>
                <c:pt idx="955">
                  <c:v>3.0314559095786082E-2</c:v>
                </c:pt>
                <c:pt idx="956">
                  <c:v>3.0331931280190058E-2</c:v>
                </c:pt>
                <c:pt idx="957">
                  <c:v>3.0349076810809939E-2</c:v>
                </c:pt>
                <c:pt idx="958">
                  <c:v>3.0365995727886067E-2</c:v>
                </c:pt>
                <c:pt idx="959">
                  <c:v>3.0382688845190346E-2</c:v>
                </c:pt>
                <c:pt idx="960">
                  <c:v>3.0399157618390453E-2</c:v>
                </c:pt>
                <c:pt idx="961">
                  <c:v>3.041540352270326E-2</c:v>
                </c:pt>
                <c:pt idx="962">
                  <c:v>3.0431353497334741E-2</c:v>
                </c:pt>
                <c:pt idx="963">
                  <c:v>3.0447140679151156E-2</c:v>
                </c:pt>
                <c:pt idx="964">
                  <c:v>3.0462709481320387E-2</c:v>
                </c:pt>
                <c:pt idx="965">
                  <c:v>3.0478061387631438E-2</c:v>
                </c:pt>
                <c:pt idx="966">
                  <c:v>3.0493197881988579E-2</c:v>
                </c:pt>
                <c:pt idx="967">
                  <c:v>3.0508120448410465E-2</c:v>
                </c:pt>
                <c:pt idx="968">
                  <c:v>3.0522830571029249E-2</c:v>
                </c:pt>
                <c:pt idx="969">
                  <c:v>3.0537329734085288E-2</c:v>
                </c:pt>
                <c:pt idx="970">
                  <c:v>3.0551619421929341E-2</c:v>
                </c:pt>
                <c:pt idx="971">
                  <c:v>3.0572374213148602E-2</c:v>
                </c:pt>
                <c:pt idx="972">
                  <c:v>3.0586210881908056E-2</c:v>
                </c:pt>
                <c:pt idx="973">
                  <c:v>3.0599842752026422E-2</c:v>
                </c:pt>
                <c:pt idx="974">
                  <c:v>3.0613271284320384E-2</c:v>
                </c:pt>
                <c:pt idx="975">
                  <c:v>3.0624325592141236E-2</c:v>
                </c:pt>
                <c:pt idx="976">
                  <c:v>3.0637364422592857E-2</c:v>
                </c:pt>
                <c:pt idx="977">
                  <c:v>3.0650204256564423E-2</c:v>
                </c:pt>
                <c:pt idx="978">
                  <c:v>3.0666422575836905E-2</c:v>
                </c:pt>
                <c:pt idx="979">
                  <c:v>3.0684799905527384E-2</c:v>
                </c:pt>
                <c:pt idx="980">
                  <c:v>3.0697324703925423E-2</c:v>
                </c:pt>
                <c:pt idx="981">
                  <c:v>3.0709290951660917E-2</c:v>
                </c:pt>
                <c:pt idx="982">
                  <c:v>3.0721065968723388E-2</c:v>
                </c:pt>
                <c:pt idx="983">
                  <c:v>3.0726448088755111E-2</c:v>
                </c:pt>
                <c:pt idx="984">
                  <c:v>3.0737882194962537E-2</c:v>
                </c:pt>
                <c:pt idx="985">
                  <c:v>3.0749128007146093E-2</c:v>
                </c:pt>
                <c:pt idx="986">
                  <c:v>3.0760185522125373E-2</c:v>
                </c:pt>
                <c:pt idx="987">
                  <c:v>3.0777107750280277E-2</c:v>
                </c:pt>
                <c:pt idx="988">
                  <c:v>3.0787751017840894E-2</c:v>
                </c:pt>
                <c:pt idx="989">
                  <c:v>3.0798205931326379E-2</c:v>
                </c:pt>
                <c:pt idx="990">
                  <c:v>3.080847248773225E-2</c:v>
                </c:pt>
                <c:pt idx="991">
                  <c:v>3.0818550684106896E-2</c:v>
                </c:pt>
                <c:pt idx="992">
                  <c:v>3.082257619933226E-2</c:v>
                </c:pt>
                <c:pt idx="993">
                  <c:v>3.0838141985230653E-2</c:v>
                </c:pt>
                <c:pt idx="994">
                  <c:v>3.0847655084347708E-2</c:v>
                </c:pt>
                <c:pt idx="995">
                  <c:v>3.0856979812171146E-2</c:v>
                </c:pt>
                <c:pt idx="996">
                  <c:v>3.0860403664109849E-2</c:v>
                </c:pt>
                <c:pt idx="997">
                  <c:v>3.0865601220658508E-2</c:v>
                </c:pt>
                <c:pt idx="998">
                  <c:v>3.0874424343966273E-2</c:v>
                </c:pt>
                <c:pt idx="999">
                  <c:v>3.0883059165548447E-2</c:v>
                </c:pt>
                <c:pt idx="1000">
                  <c:v>3.0891505682990608E-2</c:v>
                </c:pt>
                <c:pt idx="1001">
                  <c:v>3.0901607796775674E-2</c:v>
                </c:pt>
                <c:pt idx="1002">
                  <c:v>3.0909664934273079E-2</c:v>
                </c:pt>
                <c:pt idx="1003">
                  <c:v>3.0917533744675468E-2</c:v>
                </c:pt>
                <c:pt idx="1004">
                  <c:v>3.0925214225770103E-2</c:v>
                </c:pt>
                <c:pt idx="1005">
                  <c:v>3.0932706375396076E-2</c:v>
                </c:pt>
                <c:pt idx="1006">
                  <c:v>3.0938230272072865E-2</c:v>
                </c:pt>
                <c:pt idx="1007">
                  <c:v>3.0945358597327572E-2</c:v>
                </c:pt>
                <c:pt idx="1008">
                  <c:v>3.0952298601015324E-2</c:v>
                </c:pt>
                <c:pt idx="1009">
                  <c:v>3.0959050281194684E-2</c:v>
                </c:pt>
                <c:pt idx="1010">
                  <c:v>3.096734303970991E-2</c:v>
                </c:pt>
                <c:pt idx="1011">
                  <c:v>3.0973713963589351E-2</c:v>
                </c:pt>
                <c:pt idx="1012">
                  <c:v>3.0979913531092227E-2</c:v>
                </c:pt>
                <c:pt idx="1013">
                  <c:v>3.0989331497681245E-2</c:v>
                </c:pt>
                <c:pt idx="1014">
                  <c:v>3.0990974052500252E-2</c:v>
                </c:pt>
                <c:pt idx="1015">
                  <c:v>3.0995891494336961E-2</c:v>
                </c:pt>
                <c:pt idx="1016">
                  <c:v>3.1001502837633279E-2</c:v>
                </c:pt>
                <c:pt idx="1017">
                  <c:v>3.1006987600235382E-2</c:v>
                </c:pt>
                <c:pt idx="1018">
                  <c:v>3.1012354978769939E-2</c:v>
                </c:pt>
                <c:pt idx="1019">
                  <c:v>3.1017614169982409E-2</c:v>
                </c:pt>
                <c:pt idx="1020">
                  <c:v>3.1022774370732201E-2</c:v>
                </c:pt>
                <c:pt idx="1021">
                  <c:v>3.102784477798869E-2</c:v>
                </c:pt>
                <c:pt idx="1022">
                  <c:v>3.1032834588825914E-2</c:v>
                </c:pt>
                <c:pt idx="1023">
                  <c:v>3.1046066882387247E-2</c:v>
                </c:pt>
                <c:pt idx="1024">
                  <c:v>3.1050926074877777E-2</c:v>
                </c:pt>
                <c:pt idx="1025">
                  <c:v>3.1055734996652547E-2</c:v>
                </c:pt>
                <c:pt idx="1026">
                  <c:v>3.1060502601766255E-2</c:v>
                </c:pt>
                <c:pt idx="1027">
                  <c:v>3.1060231833684112E-2</c:v>
                </c:pt>
                <c:pt idx="1028">
                  <c:v>3.1064936144579045E-2</c:v>
                </c:pt>
                <c:pt idx="1029">
                  <c:v>3.1069624956754291E-2</c:v>
                </c:pt>
                <c:pt idx="1030">
                  <c:v>3.1074307369062231E-2</c:v>
                </c:pt>
                <c:pt idx="1031">
                  <c:v>3.1078992480441742E-2</c:v>
                </c:pt>
                <c:pt idx="1032">
                  <c:v>3.1088742020798255E-2</c:v>
                </c:pt>
                <c:pt idx="1033">
                  <c:v>3.1093471130213293E-2</c:v>
                </c:pt>
                <c:pt idx="1034">
                  <c:v>3.1098230558553333E-2</c:v>
                </c:pt>
                <c:pt idx="1035">
                  <c:v>3.1103029260653964E-2</c:v>
                </c:pt>
                <c:pt idx="1036">
                  <c:v>3.1102776037243551E-2</c:v>
                </c:pt>
                <c:pt idx="1037">
                  <c:v>3.1107659666905964E-2</c:v>
                </c:pt>
                <c:pt idx="1038">
                  <c:v>3.1112592792206132E-2</c:v>
                </c:pt>
                <c:pt idx="1039">
                  <c:v>3.1122710262525624E-2</c:v>
                </c:pt>
                <c:pt idx="1040">
                  <c:v>3.1127754284462097E-2</c:v>
                </c:pt>
                <c:pt idx="1041">
                  <c:v>3.1132847816177641E-2</c:v>
                </c:pt>
                <c:pt idx="1042">
                  <c:v>3.1137990858056467E-2</c:v>
                </c:pt>
                <c:pt idx="1043">
                  <c:v>3.114318341048708E-2</c:v>
                </c:pt>
                <c:pt idx="1044">
                  <c:v>3.1143230973163655E-2</c:v>
                </c:pt>
                <c:pt idx="1045">
                  <c:v>3.1153717048576605E-2</c:v>
                </c:pt>
                <c:pt idx="1046">
                  <c:v>3.115905813503015E-2</c:v>
                </c:pt>
                <c:pt idx="1047">
                  <c:v>3.1164448733626466E-2</c:v>
                </c:pt>
                <c:pt idx="1048">
                  <c:v>3.1164646387689524E-2</c:v>
                </c:pt>
                <c:pt idx="1049">
                  <c:v>3.116662342356644E-2</c:v>
                </c:pt>
                <c:pt idx="1050">
                  <c:v>3.1172142506198677E-2</c:v>
                </c:pt>
                <c:pt idx="1051">
                  <c:v>3.1177711080785757E-2</c:v>
                </c:pt>
                <c:pt idx="1052">
                  <c:v>3.118332914773796E-2</c:v>
                </c:pt>
                <c:pt idx="1053">
                  <c:v>3.1190762813581765E-2</c:v>
                </c:pt>
                <c:pt idx="1054">
                  <c:v>3.1196483893628831E-2</c:v>
                </c:pt>
                <c:pt idx="1055">
                  <c:v>3.1202254471666222E-2</c:v>
                </c:pt>
                <c:pt idx="1056">
                  <c:v>3.1208074548120406E-2</c:v>
                </c:pt>
                <c:pt idx="1057">
                  <c:v>3.1213944123421808E-2</c:v>
                </c:pt>
                <c:pt idx="1058">
                  <c:v>3.121807691247909E-2</c:v>
                </c:pt>
                <c:pt idx="1059">
                  <c:v>3.122404143774659E-2</c:v>
                </c:pt>
                <c:pt idx="1060">
                  <c:v>3.1230055458782456E-2</c:v>
                </c:pt>
                <c:pt idx="1061">
                  <c:v>3.1236118976029653E-2</c:v>
                </c:pt>
                <c:pt idx="1062">
                  <c:v>3.1244034297034363E-2</c:v>
                </c:pt>
                <c:pt idx="1063">
                  <c:v>3.1250193634633001E-2</c:v>
                </c:pt>
                <c:pt idx="1064">
                  <c:v>3.1256380597761632E-2</c:v>
                </c:pt>
                <c:pt idx="1065">
                  <c:v>3.1262579873158391E-2</c:v>
                </c:pt>
                <c:pt idx="1066">
                  <c:v>3.1266977021801326E-2</c:v>
                </c:pt>
                <c:pt idx="1067">
                  <c:v>3.1273160565708072E-2</c:v>
                </c:pt>
                <c:pt idx="1068">
                  <c:v>3.1279312224119907E-2</c:v>
                </c:pt>
                <c:pt idx="1069">
                  <c:v>3.1285416599765317E-2</c:v>
                </c:pt>
                <c:pt idx="1070">
                  <c:v>3.1291458295190817E-2</c:v>
                </c:pt>
                <c:pt idx="1071">
                  <c:v>3.1297421912762739E-2</c:v>
                </c:pt>
                <c:pt idx="1072">
                  <c:v>3.1303292054673859E-2</c:v>
                </c:pt>
                <c:pt idx="1073">
                  <c:v>3.130905332295001E-2</c:v>
                </c:pt>
                <c:pt idx="1074">
                  <c:v>3.1314690319457598E-2</c:v>
                </c:pt>
                <c:pt idx="1075">
                  <c:v>3.1328633822641609E-2</c:v>
                </c:pt>
                <c:pt idx="1076">
                  <c:v>3.1333884007485047E-2</c:v>
                </c:pt>
                <c:pt idx="1077">
                  <c:v>3.1338958859869391E-2</c:v>
                </c:pt>
                <c:pt idx="1078">
                  <c:v>3.1343843388500846E-2</c:v>
                </c:pt>
                <c:pt idx="1079">
                  <c:v>3.1343698875067105E-2</c:v>
                </c:pt>
                <c:pt idx="1080">
                  <c:v>3.1348223336223439E-2</c:v>
                </c:pt>
                <c:pt idx="1081">
                  <c:v>3.1352514420528374E-2</c:v>
                </c:pt>
                <c:pt idx="1082">
                  <c:v>3.1356556894625479E-2</c:v>
                </c:pt>
                <c:pt idx="1083">
                  <c:v>3.1360335525121623E-2</c:v>
                </c:pt>
                <c:pt idx="1084">
                  <c:v>3.1368314238834884E-2</c:v>
                </c:pt>
                <c:pt idx="1085">
                  <c:v>3.1371446738896379E-2</c:v>
                </c:pt>
                <c:pt idx="1086">
                  <c:v>3.1374268982788729E-2</c:v>
                </c:pt>
                <c:pt idx="1087">
                  <c:v>3.1376765978989071E-2</c:v>
                </c:pt>
                <c:pt idx="1088">
                  <c:v>3.1374738054885415E-2</c:v>
                </c:pt>
                <c:pt idx="1089">
                  <c:v>3.1376620924772086E-2</c:v>
                </c:pt>
                <c:pt idx="1090">
                  <c:v>3.137815507818404E-2</c:v>
                </c:pt>
                <c:pt idx="1091">
                  <c:v>3.1379340514318434E-2</c:v>
                </c:pt>
                <c:pt idx="1092">
                  <c:v>3.1384064542684421E-2</c:v>
                </c:pt>
                <c:pt idx="1093">
                  <c:v>3.1384477924352241E-2</c:v>
                </c:pt>
                <c:pt idx="1094">
                  <c:v>3.138454249697175E-2</c:v>
                </c:pt>
                <c:pt idx="1095">
                  <c:v>3.1384258260509425E-2</c:v>
                </c:pt>
                <c:pt idx="1096">
                  <c:v>3.1383625215116118E-2</c:v>
                </c:pt>
                <c:pt idx="1097">
                  <c:v>3.1382643361128754E-2</c:v>
                </c:pt>
                <c:pt idx="1098">
                  <c:v>3.1381312699069075E-2</c:v>
                </c:pt>
                <c:pt idx="1099">
                  <c:v>3.1379633229646188E-2</c:v>
                </c:pt>
                <c:pt idx="1100">
                  <c:v>3.1377604953752712E-2</c:v>
                </c:pt>
                <c:pt idx="1101">
                  <c:v>3.1370939861210756E-2</c:v>
                </c:pt>
                <c:pt idx="1102">
                  <c:v>3.1368314541434676E-2</c:v>
                </c:pt>
                <c:pt idx="1103">
                  <c:v>3.1365340538981143E-2</c:v>
                </c:pt>
                <c:pt idx="1104">
                  <c:v>3.1362017855398362E-2</c:v>
                </c:pt>
                <c:pt idx="1105">
                  <c:v>3.1359321290759558E-2</c:v>
                </c:pt>
                <c:pt idx="1106">
                  <c:v>3.1355275995485279E-2</c:v>
                </c:pt>
                <c:pt idx="1107">
                  <c:v>3.1354555334774291E-2</c:v>
                </c:pt>
                <c:pt idx="1108">
                  <c:v>3.1346139291330934E-2</c:v>
                </c:pt>
                <c:pt idx="1109">
                  <c:v>3.1341047887233922E-2</c:v>
                </c:pt>
                <c:pt idx="1110">
                  <c:v>3.133475955976979E-2</c:v>
                </c:pt>
                <c:pt idx="1111">
                  <c:v>3.1328996166882894E-2</c:v>
                </c:pt>
                <c:pt idx="1112">
                  <c:v>3.1322884111787005E-2</c:v>
                </c:pt>
                <c:pt idx="1113">
                  <c:v>3.1316423397664196E-2</c:v>
                </c:pt>
                <c:pt idx="1114">
                  <c:v>3.1310360872993187E-2</c:v>
                </c:pt>
                <c:pt idx="1115">
                  <c:v>3.1303185531371333E-2</c:v>
                </c:pt>
                <c:pt idx="1116">
                  <c:v>3.1295682450233085E-2</c:v>
                </c:pt>
                <c:pt idx="1117">
                  <c:v>3.1287864957765948E-2</c:v>
                </c:pt>
                <c:pt idx="1118">
                  <c:v>3.1279746382102402E-2</c:v>
                </c:pt>
                <c:pt idx="1119">
                  <c:v>3.127069466090257E-2</c:v>
                </c:pt>
                <c:pt idx="1120">
                  <c:v>3.1262029422392541E-2</c:v>
                </c:pt>
                <c:pt idx="1121">
                  <c:v>3.1253101673899969E-2</c:v>
                </c:pt>
                <c:pt idx="1122">
                  <c:v>3.1243924815192749E-2</c:v>
                </c:pt>
                <c:pt idx="1123">
                  <c:v>3.1234512245892063E-2</c:v>
                </c:pt>
                <c:pt idx="1124">
                  <c:v>3.122487736545133E-2</c:v>
                </c:pt>
                <c:pt idx="1125">
                  <c:v>3.1215033573146526E-2</c:v>
                </c:pt>
                <c:pt idx="1126">
                  <c:v>3.1204994268056861E-2</c:v>
                </c:pt>
                <c:pt idx="1127">
                  <c:v>3.1196997712081339E-2</c:v>
                </c:pt>
                <c:pt idx="1128">
                  <c:v>3.1186582908941007E-2</c:v>
                </c:pt>
                <c:pt idx="1129">
                  <c:v>3.1176016071888333E-2</c:v>
                </c:pt>
                <c:pt idx="1130">
                  <c:v>3.1165310315506286E-2</c:v>
                </c:pt>
                <c:pt idx="1131">
                  <c:v>3.1152870410212443E-2</c:v>
                </c:pt>
                <c:pt idx="1132">
                  <c:v>3.114193604909055E-2</c:v>
                </c:pt>
                <c:pt idx="1133">
                  <c:v>3.1130900508219483E-2</c:v>
                </c:pt>
                <c:pt idx="1134">
                  <c:v>3.1119777112651351E-2</c:v>
                </c:pt>
                <c:pt idx="1135">
                  <c:v>3.1108579187156506E-2</c:v>
                </c:pt>
                <c:pt idx="1136">
                  <c:v>3.1098892854943109E-2</c:v>
                </c:pt>
                <c:pt idx="1137">
                  <c:v>3.1087581849259201E-2</c:v>
                </c:pt>
                <c:pt idx="1138">
                  <c:v>3.1076236831138127E-2</c:v>
                </c:pt>
                <c:pt idx="1139">
                  <c:v>3.1064870912632835E-2</c:v>
                </c:pt>
                <c:pt idx="1140">
                  <c:v>3.1051937782419308E-2</c:v>
                </c:pt>
                <c:pt idx="1141">
                  <c:v>3.1040566182148482E-2</c:v>
                </c:pt>
                <c:pt idx="1142">
                  <c:v>3.1029194284583665E-2</c:v>
                </c:pt>
                <c:pt idx="1143">
                  <c:v>3.101782208973097E-2</c:v>
                </c:pt>
                <c:pt idx="1144">
                  <c:v>3.1006449597595201E-2</c:v>
                </c:pt>
                <c:pt idx="1145">
                  <c:v>3.0996621154402083E-2</c:v>
                </c:pt>
                <c:pt idx="1146">
                  <c:v>3.0985245089710966E-2</c:v>
                </c:pt>
                <c:pt idx="1147">
                  <c:v>3.0973868728741576E-2</c:v>
                </c:pt>
                <c:pt idx="1148">
                  <c:v>3.0962492071500359E-2</c:v>
                </c:pt>
                <c:pt idx="1149">
                  <c:v>3.0951115117992048E-2</c:v>
                </c:pt>
                <c:pt idx="1150">
                  <c:v>3.0939737868223516E-2</c:v>
                </c:pt>
                <c:pt idx="1151">
                  <c:v>3.0928360322199918E-2</c:v>
                </c:pt>
                <c:pt idx="1152">
                  <c:v>3.0916982479928135E-2</c:v>
                </c:pt>
                <c:pt idx="1153">
                  <c:v>3.0903069764078677E-2</c:v>
                </c:pt>
                <c:pt idx="1154">
                  <c:v>3.0891696279338594E-2</c:v>
                </c:pt>
                <c:pt idx="1155">
                  <c:v>3.0880322496722751E-2</c:v>
                </c:pt>
                <c:pt idx="1156">
                  <c:v>3.0868948416236011E-2</c:v>
                </c:pt>
                <c:pt idx="1157">
                  <c:v>3.0857574037884555E-2</c:v>
                </c:pt>
                <c:pt idx="1158">
                  <c:v>3.0846701461851294E-2</c:v>
                </c:pt>
                <c:pt idx="1159">
                  <c:v>3.0835325499501586E-2</c:v>
                </c:pt>
                <c:pt idx="1160">
                  <c:v>3.0823949239633386E-2</c:v>
                </c:pt>
                <c:pt idx="1161">
                  <c:v>3.0812572682252404E-2</c:v>
                </c:pt>
                <c:pt idx="1162">
                  <c:v>3.0800697678359235E-2</c:v>
                </c:pt>
                <c:pt idx="1163">
                  <c:v>3.0789321512940487E-2</c:v>
                </c:pt>
                <c:pt idx="1164">
                  <c:v>3.0777945049697213E-2</c:v>
                </c:pt>
                <c:pt idx="1165">
                  <c:v>3.0766568288635592E-2</c:v>
                </c:pt>
                <c:pt idx="1166">
                  <c:v>3.0755685398056152E-2</c:v>
                </c:pt>
                <c:pt idx="1167">
                  <c:v>3.0744303918884282E-2</c:v>
                </c:pt>
                <c:pt idx="1168">
                  <c:v>3.0732910630453785E-2</c:v>
                </c:pt>
                <c:pt idx="1169">
                  <c:v>3.0721496579376742E-2</c:v>
                </c:pt>
                <c:pt idx="1170">
                  <c:v>3.0708415040803044E-2</c:v>
                </c:pt>
                <c:pt idx="1171">
                  <c:v>3.0696454368809762E-2</c:v>
                </c:pt>
                <c:pt idx="1172">
                  <c:v>3.0684924435828796E-2</c:v>
                </c:pt>
                <c:pt idx="1173">
                  <c:v>3.0673337622254777E-2</c:v>
                </c:pt>
                <c:pt idx="1174">
                  <c:v>3.0661684927034982E-2</c:v>
                </c:pt>
                <c:pt idx="1175">
                  <c:v>3.0649957349328679E-2</c:v>
                </c:pt>
                <c:pt idx="1176">
                  <c:v>3.0638145888514622E-2</c:v>
                </c:pt>
                <c:pt idx="1177">
                  <c:v>3.0626241544189296E-2</c:v>
                </c:pt>
                <c:pt idx="1178">
                  <c:v>3.061423531617442E-2</c:v>
                </c:pt>
                <c:pt idx="1179">
                  <c:v>3.0603654131226343E-2</c:v>
                </c:pt>
                <c:pt idx="1180">
                  <c:v>3.0591360595192428E-2</c:v>
                </c:pt>
                <c:pt idx="1181">
                  <c:v>3.057893588248985E-2</c:v>
                </c:pt>
                <c:pt idx="1182">
                  <c:v>3.0566371185670002E-2</c:v>
                </c:pt>
                <c:pt idx="1183">
                  <c:v>3.0545695882174546E-2</c:v>
                </c:pt>
                <c:pt idx="1184">
                  <c:v>3.0540786611146186E-2</c:v>
                </c:pt>
                <c:pt idx="1185">
                  <c:v>3.0527749119831755E-2</c:v>
                </c:pt>
                <c:pt idx="1186">
                  <c:v>3.0514536417192525E-2</c:v>
                </c:pt>
                <c:pt idx="1187">
                  <c:v>3.0501139697108121E-2</c:v>
                </c:pt>
                <c:pt idx="1188">
                  <c:v>3.0487550153749831E-2</c:v>
                </c:pt>
                <c:pt idx="1189">
                  <c:v>3.0473758981583617E-2</c:v>
                </c:pt>
                <c:pt idx="1190">
                  <c:v>3.04597573753831E-2</c:v>
                </c:pt>
                <c:pt idx="1191">
                  <c:v>3.044553653023515E-2</c:v>
                </c:pt>
                <c:pt idx="1192">
                  <c:v>3.0431087757127023E-2</c:v>
                </c:pt>
                <c:pt idx="1193">
                  <c:v>3.0416406185576315E-2</c:v>
                </c:pt>
                <c:pt idx="1194">
                  <c:v>3.0401491546822885E-2</c:v>
                </c:pt>
                <c:pt idx="1195">
                  <c:v>3.0386343846145528E-2</c:v>
                </c:pt>
                <c:pt idx="1196">
                  <c:v>3.0370963088904291E-2</c:v>
                </c:pt>
                <c:pt idx="1197">
                  <c:v>3.0355349280543027E-2</c:v>
                </c:pt>
                <c:pt idx="1198">
                  <c:v>3.0339502426586833E-2</c:v>
                </c:pt>
                <c:pt idx="1199">
                  <c:v>3.0323422532643331E-2</c:v>
                </c:pt>
                <c:pt idx="1200">
                  <c:v>3.0307109604403536E-2</c:v>
                </c:pt>
                <c:pt idx="1201">
                  <c:v>3.0290563647640132E-2</c:v>
                </c:pt>
                <c:pt idx="1202">
                  <c:v>3.027378466820789E-2</c:v>
                </c:pt>
                <c:pt idx="1203">
                  <c:v>3.025677267204498E-2</c:v>
                </c:pt>
                <c:pt idx="1204">
                  <c:v>3.02395276651721E-2</c:v>
                </c:pt>
                <c:pt idx="1205">
                  <c:v>3.0222307971448426E-2</c:v>
                </c:pt>
                <c:pt idx="1206">
                  <c:v>3.020466940711157E-2</c:v>
                </c:pt>
                <c:pt idx="1207">
                  <c:v>3.0186797922928655E-2</c:v>
                </c:pt>
                <c:pt idx="1208">
                  <c:v>3.0168693525087872E-2</c:v>
                </c:pt>
                <c:pt idx="1209">
                  <c:v>3.0150221706413762E-2</c:v>
                </c:pt>
                <c:pt idx="1210">
                  <c:v>3.0131633320753599E-2</c:v>
                </c:pt>
                <c:pt idx="1211">
                  <c:v>3.0112812022562857E-2</c:v>
                </c:pt>
                <c:pt idx="1212">
                  <c:v>3.0092983848763587E-2</c:v>
                </c:pt>
                <c:pt idx="1213">
                  <c:v>3.007447071487717E-2</c:v>
                </c:pt>
                <c:pt idx="1214">
                  <c:v>3.0055176307875818E-2</c:v>
                </c:pt>
                <c:pt idx="1215">
                  <c:v>3.0035441694446437E-2</c:v>
                </c:pt>
                <c:pt idx="1216">
                  <c:v>3.0015474219760595E-2</c:v>
                </c:pt>
                <c:pt idx="1217">
                  <c:v>2.9995273890729885E-2</c:v>
                </c:pt>
                <c:pt idx="1218">
                  <c:v>2.9974542033600629E-2</c:v>
                </c:pt>
                <c:pt idx="1219">
                  <c:v>2.9953865667895339E-2</c:v>
                </c:pt>
                <c:pt idx="1220">
                  <c:v>2.9932985773788886E-2</c:v>
                </c:pt>
                <c:pt idx="1221">
                  <c:v>2.9911925163715405E-2</c:v>
                </c:pt>
                <c:pt idx="1222">
                  <c:v>2.988261122846364E-2</c:v>
                </c:pt>
                <c:pt idx="1223">
                  <c:v>2.986016579175026E-2</c:v>
                </c:pt>
                <c:pt idx="1224">
                  <c:v>2.9838658759776454E-2</c:v>
                </c:pt>
                <c:pt idx="1225">
                  <c:v>2.9817072027222006E-2</c:v>
                </c:pt>
                <c:pt idx="1226">
                  <c:v>2.9795428401418328E-2</c:v>
                </c:pt>
                <c:pt idx="1227">
                  <c:v>2.9773750688721342E-2</c:v>
                </c:pt>
                <c:pt idx="1228">
                  <c:v>2.9752061694505338E-2</c:v>
                </c:pt>
                <c:pt idx="1229">
                  <c:v>2.973038422315771E-2</c:v>
                </c:pt>
                <c:pt idx="1230">
                  <c:v>2.9708741078083332E-2</c:v>
                </c:pt>
                <c:pt idx="1231">
                  <c:v>2.9686570544955847E-2</c:v>
                </c:pt>
                <c:pt idx="1232">
                  <c:v>2.9665095160149736E-2</c:v>
                </c:pt>
                <c:pt idx="1233">
                  <c:v>2.9643725322113647E-2</c:v>
                </c:pt>
                <c:pt idx="1234">
                  <c:v>2.9622483586038771E-2</c:v>
                </c:pt>
                <c:pt idx="1235">
                  <c:v>2.9601614325551896E-2</c:v>
                </c:pt>
                <c:pt idx="1236">
                  <c:v>2.9580676182836298E-2</c:v>
                </c:pt>
                <c:pt idx="1237">
                  <c:v>2.9559932887493909E-2</c:v>
                </c:pt>
                <c:pt idx="1238">
                  <c:v>2.9533585730934269E-2</c:v>
                </c:pt>
                <c:pt idx="1239">
                  <c:v>2.9519121530121886E-2</c:v>
                </c:pt>
                <c:pt idx="1240">
                  <c:v>2.9498986284903727E-2</c:v>
                </c:pt>
                <c:pt idx="1241">
                  <c:v>2.9479272731030067E-2</c:v>
                </c:pt>
                <c:pt idx="1242">
                  <c:v>2.9459867688355602E-2</c:v>
                </c:pt>
                <c:pt idx="1243">
                  <c:v>2.9440793704371165E-2</c:v>
                </c:pt>
                <c:pt idx="1244">
                  <c:v>2.9422088596699019E-2</c:v>
                </c:pt>
                <c:pt idx="1245">
                  <c:v>2.9403702575915347E-2</c:v>
                </c:pt>
                <c:pt idx="1246">
                  <c:v>2.9385676555843759E-2</c:v>
                </c:pt>
                <c:pt idx="1247">
                  <c:v>2.9368010526737296E-2</c:v>
                </c:pt>
                <c:pt idx="1248">
                  <c:v>2.9350867680517385E-2</c:v>
                </c:pt>
                <c:pt idx="1249">
                  <c:v>2.9333863179473056E-2</c:v>
                </c:pt>
                <c:pt idx="1250">
                  <c:v>2.931730143802827E-2</c:v>
                </c:pt>
                <c:pt idx="1251">
                  <c:v>2.9301099679723303E-2</c:v>
                </c:pt>
                <c:pt idx="1252">
                  <c:v>2.9285257895751284E-2</c:v>
                </c:pt>
                <c:pt idx="1253">
                  <c:v>2.9269776077498238E-2</c:v>
                </c:pt>
                <c:pt idx="1254">
                  <c:v>2.9254654216546116E-2</c:v>
                </c:pt>
                <c:pt idx="1255">
                  <c:v>2.9239892304675837E-2</c:v>
                </c:pt>
                <c:pt idx="1256">
                  <c:v>2.9225490333859044E-2</c:v>
                </c:pt>
                <c:pt idx="1257">
                  <c:v>2.9210849540396884E-2</c:v>
                </c:pt>
                <c:pt idx="1258">
                  <c:v>2.9197118224184023E-2</c:v>
                </c:pt>
                <c:pt idx="1259">
                  <c:v>2.9183746768178285E-2</c:v>
                </c:pt>
                <c:pt idx="1260">
                  <c:v>2.9170735165188068E-2</c:v>
                </c:pt>
                <c:pt idx="1261">
                  <c:v>2.9158083408218082E-2</c:v>
                </c:pt>
                <c:pt idx="1262">
                  <c:v>2.9145791490462349E-2</c:v>
                </c:pt>
                <c:pt idx="1263">
                  <c:v>2.9134305632918852E-2</c:v>
                </c:pt>
                <c:pt idx="1264">
                  <c:v>2.9122287146352639E-2</c:v>
                </c:pt>
                <c:pt idx="1265">
                  <c:v>2.9111074707358228E-2</c:v>
                </c:pt>
                <c:pt idx="1266">
                  <c:v>2.9100222082301144E-2</c:v>
                </c:pt>
                <c:pt idx="1267">
                  <c:v>2.9089729265344737E-2</c:v>
                </c:pt>
                <c:pt idx="1268">
                  <c:v>2.9079596250846926E-2</c:v>
                </c:pt>
                <c:pt idx="1269">
                  <c:v>2.9069823033358443E-2</c:v>
                </c:pt>
                <c:pt idx="1270">
                  <c:v>2.9060408626068655E-2</c:v>
                </c:pt>
                <c:pt idx="1271">
                  <c:v>2.9051335555371708E-2</c:v>
                </c:pt>
                <c:pt idx="1272">
                  <c:v>2.9042572667842697E-2</c:v>
                </c:pt>
                <c:pt idx="1273">
                  <c:v>2.9034088396662584E-2</c:v>
                </c:pt>
                <c:pt idx="1274">
                  <c:v>2.902401715881562E-2</c:v>
                </c:pt>
                <c:pt idx="1275">
                  <c:v>2.9016019510962474E-2</c:v>
                </c:pt>
                <c:pt idx="1276">
                  <c:v>2.9008204796211804E-2</c:v>
                </c:pt>
                <c:pt idx="1277">
                  <c:v>2.9000541278355257E-2</c:v>
                </c:pt>
                <c:pt idx="1278">
                  <c:v>2.8992997221702954E-2</c:v>
                </c:pt>
                <c:pt idx="1279">
                  <c:v>2.8985540891067599E-2</c:v>
                </c:pt>
                <c:pt idx="1280">
                  <c:v>2.8978140551742835E-2</c:v>
                </c:pt>
                <c:pt idx="1281">
                  <c:v>2.8970764469497513E-2</c:v>
                </c:pt>
                <c:pt idx="1282">
                  <c:v>2.8963380910564634E-2</c:v>
                </c:pt>
                <c:pt idx="1283">
                  <c:v>2.8957751264199437E-2</c:v>
                </c:pt>
                <c:pt idx="1284">
                  <c:v>2.8950192953183244E-2</c:v>
                </c:pt>
                <c:pt idx="1285">
                  <c:v>2.8942526102944656E-2</c:v>
                </c:pt>
                <c:pt idx="1286">
                  <c:v>2.8934719491658548E-2</c:v>
                </c:pt>
                <c:pt idx="1287">
                  <c:v>2.8926244370429843E-2</c:v>
                </c:pt>
                <c:pt idx="1288">
                  <c:v>2.8918092967013979E-2</c:v>
                </c:pt>
                <c:pt idx="1289">
                  <c:v>2.8907267062362994E-2</c:v>
                </c:pt>
                <c:pt idx="1290">
                  <c:v>2.889853888168948E-2</c:v>
                </c:pt>
                <c:pt idx="1291">
                  <c:v>2.8888913167815871E-2</c:v>
                </c:pt>
                <c:pt idx="1292">
                  <c:v>2.888113558380077E-2</c:v>
                </c:pt>
                <c:pt idx="1293">
                  <c:v>2.8871302035447965E-2</c:v>
                </c:pt>
                <c:pt idx="1294">
                  <c:v>2.8861069320371829E-2</c:v>
                </c:pt>
                <c:pt idx="1295">
                  <c:v>2.884971169410628E-2</c:v>
                </c:pt>
                <c:pt idx="1296">
                  <c:v>2.8838694538955705E-2</c:v>
                </c:pt>
                <c:pt idx="1297">
                  <c:v>2.8827216563544925E-2</c:v>
                </c:pt>
                <c:pt idx="1298">
                  <c:v>2.8815277775823871E-2</c:v>
                </c:pt>
                <c:pt idx="1299">
                  <c:v>2.8803166809981566E-2</c:v>
                </c:pt>
                <c:pt idx="1300">
                  <c:v>2.8790204597559006E-2</c:v>
                </c:pt>
                <c:pt idx="1301">
                  <c:v>2.8776781492323933E-2</c:v>
                </c:pt>
                <c:pt idx="1302">
                  <c:v>2.8762897503724696E-2</c:v>
                </c:pt>
                <c:pt idx="1303">
                  <c:v>2.8748552641536706E-2</c:v>
                </c:pt>
                <c:pt idx="1304">
                  <c:v>2.873396847642902E-2</c:v>
                </c:pt>
                <c:pt idx="1305">
                  <c:v>2.8718480337112856E-2</c:v>
                </c:pt>
                <c:pt idx="1306">
                  <c:v>2.870275291604716E-2</c:v>
                </c:pt>
                <c:pt idx="1307">
                  <c:v>2.8686564663733465E-2</c:v>
                </c:pt>
                <c:pt idx="1308">
                  <c:v>2.8670547198843762E-2</c:v>
                </c:pt>
                <c:pt idx="1309">
                  <c:v>2.8653778301352597E-2</c:v>
                </c:pt>
                <c:pt idx="1310">
                  <c:v>2.8636344784413965E-2</c:v>
                </c:pt>
                <c:pt idx="1311">
                  <c:v>2.8618450622177605E-2</c:v>
                </c:pt>
                <c:pt idx="1312">
                  <c:v>2.8600095826969919E-2</c:v>
                </c:pt>
                <c:pt idx="1313">
                  <c:v>2.8580904865606944E-2</c:v>
                </c:pt>
                <c:pt idx="1314">
                  <c:v>2.856159442257436E-2</c:v>
                </c:pt>
                <c:pt idx="1315">
                  <c:v>2.8541823351209358E-2</c:v>
                </c:pt>
                <c:pt idx="1316">
                  <c:v>2.8521591665205469E-2</c:v>
                </c:pt>
                <c:pt idx="1317">
                  <c:v>2.8500899378575088E-2</c:v>
                </c:pt>
                <c:pt idx="1318">
                  <c:v>2.8480294493544014E-2</c:v>
                </c:pt>
                <c:pt idx="1319">
                  <c:v>2.8458715639308227E-2</c:v>
                </c:pt>
                <c:pt idx="1320">
                  <c:v>2.8436676262127383E-2</c:v>
                </c:pt>
                <c:pt idx="1321">
                  <c:v>2.8414176377182312E-2</c:v>
                </c:pt>
                <c:pt idx="1322">
                  <c:v>2.8390530621213741E-2</c:v>
                </c:pt>
                <c:pt idx="1323">
                  <c:v>2.8367098253335121E-2</c:v>
                </c:pt>
                <c:pt idx="1324">
                  <c:v>2.8343264634830771E-2</c:v>
                </c:pt>
                <c:pt idx="1325">
                  <c:v>2.8305091827552357E-2</c:v>
                </c:pt>
                <c:pt idx="1326">
                  <c:v>2.8291792647093746E-2</c:v>
                </c:pt>
                <c:pt idx="1327">
                  <c:v>2.8270517900690059E-2</c:v>
                </c:pt>
                <c:pt idx="1328">
                  <c:v>2.8245462582205925E-2</c:v>
                </c:pt>
                <c:pt idx="1329">
                  <c:v>2.8220190529105165E-2</c:v>
                </c:pt>
                <c:pt idx="1330">
                  <c:v>2.8194739651420692E-2</c:v>
                </c:pt>
                <c:pt idx="1331">
                  <c:v>2.8169147857317466E-2</c:v>
                </c:pt>
                <c:pt idx="1332">
                  <c:v>2.8143453053061304E-2</c:v>
                </c:pt>
                <c:pt idx="1333">
                  <c:v>2.8117693142998681E-2</c:v>
                </c:pt>
                <c:pt idx="1334">
                  <c:v>2.8091906029536966E-2</c:v>
                </c:pt>
                <c:pt idx="1335">
                  <c:v>2.8063216299646112E-2</c:v>
                </c:pt>
                <c:pt idx="1336">
                  <c:v>2.8037571137157033E-2</c:v>
                </c:pt>
                <c:pt idx="1337">
                  <c:v>2.8012021931958238E-2</c:v>
                </c:pt>
                <c:pt idx="1338">
                  <c:v>2.7986605774576939E-2</c:v>
                </c:pt>
                <c:pt idx="1339">
                  <c:v>2.7963251889906268E-2</c:v>
                </c:pt>
                <c:pt idx="1340">
                  <c:v>2.793812620543382E-2</c:v>
                </c:pt>
                <c:pt idx="1341">
                  <c:v>2.7913240167489133E-2</c:v>
                </c:pt>
                <c:pt idx="1342">
                  <c:v>2.7888631458959395E-2</c:v>
                </c:pt>
                <c:pt idx="1343">
                  <c:v>2.7864337760980639E-2</c:v>
                </c:pt>
                <c:pt idx="1344">
                  <c:v>2.7838979669033093E-2</c:v>
                </c:pt>
                <c:pt idx="1345">
                  <c:v>2.7815533226198098E-2</c:v>
                </c:pt>
                <c:pt idx="1346">
                  <c:v>2.7792516490359114E-2</c:v>
                </c:pt>
                <c:pt idx="1347">
                  <c:v>2.7769966536582161E-2</c:v>
                </c:pt>
                <c:pt idx="1348">
                  <c:v>2.7748912659480277E-2</c:v>
                </c:pt>
                <c:pt idx="1349">
                  <c:v>2.77272824195209E-2</c:v>
                </c:pt>
                <c:pt idx="1350">
                  <c:v>2.7706177074348394E-2</c:v>
                </c:pt>
                <c:pt idx="1351">
                  <c:v>2.7685596607306791E-2</c:v>
                </c:pt>
                <c:pt idx="1352">
                  <c:v>2.7664979156325625E-2</c:v>
                </c:pt>
                <c:pt idx="1353">
                  <c:v>2.7645556413439347E-2</c:v>
                </c:pt>
                <c:pt idx="1354">
                  <c:v>2.7626658621173247E-2</c:v>
                </c:pt>
                <c:pt idx="1355">
                  <c:v>2.7608285764371271E-2</c:v>
                </c:pt>
                <c:pt idx="1356">
                  <c:v>2.759043782829726E-2</c:v>
                </c:pt>
                <c:pt idx="1357">
                  <c:v>2.7573114798638353E-2</c:v>
                </c:pt>
                <c:pt idx="1358">
                  <c:v>2.7556316661500723E-2</c:v>
                </c:pt>
                <c:pt idx="1359">
                  <c:v>2.7540043403411707E-2</c:v>
                </c:pt>
                <c:pt idx="1360">
                  <c:v>2.7524295011320664E-2</c:v>
                </c:pt>
                <c:pt idx="1361">
                  <c:v>2.7508397881452529E-2</c:v>
                </c:pt>
                <c:pt idx="1362">
                  <c:v>2.7493517394053781E-2</c:v>
                </c:pt>
                <c:pt idx="1363">
                  <c:v>2.747916153804E-2</c:v>
                </c:pt>
                <c:pt idx="1364">
                  <c:v>2.7465330302207769E-2</c:v>
                </c:pt>
                <c:pt idx="1365">
                  <c:v>2.7452297051282347E-2</c:v>
                </c:pt>
                <c:pt idx="1366">
                  <c:v>2.743955152880272E-2</c:v>
                </c:pt>
                <c:pt idx="1367">
                  <c:v>2.7427330634833838E-2</c:v>
                </c:pt>
                <c:pt idx="1368">
                  <c:v>2.7415634359786886E-2</c:v>
                </c:pt>
                <c:pt idx="1369">
                  <c:v>2.7404462694482393E-2</c:v>
                </c:pt>
                <c:pt idx="1370">
                  <c:v>2.7393359335218821E-2</c:v>
                </c:pt>
                <c:pt idx="1371">
                  <c:v>2.73832001613507E-2</c:v>
                </c:pt>
                <c:pt idx="1372">
                  <c:v>2.7373565532775087E-2</c:v>
                </c:pt>
                <c:pt idx="1373">
                  <c:v>2.7364455441973135E-2</c:v>
                </c:pt>
                <c:pt idx="1374">
                  <c:v>2.7356472844978014E-2</c:v>
                </c:pt>
                <c:pt idx="1375">
                  <c:v>2.7348435093108654E-2</c:v>
                </c:pt>
                <c:pt idx="1376">
                  <c:v>2.7340880879518605E-2</c:v>
                </c:pt>
                <c:pt idx="1377">
                  <c:v>2.733378148565373E-2</c:v>
                </c:pt>
                <c:pt idx="1378">
                  <c:v>2.7327108193689435E-2</c:v>
                </c:pt>
                <c:pt idx="1379">
                  <c:v>2.7320099266851739E-2</c:v>
                </c:pt>
                <c:pt idx="1380">
                  <c:v>2.7314176371050082E-2</c:v>
                </c:pt>
                <c:pt idx="1381">
                  <c:v>2.7308596506336158E-2</c:v>
                </c:pt>
                <c:pt idx="1382">
                  <c:v>2.7303330800733334E-2</c:v>
                </c:pt>
                <c:pt idx="1383">
                  <c:v>2.7298350382725163E-2</c:v>
                </c:pt>
                <c:pt idx="1384">
                  <c:v>2.7293626381210336E-2</c:v>
                </c:pt>
                <c:pt idx="1385">
                  <c:v>2.7289129925462043E-2</c:v>
                </c:pt>
                <c:pt idx="1386">
                  <c:v>2.7284832145095316E-2</c:v>
                </c:pt>
                <c:pt idx="1387">
                  <c:v>2.728459899375513E-2</c:v>
                </c:pt>
                <c:pt idx="1388">
                  <c:v>2.7280587738440987E-2</c:v>
                </c:pt>
                <c:pt idx="1389">
                  <c:v>2.7276679608258934E-2</c:v>
                </c:pt>
                <c:pt idx="1390">
                  <c:v>2.7272846499446644E-2</c:v>
                </c:pt>
                <c:pt idx="1391">
                  <c:v>2.7266815849646492E-2</c:v>
                </c:pt>
                <c:pt idx="1392">
                  <c:v>2.7263081875754443E-2</c:v>
                </c:pt>
                <c:pt idx="1393">
                  <c:v>2.7259342102553378E-2</c:v>
                </c:pt>
                <c:pt idx="1394">
                  <c:v>2.7255567972867885E-2</c:v>
                </c:pt>
                <c:pt idx="1395">
                  <c:v>2.7251730929744433E-2</c:v>
                </c:pt>
                <c:pt idx="1396">
                  <c:v>2.7249849512853766E-2</c:v>
                </c:pt>
                <c:pt idx="1397">
                  <c:v>2.7245754667022747E-2</c:v>
                </c:pt>
                <c:pt idx="1398">
                  <c:v>2.7241510020529103E-2</c:v>
                </c:pt>
                <c:pt idx="1399">
                  <c:v>2.723708747170861E-2</c:v>
                </c:pt>
                <c:pt idx="1400">
                  <c:v>2.7230602910152644E-2</c:v>
                </c:pt>
                <c:pt idx="1401">
                  <c:v>2.7225802205209995E-2</c:v>
                </c:pt>
                <c:pt idx="1402">
                  <c:v>2.7220779490549199E-2</c:v>
                </c:pt>
                <c:pt idx="1403">
                  <c:v>2.7215534767846286E-2</c:v>
                </c:pt>
                <c:pt idx="1404">
                  <c:v>2.7210068038854177E-2</c:v>
                </c:pt>
                <c:pt idx="1405">
                  <c:v>2.7205991860321726E-2</c:v>
                </c:pt>
                <c:pt idx="1406">
                  <c:v>2.7200032211755251E-2</c:v>
                </c:pt>
                <c:pt idx="1407">
                  <c:v>2.7193850513381419E-2</c:v>
                </c:pt>
                <c:pt idx="1408">
                  <c:v>2.7187446767298767E-2</c:v>
                </c:pt>
                <c:pt idx="1409">
                  <c:v>2.7180820975680177E-2</c:v>
                </c:pt>
                <c:pt idx="1410">
                  <c:v>2.7173973140775895E-2</c:v>
                </c:pt>
                <c:pt idx="1411">
                  <c:v>2.7166903264909219E-2</c:v>
                </c:pt>
                <c:pt idx="1412">
                  <c:v>2.7159611350480384E-2</c:v>
                </c:pt>
                <c:pt idx="1413">
                  <c:v>2.7150056514209441E-2</c:v>
                </c:pt>
                <c:pt idx="1414">
                  <c:v>2.7142402692947362E-2</c:v>
                </c:pt>
                <c:pt idx="1415">
                  <c:v>2.7134526922081834E-2</c:v>
                </c:pt>
                <c:pt idx="1416">
                  <c:v>2.7126429204214531E-2</c:v>
                </c:pt>
                <c:pt idx="1417">
                  <c:v>2.7118109542019566E-2</c:v>
                </c:pt>
                <c:pt idx="1418">
                  <c:v>2.7109896915072623E-2</c:v>
                </c:pt>
                <c:pt idx="1419">
                  <c:v>2.7101116863614876E-2</c:v>
                </c:pt>
                <c:pt idx="1420">
                  <c:v>2.7092114860132896E-2</c:v>
                </c:pt>
                <c:pt idx="1421">
                  <c:v>2.7082890907615943E-2</c:v>
                </c:pt>
                <c:pt idx="1422">
                  <c:v>2.7073182164874591E-2</c:v>
                </c:pt>
                <c:pt idx="1423">
                  <c:v>2.706353089698673E-2</c:v>
                </c:pt>
                <c:pt idx="1424">
                  <c:v>2.7053657705546186E-2</c:v>
                </c:pt>
                <c:pt idx="1425">
                  <c:v>2.704356259381311E-2</c:v>
                </c:pt>
                <c:pt idx="1426">
                  <c:v>2.703344218413609E-2</c:v>
                </c:pt>
                <c:pt idx="1427">
                  <c:v>2.702289254434621E-2</c:v>
                </c:pt>
                <c:pt idx="1428">
                  <c:v>2.7012138926635187E-2</c:v>
                </c:pt>
                <c:pt idx="1429">
                  <c:v>2.7001193897947421E-2</c:v>
                </c:pt>
                <c:pt idx="1430">
                  <c:v>2.6990070025010793E-2</c:v>
                </c:pt>
                <c:pt idx="1431">
                  <c:v>2.697864269709193E-2</c:v>
                </c:pt>
                <c:pt idx="1432">
                  <c:v>2.6967206188954516E-2</c:v>
                </c:pt>
                <c:pt idx="1433">
                  <c:v>2.6955627186967895E-2</c:v>
                </c:pt>
                <c:pt idx="1434">
                  <c:v>2.6943918325369593E-2</c:v>
                </c:pt>
                <c:pt idx="1435">
                  <c:v>2.6932092238128619E-2</c:v>
                </c:pt>
                <c:pt idx="1436">
                  <c:v>2.6920161558941929E-2</c:v>
                </c:pt>
                <c:pt idx="1437">
                  <c:v>2.6908138921223401E-2</c:v>
                </c:pt>
                <c:pt idx="1438">
                  <c:v>2.6896036958100285E-2</c:v>
                </c:pt>
                <c:pt idx="1439">
                  <c:v>2.6884433455330831E-2</c:v>
                </c:pt>
                <c:pt idx="1440">
                  <c:v>2.6872218863723853E-2</c:v>
                </c:pt>
                <c:pt idx="1441">
                  <c:v>2.685996676147067E-2</c:v>
                </c:pt>
                <c:pt idx="1442">
                  <c:v>2.684768944542815E-2</c:v>
                </c:pt>
                <c:pt idx="1443">
                  <c:v>2.6835025660923287E-2</c:v>
                </c:pt>
                <c:pt idx="1444">
                  <c:v>2.6822721662354873E-2</c:v>
                </c:pt>
                <c:pt idx="1445">
                  <c:v>2.6810427809245141E-2</c:v>
                </c:pt>
                <c:pt idx="1446">
                  <c:v>2.6798156596068618E-2</c:v>
                </c:pt>
                <c:pt idx="1447">
                  <c:v>2.6785920516991874E-2</c:v>
                </c:pt>
                <c:pt idx="1448">
                  <c:v>2.6774184644819808E-2</c:v>
                </c:pt>
                <c:pt idx="1449">
                  <c:v>2.6762075118423122E-2</c:v>
                </c:pt>
                <c:pt idx="1450">
                  <c:v>2.675003874205097E-2</c:v>
                </c:pt>
                <c:pt idx="1451">
                  <c:v>2.6738087809823483E-2</c:v>
                </c:pt>
                <c:pt idx="1452">
                  <c:v>2.6725704243817556E-2</c:v>
                </c:pt>
                <c:pt idx="1453">
                  <c:v>2.6713935422882501E-2</c:v>
                </c:pt>
                <c:pt idx="1454">
                  <c:v>2.6702271338279838E-2</c:v>
                </c:pt>
                <c:pt idx="1455">
                  <c:v>2.6690711988173663E-2</c:v>
                </c:pt>
                <c:pt idx="1456">
                  <c:v>2.6679257370741605E-2</c:v>
                </c:pt>
                <c:pt idx="1457">
                  <c:v>2.6668537158877893E-2</c:v>
                </c:pt>
                <c:pt idx="1458">
                  <c:v>2.6657311965719674E-2</c:v>
                </c:pt>
                <c:pt idx="1459">
                  <c:v>2.6646191523634646E-2</c:v>
                </c:pt>
                <c:pt idx="1460">
                  <c:v>2.6635175830844019E-2</c:v>
                </c:pt>
                <c:pt idx="1461">
                  <c:v>2.6624264885582751E-2</c:v>
                </c:pt>
                <c:pt idx="1462">
                  <c:v>2.6613458686105144E-2</c:v>
                </c:pt>
                <c:pt idx="1463">
                  <c:v>2.6602757230680108E-2</c:v>
                </c:pt>
                <c:pt idx="1464">
                  <c:v>2.6592160517595463E-2</c:v>
                </c:pt>
                <c:pt idx="1465">
                  <c:v>2.6580355066289117E-2</c:v>
                </c:pt>
                <c:pt idx="1466">
                  <c:v>2.6569934248645625E-2</c:v>
                </c:pt>
                <c:pt idx="1467">
                  <c:v>2.6559618129024756E-2</c:v>
                </c:pt>
                <c:pt idx="1468">
                  <c:v>2.6549406705819848E-2</c:v>
                </c:pt>
                <c:pt idx="1469">
                  <c:v>2.6539299977439239E-2</c:v>
                </c:pt>
                <c:pt idx="1470">
                  <c:v>2.6529592979536436E-2</c:v>
                </c:pt>
                <c:pt idx="1471">
                  <c:v>2.6519702389993897E-2</c:v>
                </c:pt>
                <c:pt idx="1472">
                  <c:v>2.6509916498419897E-2</c:v>
                </c:pt>
                <c:pt idx="1473">
                  <c:v>2.6500235303282473E-2</c:v>
                </c:pt>
                <c:pt idx="1474">
                  <c:v>2.6490336703373737E-2</c:v>
                </c:pt>
                <c:pt idx="1475">
                  <c:v>2.6480858111449568E-2</c:v>
                </c:pt>
                <c:pt idx="1476">
                  <c:v>2.6471484203670952E-2</c:v>
                </c:pt>
                <c:pt idx="1477">
                  <c:v>2.6462214978578719E-2</c:v>
                </c:pt>
                <c:pt idx="1478">
                  <c:v>2.645339969775146E-2</c:v>
                </c:pt>
                <c:pt idx="1479">
                  <c:v>2.6444344497749326E-2</c:v>
                </c:pt>
                <c:pt idx="1480">
                  <c:v>2.6435386085569779E-2</c:v>
                </c:pt>
                <c:pt idx="1481">
                  <c:v>2.6426518316771827E-2</c:v>
                </c:pt>
                <c:pt idx="1482">
                  <c:v>2.6416486833836076E-2</c:v>
                </c:pt>
                <c:pt idx="1483">
                  <c:v>2.6407419955781559E-2</c:v>
                </c:pt>
                <c:pt idx="1484">
                  <c:v>2.6398794787978599E-2</c:v>
                </c:pt>
                <c:pt idx="1485">
                  <c:v>2.6390235468571544E-2</c:v>
                </c:pt>
                <c:pt idx="1486">
                  <c:v>2.6381735820223302E-2</c:v>
                </c:pt>
                <c:pt idx="1487">
                  <c:v>2.6373289665707188E-2</c:v>
                </c:pt>
                <c:pt idx="1488">
                  <c:v>2.6364890827902946E-2</c:v>
                </c:pt>
                <c:pt idx="1489">
                  <c:v>2.6356533129797646E-2</c:v>
                </c:pt>
                <c:pt idx="1490">
                  <c:v>2.6348210394485667E-2</c:v>
                </c:pt>
                <c:pt idx="1491">
                  <c:v>2.6341411874701851E-2</c:v>
                </c:pt>
                <c:pt idx="1492">
                  <c:v>2.6333132138992695E-2</c:v>
                </c:pt>
                <c:pt idx="1493">
                  <c:v>2.6324867295811395E-2</c:v>
                </c:pt>
                <c:pt idx="1494">
                  <c:v>2.6311531117820856E-2</c:v>
                </c:pt>
                <c:pt idx="1495">
                  <c:v>2.6307268822254998E-2</c:v>
                </c:pt>
                <c:pt idx="1496">
                  <c:v>2.6300101675061131E-2</c:v>
                </c:pt>
                <c:pt idx="1497">
                  <c:v>2.6291835956124152E-2</c:v>
                </c:pt>
                <c:pt idx="1498">
                  <c:v>2.6283554907287225E-2</c:v>
                </c:pt>
                <c:pt idx="1499">
                  <c:v>2.6275252484369845E-2</c:v>
                </c:pt>
                <c:pt idx="1500">
                  <c:v>2.6266922643293483E-2</c:v>
                </c:pt>
                <c:pt idx="1501">
                  <c:v>2.6258559340082002E-2</c:v>
                </c:pt>
                <c:pt idx="1502">
                  <c:v>2.6250156530863409E-2</c:v>
                </c:pt>
                <c:pt idx="1503">
                  <c:v>2.6241708171872425E-2</c:v>
                </c:pt>
                <c:pt idx="1504">
                  <c:v>2.6233208298746216E-2</c:v>
                </c:pt>
                <c:pt idx="1505">
                  <c:v>2.6224653566977837E-2</c:v>
                </c:pt>
                <c:pt idx="1506">
                  <c:v>2.6216043789319018E-2</c:v>
                </c:pt>
                <c:pt idx="1507">
                  <c:v>2.6207378966490481E-2</c:v>
                </c:pt>
                <c:pt idx="1508">
                  <c:v>2.6198659099218129E-2</c:v>
                </c:pt>
                <c:pt idx="1509">
                  <c:v>2.6189884188232621E-2</c:v>
                </c:pt>
                <c:pt idx="1510">
                  <c:v>2.6181054234268936E-2</c:v>
                </c:pt>
                <c:pt idx="1511">
                  <c:v>2.6172169238066811E-2</c:v>
                </c:pt>
                <c:pt idx="1512">
                  <c:v>2.6163229200370296E-2</c:v>
                </c:pt>
                <c:pt idx="1513">
                  <c:v>2.6154234121928199E-2</c:v>
                </c:pt>
                <c:pt idx="1514">
                  <c:v>2.6145184003494942E-2</c:v>
                </c:pt>
                <c:pt idx="1515">
                  <c:v>2.6136078845827974E-2</c:v>
                </c:pt>
                <c:pt idx="1516">
                  <c:v>2.612691864969036E-2</c:v>
                </c:pt>
                <c:pt idx="1517">
                  <c:v>2.6116904478961821E-2</c:v>
                </c:pt>
                <c:pt idx="1518">
                  <c:v>2.6107648002777151E-2</c:v>
                </c:pt>
                <c:pt idx="1519">
                  <c:v>2.609833650145419E-2</c:v>
                </c:pt>
                <c:pt idx="1520">
                  <c:v>2.6088969975761551E-2</c:v>
                </c:pt>
                <c:pt idx="1521">
                  <c:v>2.6080292118955371E-2</c:v>
                </c:pt>
                <c:pt idx="1522">
                  <c:v>2.6070801708267567E-2</c:v>
                </c:pt>
                <c:pt idx="1523">
                  <c:v>2.6061494072417545E-2</c:v>
                </c:pt>
                <c:pt idx="1524">
                  <c:v>2.6051655788683122E-2</c:v>
                </c:pt>
                <c:pt idx="1525">
                  <c:v>2.6042000281390393E-2</c:v>
                </c:pt>
                <c:pt idx="1526">
                  <c:v>2.6031615353365074E-2</c:v>
                </c:pt>
                <c:pt idx="1527">
                  <c:v>2.6021863678945462E-2</c:v>
                </c:pt>
                <c:pt idx="1528">
                  <c:v>2.6012056986456623E-2</c:v>
                </c:pt>
                <c:pt idx="1529">
                  <c:v>2.6002195276708027E-2</c:v>
                </c:pt>
                <c:pt idx="1530">
                  <c:v>2.5992278554421173E-2</c:v>
                </c:pt>
                <c:pt idx="1531">
                  <c:v>2.5982916743946653E-2</c:v>
                </c:pt>
                <c:pt idx="1532">
                  <c:v>2.5972893354041331E-2</c:v>
                </c:pt>
                <c:pt idx="1533">
                  <c:v>2.5962835296149473E-2</c:v>
                </c:pt>
                <c:pt idx="1534">
                  <c:v>2.5947828420876257E-2</c:v>
                </c:pt>
                <c:pt idx="1535">
                  <c:v>2.5937716842766932E-2</c:v>
                </c:pt>
                <c:pt idx="1536">
                  <c:v>2.5927595075967719E-2</c:v>
                </c:pt>
                <c:pt idx="1537">
                  <c:v>2.5917471165833324E-2</c:v>
                </c:pt>
                <c:pt idx="1538">
                  <c:v>2.5907353157556393E-2</c:v>
                </c:pt>
                <c:pt idx="1539">
                  <c:v>2.5897249096168383E-2</c:v>
                </c:pt>
                <c:pt idx="1540">
                  <c:v>2.5887167026537358E-2</c:v>
                </c:pt>
                <c:pt idx="1541">
                  <c:v>2.5877114993370639E-2</c:v>
                </c:pt>
                <c:pt idx="1542">
                  <c:v>2.5867101041214351E-2</c:v>
                </c:pt>
                <c:pt idx="1543">
                  <c:v>2.5857598678540223E-2</c:v>
                </c:pt>
                <c:pt idx="1544">
                  <c:v>2.5847699406202282E-2</c:v>
                </c:pt>
                <c:pt idx="1545">
                  <c:v>2.583786335628642E-2</c:v>
                </c:pt>
                <c:pt idx="1546">
                  <c:v>2.5828098486378098E-2</c:v>
                </c:pt>
                <c:pt idx="1547">
                  <c:v>2.5818147923276035E-2</c:v>
                </c:pt>
                <c:pt idx="1548">
                  <c:v>2.5808540326530755E-2</c:v>
                </c:pt>
                <c:pt idx="1549">
                  <c:v>2.5796328004934369E-2</c:v>
                </c:pt>
                <c:pt idx="1550">
                  <c:v>2.5789617298805877E-2</c:v>
                </c:pt>
                <c:pt idx="1551">
                  <c:v>2.5780317867565076E-2</c:v>
                </c:pt>
                <c:pt idx="1552">
                  <c:v>2.5770149726858482E-2</c:v>
                </c:pt>
                <c:pt idx="1553">
                  <c:v>2.5761124692307052E-2</c:v>
                </c:pt>
                <c:pt idx="1554">
                  <c:v>2.5752235629974758E-2</c:v>
                </c:pt>
                <c:pt idx="1555">
                  <c:v>2.5743490496217176E-2</c:v>
                </c:pt>
                <c:pt idx="1556">
                  <c:v>2.5734541543221731E-2</c:v>
                </c:pt>
                <c:pt idx="1557">
                  <c:v>2.5726091525722024E-2</c:v>
                </c:pt>
                <c:pt idx="1558">
                  <c:v>2.5717795651850891E-2</c:v>
                </c:pt>
                <c:pt idx="1559">
                  <c:v>2.5709653919684623E-2</c:v>
                </c:pt>
                <c:pt idx="1560">
                  <c:v>2.5702461206134536E-2</c:v>
                </c:pt>
                <c:pt idx="1561">
                  <c:v>2.5694240257868307E-2</c:v>
                </c:pt>
                <c:pt idx="1562">
                  <c:v>2.5686571405410894E-2</c:v>
                </c:pt>
                <c:pt idx="1563">
                  <c:v>2.5679056698279551E-2</c:v>
                </c:pt>
                <c:pt idx="1564">
                  <c:v>2.5671696134721329E-2</c:v>
                </c:pt>
                <c:pt idx="1565">
                  <c:v>2.566448971301934E-2</c:v>
                </c:pt>
                <c:pt idx="1566">
                  <c:v>2.5657437431491893E-2</c:v>
                </c:pt>
                <c:pt idx="1567">
                  <c:v>2.5650539288495078E-2</c:v>
                </c:pt>
                <c:pt idx="1568">
                  <c:v>2.5643795282419318E-2</c:v>
                </c:pt>
                <c:pt idx="1569">
                  <c:v>2.5635734254656189E-2</c:v>
                </c:pt>
                <c:pt idx="1570">
                  <c:v>2.5629266862442816E-2</c:v>
                </c:pt>
                <c:pt idx="1571">
                  <c:v>2.562295356980453E-2</c:v>
                </c:pt>
                <c:pt idx="1572">
                  <c:v>2.5616794375294096E-2</c:v>
                </c:pt>
                <c:pt idx="1573">
                  <c:v>2.5611320897535834E-2</c:v>
                </c:pt>
                <c:pt idx="1574">
                  <c:v>2.560548048892064E-2</c:v>
                </c:pt>
                <c:pt idx="1575">
                  <c:v>2.5599794185189904E-2</c:v>
                </c:pt>
                <c:pt idx="1576">
                  <c:v>2.5594261985030831E-2</c:v>
                </c:pt>
                <c:pt idx="1577">
                  <c:v>2.5588883887166635E-2</c:v>
                </c:pt>
                <c:pt idx="1578">
                  <c:v>2.5583075192227606E-2</c:v>
                </c:pt>
                <c:pt idx="1579">
                  <c:v>2.5577994647013904E-2</c:v>
                </c:pt>
                <c:pt idx="1580">
                  <c:v>2.5573068189611883E-2</c:v>
                </c:pt>
                <c:pt idx="1581">
                  <c:v>2.5568295818890512E-2</c:v>
                </c:pt>
                <c:pt idx="1582">
                  <c:v>2.5564304313036745E-2</c:v>
                </c:pt>
                <c:pt idx="1583">
                  <c:v>2.5559839380285748E-2</c:v>
                </c:pt>
                <c:pt idx="1584">
                  <c:v>2.5555499382789858E-2</c:v>
                </c:pt>
                <c:pt idx="1585">
                  <c:v>2.5551265763954573E-2</c:v>
                </c:pt>
                <c:pt idx="1586">
                  <c:v>2.5545889038221831E-2</c:v>
                </c:pt>
                <c:pt idx="1587">
                  <c:v>2.554182247834625E-2</c:v>
                </c:pt>
                <c:pt idx="1588">
                  <c:v>2.5537806053572049E-2</c:v>
                </c:pt>
                <c:pt idx="1589">
                  <c:v>2.5533821106766365E-2</c:v>
                </c:pt>
                <c:pt idx="1590">
                  <c:v>2.5529848980948268E-2</c:v>
                </c:pt>
                <c:pt idx="1591">
                  <c:v>2.552587101928212E-2</c:v>
                </c:pt>
                <c:pt idx="1592">
                  <c:v>2.5521868565080683E-2</c:v>
                </c:pt>
                <c:pt idx="1593">
                  <c:v>2.5517822961805978E-2</c:v>
                </c:pt>
                <c:pt idx="1594">
                  <c:v>2.5513715553071963E-2</c:v>
                </c:pt>
                <c:pt idx="1595">
                  <c:v>2.5511214629463569E-2</c:v>
                </c:pt>
                <c:pt idx="1596">
                  <c:v>2.5506877508564625E-2</c:v>
                </c:pt>
                <c:pt idx="1597">
                  <c:v>2.550241915593798E-2</c:v>
                </c:pt>
                <c:pt idx="1598">
                  <c:v>2.5497821216234222E-2</c:v>
                </c:pt>
                <c:pt idx="1599">
                  <c:v>2.5492578522177744E-2</c:v>
                </c:pt>
                <c:pt idx="1600">
                  <c:v>2.5486950070072043E-2</c:v>
                </c:pt>
                <c:pt idx="1601">
                  <c:v>2.5481815533259709E-2</c:v>
                </c:pt>
                <c:pt idx="1602">
                  <c:v>2.5476465999096302E-2</c:v>
                </c:pt>
                <c:pt idx="1603">
                  <c:v>2.5470883014379584E-2</c:v>
                </c:pt>
                <c:pt idx="1604">
                  <c:v>2.54661610551816E-2</c:v>
                </c:pt>
                <c:pt idx="1605">
                  <c:v>2.5459985200081591E-2</c:v>
                </c:pt>
                <c:pt idx="1606">
                  <c:v>2.5453519838771609E-2</c:v>
                </c:pt>
                <c:pt idx="1607">
                  <c:v>2.5446746813260413E-2</c:v>
                </c:pt>
                <c:pt idx="1608">
                  <c:v>2.5438822428575477E-2</c:v>
                </c:pt>
                <c:pt idx="1609">
                  <c:v>2.5431469004983907E-2</c:v>
                </c:pt>
                <c:pt idx="1610">
                  <c:v>2.5423787240271927E-2</c:v>
                </c:pt>
                <c:pt idx="1611">
                  <c:v>2.5416388613919792E-2</c:v>
                </c:pt>
                <c:pt idx="1612">
                  <c:v>2.5407978053896735E-2</c:v>
                </c:pt>
                <c:pt idx="1613">
                  <c:v>2.5399239097120451E-2</c:v>
                </c:pt>
                <c:pt idx="1614">
                  <c:v>2.5390171747981399E-2</c:v>
                </c:pt>
                <c:pt idx="1615">
                  <c:v>2.5380776011036367E-2</c:v>
                </c:pt>
                <c:pt idx="1616">
                  <c:v>2.5370801712499818E-2</c:v>
                </c:pt>
                <c:pt idx="1617">
                  <c:v>2.5360999392776352E-2</c:v>
                </c:pt>
                <c:pt idx="1618">
                  <c:v>2.5350618521397937E-2</c:v>
                </c:pt>
                <c:pt idx="1619">
                  <c:v>2.5339909282087108E-2</c:v>
                </c:pt>
                <c:pt idx="1620">
                  <c:v>2.532891174733936E-2</c:v>
                </c:pt>
                <c:pt idx="1621">
                  <c:v>2.5317682109883163E-2</c:v>
                </c:pt>
                <c:pt idx="1622">
                  <c:v>2.5306109107918678E-2</c:v>
                </c:pt>
                <c:pt idx="1623">
                  <c:v>2.5294207871098765E-2</c:v>
                </c:pt>
                <c:pt idx="1624">
                  <c:v>2.5281978405242416E-2</c:v>
                </c:pt>
                <c:pt idx="1625">
                  <c:v>2.5269292926560567E-2</c:v>
                </c:pt>
                <c:pt idx="1626">
                  <c:v>2.5256382677351537E-2</c:v>
                </c:pt>
                <c:pt idx="1627">
                  <c:v>2.5243144195585772E-2</c:v>
                </c:pt>
                <c:pt idx="1628">
                  <c:v>2.5229577487772346E-2</c:v>
                </c:pt>
                <c:pt idx="1629">
                  <c:v>2.5215682560581092E-2</c:v>
                </c:pt>
                <c:pt idx="1630">
                  <c:v>2.5201709146424309E-2</c:v>
                </c:pt>
                <c:pt idx="1631">
                  <c:v>2.5187182253723833E-2</c:v>
                </c:pt>
                <c:pt idx="1632">
                  <c:v>2.5172327184314128E-2</c:v>
                </c:pt>
                <c:pt idx="1633">
                  <c:v>2.5157143945458767E-2</c:v>
                </c:pt>
                <c:pt idx="1634">
                  <c:v>2.5141285266950798E-2</c:v>
                </c:pt>
                <c:pt idx="1635">
                  <c:v>2.5125435164350274E-2</c:v>
                </c:pt>
                <c:pt idx="1636">
                  <c:v>2.5109299170279695E-2</c:v>
                </c:pt>
                <c:pt idx="1637">
                  <c:v>2.5092906885258896E-2</c:v>
                </c:pt>
                <c:pt idx="1638">
                  <c:v>2.5076695844267704E-2</c:v>
                </c:pt>
                <c:pt idx="1639">
                  <c:v>2.5059885722069165E-2</c:v>
                </c:pt>
                <c:pt idx="1640">
                  <c:v>2.5042904752656237E-2</c:v>
                </c:pt>
                <c:pt idx="1641">
                  <c:v>2.502578269442092E-2</c:v>
                </c:pt>
                <c:pt idx="1642">
                  <c:v>2.5008549304780071E-2</c:v>
                </c:pt>
                <c:pt idx="1643">
                  <c:v>2.4991234340152896E-2</c:v>
                </c:pt>
                <c:pt idx="1644">
                  <c:v>2.4973867555947701E-2</c:v>
                </c:pt>
                <c:pt idx="1645">
                  <c:v>2.4956478706554378E-2</c:v>
                </c:pt>
                <c:pt idx="1646">
                  <c:v>2.4939097545334687E-2</c:v>
                </c:pt>
                <c:pt idx="1647">
                  <c:v>2.492000508692575E-2</c:v>
                </c:pt>
                <c:pt idx="1648">
                  <c:v>2.490282192272928E-2</c:v>
                </c:pt>
                <c:pt idx="1649">
                  <c:v>2.4885744993833371E-2</c:v>
                </c:pt>
                <c:pt idx="1650">
                  <c:v>2.4868803259313583E-2</c:v>
                </c:pt>
                <c:pt idx="1651">
                  <c:v>2.4852811175036557E-2</c:v>
                </c:pt>
                <c:pt idx="1652">
                  <c:v>2.483615104311291E-2</c:v>
                </c:pt>
                <c:pt idx="1653">
                  <c:v>2.4819709336829244E-2</c:v>
                </c:pt>
                <c:pt idx="1654">
                  <c:v>2.4803515480425212E-2</c:v>
                </c:pt>
                <c:pt idx="1655">
                  <c:v>2.4787598897268167E-2</c:v>
                </c:pt>
                <c:pt idx="1656">
                  <c:v>2.4771613522345103E-2</c:v>
                </c:pt>
                <c:pt idx="1657">
                  <c:v>2.4756428923825888E-2</c:v>
                </c:pt>
                <c:pt idx="1658">
                  <c:v>2.4741611159513986E-2</c:v>
                </c:pt>
                <c:pt idx="1659">
                  <c:v>2.4727189180848489E-2</c:v>
                </c:pt>
                <c:pt idx="1660">
                  <c:v>2.4713204456229612E-2</c:v>
                </c:pt>
                <c:pt idx="1661">
                  <c:v>2.4699555446628378E-2</c:v>
                </c:pt>
                <c:pt idx="1662">
                  <c:v>2.4686347613561574E-2</c:v>
                </c:pt>
                <c:pt idx="1663">
                  <c:v>2.467358094825458E-2</c:v>
                </c:pt>
                <c:pt idx="1664">
                  <c:v>2.4661610133528231E-2</c:v>
                </c:pt>
                <c:pt idx="1665">
                  <c:v>2.4649817900135887E-2</c:v>
                </c:pt>
                <c:pt idx="1666">
                  <c:v>2.4638466899531919E-2</c:v>
                </c:pt>
                <c:pt idx="1667">
                  <c:v>2.4627557124052773E-2</c:v>
                </c:pt>
                <c:pt idx="1668">
                  <c:v>2.4617088566330578E-2</c:v>
                </c:pt>
                <c:pt idx="1669">
                  <c:v>2.4607061219297014E-2</c:v>
                </c:pt>
                <c:pt idx="1670">
                  <c:v>2.4597475076181582E-2</c:v>
                </c:pt>
                <c:pt idx="1671">
                  <c:v>2.458833013051161E-2</c:v>
                </c:pt>
                <c:pt idx="1672">
                  <c:v>2.4579626376111392E-2</c:v>
                </c:pt>
                <c:pt idx="1673">
                  <c:v>2.4569400355179759E-2</c:v>
                </c:pt>
                <c:pt idx="1674">
                  <c:v>2.4561424110366836E-2</c:v>
                </c:pt>
                <c:pt idx="1675">
                  <c:v>2.4553888891406216E-2</c:v>
                </c:pt>
                <c:pt idx="1676">
                  <c:v>2.4546794693346721E-2</c:v>
                </c:pt>
                <c:pt idx="1677">
                  <c:v>2.4540652274794107E-2</c:v>
                </c:pt>
                <c:pt idx="1678">
                  <c:v>2.453447118641627E-2</c:v>
                </c:pt>
                <c:pt idx="1679">
                  <c:v>2.4528731135542534E-2</c:v>
                </c:pt>
                <c:pt idx="1680">
                  <c:v>2.4523432118381646E-2</c:v>
                </c:pt>
                <c:pt idx="1681">
                  <c:v>2.451857413143179E-2</c:v>
                </c:pt>
                <c:pt idx="1682">
                  <c:v>2.4513490703157878E-2</c:v>
                </c:pt>
                <c:pt idx="1683">
                  <c:v>2.4509483537115358E-2</c:v>
                </c:pt>
                <c:pt idx="1684">
                  <c:v>2.4505917362795972E-2</c:v>
                </c:pt>
                <c:pt idx="1685">
                  <c:v>2.4502792177858175E-2</c:v>
                </c:pt>
                <c:pt idx="1686">
                  <c:v>2.4500899009957222E-2</c:v>
                </c:pt>
                <c:pt idx="1687">
                  <c:v>2.4498667768052138E-2</c:v>
                </c:pt>
                <c:pt idx="1688">
                  <c:v>2.4496818984786319E-2</c:v>
                </c:pt>
                <c:pt idx="1689">
                  <c:v>2.4495311670451433E-2</c:v>
                </c:pt>
                <c:pt idx="1690">
                  <c:v>2.4494104835651866E-2</c:v>
                </c:pt>
                <c:pt idx="1691">
                  <c:v>2.4492287403665124E-2</c:v>
                </c:pt>
                <c:pt idx="1692">
                  <c:v>2.4491557606181245E-2</c:v>
                </c:pt>
                <c:pt idx="1693">
                  <c:v>2.4491009741072826E-2</c:v>
                </c:pt>
                <c:pt idx="1694">
                  <c:v>2.449060259595344E-2</c:v>
                </c:pt>
                <c:pt idx="1695">
                  <c:v>2.4490294958503779E-2</c:v>
                </c:pt>
                <c:pt idx="1696">
                  <c:v>2.449004561645092E-2</c:v>
                </c:pt>
                <c:pt idx="1697">
                  <c:v>2.4489813357548865E-2</c:v>
                </c:pt>
                <c:pt idx="1698">
                  <c:v>2.4489556969574146E-2</c:v>
                </c:pt>
                <c:pt idx="1699">
                  <c:v>2.4493033565469023E-2</c:v>
                </c:pt>
                <c:pt idx="1700">
                  <c:v>2.4492462764887597E-2</c:v>
                </c:pt>
                <c:pt idx="1701">
                  <c:v>2.4491731325110466E-2</c:v>
                </c:pt>
                <c:pt idx="1702">
                  <c:v>2.4490799128455115E-2</c:v>
                </c:pt>
                <c:pt idx="1703">
                  <c:v>2.4487744778998469E-2</c:v>
                </c:pt>
                <c:pt idx="1704">
                  <c:v>2.4486403435891063E-2</c:v>
                </c:pt>
                <c:pt idx="1705">
                  <c:v>2.4484746027107294E-2</c:v>
                </c:pt>
                <c:pt idx="1706">
                  <c:v>2.4482731786285947E-2</c:v>
                </c:pt>
                <c:pt idx="1707">
                  <c:v>2.4480319947409134E-2</c:v>
                </c:pt>
                <c:pt idx="1708">
                  <c:v>2.4478743486657576E-2</c:v>
                </c:pt>
                <c:pt idx="1709">
                  <c:v>2.4475282714424059E-2</c:v>
                </c:pt>
                <c:pt idx="1710">
                  <c:v>2.447130025338011E-2</c:v>
                </c:pt>
                <c:pt idx="1711">
                  <c:v>2.4466755989334191E-2</c:v>
                </c:pt>
                <c:pt idx="1712">
                  <c:v>2.4460870540838606E-2</c:v>
                </c:pt>
                <c:pt idx="1713">
                  <c:v>2.4455236331233074E-2</c:v>
                </c:pt>
                <c:pt idx="1714">
                  <c:v>2.4448977416259891E-2</c:v>
                </c:pt>
                <c:pt idx="1715">
                  <c:v>2.4442093801808111E-2</c:v>
                </c:pt>
                <c:pt idx="1716">
                  <c:v>2.4434585494356051E-2</c:v>
                </c:pt>
                <c:pt idx="1717">
                  <c:v>2.4426515886339924E-2</c:v>
                </c:pt>
                <c:pt idx="1718">
                  <c:v>2.4417622560276825E-2</c:v>
                </c:pt>
                <c:pt idx="1719">
                  <c:v>2.440810444057195E-2</c:v>
                </c:pt>
                <c:pt idx="1720">
                  <c:v>2.4397961536328134E-2</c:v>
                </c:pt>
                <c:pt idx="1721">
                  <c:v>2.4387193857246862E-2</c:v>
                </c:pt>
                <c:pt idx="1722">
                  <c:v>2.4375801413626132E-2</c:v>
                </c:pt>
                <c:pt idx="1723">
                  <c:v>2.4363784216361744E-2</c:v>
                </c:pt>
                <c:pt idx="1724">
                  <c:v>2.4351142276946441E-2</c:v>
                </c:pt>
                <c:pt idx="1725">
                  <c:v>2.4339233931065057E-2</c:v>
                </c:pt>
                <c:pt idx="1726">
                  <c:v>2.4325524712397961E-2</c:v>
                </c:pt>
                <c:pt idx="1727">
                  <c:v>2.4311190951176054E-2</c:v>
                </c:pt>
                <c:pt idx="1728">
                  <c:v>2.4296232660811459E-2</c:v>
                </c:pt>
                <c:pt idx="1729">
                  <c:v>2.428064985530309E-2</c:v>
                </c:pt>
                <c:pt idx="1730">
                  <c:v>2.426388145124922E-2</c:v>
                </c:pt>
                <c:pt idx="1731">
                  <c:v>2.4247003925762314E-2</c:v>
                </c:pt>
                <c:pt idx="1732">
                  <c:v>2.4229501890847629E-2</c:v>
                </c:pt>
                <c:pt idx="1733">
                  <c:v>2.4211375362971119E-2</c:v>
                </c:pt>
                <c:pt idx="1734">
                  <c:v>2.4193368631441534E-2</c:v>
                </c:pt>
                <c:pt idx="1735">
                  <c:v>2.4174039061751619E-2</c:v>
                </c:pt>
                <c:pt idx="1736">
                  <c:v>2.4154085091265577E-2</c:v>
                </c:pt>
                <c:pt idx="1737">
                  <c:v>2.4133506738654633E-2</c:v>
                </c:pt>
                <c:pt idx="1738">
                  <c:v>2.4111376622860361E-2</c:v>
                </c:pt>
                <c:pt idx="1739">
                  <c:v>2.4089527882737886E-2</c:v>
                </c:pt>
                <c:pt idx="1740">
                  <c:v>2.4067128406284114E-2</c:v>
                </c:pt>
                <c:pt idx="1741">
                  <c:v>2.4044229749317029E-2</c:v>
                </c:pt>
                <c:pt idx="1742">
                  <c:v>2.4020883465684588E-2</c:v>
                </c:pt>
                <c:pt idx="1743">
                  <c:v>2.3998201045242525E-2</c:v>
                </c:pt>
                <c:pt idx="1744">
                  <c:v>2.3974121975627389E-2</c:v>
                </c:pt>
                <c:pt idx="1745">
                  <c:v>2.3949744363388665E-2</c:v>
                </c:pt>
                <c:pt idx="1746">
                  <c:v>2.3925120033334094E-2</c:v>
                </c:pt>
                <c:pt idx="1747">
                  <c:v>2.390030080782941E-2</c:v>
                </c:pt>
                <c:pt idx="1748">
                  <c:v>2.3875338506737308E-2</c:v>
                </c:pt>
                <c:pt idx="1749">
                  <c:v>2.3850284947376132E-2</c:v>
                </c:pt>
                <c:pt idx="1750">
                  <c:v>2.3825191944490468E-2</c:v>
                </c:pt>
                <c:pt idx="1751">
                  <c:v>2.3796204091699968E-2</c:v>
                </c:pt>
                <c:pt idx="1752">
                  <c:v>2.3771304479676122E-2</c:v>
                </c:pt>
                <c:pt idx="1753">
                  <c:v>2.3746533941762387E-2</c:v>
                </c:pt>
                <c:pt idx="1754">
                  <c:v>2.3721943180747825E-2</c:v>
                </c:pt>
                <c:pt idx="1755">
                  <c:v>2.3700100578067821E-2</c:v>
                </c:pt>
                <c:pt idx="1756">
                  <c:v>2.3675899364043546E-2</c:v>
                </c:pt>
                <c:pt idx="1757">
                  <c:v>2.3652023543347292E-2</c:v>
                </c:pt>
                <c:pt idx="1758">
                  <c:v>2.3628524630743969E-2</c:v>
                </c:pt>
                <c:pt idx="1759">
                  <c:v>2.3605454138765962E-2</c:v>
                </c:pt>
                <c:pt idx="1760">
                  <c:v>2.3578453868400611E-2</c:v>
                </c:pt>
                <c:pt idx="1761">
                  <c:v>2.3556572626443239E-2</c:v>
                </c:pt>
                <c:pt idx="1762">
                  <c:v>2.3535283197204913E-2</c:v>
                </c:pt>
                <c:pt idx="1763">
                  <c:v>2.3514636534586193E-2</c:v>
                </c:pt>
                <c:pt idx="1764">
                  <c:v>2.3494682922211695E-2</c:v>
                </c:pt>
                <c:pt idx="1765">
                  <c:v>2.347545054951275E-2</c:v>
                </c:pt>
                <c:pt idx="1766">
                  <c:v>2.3456940980486281E-2</c:v>
                </c:pt>
                <c:pt idx="1767">
                  <c:v>2.3439154194755518E-2</c:v>
                </c:pt>
                <c:pt idx="1768">
                  <c:v>2.3422090172741307E-2</c:v>
                </c:pt>
                <c:pt idx="1769">
                  <c:v>2.3405748895656945E-2</c:v>
                </c:pt>
                <c:pt idx="1770">
                  <c:v>2.3390130345515091E-2</c:v>
                </c:pt>
                <c:pt idx="1771">
                  <c:v>2.3375234505121283E-2</c:v>
                </c:pt>
                <c:pt idx="1772">
                  <c:v>2.3361061358079124E-2</c:v>
                </c:pt>
                <c:pt idx="1773">
                  <c:v>2.3347610888784665E-2</c:v>
                </c:pt>
                <c:pt idx="1774">
                  <c:v>2.3334883082432884E-2</c:v>
                </c:pt>
                <c:pt idx="1775">
                  <c:v>2.332287792501336E-2</c:v>
                </c:pt>
                <c:pt idx="1776">
                  <c:v>2.3311595403309432E-2</c:v>
                </c:pt>
                <c:pt idx="1777">
                  <c:v>2.3300074745348533E-2</c:v>
                </c:pt>
                <c:pt idx="1778">
                  <c:v>2.3290033588086404E-2</c:v>
                </c:pt>
                <c:pt idx="1779">
                  <c:v>2.3280714847434787E-2</c:v>
                </c:pt>
                <c:pt idx="1780">
                  <c:v>2.3272118513360158E-2</c:v>
                </c:pt>
                <c:pt idx="1781">
                  <c:v>2.3264681552330916E-2</c:v>
                </c:pt>
                <c:pt idx="1782">
                  <c:v>2.3257581146426801E-2</c:v>
                </c:pt>
                <c:pt idx="1783">
                  <c:v>2.3251203167740951E-2</c:v>
                </c:pt>
                <c:pt idx="1784">
                  <c:v>2.3247959043768845E-2</c:v>
                </c:pt>
                <c:pt idx="1785">
                  <c:v>2.3240614465180033E-2</c:v>
                </c:pt>
                <c:pt idx="1786">
                  <c:v>2.3235710583007416E-2</c:v>
                </c:pt>
                <c:pt idx="1787">
                  <c:v>2.3232170879303786E-2</c:v>
                </c:pt>
                <c:pt idx="1788">
                  <c:v>2.3229353529896316E-2</c:v>
                </c:pt>
                <c:pt idx="1789">
                  <c:v>2.3227258531749201E-2</c:v>
                </c:pt>
                <c:pt idx="1790">
                  <c:v>2.3226784675496912E-2</c:v>
                </c:pt>
                <c:pt idx="1791">
                  <c:v>2.3226174940117365E-2</c:v>
                </c:pt>
                <c:pt idx="1792">
                  <c:v>2.3226247260182905E-2</c:v>
                </c:pt>
                <c:pt idx="1793">
                  <c:v>2.3226970261931046E-2</c:v>
                </c:pt>
                <c:pt idx="1794">
                  <c:v>2.3225831281964086E-2</c:v>
                </c:pt>
                <c:pt idx="1795">
                  <c:v>2.3231242272645454E-2</c:v>
                </c:pt>
                <c:pt idx="1796">
                  <c:v>2.3233958006109938E-2</c:v>
                </c:pt>
                <c:pt idx="1797">
                  <c:v>2.3237185486322254E-2</c:v>
                </c:pt>
                <c:pt idx="1798">
                  <c:v>2.3240893341703664E-2</c:v>
                </c:pt>
                <c:pt idx="1799">
                  <c:v>2.3245050200806753E-2</c:v>
                </c:pt>
                <c:pt idx="1800">
                  <c:v>2.3249624692236362E-2</c:v>
                </c:pt>
                <c:pt idx="1801">
                  <c:v>2.3254585444589439E-2</c:v>
                </c:pt>
                <c:pt idx="1802">
                  <c:v>2.3259901086386061E-2</c:v>
                </c:pt>
                <c:pt idx="1803">
                  <c:v>2.3268039172573793E-2</c:v>
                </c:pt>
                <c:pt idx="1804">
                  <c:v>2.327398161134963E-2</c:v>
                </c:pt>
                <c:pt idx="1805">
                  <c:v>2.3280181008796762E-2</c:v>
                </c:pt>
                <c:pt idx="1806">
                  <c:v>2.3286606329619118E-2</c:v>
                </c:pt>
                <c:pt idx="1807">
                  <c:v>2.3291965760770229E-2</c:v>
                </c:pt>
                <c:pt idx="1808">
                  <c:v>2.3298750902568152E-2</c:v>
                </c:pt>
                <c:pt idx="1809">
                  <c:v>2.3305670086749389E-2</c:v>
                </c:pt>
                <c:pt idx="1810">
                  <c:v>2.3314712922841561E-2</c:v>
                </c:pt>
                <c:pt idx="1811">
                  <c:v>2.331978576452795E-2</c:v>
                </c:pt>
                <c:pt idx="1812">
                  <c:v>2.3328164625118365E-2</c:v>
                </c:pt>
                <c:pt idx="1813">
                  <c:v>2.3335302391061449E-2</c:v>
                </c:pt>
                <c:pt idx="1814">
                  <c:v>2.3342417784415967E-2</c:v>
                </c:pt>
                <c:pt idx="1815">
                  <c:v>2.3349479766246583E-2</c:v>
                </c:pt>
                <c:pt idx="1816">
                  <c:v>2.3355238240207913E-2</c:v>
                </c:pt>
                <c:pt idx="1817">
                  <c:v>2.3362130678262961E-2</c:v>
                </c:pt>
                <c:pt idx="1818">
                  <c:v>2.3368929801263965E-2</c:v>
                </c:pt>
                <c:pt idx="1819">
                  <c:v>2.3375635608256499E-2</c:v>
                </c:pt>
                <c:pt idx="1820">
                  <c:v>2.3384639595588577E-2</c:v>
                </c:pt>
                <c:pt idx="1821">
                  <c:v>2.3389957046770906E-2</c:v>
                </c:pt>
                <c:pt idx="1822">
                  <c:v>2.3396376649034593E-2</c:v>
                </c:pt>
                <c:pt idx="1823">
                  <c:v>2.3402702925613274E-2</c:v>
                </c:pt>
                <c:pt idx="1824">
                  <c:v>2.3408935875614184E-2</c:v>
                </c:pt>
                <c:pt idx="1825">
                  <c:v>2.3415075498154119E-2</c:v>
                </c:pt>
                <c:pt idx="1826">
                  <c:v>2.3421121792365943E-2</c:v>
                </c:pt>
                <c:pt idx="1827">
                  <c:v>2.3427074757394258E-2</c:v>
                </c:pt>
                <c:pt idx="1828">
                  <c:v>2.343293439239582E-2</c:v>
                </c:pt>
                <c:pt idx="1829">
                  <c:v>2.3436420943806359E-2</c:v>
                </c:pt>
                <c:pt idx="1830">
                  <c:v>2.34421065135361E-2</c:v>
                </c:pt>
                <c:pt idx="1831">
                  <c:v>2.3447698762812504E-2</c:v>
                </c:pt>
                <c:pt idx="1832">
                  <c:v>2.3453197690854209E-2</c:v>
                </c:pt>
                <c:pt idx="1833">
                  <c:v>2.3458603296890406E-2</c:v>
                </c:pt>
                <c:pt idx="1834">
                  <c:v>2.3465024181812073E-2</c:v>
                </c:pt>
                <c:pt idx="1835">
                  <c:v>2.3469134539939009E-2</c:v>
                </c:pt>
                <c:pt idx="1836">
                  <c:v>2.3474260175476117E-2</c:v>
                </c:pt>
                <c:pt idx="1837">
                  <c:v>2.3479292486062817E-2</c:v>
                </c:pt>
                <c:pt idx="1838">
                  <c:v>2.3484231470993742E-2</c:v>
                </c:pt>
                <c:pt idx="1839">
                  <c:v>2.3489077129578897E-2</c:v>
                </c:pt>
                <c:pt idx="1840">
                  <c:v>2.34938294611397E-2</c:v>
                </c:pt>
                <c:pt idx="1841">
                  <c:v>2.3498488465012506E-2</c:v>
                </c:pt>
                <c:pt idx="1842">
                  <c:v>2.3503053828024974E-2</c:v>
                </c:pt>
                <c:pt idx="1843">
                  <c:v>2.3507519987667966E-2</c:v>
                </c:pt>
                <c:pt idx="1844">
                  <c:v>2.351187702564541E-2</c:v>
                </c:pt>
                <c:pt idx="1845">
                  <c:v>2.3516114891747843E-2</c:v>
                </c:pt>
                <c:pt idx="1846">
                  <c:v>2.3519782034203914E-2</c:v>
                </c:pt>
                <c:pt idx="1847">
                  <c:v>2.3523743765504496E-2</c:v>
                </c:pt>
                <c:pt idx="1848">
                  <c:v>2.3527555874223796E-2</c:v>
                </c:pt>
                <c:pt idx="1849">
                  <c:v>2.3531208255069738E-2</c:v>
                </c:pt>
                <c:pt idx="1850">
                  <c:v>2.3534690802711825E-2</c:v>
                </c:pt>
                <c:pt idx="1851">
                  <c:v>2.3537993411791743E-2</c:v>
                </c:pt>
                <c:pt idx="1852">
                  <c:v>2.3541105976932177E-2</c:v>
                </c:pt>
                <c:pt idx="1853">
                  <c:v>2.3544018392743456E-2</c:v>
                </c:pt>
                <c:pt idx="1854">
                  <c:v>2.3546720553837674E-2</c:v>
                </c:pt>
                <c:pt idx="1855">
                  <c:v>2.3551785829876208E-2</c:v>
                </c:pt>
                <c:pt idx="1856">
                  <c:v>2.3553973053411108E-2</c:v>
                </c:pt>
                <c:pt idx="1857">
                  <c:v>2.3555917799429244E-2</c:v>
                </c:pt>
                <c:pt idx="1858">
                  <c:v>2.3557610125462029E-2</c:v>
                </c:pt>
                <c:pt idx="1859">
                  <c:v>2.3558270331633498E-2</c:v>
                </c:pt>
                <c:pt idx="1860">
                  <c:v>2.3559737776111998E-2</c:v>
                </c:pt>
                <c:pt idx="1861">
                  <c:v>2.3560554851196749E-2</c:v>
                </c:pt>
                <c:pt idx="1862">
                  <c:v>2.3561077241695257E-2</c:v>
                </c:pt>
                <c:pt idx="1863">
                  <c:v>2.35626229922179E-2</c:v>
                </c:pt>
                <c:pt idx="1864">
                  <c:v>2.3563113637138543E-2</c:v>
                </c:pt>
                <c:pt idx="1865">
                  <c:v>2.3562616415846015E-2</c:v>
                </c:pt>
                <c:pt idx="1866">
                  <c:v>2.356178414039101E-2</c:v>
                </c:pt>
                <c:pt idx="1867">
                  <c:v>2.3558919081361537E-2</c:v>
                </c:pt>
                <c:pt idx="1868">
                  <c:v>2.355746512604168E-2</c:v>
                </c:pt>
                <c:pt idx="1869">
                  <c:v>2.3555656515101539E-2</c:v>
                </c:pt>
                <c:pt idx="1870">
                  <c:v>2.3553493249509963E-2</c:v>
                </c:pt>
                <c:pt idx="1871">
                  <c:v>2.3552357626547102E-2</c:v>
                </c:pt>
                <c:pt idx="1872">
                  <c:v>2.3549408483864352E-2</c:v>
                </c:pt>
                <c:pt idx="1873">
                  <c:v>2.3546104621874769E-2</c:v>
                </c:pt>
                <c:pt idx="1874">
                  <c:v>2.3542446042373481E-2</c:v>
                </c:pt>
                <c:pt idx="1875">
                  <c:v>2.3538432747346853E-2</c:v>
                </c:pt>
                <c:pt idx="1876">
                  <c:v>2.3533065986265551E-2</c:v>
                </c:pt>
                <c:pt idx="1877">
                  <c:v>2.3529342019633456E-2</c:v>
                </c:pt>
                <c:pt idx="1878">
                  <c:v>2.3524264591884243E-2</c:v>
                </c:pt>
                <c:pt idx="1879">
                  <c:v>2.351883245848652E-2</c:v>
                </c:pt>
                <c:pt idx="1880">
                  <c:v>2.3512354935873475E-2</c:v>
                </c:pt>
                <c:pt idx="1881">
                  <c:v>2.3505869329014453E-2</c:v>
                </c:pt>
                <c:pt idx="1882">
                  <c:v>2.3499501838839545E-2</c:v>
                </c:pt>
                <c:pt idx="1883">
                  <c:v>2.3492779769072429E-2</c:v>
                </c:pt>
                <c:pt idx="1884">
                  <c:v>2.3485703123266505E-2</c:v>
                </c:pt>
                <c:pt idx="1885">
                  <c:v>2.3478380656942913E-2</c:v>
                </c:pt>
                <c:pt idx="1886">
                  <c:v>2.3470569038382558E-2</c:v>
                </c:pt>
                <c:pt idx="1887">
                  <c:v>2.3462402833082013E-2</c:v>
                </c:pt>
                <c:pt idx="1888">
                  <c:v>2.3453882045382419E-2</c:v>
                </c:pt>
                <c:pt idx="1889">
                  <c:v>2.3445006679813342E-2</c:v>
                </c:pt>
                <c:pt idx="1890">
                  <c:v>2.3435797374222942E-2</c:v>
                </c:pt>
                <c:pt idx="1891">
                  <c:v>2.3426238811382696E-2</c:v>
                </c:pt>
                <c:pt idx="1892">
                  <c:v>2.3416325707676836E-2</c:v>
                </c:pt>
                <c:pt idx="1893">
                  <c:v>2.3406058068345365E-2</c:v>
                </c:pt>
                <c:pt idx="1894">
                  <c:v>2.3395314456101646E-2</c:v>
                </c:pt>
                <c:pt idx="1895">
                  <c:v>2.3384340164212349E-2</c:v>
                </c:pt>
                <c:pt idx="1896">
                  <c:v>2.3373066191753458E-2</c:v>
                </c:pt>
                <c:pt idx="1897">
                  <c:v>2.3354815535683963E-2</c:v>
                </c:pt>
                <c:pt idx="1898">
                  <c:v>2.3348220301234016E-2</c:v>
                </c:pt>
                <c:pt idx="1899">
                  <c:v>2.3337930951331087E-2</c:v>
                </c:pt>
                <c:pt idx="1900">
                  <c:v>2.3325756442618986E-2</c:v>
                </c:pt>
                <c:pt idx="1901">
                  <c:v>2.3313426858891519E-2</c:v>
                </c:pt>
                <c:pt idx="1902">
                  <c:v>2.3300971903583528E-2</c:v>
                </c:pt>
                <c:pt idx="1903">
                  <c:v>2.3288421279421927E-2</c:v>
                </c:pt>
                <c:pt idx="1904">
                  <c:v>2.3275804688409337E-2</c:v>
                </c:pt>
                <c:pt idx="1905">
                  <c:v>2.3263151831812622E-2</c:v>
                </c:pt>
                <c:pt idx="1906">
                  <c:v>2.3250492410156247E-2</c:v>
                </c:pt>
                <c:pt idx="1907">
                  <c:v>2.3237212955075116E-2</c:v>
                </c:pt>
                <c:pt idx="1908">
                  <c:v>2.3224719016641176E-2</c:v>
                </c:pt>
                <c:pt idx="1909">
                  <c:v>2.321231653643575E-2</c:v>
                </c:pt>
                <c:pt idx="1910">
                  <c:v>2.3200034422658982E-2</c:v>
                </c:pt>
                <c:pt idx="1911">
                  <c:v>2.3188034649659715E-2</c:v>
                </c:pt>
                <c:pt idx="1912">
                  <c:v>2.3176007537915155E-2</c:v>
                </c:pt>
                <c:pt idx="1913">
                  <c:v>2.3164184088734566E-2</c:v>
                </c:pt>
                <c:pt idx="1914">
                  <c:v>2.3152593676046374E-2</c:v>
                </c:pt>
                <c:pt idx="1915">
                  <c:v>2.3141265673167041E-2</c:v>
                </c:pt>
                <c:pt idx="1916">
                  <c:v>2.3130488208076495E-2</c:v>
                </c:pt>
                <c:pt idx="1917">
                  <c:v>2.3119858032623921E-2</c:v>
                </c:pt>
                <c:pt idx="1918">
                  <c:v>2.3109579465986529E-2</c:v>
                </c:pt>
                <c:pt idx="1919">
                  <c:v>2.3099681411085236E-2</c:v>
                </c:pt>
                <c:pt idx="1920">
                  <c:v>2.3089586751130452E-2</c:v>
                </c:pt>
                <c:pt idx="1921">
                  <c:v>2.3080421740485399E-2</c:v>
                </c:pt>
                <c:pt idx="1922">
                  <c:v>2.3071670183590274E-2</c:v>
                </c:pt>
                <c:pt idx="1923">
                  <c:v>2.306419587589667E-2</c:v>
                </c:pt>
                <c:pt idx="1924">
                  <c:v>2.3056358306071702E-2</c:v>
                </c:pt>
                <c:pt idx="1925">
                  <c:v>2.3048934252918818E-2</c:v>
                </c:pt>
                <c:pt idx="1926">
                  <c:v>2.3041923711736405E-2</c:v>
                </c:pt>
                <c:pt idx="1927">
                  <c:v>2.3035326678083286E-2</c:v>
                </c:pt>
                <c:pt idx="1928">
                  <c:v>2.3027843083597819E-2</c:v>
                </c:pt>
                <c:pt idx="1929">
                  <c:v>2.302337311691572E-2</c:v>
                </c:pt>
                <c:pt idx="1930">
                  <c:v>2.3018016581830555E-2</c:v>
                </c:pt>
                <c:pt idx="1931">
                  <c:v>2.3013073539131956E-2</c:v>
                </c:pt>
                <c:pt idx="1932">
                  <c:v>2.3008543985691247E-2</c:v>
                </c:pt>
                <c:pt idx="1933">
                  <c:v>2.3002115847466933E-2</c:v>
                </c:pt>
                <c:pt idx="1934">
                  <c:v>2.2998296097890954E-2</c:v>
                </c:pt>
                <c:pt idx="1935">
                  <c:v>2.2994889725104915E-2</c:v>
                </c:pt>
                <c:pt idx="1936">
                  <c:v>2.2991896726996659E-2</c:v>
                </c:pt>
                <c:pt idx="1937">
                  <c:v>2.2990008184865136E-2</c:v>
                </c:pt>
                <c:pt idx="1938">
                  <c:v>2.2987871321468963E-2</c:v>
                </c:pt>
                <c:pt idx="1939">
                  <c:v>2.2989175879709223E-2</c:v>
                </c:pt>
                <c:pt idx="1940">
                  <c:v>2.2984837781832645E-2</c:v>
                </c:pt>
                <c:pt idx="1941">
                  <c:v>2.2983941103701992E-2</c:v>
                </c:pt>
                <c:pt idx="1942">
                  <c:v>2.2982619520652423E-2</c:v>
                </c:pt>
                <c:pt idx="1943">
                  <c:v>2.2982520107702024E-2</c:v>
                </c:pt>
                <c:pt idx="1944">
                  <c:v>2.298283406176433E-2</c:v>
                </c:pt>
                <c:pt idx="1945">
                  <c:v>2.2983561383033039E-2</c:v>
                </c:pt>
                <c:pt idx="1946">
                  <c:v>2.2985658105529702E-2</c:v>
                </c:pt>
                <c:pt idx="1947">
                  <c:v>2.2987231697856745E-2</c:v>
                </c:pt>
                <c:pt idx="1948">
                  <c:v>2.2989192926280998E-2</c:v>
                </c:pt>
                <c:pt idx="1949">
                  <c:v>2.2991525399477443E-2</c:v>
                </c:pt>
                <c:pt idx="1950">
                  <c:v>2.2993159940706557E-2</c:v>
                </c:pt>
                <c:pt idx="1951">
                  <c:v>2.2996166621529993E-2</c:v>
                </c:pt>
                <c:pt idx="1952">
                  <c:v>2.2999497205986572E-2</c:v>
                </c:pt>
                <c:pt idx="1953">
                  <c:v>2.3003135214099357E-2</c:v>
                </c:pt>
                <c:pt idx="1954">
                  <c:v>2.3007064165917749E-2</c:v>
                </c:pt>
                <c:pt idx="1955">
                  <c:v>2.3011267581493799E-2</c:v>
                </c:pt>
                <c:pt idx="1956">
                  <c:v>2.3015728980858904E-2</c:v>
                </c:pt>
                <c:pt idx="1957">
                  <c:v>2.3020431884001425E-2</c:v>
                </c:pt>
                <c:pt idx="1958">
                  <c:v>2.3025359810846475E-2</c:v>
                </c:pt>
                <c:pt idx="1959">
                  <c:v>2.3035163237116719E-2</c:v>
                </c:pt>
                <c:pt idx="1960">
                  <c:v>2.3040514648080542E-2</c:v>
                </c:pt>
                <c:pt idx="1961">
                  <c:v>2.3046037584705137E-2</c:v>
                </c:pt>
                <c:pt idx="1962">
                  <c:v>2.3051715916815461E-2</c:v>
                </c:pt>
                <c:pt idx="1963">
                  <c:v>2.3053981741403457E-2</c:v>
                </c:pt>
                <c:pt idx="1964">
                  <c:v>2.3059915957633997E-2</c:v>
                </c:pt>
                <c:pt idx="1965">
                  <c:v>2.3065959158970063E-2</c:v>
                </c:pt>
                <c:pt idx="1966">
                  <c:v>2.3072094953269374E-2</c:v>
                </c:pt>
                <c:pt idx="1967">
                  <c:v>2.3078306948201812E-2</c:v>
                </c:pt>
                <c:pt idx="1968">
                  <c:v>2.3088145904861451E-2</c:v>
                </c:pt>
                <c:pt idx="1969">
                  <c:v>2.3094460346715574E-2</c:v>
                </c:pt>
                <c:pt idx="1970">
                  <c:v>2.3100801136493543E-2</c:v>
                </c:pt>
                <c:pt idx="1971">
                  <c:v>2.3107152142368297E-2</c:v>
                </c:pt>
                <c:pt idx="1972">
                  <c:v>2.3109936402016359E-2</c:v>
                </c:pt>
                <c:pt idx="1973">
                  <c:v>2.3116269101288868E-2</c:v>
                </c:pt>
                <c:pt idx="1974">
                  <c:v>2.3122586668628518E-2</c:v>
                </c:pt>
                <c:pt idx="1975">
                  <c:v>2.312888910389246E-2</c:v>
                </c:pt>
                <c:pt idx="1976">
                  <c:v>2.3135176406935246E-2</c:v>
                </c:pt>
                <c:pt idx="1977">
                  <c:v>2.3144999441531786E-2</c:v>
                </c:pt>
                <c:pt idx="1978">
                  <c:v>2.3151254436281899E-2</c:v>
                </c:pt>
                <c:pt idx="1979">
                  <c:v>2.3157494295771224E-2</c:v>
                </c:pt>
                <c:pt idx="1980">
                  <c:v>2.3163719019854073E-2</c:v>
                </c:pt>
                <c:pt idx="1981">
                  <c:v>2.3169928608386042E-2</c:v>
                </c:pt>
                <c:pt idx="1982">
                  <c:v>2.3176123061223596E-2</c:v>
                </c:pt>
                <c:pt idx="1983">
                  <c:v>2.3182302378222761E-2</c:v>
                </c:pt>
                <c:pt idx="1984">
                  <c:v>2.3188466559239562E-2</c:v>
                </c:pt>
                <c:pt idx="1985">
                  <c:v>2.3188724787381029E-2</c:v>
                </c:pt>
                <c:pt idx="1986">
                  <c:v>2.3194862136137528E-2</c:v>
                </c:pt>
                <c:pt idx="1987">
                  <c:v>2.3200984352865803E-2</c:v>
                </c:pt>
                <c:pt idx="1988">
                  <c:v>2.3207091437428058E-2</c:v>
                </c:pt>
                <c:pt idx="1989">
                  <c:v>2.3213183389686507E-2</c:v>
                </c:pt>
                <c:pt idx="1990">
                  <c:v>2.3220434956112774E-2</c:v>
                </c:pt>
                <c:pt idx="1991">
                  <c:v>2.3226495951135569E-2</c:v>
                </c:pt>
                <c:pt idx="1992">
                  <c:v>2.3232541812562891E-2</c:v>
                </c:pt>
                <c:pt idx="1993">
                  <c:v>2.3238572540257262E-2</c:v>
                </c:pt>
                <c:pt idx="1994">
                  <c:v>2.3243416161615307E-2</c:v>
                </c:pt>
                <c:pt idx="1995">
                  <c:v>2.3249417317172769E-2</c:v>
                </c:pt>
                <c:pt idx="1996">
                  <c:v>2.3255403339470283E-2</c:v>
                </c:pt>
                <c:pt idx="1997">
                  <c:v>2.3261374228373148E-2</c:v>
                </c:pt>
                <c:pt idx="1998">
                  <c:v>2.3268499167958055E-2</c:v>
                </c:pt>
                <c:pt idx="1999">
                  <c:v>2.327443909039285E-2</c:v>
                </c:pt>
                <c:pt idx="2000">
                  <c:v>2.3280363878143813E-2</c:v>
                </c:pt>
                <c:pt idx="2001">
                  <c:v>2.3286273531075659E-2</c:v>
                </c:pt>
                <c:pt idx="2002">
                  <c:v>2.3292168049054877E-2</c:v>
                </c:pt>
                <c:pt idx="2003">
                  <c:v>2.3296881752970188E-2</c:v>
                </c:pt>
                <c:pt idx="2004">
                  <c:v>2.3302746704352641E-2</c:v>
                </c:pt>
                <c:pt idx="2005">
                  <c:v>2.3308596521270802E-2</c:v>
                </c:pt>
                <c:pt idx="2006">
                  <c:v>2.3314431203593507E-2</c:v>
                </c:pt>
                <c:pt idx="2007">
                  <c:v>2.3320250751188269E-2</c:v>
                </c:pt>
                <c:pt idx="2008">
                  <c:v>2.3326055163923474E-2</c:v>
                </c:pt>
                <c:pt idx="2009">
                  <c:v>2.3331844441668845E-2</c:v>
                </c:pt>
                <c:pt idx="2010">
                  <c:v>2.3337618584292771E-2</c:v>
                </c:pt>
                <c:pt idx="2011">
                  <c:v>2.334917753128082E-2</c:v>
                </c:pt>
                <c:pt idx="2012">
                  <c:v>2.3354917848019324E-2</c:v>
                </c:pt>
                <c:pt idx="2013">
                  <c:v>2.3360643024771359E-2</c:v>
                </c:pt>
                <c:pt idx="2014">
                  <c:v>2.3366353061402841E-2</c:v>
                </c:pt>
                <c:pt idx="2015">
                  <c:v>2.3368576598656259E-2</c:v>
                </c:pt>
                <c:pt idx="2016">
                  <c:v>2.3374258498869975E-2</c:v>
                </c:pt>
                <c:pt idx="2017">
                  <c:v>2.3379925261261765E-2</c:v>
                </c:pt>
                <c:pt idx="2018">
                  <c:v>2.3385576885701462E-2</c:v>
                </c:pt>
                <c:pt idx="2019">
                  <c:v>2.3391213372061077E-2</c:v>
                </c:pt>
                <c:pt idx="2020">
                  <c:v>2.3400295331278444E-2</c:v>
                </c:pt>
                <c:pt idx="2021">
                  <c:v>2.3405899383379954E-2</c:v>
                </c:pt>
                <c:pt idx="2022">
                  <c:v>2.3411488294310997E-2</c:v>
                </c:pt>
                <c:pt idx="2023">
                  <c:v>2.3417062063942212E-2</c:v>
                </c:pt>
                <c:pt idx="2024">
                  <c:v>2.3419168728161469E-2</c:v>
                </c:pt>
                <c:pt idx="2025">
                  <c:v>2.3424714383348557E-2</c:v>
                </c:pt>
                <c:pt idx="2026">
                  <c:v>2.3430244899561418E-2</c:v>
                </c:pt>
                <c:pt idx="2027">
                  <c:v>2.3435760276674253E-2</c:v>
                </c:pt>
                <c:pt idx="2028">
                  <c:v>2.344126051456082E-2</c:v>
                </c:pt>
                <c:pt idx="2029">
                  <c:v>2.3450186707216981E-2</c:v>
                </c:pt>
                <c:pt idx="2030">
                  <c:v>2.3455654484147988E-2</c:v>
                </c:pt>
                <c:pt idx="2031">
                  <c:v>2.3461107118754185E-2</c:v>
                </c:pt>
                <c:pt idx="2032">
                  <c:v>2.3466544610909214E-2</c:v>
                </c:pt>
                <c:pt idx="2033">
                  <c:v>2.3471966960486732E-2</c:v>
                </c:pt>
                <c:pt idx="2034">
                  <c:v>2.3477374167360811E-2</c:v>
                </c:pt>
                <c:pt idx="2035">
                  <c:v>2.3482766231405966E-2</c:v>
                </c:pt>
                <c:pt idx="2036">
                  <c:v>2.3488143152497993E-2</c:v>
                </c:pt>
                <c:pt idx="2037">
                  <c:v>2.3487798891102907E-2</c:v>
                </c:pt>
                <c:pt idx="2038">
                  <c:v>2.3493149198651954E-2</c:v>
                </c:pt>
                <c:pt idx="2039">
                  <c:v>2.3498484367436942E-2</c:v>
                </c:pt>
                <c:pt idx="2040">
                  <c:v>2.3503804397338637E-2</c:v>
                </c:pt>
                <c:pt idx="2041">
                  <c:v>2.3509109288235588E-2</c:v>
                </c:pt>
                <c:pt idx="2042">
                  <c:v>2.3515536609014936E-2</c:v>
                </c:pt>
                <c:pt idx="2043">
                  <c:v>2.3520810482643296E-2</c:v>
                </c:pt>
                <c:pt idx="2044">
                  <c:v>2.3526069215993612E-2</c:v>
                </c:pt>
                <c:pt idx="2045">
                  <c:v>2.3531312808946419E-2</c:v>
                </c:pt>
                <c:pt idx="2046">
                  <c:v>2.3535406653480542E-2</c:v>
                </c:pt>
                <c:pt idx="2047">
                  <c:v>2.3540620707849801E-2</c:v>
                </c:pt>
                <c:pt idx="2048">
                  <c:v>2.3545819622384036E-2</c:v>
                </c:pt>
                <c:pt idx="2049">
                  <c:v>2.3551003396964452E-2</c:v>
                </c:pt>
                <c:pt idx="2050">
                  <c:v>2.3557303663594254E-2</c:v>
                </c:pt>
                <c:pt idx="2051">
                  <c:v>2.3562456411674339E-2</c:v>
                </c:pt>
                <c:pt idx="2052">
                  <c:v>2.3567594018529887E-2</c:v>
                </c:pt>
                <c:pt idx="2053">
                  <c:v>2.3572716484045825E-2</c:v>
                </c:pt>
                <c:pt idx="2054">
                  <c:v>2.3578552189783372E-2</c:v>
                </c:pt>
                <c:pt idx="2055">
                  <c:v>2.3582514424705169E-2</c:v>
                </c:pt>
                <c:pt idx="2056">
                  <c:v>2.358759005338186E-2</c:v>
                </c:pt>
                <c:pt idx="2057">
                  <c:v>2.3592650541162281E-2</c:v>
                </c:pt>
                <c:pt idx="2058">
                  <c:v>2.3597695887932486E-2</c:v>
                </c:pt>
                <c:pt idx="2059">
                  <c:v>2.3602726093578535E-2</c:v>
                </c:pt>
                <c:pt idx="2060">
                  <c:v>2.3607741157986046E-2</c:v>
                </c:pt>
                <c:pt idx="2061">
                  <c:v>2.3612741081042402E-2</c:v>
                </c:pt>
                <c:pt idx="2062">
                  <c:v>2.3617725862634983E-2</c:v>
                </c:pt>
                <c:pt idx="2063">
                  <c:v>2.3627182362494861E-2</c:v>
                </c:pt>
                <c:pt idx="2064">
                  <c:v>2.363213382657469E-2</c:v>
                </c:pt>
                <c:pt idx="2065">
                  <c:v>2.3637070145138977E-2</c:v>
                </c:pt>
                <c:pt idx="2066">
                  <c:v>2.3643677651549854E-2</c:v>
                </c:pt>
                <c:pt idx="2067">
                  <c:v>2.3643541356231743E-2</c:v>
                </c:pt>
                <c:pt idx="2068">
                  <c:v>2.3651788226591811E-2</c:v>
                </c:pt>
                <c:pt idx="2069">
                  <c:v>2.3656663961952779E-2</c:v>
                </c:pt>
                <c:pt idx="2070">
                  <c:v>2.3661524551230873E-2</c:v>
                </c:pt>
                <c:pt idx="2071">
                  <c:v>2.3666369994313749E-2</c:v>
                </c:pt>
                <c:pt idx="2072">
                  <c:v>2.367120029108993E-2</c:v>
                </c:pt>
                <c:pt idx="2073">
                  <c:v>2.3676015441447072E-2</c:v>
                </c:pt>
                <c:pt idx="2074">
                  <c:v>2.3680815445274995E-2</c:v>
                </c:pt>
                <c:pt idx="2075">
                  <c:v>2.368560030246222E-2</c:v>
                </c:pt>
                <c:pt idx="2076">
                  <c:v>2.3690370012898563E-2</c:v>
                </c:pt>
                <c:pt idx="2077">
                  <c:v>2.3695124576474276E-2</c:v>
                </c:pt>
                <c:pt idx="2078">
                  <c:v>2.369986399307961E-2</c:v>
                </c:pt>
                <c:pt idx="2079">
                  <c:v>2.3704588262604381E-2</c:v>
                </c:pt>
                <c:pt idx="2080">
                  <c:v>2.3709297384940133E-2</c:v>
                </c:pt>
                <c:pt idx="2081">
                  <c:v>2.3713991359977985E-2</c:v>
                </c:pt>
                <c:pt idx="2082">
                  <c:v>2.3718670187609911E-2</c:v>
                </c:pt>
                <c:pt idx="2083">
                  <c:v>2.3723333867727892E-2</c:v>
                </c:pt>
                <c:pt idx="2084">
                  <c:v>2.372798240022304E-2</c:v>
                </c:pt>
                <c:pt idx="2085">
                  <c:v>2.3732615784989929E-2</c:v>
                </c:pt>
                <c:pt idx="2086">
                  <c:v>2.3737234021921398E-2</c:v>
                </c:pt>
                <c:pt idx="2087">
                  <c:v>2.3741837110908565E-2</c:v>
                </c:pt>
                <c:pt idx="2088">
                  <c:v>2.3746425051847726E-2</c:v>
                </c:pt>
                <c:pt idx="2089">
                  <c:v>2.374659108898998E-2</c:v>
                </c:pt>
                <c:pt idx="2090">
                  <c:v>2.3751151865133026E-2</c:v>
                </c:pt>
                <c:pt idx="2091">
                  <c:v>2.3755697496685959E-2</c:v>
                </c:pt>
                <c:pt idx="2092">
                  <c:v>2.3760227983547204E-2</c:v>
                </c:pt>
                <c:pt idx="2093">
                  <c:v>2.3765841918051551E-2</c:v>
                </c:pt>
                <c:pt idx="2094">
                  <c:v>2.3770341328709234E-2</c:v>
                </c:pt>
                <c:pt idx="2095">
                  <c:v>2.3779213392867145E-2</c:v>
                </c:pt>
                <c:pt idx="2096">
                  <c:v>2.3779294712091177E-2</c:v>
                </c:pt>
                <c:pt idx="2097">
                  <c:v>2.3783748684611212E-2</c:v>
                </c:pt>
                <c:pt idx="2098">
                  <c:v>2.3787092860462523E-2</c:v>
                </c:pt>
                <c:pt idx="2099">
                  <c:v>2.3791517331630308E-2</c:v>
                </c:pt>
                <c:pt idx="2100">
                  <c:v>2.3795926657296441E-2</c:v>
                </c:pt>
                <c:pt idx="2101">
                  <c:v>2.3800320837360677E-2</c:v>
                </c:pt>
                <c:pt idx="2102">
                  <c:v>2.3805791351468718E-2</c:v>
                </c:pt>
                <c:pt idx="2103">
                  <c:v>2.3810154444991235E-2</c:v>
                </c:pt>
                <c:pt idx="2104">
                  <c:v>2.3814502391664705E-2</c:v>
                </c:pt>
                <c:pt idx="2105">
                  <c:v>2.3818835191391181E-2</c:v>
                </c:pt>
                <c:pt idx="2106">
                  <c:v>2.38217346887005E-2</c:v>
                </c:pt>
                <c:pt idx="2107">
                  <c:v>2.3829294643648892E-2</c:v>
                </c:pt>
                <c:pt idx="2108">
                  <c:v>2.3833575510240214E-2</c:v>
                </c:pt>
                <c:pt idx="2109">
                  <c:v>2.3837841229450599E-2</c:v>
                </c:pt>
                <c:pt idx="2110">
                  <c:v>2.3842091801184309E-2</c:v>
                </c:pt>
                <c:pt idx="2111">
                  <c:v>2.3846327225344712E-2</c:v>
                </c:pt>
                <c:pt idx="2112">
                  <c:v>2.3850547501834306E-2</c:v>
                </c:pt>
                <c:pt idx="2113">
                  <c:v>2.3854752630558661E-2</c:v>
                </c:pt>
                <c:pt idx="2114">
                  <c:v>2.3858942611421588E-2</c:v>
                </c:pt>
                <c:pt idx="2115">
                  <c:v>2.3865278802750228E-2</c:v>
                </c:pt>
                <c:pt idx="2116">
                  <c:v>2.3869436871544289E-2</c:v>
                </c:pt>
                <c:pt idx="2117">
                  <c:v>2.3873579790276715E-2</c:v>
                </c:pt>
                <c:pt idx="2118">
                  <c:v>2.3877707558853222E-2</c:v>
                </c:pt>
                <c:pt idx="2119">
                  <c:v>2.3880742750993191E-2</c:v>
                </c:pt>
                <c:pt idx="2120">
                  <c:v>2.3884841030897486E-2</c:v>
                </c:pt>
                <c:pt idx="2121">
                  <c:v>2.3890087987443669E-2</c:v>
                </c:pt>
                <c:pt idx="2122">
                  <c:v>2.3892992142172394E-2</c:v>
                </c:pt>
                <c:pt idx="2123">
                  <c:v>2.3897044973357363E-2</c:v>
                </c:pt>
                <c:pt idx="2124">
                  <c:v>2.3902156011744533E-2</c:v>
                </c:pt>
                <c:pt idx="2125">
                  <c:v>2.3906177726592634E-2</c:v>
                </c:pt>
                <c:pt idx="2126">
                  <c:v>2.3910184290535423E-2</c:v>
                </c:pt>
                <c:pt idx="2127">
                  <c:v>2.3914175703480801E-2</c:v>
                </c:pt>
                <c:pt idx="2128">
                  <c:v>2.3917081881068086E-2</c:v>
                </c:pt>
                <c:pt idx="2129">
                  <c:v>2.3921043812326782E-2</c:v>
                </c:pt>
                <c:pt idx="2130">
                  <c:v>2.3924990593278239E-2</c:v>
                </c:pt>
                <c:pt idx="2131">
                  <c:v>2.3928922223834224E-2</c:v>
                </c:pt>
                <c:pt idx="2132">
                  <c:v>2.3934972264347536E-2</c:v>
                </c:pt>
                <c:pt idx="2133">
                  <c:v>2.3937806005118408E-2</c:v>
                </c:pt>
                <c:pt idx="2134">
                  <c:v>2.3941691358540011E-2</c:v>
                </c:pt>
                <c:pt idx="2135">
                  <c:v>2.3945561560242173E-2</c:v>
                </c:pt>
                <c:pt idx="2136">
                  <c:v>2.3949416610135395E-2</c:v>
                </c:pt>
                <c:pt idx="2137">
                  <c:v>2.395325650813062E-2</c:v>
                </c:pt>
                <c:pt idx="2138">
                  <c:v>2.3957081254140093E-2</c:v>
                </c:pt>
                <c:pt idx="2139">
                  <c:v>2.3960890848076923E-2</c:v>
                </c:pt>
                <c:pt idx="2140">
                  <c:v>2.3964685289852055E-2</c:v>
                </c:pt>
                <c:pt idx="2141">
                  <c:v>2.3966345863656351E-2</c:v>
                </c:pt>
                <c:pt idx="2142">
                  <c:v>2.3970111667029659E-2</c:v>
                </c:pt>
                <c:pt idx="2143">
                  <c:v>2.3973862319921664E-2</c:v>
                </c:pt>
                <c:pt idx="2144">
                  <c:v>2.3977597822248467E-2</c:v>
                </c:pt>
                <c:pt idx="2145">
                  <c:v>2.3982374210321043E-2</c:v>
                </c:pt>
                <c:pt idx="2146">
                  <c:v>2.3986078574348372E-2</c:v>
                </c:pt>
                <c:pt idx="2147">
                  <c:v>2.3989767786583745E-2</c:v>
                </c:pt>
                <c:pt idx="2148">
                  <c:v>2.3993441846942864E-2</c:v>
                </c:pt>
                <c:pt idx="2149">
                  <c:v>2.3997100755343607E-2</c:v>
                </c:pt>
                <c:pt idx="2150">
                  <c:v>2.3999692669587007E-2</c:v>
                </c:pt>
                <c:pt idx="2151">
                  <c:v>2.4003322115593601E-2</c:v>
                </c:pt>
                <c:pt idx="2152">
                  <c:v>2.4006936410364763E-2</c:v>
                </c:pt>
                <c:pt idx="2153">
                  <c:v>2.4010535553818803E-2</c:v>
                </c:pt>
                <c:pt idx="2154">
                  <c:v>2.4015168015036312E-2</c:v>
                </c:pt>
                <c:pt idx="2155">
                  <c:v>2.4018736009935628E-2</c:v>
                </c:pt>
                <c:pt idx="2156">
                  <c:v>2.4022288852297794E-2</c:v>
                </c:pt>
                <c:pt idx="2157">
                  <c:v>2.4025826542042002E-2</c:v>
                </c:pt>
                <c:pt idx="2158">
                  <c:v>2.4028806102406697E-2</c:v>
                </c:pt>
                <c:pt idx="2159">
                  <c:v>2.4032312171703124E-2</c:v>
                </c:pt>
                <c:pt idx="2160">
                  <c:v>2.4035803089105308E-2</c:v>
                </c:pt>
                <c:pt idx="2161">
                  <c:v>2.4039278854534187E-2</c:v>
                </c:pt>
                <c:pt idx="2162">
                  <c:v>2.4042739467912026E-2</c:v>
                </c:pt>
                <c:pt idx="2163">
                  <c:v>2.4046184929158883E-2</c:v>
                </c:pt>
                <c:pt idx="2164">
                  <c:v>2.4049615238197024E-2</c:v>
                </c:pt>
                <c:pt idx="2165">
                  <c:v>2.4053030394949146E-2</c:v>
                </c:pt>
                <c:pt idx="2166">
                  <c:v>2.4056430399336626E-2</c:v>
                </c:pt>
                <c:pt idx="2167">
                  <c:v>2.4061889768288474E-2</c:v>
                </c:pt>
                <c:pt idx="2168">
                  <c:v>2.4065257750526793E-2</c:v>
                </c:pt>
                <c:pt idx="2169">
                  <c:v>2.40686105782075E-2</c:v>
                </c:pt>
                <c:pt idx="2170">
                  <c:v>2.4071948251254575E-2</c:v>
                </c:pt>
                <c:pt idx="2171">
                  <c:v>2.4074236969696777E-2</c:v>
                </c:pt>
                <c:pt idx="2172">
                  <c:v>2.4078487619935123E-2</c:v>
                </c:pt>
                <c:pt idx="2173">
                  <c:v>2.4081776362494717E-2</c:v>
                </c:pt>
                <c:pt idx="2174">
                  <c:v>2.408504995107744E-2</c:v>
                </c:pt>
                <c:pt idx="2175">
                  <c:v>2.4088308385609034E-2</c:v>
                </c:pt>
                <c:pt idx="2176">
                  <c:v>2.4094639242052504E-2</c:v>
                </c:pt>
                <c:pt idx="2177">
                  <c:v>2.4097864764525277E-2</c:v>
                </c:pt>
                <c:pt idx="2178">
                  <c:v>2.4101075129769028E-2</c:v>
                </c:pt>
                <c:pt idx="2179">
                  <c:v>2.410427033770984E-2</c:v>
                </c:pt>
                <c:pt idx="2180">
                  <c:v>2.4104373244900182E-2</c:v>
                </c:pt>
                <c:pt idx="2181">
                  <c:v>2.4107540753571272E-2</c:v>
                </c:pt>
                <c:pt idx="2182">
                  <c:v>2.4110693107677984E-2</c:v>
                </c:pt>
                <c:pt idx="2183">
                  <c:v>2.4116899594960148E-2</c:v>
                </c:pt>
                <c:pt idx="2184">
                  <c:v>2.41200190152779E-2</c:v>
                </c:pt>
                <c:pt idx="2185">
                  <c:v>2.4123123277852637E-2</c:v>
                </c:pt>
                <c:pt idx="2186">
                  <c:v>2.4126212382612582E-2</c:v>
                </c:pt>
                <c:pt idx="2187">
                  <c:v>2.412928632948597E-2</c:v>
                </c:pt>
                <c:pt idx="2188">
                  <c:v>2.4129288982439785E-2</c:v>
                </c:pt>
                <c:pt idx="2189">
                  <c:v>2.4135388749285558E-2</c:v>
                </c:pt>
                <c:pt idx="2190">
                  <c:v>2.4138417222071655E-2</c:v>
                </c:pt>
                <c:pt idx="2191">
                  <c:v>2.414143053668712E-2</c:v>
                </c:pt>
                <c:pt idx="2192">
                  <c:v>2.414138313199047E-2</c:v>
                </c:pt>
                <c:pt idx="2193">
                  <c:v>2.4142339977036444E-2</c:v>
                </c:pt>
                <c:pt idx="2194">
                  <c:v>2.4145312239617914E-2</c:v>
                </c:pt>
                <c:pt idx="2195">
                  <c:v>2.4148269348707667E-2</c:v>
                </c:pt>
                <c:pt idx="2196">
                  <c:v>2.4151211304238567E-2</c:v>
                </c:pt>
                <c:pt idx="2197">
                  <c:v>2.41551489847356E-2</c:v>
                </c:pt>
                <c:pt idx="2198">
                  <c:v>2.4158059744660999E-2</c:v>
                </c:pt>
                <c:pt idx="2199">
                  <c:v>2.4160955349837292E-2</c:v>
                </c:pt>
                <c:pt idx="2200">
                  <c:v>2.4163835800197722E-2</c:v>
                </c:pt>
                <c:pt idx="2201">
                  <c:v>2.4166701095678162E-2</c:v>
                </c:pt>
                <c:pt idx="2202">
                  <c:v>2.4168544808989872E-2</c:v>
                </c:pt>
                <c:pt idx="2203">
                  <c:v>2.4171380687767204E-2</c:v>
                </c:pt>
                <c:pt idx="2204">
                  <c:v>2.4174201412463674E-2</c:v>
                </c:pt>
                <c:pt idx="2205">
                  <c:v>2.4177006983016128E-2</c:v>
                </c:pt>
                <c:pt idx="2206">
                  <c:v>2.4180800237511537E-2</c:v>
                </c:pt>
                <c:pt idx="2207">
                  <c:v>2.4183574238659446E-2</c:v>
                </c:pt>
                <c:pt idx="2208">
                  <c:v>2.4186331985545682E-2</c:v>
                </c:pt>
                <c:pt idx="2209">
                  <c:v>2.4189072708849811E-2</c:v>
                </c:pt>
                <c:pt idx="2210">
                  <c:v>2.4190797374061799E-2</c:v>
                </c:pt>
                <c:pt idx="2211">
                  <c:v>2.4193503128957516E-2</c:v>
                </c:pt>
                <c:pt idx="2212">
                  <c:v>2.4196189640987811E-2</c:v>
                </c:pt>
                <c:pt idx="2213">
                  <c:v>2.4198856136619405E-2</c:v>
                </c:pt>
                <c:pt idx="2214">
                  <c:v>2.4201501842315915E-2</c:v>
                </c:pt>
                <c:pt idx="2215">
                  <c:v>2.420412598453877E-2</c:v>
                </c:pt>
                <c:pt idx="2216">
                  <c:v>2.4206727789743646E-2</c:v>
                </c:pt>
                <c:pt idx="2217">
                  <c:v>2.420930648438489E-2</c:v>
                </c:pt>
                <c:pt idx="2218">
                  <c:v>2.4211861294911118E-2</c:v>
                </c:pt>
                <c:pt idx="2219">
                  <c:v>2.4219304518289669E-2</c:v>
                </c:pt>
                <c:pt idx="2220">
                  <c:v>2.422179903415107E-2</c:v>
                </c:pt>
                <c:pt idx="2221">
                  <c:v>2.4224267095841141E-2</c:v>
                </c:pt>
                <c:pt idx="2222">
                  <c:v>2.4226707950336008E-2</c:v>
                </c:pt>
                <c:pt idx="2223">
                  <c:v>2.4226198874088726E-2</c:v>
                </c:pt>
                <c:pt idx="2224">
                  <c:v>2.4228589708543729E-2</c:v>
                </c:pt>
                <c:pt idx="2225">
                  <c:v>2.4230951176039593E-2</c:v>
                </c:pt>
                <c:pt idx="2226">
                  <c:v>2.4233282511356303E-2</c:v>
                </c:pt>
                <c:pt idx="2227">
                  <c:v>2.4235582949268159E-2</c:v>
                </c:pt>
                <c:pt idx="2228">
                  <c:v>2.4240739556506744E-2</c:v>
                </c:pt>
                <c:pt idx="2229">
                  <c:v>2.4242968875737899E-2</c:v>
                </c:pt>
                <c:pt idx="2230">
                  <c:v>2.4245164963492126E-2</c:v>
                </c:pt>
                <c:pt idx="2231">
                  <c:v>2.4247327066724059E-2</c:v>
                </c:pt>
                <c:pt idx="2232">
                  <c:v>2.424659490480794E-2</c:v>
                </c:pt>
                <c:pt idx="2233">
                  <c:v>2.4248694250215398E-2</c:v>
                </c:pt>
                <c:pt idx="2234">
                  <c:v>2.4250758434631797E-2</c:v>
                </c:pt>
                <c:pt idx="2235">
                  <c:v>2.4252787457947064E-2</c:v>
                </c:pt>
                <c:pt idx="2236">
                  <c:v>2.4257612357690934E-2</c:v>
                </c:pt>
                <c:pt idx="2237">
                  <c:v>2.4259563915897155E-2</c:v>
                </c:pt>
                <c:pt idx="2238">
                  <c:v>2.4261480305630509E-2</c:v>
                </c:pt>
                <c:pt idx="2239">
                  <c:v>2.4263361526786993E-2</c:v>
                </c:pt>
                <c:pt idx="2240">
                  <c:v>2.4265207579266479E-2</c:v>
                </c:pt>
                <c:pt idx="2241">
                  <c:v>2.4267018462969685E-2</c:v>
                </c:pt>
                <c:pt idx="2242">
                  <c:v>2.4268794177797766E-2</c:v>
                </c:pt>
                <c:pt idx="2243">
                  <c:v>2.4270534723655746E-2</c:v>
                </c:pt>
                <c:pt idx="2244">
                  <c:v>2.4272240100450794E-2</c:v>
                </c:pt>
                <c:pt idx="2245">
                  <c:v>2.4269298532553871E-2</c:v>
                </c:pt>
                <c:pt idx="2246">
                  <c:v>2.4270945579521631E-2</c:v>
                </c:pt>
                <c:pt idx="2247">
                  <c:v>2.4272557468930762E-2</c:v>
                </c:pt>
                <c:pt idx="2248">
                  <c:v>2.4274134200698232E-2</c:v>
                </c:pt>
                <c:pt idx="2249">
                  <c:v>2.4276588888175243E-2</c:v>
                </c:pt>
                <c:pt idx="2250">
                  <c:v>2.4278092893933859E-2</c:v>
                </c:pt>
                <c:pt idx="2251">
                  <c:v>2.4279561739452043E-2</c:v>
                </c:pt>
                <c:pt idx="2252">
                  <c:v>2.4280995424652053E-2</c:v>
                </c:pt>
                <c:pt idx="2253">
                  <c:v>2.4282393949458782E-2</c:v>
                </c:pt>
                <c:pt idx="2254">
                  <c:v>2.4282856276316003E-2</c:v>
                </c:pt>
                <c:pt idx="2255">
                  <c:v>2.4284186902377054E-2</c:v>
                </c:pt>
                <c:pt idx="2256">
                  <c:v>2.4285482370186542E-2</c:v>
                </c:pt>
                <c:pt idx="2257">
                  <c:v>2.4286742679676461E-2</c:v>
                </c:pt>
                <c:pt idx="2258">
                  <c:v>2.4288859165073961E-2</c:v>
                </c:pt>
                <c:pt idx="2259">
                  <c:v>2.4290046726036935E-2</c:v>
                </c:pt>
                <c:pt idx="2260">
                  <c:v>2.4291199126129648E-2</c:v>
                </c:pt>
                <c:pt idx="2261">
                  <c:v>2.4292316365291056E-2</c:v>
                </c:pt>
                <c:pt idx="2262">
                  <c:v>2.4293398443462295E-2</c:v>
                </c:pt>
                <c:pt idx="2263">
                  <c:v>2.4293566208337461E-2</c:v>
                </c:pt>
                <c:pt idx="2264">
                  <c:v>2.4294580407845042E-2</c:v>
                </c:pt>
                <c:pt idx="2265">
                  <c:v>2.4295559448556086E-2</c:v>
                </c:pt>
                <c:pt idx="2266">
                  <c:v>2.4296503330420688E-2</c:v>
                </c:pt>
                <c:pt idx="2267">
                  <c:v>2.4297412053387618E-2</c:v>
                </c:pt>
                <c:pt idx="2268">
                  <c:v>2.4298285617410063E-2</c:v>
                </c:pt>
                <c:pt idx="2269">
                  <c:v>2.4299124022442092E-2</c:v>
                </c:pt>
                <c:pt idx="2270">
                  <c:v>2.4299927268440866E-2</c:v>
                </c:pt>
                <c:pt idx="2271">
                  <c:v>2.4304991077320648E-2</c:v>
                </c:pt>
                <c:pt idx="2272">
                  <c:v>2.4305711689974498E-2</c:v>
                </c:pt>
                <c:pt idx="2273">
                  <c:v>2.4306397131671018E-2</c:v>
                </c:pt>
                <c:pt idx="2274">
                  <c:v>2.4307047402372821E-2</c:v>
                </c:pt>
                <c:pt idx="2275">
                  <c:v>2.4305115262644478E-2</c:v>
                </c:pt>
                <c:pt idx="2276">
                  <c:v>2.4305702609675819E-2</c:v>
                </c:pt>
                <c:pt idx="2277">
                  <c:v>2.4306254792696436E-2</c:v>
                </c:pt>
                <c:pt idx="2278">
                  <c:v>2.4306771811676633E-2</c:v>
                </c:pt>
                <c:pt idx="2279">
                  <c:v>2.4307253666588889E-2</c:v>
                </c:pt>
                <c:pt idx="2280">
                  <c:v>2.4310210433872336E-2</c:v>
                </c:pt>
                <c:pt idx="2281">
                  <c:v>2.4310614506739114E-2</c:v>
                </c:pt>
                <c:pt idx="2282">
                  <c:v>2.4310983408384262E-2</c:v>
                </c:pt>
                <c:pt idx="2283">
                  <c:v>2.4311317138787574E-2</c:v>
                </c:pt>
                <c:pt idx="2284">
                  <c:v>2.4309135479306781E-2</c:v>
                </c:pt>
                <c:pt idx="2285">
                  <c:v>2.4309406349342255E-2</c:v>
                </c:pt>
                <c:pt idx="2286">
                  <c:v>2.4309642055170007E-2</c:v>
                </c:pt>
                <c:pt idx="2287">
                  <c:v>2.430984259677868E-2</c:v>
                </c:pt>
                <c:pt idx="2288">
                  <c:v>2.4310007974156483E-2</c:v>
                </c:pt>
                <c:pt idx="2289">
                  <c:v>2.4312580924267281E-2</c:v>
                </c:pt>
                <c:pt idx="2290">
                  <c:v>2.4312668455583667E-2</c:v>
                </c:pt>
                <c:pt idx="2291">
                  <c:v>2.4312720815569264E-2</c:v>
                </c:pt>
                <c:pt idx="2292">
                  <c:v>2.4312738004219337E-2</c:v>
                </c:pt>
                <c:pt idx="2293">
                  <c:v>2.4312720021533459E-2</c:v>
                </c:pt>
                <c:pt idx="2294">
                  <c:v>2.4312666867512059E-2</c:v>
                </c:pt>
                <c:pt idx="2295">
                  <c:v>2.4312578542159863E-2</c:v>
                </c:pt>
                <c:pt idx="2296">
                  <c:v>2.4312455045479887E-2</c:v>
                </c:pt>
                <c:pt idx="2297">
                  <c:v>2.4308324685431145E-2</c:v>
                </c:pt>
                <c:pt idx="2298">
                  <c:v>2.4308143468116401E-2</c:v>
                </c:pt>
                <c:pt idx="2299">
                  <c:v>2.4307927091294968E-2</c:v>
                </c:pt>
                <c:pt idx="2300">
                  <c:v>2.4307675554977887E-2</c:v>
                </c:pt>
                <c:pt idx="2301">
                  <c:v>2.4307388859177527E-2</c:v>
                </c:pt>
                <c:pt idx="2302">
                  <c:v>2.4307849111491076E-2</c:v>
                </c:pt>
                <c:pt idx="2303">
                  <c:v>2.4307489561258853E-2</c:v>
                </c:pt>
                <c:pt idx="2304">
                  <c:v>2.4307094849237543E-2</c:v>
                </c:pt>
                <c:pt idx="2305">
                  <c:v>2.4306664975446913E-2</c:v>
                </c:pt>
                <c:pt idx="2306">
                  <c:v>2.4305427988536861E-2</c:v>
                </c:pt>
                <c:pt idx="2307">
                  <c:v>2.430493033622369E-2</c:v>
                </c:pt>
                <c:pt idx="2308">
                  <c:v>2.4304397524572096E-2</c:v>
                </c:pt>
                <c:pt idx="2309">
                  <c:v>2.43038295536099E-2</c:v>
                </c:pt>
                <c:pt idx="2310">
                  <c:v>2.4303988180826668E-2</c:v>
                </c:pt>
                <c:pt idx="2311">
                  <c:v>2.4303347336966492E-2</c:v>
                </c:pt>
                <c:pt idx="2312">
                  <c:v>2.4302671331534638E-2</c:v>
                </c:pt>
                <c:pt idx="2313">
                  <c:v>2.4301960164567565E-2</c:v>
                </c:pt>
                <c:pt idx="2314">
                  <c:v>2.4301213836102602E-2</c:v>
                </c:pt>
                <c:pt idx="2315">
                  <c:v>2.4299683384112446E-2</c:v>
                </c:pt>
                <c:pt idx="2316">
                  <c:v>2.4298869298913194E-2</c:v>
                </c:pt>
                <c:pt idx="2317">
                  <c:v>2.4298020054693493E-2</c:v>
                </c:pt>
                <c:pt idx="2318">
                  <c:v>2.4297135651497069E-2</c:v>
                </c:pt>
                <c:pt idx="2319">
                  <c:v>2.4296216089370295E-2</c:v>
                </c:pt>
                <c:pt idx="2320">
                  <c:v>2.4295261368361746E-2</c:v>
                </c:pt>
                <c:pt idx="2321">
                  <c:v>2.4294271488521771E-2</c:v>
                </c:pt>
                <c:pt idx="2322">
                  <c:v>2.429324644990204E-2</c:v>
                </c:pt>
                <c:pt idx="2323">
                  <c:v>2.4295825942687057E-2</c:v>
                </c:pt>
                <c:pt idx="2324">
                  <c:v>2.4294717658463093E-2</c:v>
                </c:pt>
                <c:pt idx="2325">
                  <c:v>2.4293574203872726E-2</c:v>
                </c:pt>
                <c:pt idx="2326">
                  <c:v>2.4292395578978269E-2</c:v>
                </c:pt>
                <c:pt idx="2327">
                  <c:v>2.428902968744303E-2</c:v>
                </c:pt>
                <c:pt idx="2328">
                  <c:v>2.4287788508277904E-2</c:v>
                </c:pt>
                <c:pt idx="2329">
                  <c:v>2.4286512166051242E-2</c:v>
                </c:pt>
                <c:pt idx="2330">
                  <c:v>2.428520066082944E-2</c:v>
                </c:pt>
                <c:pt idx="2331">
                  <c:v>2.4283853992683263E-2</c:v>
                </c:pt>
                <c:pt idx="2332">
                  <c:v>2.4284585256913474E-2</c:v>
                </c:pt>
                <c:pt idx="2333">
                  <c:v>2.4283160441773626E-2</c:v>
                </c:pt>
                <c:pt idx="2334">
                  <c:v>2.4281700456890098E-2</c:v>
                </c:pt>
                <c:pt idx="2335">
                  <c:v>2.42802053023424E-2</c:v>
                </c:pt>
                <c:pt idx="2336">
                  <c:v>2.4276593210635966E-2</c:v>
                </c:pt>
                <c:pt idx="2337">
                  <c:v>2.4275035566502071E-2</c:v>
                </c:pt>
                <c:pt idx="2338">
                  <c:v>2.4273442759981952E-2</c:v>
                </c:pt>
                <c:pt idx="2339">
                  <c:v>2.4271814791159033E-2</c:v>
                </c:pt>
                <c:pt idx="2340">
                  <c:v>2.4270151660120681E-2</c:v>
                </c:pt>
                <c:pt idx="2341">
                  <c:v>2.4270495816732469E-2</c:v>
                </c:pt>
                <c:pt idx="2342">
                  <c:v>2.4268754476891117E-2</c:v>
                </c:pt>
                <c:pt idx="2343">
                  <c:v>2.4266977968081381E-2</c:v>
                </c:pt>
                <c:pt idx="2344">
                  <c:v>2.4265166290399098E-2</c:v>
                </c:pt>
                <c:pt idx="2345">
                  <c:v>2.426331944394269E-2</c:v>
                </c:pt>
                <c:pt idx="2346">
                  <c:v>2.4261437428811424E-2</c:v>
                </c:pt>
                <c:pt idx="2347">
                  <c:v>2.4259520245105439E-2</c:v>
                </c:pt>
                <c:pt idx="2348">
                  <c:v>2.4257567892929169E-2</c:v>
                </c:pt>
                <c:pt idx="2349">
                  <c:v>2.4252941023930857E-2</c:v>
                </c:pt>
                <c:pt idx="2350">
                  <c:v>2.4250928922116465E-2</c:v>
                </c:pt>
                <c:pt idx="2351">
                  <c:v>2.4248881661492579E-2</c:v>
                </c:pt>
                <c:pt idx="2352">
                  <c:v>2.4246799242166373E-2</c:v>
                </c:pt>
                <c:pt idx="2353">
                  <c:v>2.4244681664248521E-2</c:v>
                </c:pt>
                <c:pt idx="2354">
                  <c:v>2.4243175845619164E-2</c:v>
                </c:pt>
                <c:pt idx="2355">
                  <c:v>2.4240985292954001E-2</c:v>
                </c:pt>
                <c:pt idx="2356">
                  <c:v>2.4241323719707233E-2</c:v>
                </c:pt>
                <c:pt idx="2357">
                  <c:v>2.4236498705994126E-2</c:v>
                </c:pt>
                <c:pt idx="2358">
                  <c:v>2.4233566399747178E-2</c:v>
                </c:pt>
                <c:pt idx="2359">
                  <c:v>2.4231237872684584E-2</c:v>
                </c:pt>
                <c:pt idx="2360">
                  <c:v>2.422887418784947E-2</c:v>
                </c:pt>
                <c:pt idx="2361">
                  <c:v>2.4226475345366573E-2</c:v>
                </c:pt>
                <c:pt idx="2362">
                  <c:v>2.4224666934709878E-2</c:v>
                </c:pt>
                <c:pt idx="2363">
                  <c:v>2.422219510078763E-2</c:v>
                </c:pt>
                <c:pt idx="2364">
                  <c:v>2.4219688107276482E-2</c:v>
                </c:pt>
                <c:pt idx="2365">
                  <c:v>2.4217145954310536E-2</c:v>
                </c:pt>
                <c:pt idx="2366">
                  <c:v>2.4213583098659452E-2</c:v>
                </c:pt>
                <c:pt idx="2367">
                  <c:v>2.4210968290610688E-2</c:v>
                </c:pt>
                <c:pt idx="2368">
                  <c:v>2.4208318325858E-2</c:v>
                </c:pt>
                <c:pt idx="2369">
                  <c:v>2.4205633204540181E-2</c:v>
                </c:pt>
                <c:pt idx="2370">
                  <c:v>2.4202912926799096E-2</c:v>
                </c:pt>
                <c:pt idx="2371">
                  <c:v>2.4200157492777485E-2</c:v>
                </c:pt>
                <c:pt idx="2372">
                  <c:v>2.419736690262073E-2</c:v>
                </c:pt>
                <c:pt idx="2373">
                  <c:v>2.4194541156476401E-2</c:v>
                </c:pt>
                <c:pt idx="2374">
                  <c:v>2.4191680254493395E-2</c:v>
                </c:pt>
                <c:pt idx="2375">
                  <c:v>2.4190554180382458E-2</c:v>
                </c:pt>
                <c:pt idx="2376">
                  <c:v>2.4187614845126399E-2</c:v>
                </c:pt>
                <c:pt idx="2377">
                  <c:v>2.4184640347552314E-2</c:v>
                </c:pt>
                <c:pt idx="2378">
                  <c:v>2.418163068781834E-2</c:v>
                </c:pt>
                <c:pt idx="2379">
                  <c:v>2.4178585866086514E-2</c:v>
                </c:pt>
                <c:pt idx="2380">
                  <c:v>2.4175505882519297E-2</c:v>
                </c:pt>
                <c:pt idx="2381">
                  <c:v>2.4172390737282615E-2</c:v>
                </c:pt>
                <c:pt idx="2382">
                  <c:v>2.4166285826460934E-2</c:v>
                </c:pt>
                <c:pt idx="2383">
                  <c:v>2.4166054962466689E-2</c:v>
                </c:pt>
                <c:pt idx="2384">
                  <c:v>2.4160879159336519E-2</c:v>
                </c:pt>
                <c:pt idx="2385">
                  <c:v>2.4157611029617498E-2</c:v>
                </c:pt>
                <c:pt idx="2386">
                  <c:v>2.4154307741458839E-2</c:v>
                </c:pt>
                <c:pt idx="2387">
                  <c:v>2.4150969295036486E-2</c:v>
                </c:pt>
                <c:pt idx="2388">
                  <c:v>2.4147042244465716E-2</c:v>
                </c:pt>
                <c:pt idx="2389">
                  <c:v>2.4143636220366013E-2</c:v>
                </c:pt>
                <c:pt idx="2390">
                  <c:v>2.4140195040839765E-2</c:v>
                </c:pt>
                <c:pt idx="2391">
                  <c:v>2.4136718706069114E-2</c:v>
                </c:pt>
                <c:pt idx="2392">
                  <c:v>2.4134291935847419E-2</c:v>
                </c:pt>
                <c:pt idx="2393">
                  <c:v>2.4130200303055047E-2</c:v>
                </c:pt>
                <c:pt idx="2394">
                  <c:v>2.4126615753871049E-2</c:v>
                </c:pt>
                <c:pt idx="2395">
                  <c:v>2.4122996047898266E-2</c:v>
                </c:pt>
                <c:pt idx="2396">
                  <c:v>2.411934118532915E-2</c:v>
                </c:pt>
                <c:pt idx="2397">
                  <c:v>2.4115651166358335E-2</c:v>
                </c:pt>
                <c:pt idx="2398">
                  <c:v>2.4111925991183052E-2</c:v>
                </c:pt>
                <c:pt idx="2399">
                  <c:v>2.4108165660001832E-2</c:v>
                </c:pt>
                <c:pt idx="2400">
                  <c:v>2.4104370173013655E-2</c:v>
                </c:pt>
                <c:pt idx="2401">
                  <c:v>2.4099503950820014E-2</c:v>
                </c:pt>
                <c:pt idx="2402">
                  <c:v>2.4095643688678427E-2</c:v>
                </c:pt>
                <c:pt idx="2403">
                  <c:v>2.4091748275907616E-2</c:v>
                </c:pt>
                <c:pt idx="2404">
                  <c:v>2.4087817712712255E-2</c:v>
                </c:pt>
                <c:pt idx="2405">
                  <c:v>2.4083851999300531E-2</c:v>
                </c:pt>
                <c:pt idx="2406">
                  <c:v>2.4080355184843527E-2</c:v>
                </c:pt>
                <c:pt idx="2407">
                  <c:v>2.4075815122662488E-2</c:v>
                </c:pt>
                <c:pt idx="2408">
                  <c:v>2.4071743959860007E-2</c:v>
                </c:pt>
                <c:pt idx="2409">
                  <c:v>2.406763764768664E-2</c:v>
                </c:pt>
                <c:pt idx="2410">
                  <c:v>2.4063496186360233E-2</c:v>
                </c:pt>
                <c:pt idx="2411">
                  <c:v>2.4059319576096881E-2</c:v>
                </c:pt>
                <c:pt idx="2412">
                  <c:v>2.4055107817118379E-2</c:v>
                </c:pt>
                <c:pt idx="2413">
                  <c:v>2.4050860909645651E-2</c:v>
                </c:pt>
                <c:pt idx="2414">
                  <c:v>2.4046578853902698E-2</c:v>
                </c:pt>
                <c:pt idx="2415">
                  <c:v>2.4042261650114388E-2</c:v>
                </c:pt>
                <c:pt idx="2416">
                  <c:v>2.4037909298509554E-2</c:v>
                </c:pt>
                <c:pt idx="2417">
                  <c:v>2.4033521799316584E-2</c:v>
                </c:pt>
                <c:pt idx="2418">
                  <c:v>2.4027994081191932E-2</c:v>
                </c:pt>
                <c:pt idx="2419">
                  <c:v>2.4023534072873467E-2</c:v>
                </c:pt>
                <c:pt idx="2420">
                  <c:v>2.4019038919957936E-2</c:v>
                </c:pt>
                <c:pt idx="2421">
                  <c:v>2.4014508622682496E-2</c:v>
                </c:pt>
                <c:pt idx="2422">
                  <c:v>2.4009943181283865E-2</c:v>
                </c:pt>
                <c:pt idx="2423">
                  <c:v>2.4005342596000526E-2</c:v>
                </c:pt>
                <c:pt idx="2424">
                  <c:v>2.4000706867074052E-2</c:v>
                </c:pt>
                <c:pt idx="2425">
                  <c:v>2.3996035994747346E-2</c:v>
                </c:pt>
                <c:pt idx="2426">
                  <c:v>2.3991329979265071E-2</c:v>
                </c:pt>
                <c:pt idx="2427">
                  <c:v>2.3987923241705261E-2</c:v>
                </c:pt>
                <c:pt idx="2428">
                  <c:v>2.3983138459722463E-2</c:v>
                </c:pt>
                <c:pt idx="2429">
                  <c:v>2.3978318528592158E-2</c:v>
                </c:pt>
                <c:pt idx="2430">
                  <c:v>2.3973463448571101E-2</c:v>
                </c:pt>
                <c:pt idx="2431">
                  <c:v>2.3968139986161902E-2</c:v>
                </c:pt>
                <c:pt idx="2432">
                  <c:v>2.3961804549843826E-2</c:v>
                </c:pt>
                <c:pt idx="2433">
                  <c:v>2.3956836821611118E-2</c:v>
                </c:pt>
                <c:pt idx="2434">
                  <c:v>2.3951833947845589E-2</c:v>
                </c:pt>
                <c:pt idx="2435">
                  <c:v>2.394691440150086E-2</c:v>
                </c:pt>
                <c:pt idx="2436">
                  <c:v>2.3942976653388005E-2</c:v>
                </c:pt>
                <c:pt idx="2437">
                  <c:v>2.39378597992605E-2</c:v>
                </c:pt>
                <c:pt idx="2438">
                  <c:v>2.3932707793979609E-2</c:v>
                </c:pt>
                <c:pt idx="2439">
                  <c:v>2.3926292405371117E-2</c:v>
                </c:pt>
                <c:pt idx="2440">
                  <c:v>2.3921078664040866E-2</c:v>
                </c:pt>
                <c:pt idx="2441">
                  <c:v>2.3915829779071356E-2</c:v>
                </c:pt>
                <c:pt idx="2442">
                  <c:v>2.3910545750742151E-2</c:v>
                </c:pt>
                <c:pt idx="2443">
                  <c:v>2.3906420510039036E-2</c:v>
                </c:pt>
                <c:pt idx="2444">
                  <c:v>2.3901057603724303E-2</c:v>
                </c:pt>
                <c:pt idx="2445">
                  <c:v>2.3895659548236969E-2</c:v>
                </c:pt>
                <c:pt idx="2446">
                  <c:v>2.389022634386798E-2</c:v>
                </c:pt>
                <c:pt idx="2447">
                  <c:v>2.3884757990908712E-2</c:v>
                </c:pt>
                <c:pt idx="2448">
                  <c:v>2.3878103585995174E-2</c:v>
                </c:pt>
                <c:pt idx="2449">
                  <c:v>2.387371584040035E-2</c:v>
                </c:pt>
                <c:pt idx="2450">
                  <c:v>2.3868142043446044E-2</c:v>
                </c:pt>
                <c:pt idx="2451">
                  <c:v>2.3862533099090619E-2</c:v>
                </c:pt>
                <c:pt idx="2452">
                  <c:v>2.3855772645106389E-2</c:v>
                </c:pt>
                <c:pt idx="2453">
                  <c:v>2.3849362287598458E-2</c:v>
                </c:pt>
                <c:pt idx="2454">
                  <c:v>2.3843662331898097E-2</c:v>
                </c:pt>
                <c:pt idx="2455">
                  <c:v>2.3837927241023408E-2</c:v>
                </c:pt>
                <c:pt idx="2456">
                  <c:v>2.3832157015275586E-2</c:v>
                </c:pt>
                <c:pt idx="2457">
                  <c:v>2.3826710116489569E-2</c:v>
                </c:pt>
                <c:pt idx="2458">
                  <c:v>2.3820866727981123E-2</c:v>
                </c:pt>
                <c:pt idx="2459">
                  <c:v>2.381498820331715E-2</c:v>
                </c:pt>
                <c:pt idx="2460">
                  <c:v>2.3809074542807295E-2</c:v>
                </c:pt>
                <c:pt idx="2461">
                  <c:v>2.3803125746763399E-2</c:v>
                </c:pt>
                <c:pt idx="2462">
                  <c:v>2.3796797845511933E-2</c:v>
                </c:pt>
                <c:pt idx="2463">
                  <c:v>2.3790781684218592E-2</c:v>
                </c:pt>
                <c:pt idx="2464">
                  <c:v>2.3784730390523069E-2</c:v>
                </c:pt>
                <c:pt idx="2465">
                  <c:v>2.3778643964740252E-2</c:v>
                </c:pt>
                <c:pt idx="2466">
                  <c:v>2.3772854981011362E-2</c:v>
                </c:pt>
                <c:pt idx="2467">
                  <c:v>2.3766697546944125E-2</c:v>
                </c:pt>
                <c:pt idx="2468">
                  <c:v>2.376050916337151E-2</c:v>
                </c:pt>
                <c:pt idx="2469">
                  <c:v>2.3750727449235686E-2</c:v>
                </c:pt>
                <c:pt idx="2470">
                  <c:v>2.374683067422384E-2</c:v>
                </c:pt>
                <c:pt idx="2471">
                  <c:v>2.3741458094571958E-2</c:v>
                </c:pt>
                <c:pt idx="2472">
                  <c:v>2.3735169583269555E-2</c:v>
                </c:pt>
                <c:pt idx="2473">
                  <c:v>2.372886115062478E-2</c:v>
                </c:pt>
                <c:pt idx="2474">
                  <c:v>2.372253506190098E-2</c:v>
                </c:pt>
                <c:pt idx="2475">
                  <c:v>2.3716193582335867E-2</c:v>
                </c:pt>
                <c:pt idx="2476">
                  <c:v>2.3709838977135373E-2</c:v>
                </c:pt>
                <c:pt idx="2477">
                  <c:v>2.3703473511479802E-2</c:v>
                </c:pt>
                <c:pt idx="2478">
                  <c:v>2.3697099450520755E-2</c:v>
                </c:pt>
                <c:pt idx="2479">
                  <c:v>2.3692317919148241E-2</c:v>
                </c:pt>
                <c:pt idx="2480">
                  <c:v>2.3685935617770524E-2</c:v>
                </c:pt>
                <c:pt idx="2481">
                  <c:v>2.3679552195000796E-2</c:v>
                </c:pt>
                <c:pt idx="2482">
                  <c:v>2.3673169855701587E-2</c:v>
                </c:pt>
                <c:pt idx="2483">
                  <c:v>2.3665823652248591E-2</c:v>
                </c:pt>
                <c:pt idx="2484">
                  <c:v>2.3659447377205767E-2</c:v>
                </c:pt>
                <c:pt idx="2485">
                  <c:v>2.3653078540103914E-2</c:v>
                </c:pt>
                <c:pt idx="2486">
                  <c:v>2.3646719381400907E-2</c:v>
                </c:pt>
                <c:pt idx="2487">
                  <c:v>2.3640372141524483E-2</c:v>
                </c:pt>
                <c:pt idx="2488">
                  <c:v>2.3635022041345578E-2</c:v>
                </c:pt>
                <c:pt idx="2489">
                  <c:v>2.3628709020024823E-2</c:v>
                </c:pt>
                <c:pt idx="2490">
                  <c:v>2.3622414720029201E-2</c:v>
                </c:pt>
                <c:pt idx="2491">
                  <c:v>2.3616141345964244E-2</c:v>
                </c:pt>
                <c:pt idx="2492">
                  <c:v>2.3608892902399588E-2</c:v>
                </c:pt>
                <c:pt idx="2493">
                  <c:v>2.3602662066249603E-2</c:v>
                </c:pt>
                <c:pt idx="2494">
                  <c:v>2.3596454670277503E-2</c:v>
                </c:pt>
                <c:pt idx="2495">
                  <c:v>2.359128011354699E-2</c:v>
                </c:pt>
                <c:pt idx="2496">
                  <c:v>2.3585123417201564E-2</c:v>
                </c:pt>
                <c:pt idx="2497">
                  <c:v>2.3578990165222156E-2</c:v>
                </c:pt>
                <c:pt idx="2498">
                  <c:v>2.3572880357390445E-2</c:v>
                </c:pt>
                <c:pt idx="2499">
                  <c:v>2.3566793993486393E-2</c:v>
                </c:pt>
                <c:pt idx="2500">
                  <c:v>2.3559702525971706E-2</c:v>
                </c:pt>
                <c:pt idx="2501">
                  <c:v>2.3554691596589711E-2</c:v>
                </c:pt>
                <c:pt idx="2502">
                  <c:v>2.3548675563163018E-2</c:v>
                </c:pt>
                <c:pt idx="2503">
                  <c:v>2.354268297279543E-2</c:v>
                </c:pt>
                <c:pt idx="2504">
                  <c:v>2.3535669872552029E-2</c:v>
                </c:pt>
                <c:pt idx="2505">
                  <c:v>2.352902245246254E-2</c:v>
                </c:pt>
                <c:pt idx="2506">
                  <c:v>2.3523093743985014E-2</c:v>
                </c:pt>
                <c:pt idx="2507">
                  <c:v>2.3517188469695562E-2</c:v>
                </c:pt>
                <c:pt idx="2508">
                  <c:v>2.3511306629385286E-2</c:v>
                </c:pt>
                <c:pt idx="2509">
                  <c:v>2.3505802244318207E-2</c:v>
                </c:pt>
                <c:pt idx="2510">
                  <c:v>2.3499968566552298E-2</c:v>
                </c:pt>
                <c:pt idx="2511">
                  <c:v>2.3494158323752446E-2</c:v>
                </c:pt>
                <c:pt idx="2512">
                  <c:v>2.3488371515714417E-2</c:v>
                </c:pt>
                <c:pt idx="2513">
                  <c:v>2.3482608142235732E-2</c:v>
                </c:pt>
                <c:pt idx="2514">
                  <c:v>2.3476507689669621E-2</c:v>
                </c:pt>
                <c:pt idx="2515">
                  <c:v>2.347078988151825E-2</c:v>
                </c:pt>
                <c:pt idx="2516">
                  <c:v>2.3465095505726577E-2</c:v>
                </c:pt>
                <c:pt idx="2517">
                  <c:v>2.345942456209631E-2</c:v>
                </c:pt>
                <c:pt idx="2518">
                  <c:v>2.3454142786170938E-2</c:v>
                </c:pt>
                <c:pt idx="2519">
                  <c:v>2.3448520015824471E-2</c:v>
                </c:pt>
                <c:pt idx="2520">
                  <c:v>2.344292067863803E-2</c:v>
                </c:pt>
                <c:pt idx="2521">
                  <c:v>2.3437344774415291E-2</c:v>
                </c:pt>
                <c:pt idx="2522">
                  <c:v>2.3431421319467252E-2</c:v>
                </c:pt>
                <c:pt idx="2523">
                  <c:v>2.3425890964676562E-2</c:v>
                </c:pt>
                <c:pt idx="2524">
                  <c:v>2.3420384040678643E-2</c:v>
                </c:pt>
                <c:pt idx="2525">
                  <c:v>2.3414900547281393E-2</c:v>
                </c:pt>
                <c:pt idx="2526">
                  <c:v>2.3409440484293133E-2</c:v>
                </c:pt>
                <c:pt idx="2527">
                  <c:v>2.3404003851523084E-2</c:v>
                </c:pt>
                <c:pt idx="2528">
                  <c:v>2.3398590648781338E-2</c:v>
                </c:pt>
                <c:pt idx="2529">
                  <c:v>2.339320087587932E-2</c:v>
                </c:pt>
                <c:pt idx="2530">
                  <c:v>2.3387834532628448E-2</c:v>
                </c:pt>
                <c:pt idx="2531">
                  <c:v>2.3384407474724627E-2</c:v>
                </c:pt>
                <c:pt idx="2532">
                  <c:v>2.3379094642963862E-2</c:v>
                </c:pt>
                <c:pt idx="2533">
                  <c:v>2.3373805248178895E-2</c:v>
                </c:pt>
                <c:pt idx="2534">
                  <c:v>2.3368539290178059E-2</c:v>
                </c:pt>
                <c:pt idx="2535">
                  <c:v>2.3362130826524257E-2</c:v>
                </c:pt>
                <c:pt idx="2536">
                  <c:v>2.3356907730365833E-2</c:v>
                </c:pt>
                <c:pt idx="2537">
                  <c:v>2.3351708065708961E-2</c:v>
                </c:pt>
                <c:pt idx="2538">
                  <c:v>2.3346531832371484E-2</c:v>
                </c:pt>
                <c:pt idx="2539">
                  <c:v>2.3341379030170823E-2</c:v>
                </c:pt>
                <c:pt idx="2540">
                  <c:v>2.3337435704139264E-2</c:v>
                </c:pt>
                <c:pt idx="2541">
                  <c:v>2.3332333798391069E-2</c:v>
                </c:pt>
                <c:pt idx="2542">
                  <c:v>2.332725532794002E-2</c:v>
                </c:pt>
                <c:pt idx="2543">
                  <c:v>2.332220029260389E-2</c:v>
                </c:pt>
                <c:pt idx="2544">
                  <c:v>2.3315966479873291E-2</c:v>
                </c:pt>
                <c:pt idx="2545">
                  <c:v>2.3310954260698943E-2</c:v>
                </c:pt>
                <c:pt idx="2546">
                  <c:v>2.3305965471406016E-2</c:v>
                </c:pt>
                <c:pt idx="2547">
                  <c:v>2.3301000111816732E-2</c:v>
                </c:pt>
                <c:pt idx="2548">
                  <c:v>2.3297276636329155E-2</c:v>
                </c:pt>
                <c:pt idx="2549">
                  <c:v>2.32923622079028E-2</c:v>
                </c:pt>
                <c:pt idx="2550">
                  <c:v>2.3287471213340752E-2</c:v>
                </c:pt>
                <c:pt idx="2551">
                  <c:v>2.3282603652465528E-2</c:v>
                </c:pt>
                <c:pt idx="2552">
                  <c:v>2.3277759525103497E-2</c:v>
                </c:pt>
                <c:pt idx="2553">
                  <c:v>2.3272938831080173E-2</c:v>
                </c:pt>
                <c:pt idx="2554">
                  <c:v>2.3268141570223659E-2</c:v>
                </c:pt>
                <c:pt idx="2555">
                  <c:v>2.3263367742361183E-2</c:v>
                </c:pt>
                <c:pt idx="2556">
                  <c:v>2.3258617347320841E-2</c:v>
                </c:pt>
                <c:pt idx="2557">
                  <c:v>2.3252216985173595E-2</c:v>
                </c:pt>
                <c:pt idx="2558">
                  <c:v>2.3247507969911471E-2</c:v>
                </c:pt>
                <c:pt idx="2559">
                  <c:v>2.3242822380752162E-2</c:v>
                </c:pt>
                <c:pt idx="2560">
                  <c:v>2.3238160217530529E-2</c:v>
                </c:pt>
                <c:pt idx="2561">
                  <c:v>2.3233521480084063E-2</c:v>
                </c:pt>
                <c:pt idx="2562">
                  <c:v>2.3229331165281485E-2</c:v>
                </c:pt>
                <c:pt idx="2563">
                  <c:v>2.3224740657686892E-2</c:v>
                </c:pt>
                <c:pt idx="2564">
                  <c:v>2.3220173576929595E-2</c:v>
                </c:pt>
                <c:pt idx="2565">
                  <c:v>2.3215629922848421E-2</c:v>
                </c:pt>
                <c:pt idx="2566">
                  <c:v>2.3210679173800673E-2</c:v>
                </c:pt>
                <c:pt idx="2567">
                  <c:v>2.3206180987610989E-2</c:v>
                </c:pt>
                <c:pt idx="2568">
                  <c:v>2.3201706226073416E-2</c:v>
                </c:pt>
                <c:pt idx="2569">
                  <c:v>2.3197254889030714E-2</c:v>
                </c:pt>
                <c:pt idx="2570">
                  <c:v>2.3193263046996648E-2</c:v>
                </c:pt>
                <c:pt idx="2571">
                  <c:v>2.3188859949631904E-2</c:v>
                </c:pt>
                <c:pt idx="2572">
                  <c:v>2.3184480277837712E-2</c:v>
                </c:pt>
                <c:pt idx="2573">
                  <c:v>2.318012403145988E-2</c:v>
                </c:pt>
                <c:pt idx="2574">
                  <c:v>2.3175791210344653E-2</c:v>
                </c:pt>
                <c:pt idx="2575">
                  <c:v>2.317103877247529E-2</c:v>
                </c:pt>
                <c:pt idx="2576">
                  <c:v>2.3166751402566965E-2</c:v>
                </c:pt>
                <c:pt idx="2577">
                  <c:v>2.3162487455927677E-2</c:v>
                </c:pt>
                <c:pt idx="2578">
                  <c:v>2.315824693240634E-2</c:v>
                </c:pt>
                <c:pt idx="2579">
                  <c:v>2.3154029831853624E-2</c:v>
                </c:pt>
                <c:pt idx="2580">
                  <c:v>2.3149836154122829E-2</c:v>
                </c:pt>
                <c:pt idx="2581">
                  <c:v>2.3145665899065946E-2</c:v>
                </c:pt>
                <c:pt idx="2582">
                  <c:v>2.3141519066535839E-2</c:v>
                </c:pt>
                <c:pt idx="2583">
                  <c:v>2.3139213685461416E-2</c:v>
                </c:pt>
                <c:pt idx="2584">
                  <c:v>2.3135119343335862E-2</c:v>
                </c:pt>
                <c:pt idx="2585">
                  <c:v>2.3131048429431821E-2</c:v>
                </c:pt>
                <c:pt idx="2586">
                  <c:v>2.3127000943603607E-2</c:v>
                </c:pt>
                <c:pt idx="2587">
                  <c:v>2.3121596166251566E-2</c:v>
                </c:pt>
                <c:pt idx="2588">
                  <c:v>2.3117591283125235E-2</c:v>
                </c:pt>
                <c:pt idx="2589">
                  <c:v>2.311360982305475E-2</c:v>
                </c:pt>
                <c:pt idx="2590">
                  <c:v>2.3109651785898144E-2</c:v>
                </c:pt>
                <c:pt idx="2591">
                  <c:v>2.3105717171517388E-2</c:v>
                </c:pt>
                <c:pt idx="2592">
                  <c:v>2.3103208010149621E-2</c:v>
                </c:pt>
                <c:pt idx="2593">
                  <c:v>2.3099324516831728E-2</c:v>
                </c:pt>
                <c:pt idx="2594">
                  <c:v>2.3095464450451644E-2</c:v>
                </c:pt>
                <c:pt idx="2595">
                  <c:v>2.3091627810870558E-2</c:v>
                </c:pt>
                <c:pt idx="2596">
                  <c:v>2.308639543639885E-2</c:v>
                </c:pt>
                <c:pt idx="2597">
                  <c:v>2.3082601355779334E-2</c:v>
                </c:pt>
                <c:pt idx="2598">
                  <c:v>2.3078830696979056E-2</c:v>
                </c:pt>
                <c:pt idx="2599">
                  <c:v>2.3075083459865666E-2</c:v>
                </c:pt>
                <c:pt idx="2600">
                  <c:v>2.3071359644306368E-2</c:v>
                </c:pt>
                <c:pt idx="2601">
                  <c:v>2.3069099928510559E-2</c:v>
                </c:pt>
                <c:pt idx="2602">
                  <c:v>2.3065427272716023E-2</c:v>
                </c:pt>
                <c:pt idx="2603">
                  <c:v>2.306177804264177E-2</c:v>
                </c:pt>
                <c:pt idx="2604">
                  <c:v>2.3058152238157593E-2</c:v>
                </c:pt>
                <c:pt idx="2605">
                  <c:v>2.3054549859134552E-2</c:v>
                </c:pt>
                <c:pt idx="2606">
                  <c:v>2.3050970905442437E-2</c:v>
                </c:pt>
                <c:pt idx="2607">
                  <c:v>2.3047415376952742E-2</c:v>
                </c:pt>
                <c:pt idx="2608">
                  <c:v>2.3043883273538689E-2</c:v>
                </c:pt>
                <c:pt idx="2609">
                  <c:v>2.3037916489326033E-2</c:v>
                </c:pt>
                <c:pt idx="2610">
                  <c:v>2.3034423980926866E-2</c:v>
                </c:pt>
                <c:pt idx="2611">
                  <c:v>2.3030954889653173E-2</c:v>
                </c:pt>
                <c:pt idx="2612">
                  <c:v>2.3027509215383948E-2</c:v>
                </c:pt>
                <c:pt idx="2613">
                  <c:v>2.3024086957998628E-2</c:v>
                </c:pt>
                <c:pt idx="2614">
                  <c:v>2.3021186687211689E-2</c:v>
                </c:pt>
                <c:pt idx="2615">
                  <c:v>2.3017812721348511E-2</c:v>
                </c:pt>
                <c:pt idx="2616">
                  <c:v>2.3014462173525145E-2</c:v>
                </c:pt>
                <c:pt idx="2617">
                  <c:v>2.3011135043623451E-2</c:v>
                </c:pt>
                <c:pt idx="2618">
                  <c:v>2.3007326920178719E-2</c:v>
                </c:pt>
                <c:pt idx="2619">
                  <c:v>2.3004045161617907E-2</c:v>
                </c:pt>
                <c:pt idx="2620">
                  <c:v>2.3000786819121759E-2</c:v>
                </c:pt>
                <c:pt idx="2621">
                  <c:v>2.2997551892576337E-2</c:v>
                </c:pt>
                <c:pt idx="2622">
                  <c:v>2.2994850658883886E-2</c:v>
                </c:pt>
                <c:pt idx="2623">
                  <c:v>2.2991664034089081E-2</c:v>
                </c:pt>
                <c:pt idx="2624">
                  <c:v>2.298850082641658E-2</c:v>
                </c:pt>
                <c:pt idx="2625">
                  <c:v>2.2985361035753511E-2</c:v>
                </c:pt>
                <c:pt idx="2626">
                  <c:v>2.2981801377317805E-2</c:v>
                </c:pt>
                <c:pt idx="2627">
                  <c:v>2.2978193911576513E-2</c:v>
                </c:pt>
                <c:pt idx="2628">
                  <c:v>2.2975126238590604E-2</c:v>
                </c:pt>
                <c:pt idx="2629">
                  <c:v>2.2972081980659781E-2</c:v>
                </c:pt>
                <c:pt idx="2630">
                  <c:v>2.2969061137678052E-2</c:v>
                </c:pt>
                <c:pt idx="2631">
                  <c:v>2.296606370953987E-2</c:v>
                </c:pt>
                <c:pt idx="2632">
                  <c:v>2.2963089696140124E-2</c:v>
                </c:pt>
                <c:pt idx="2633">
                  <c:v>2.2960139097376795E-2</c:v>
                </c:pt>
                <c:pt idx="2634">
                  <c:v>2.2957211913145214E-2</c:v>
                </c:pt>
                <c:pt idx="2635">
                  <c:v>2.2956428010763332E-2</c:v>
                </c:pt>
                <c:pt idx="2636">
                  <c:v>2.295355361629127E-2</c:v>
                </c:pt>
                <c:pt idx="2637">
                  <c:v>2.2950702642047127E-2</c:v>
                </c:pt>
                <c:pt idx="2638">
                  <c:v>2.2947875087927633E-2</c:v>
                </c:pt>
                <c:pt idx="2639">
                  <c:v>2.2943462894729635E-2</c:v>
                </c:pt>
                <c:pt idx="2640">
                  <c:v>2.2942290239661621E-2</c:v>
                </c:pt>
                <c:pt idx="2641">
                  <c:v>2.2939532945316345E-2</c:v>
                </c:pt>
                <c:pt idx="2642">
                  <c:v>2.2934164463776472E-2</c:v>
                </c:pt>
                <c:pt idx="2643">
                  <c:v>2.293408861570996E-2</c:v>
                </c:pt>
                <c:pt idx="2644">
                  <c:v>2.2931401580253551E-2</c:v>
                </c:pt>
                <c:pt idx="2645">
                  <c:v>2.2928737964234339E-2</c:v>
                </c:pt>
                <c:pt idx="2646">
                  <c:v>2.2926097767555977E-2</c:v>
                </c:pt>
                <c:pt idx="2647">
                  <c:v>2.2923480990126425E-2</c:v>
                </c:pt>
                <c:pt idx="2648">
                  <c:v>2.2920887631850621E-2</c:v>
                </c:pt>
                <c:pt idx="2649">
                  <c:v>2.2918317692636105E-2</c:v>
                </c:pt>
                <c:pt idx="2650">
                  <c:v>2.2915771172392133E-2</c:v>
                </c:pt>
                <c:pt idx="2651">
                  <c:v>2.2913248071027108E-2</c:v>
                </c:pt>
                <c:pt idx="2652">
                  <c:v>2.2910748388451151E-2</c:v>
                </c:pt>
                <c:pt idx="2653">
                  <c:v>2.2908272124574823E-2</c:v>
                </c:pt>
                <c:pt idx="2654">
                  <c:v>2.2905819279309975E-2</c:v>
                </c:pt>
                <c:pt idx="2655">
                  <c:v>2.2903389852569331E-2</c:v>
                </c:pt>
                <c:pt idx="2656">
                  <c:v>2.2900983844266039E-2</c:v>
                </c:pt>
                <c:pt idx="2657">
                  <c:v>2.2898601254313679E-2</c:v>
                </c:pt>
                <c:pt idx="2658">
                  <c:v>2.2896242082628863E-2</c:v>
                </c:pt>
                <c:pt idx="2659">
                  <c:v>2.28939063291256E-2</c:v>
                </c:pt>
                <c:pt idx="2660">
                  <c:v>2.2891593993720934E-2</c:v>
                </c:pt>
                <c:pt idx="2661">
                  <c:v>2.288702827808425E-2</c:v>
                </c:pt>
                <c:pt idx="2662">
                  <c:v>2.2884756662252679E-2</c:v>
                </c:pt>
                <c:pt idx="2663">
                  <c:v>2.2882508458322032E-2</c:v>
                </c:pt>
                <c:pt idx="2664">
                  <c:v>2.2880283666214144E-2</c:v>
                </c:pt>
                <c:pt idx="2665">
                  <c:v>2.2878657354237466E-2</c:v>
                </c:pt>
                <c:pt idx="2666">
                  <c:v>2.287648092028045E-2</c:v>
                </c:pt>
                <c:pt idx="2667">
                  <c:v>2.2876642170873668E-2</c:v>
                </c:pt>
                <c:pt idx="2668">
                  <c:v>2.2872198291527725E-2</c:v>
                </c:pt>
                <c:pt idx="2669">
                  <c:v>2.2870092096580485E-2</c:v>
                </c:pt>
                <c:pt idx="2670">
                  <c:v>2.2867426557537866E-2</c:v>
                </c:pt>
                <c:pt idx="2671">
                  <c:v>2.2865365646056176E-2</c:v>
                </c:pt>
                <c:pt idx="2672">
                  <c:v>2.2863328145797938E-2</c:v>
                </c:pt>
                <c:pt idx="2673">
                  <c:v>2.2861314056692943E-2</c:v>
                </c:pt>
                <c:pt idx="2674">
                  <c:v>2.2859912313205551E-2</c:v>
                </c:pt>
                <c:pt idx="2675">
                  <c:v>2.2857946594304051E-2</c:v>
                </c:pt>
                <c:pt idx="2676">
                  <c:v>2.2856004287828836E-2</c:v>
                </c:pt>
                <c:pt idx="2677">
                  <c:v>2.2854085393714019E-2</c:v>
                </c:pt>
                <c:pt idx="2678">
                  <c:v>2.2849597845448759E-2</c:v>
                </c:pt>
                <c:pt idx="2679">
                  <c:v>2.2849522693744087E-2</c:v>
                </c:pt>
                <c:pt idx="2680">
                  <c:v>2.2847684070070116E-2</c:v>
                </c:pt>
                <c:pt idx="2681">
                  <c:v>2.2845868858463597E-2</c:v>
                </c:pt>
                <c:pt idx="2682">
                  <c:v>2.2844077058861278E-2</c:v>
                </c:pt>
                <c:pt idx="2683">
                  <c:v>2.284230867119948E-2</c:v>
                </c:pt>
                <c:pt idx="2684">
                  <c:v>2.2840563695417149E-2</c:v>
                </c:pt>
                <c:pt idx="2685">
                  <c:v>2.2838842131451917E-2</c:v>
                </c:pt>
                <c:pt idx="2686">
                  <c:v>2.2837143979244495E-2</c:v>
                </c:pt>
                <c:pt idx="2687">
                  <c:v>2.2836689459679437E-2</c:v>
                </c:pt>
                <c:pt idx="2688">
                  <c:v>2.2835041267436317E-2</c:v>
                </c:pt>
                <c:pt idx="2689">
                  <c:v>2.2833416489732632E-2</c:v>
                </c:pt>
                <c:pt idx="2690">
                  <c:v>2.2831815126512781E-2</c:v>
                </c:pt>
                <c:pt idx="2691">
                  <c:v>2.282962069691076E-2</c:v>
                </c:pt>
                <c:pt idx="2692">
                  <c:v>2.2828064588152407E-2</c:v>
                </c:pt>
                <c:pt idx="2693">
                  <c:v>2.2826098279418647E-2</c:v>
                </c:pt>
                <c:pt idx="2694">
                  <c:v>2.2825022609089442E-2</c:v>
                </c:pt>
                <c:pt idx="2695">
                  <c:v>2.2823536738677815E-2</c:v>
                </c:pt>
                <c:pt idx="2696">
                  <c:v>2.2822698648208344E-2</c:v>
                </c:pt>
                <c:pt idx="2697">
                  <c:v>2.282126118482437E-2</c:v>
                </c:pt>
                <c:pt idx="2698">
                  <c:v>2.2819847135491525E-2</c:v>
                </c:pt>
                <c:pt idx="2699">
                  <c:v>2.2818456500159418E-2</c:v>
                </c:pt>
                <c:pt idx="2700">
                  <c:v>2.2816458575743794E-2</c:v>
                </c:pt>
                <c:pt idx="2701">
                  <c:v>2.2815113180631754E-2</c:v>
                </c:pt>
                <c:pt idx="2702">
                  <c:v>2.2813791197899072E-2</c:v>
                </c:pt>
                <c:pt idx="2703">
                  <c:v>2.28124926274977E-2</c:v>
                </c:pt>
                <c:pt idx="2704">
                  <c:v>2.2812491773372544E-2</c:v>
                </c:pt>
                <c:pt idx="2705">
                  <c:v>2.2810604379493137E-2</c:v>
                </c:pt>
                <c:pt idx="2706">
                  <c:v>2.2809377640836393E-2</c:v>
                </c:pt>
                <c:pt idx="2707">
                  <c:v>2.2808174315808512E-2</c:v>
                </c:pt>
                <c:pt idx="2708">
                  <c:v>2.280699440436822E-2</c:v>
                </c:pt>
                <c:pt idx="2709">
                  <c:v>2.2805837906473815E-2</c:v>
                </c:pt>
                <c:pt idx="2710">
                  <c:v>2.2804704822082283E-2</c:v>
                </c:pt>
                <c:pt idx="2711">
                  <c:v>2.280359515115583E-2</c:v>
                </c:pt>
                <c:pt idx="2712">
                  <c:v>2.2802508893654056E-2</c:v>
                </c:pt>
                <c:pt idx="2713">
                  <c:v>2.2800143315585809E-2</c:v>
                </c:pt>
                <c:pt idx="2714">
                  <c:v>2.2799100671382747E-2</c:v>
                </c:pt>
                <c:pt idx="2715">
                  <c:v>2.2798081437542122E-2</c:v>
                </c:pt>
                <c:pt idx="2716">
                  <c:v>2.2797085614027924E-2</c:v>
                </c:pt>
                <c:pt idx="2717">
                  <c:v>2.2793484170562921E-2</c:v>
                </c:pt>
                <c:pt idx="2718">
                  <c:v>2.2795164197841326E-2</c:v>
                </c:pt>
                <c:pt idx="2719">
                  <c:v>2.2794238605100416E-2</c:v>
                </c:pt>
                <c:pt idx="2720">
                  <c:v>2.2793336422551089E-2</c:v>
                </c:pt>
                <c:pt idx="2721">
                  <c:v>2.2792457650160847E-2</c:v>
                </c:pt>
                <c:pt idx="2722">
                  <c:v>2.2791602287901582E-2</c:v>
                </c:pt>
                <c:pt idx="2723">
                  <c:v>2.2790770335739917E-2</c:v>
                </c:pt>
                <c:pt idx="2724">
                  <c:v>2.2789961793649054E-2</c:v>
                </c:pt>
                <c:pt idx="2725">
                  <c:v>2.278917666159869E-2</c:v>
                </c:pt>
                <c:pt idx="2726">
                  <c:v>2.2788414939563791E-2</c:v>
                </c:pt>
                <c:pt idx="2727">
                  <c:v>2.2787676627514492E-2</c:v>
                </c:pt>
                <c:pt idx="2728">
                  <c:v>2.2786961725427074E-2</c:v>
                </c:pt>
                <c:pt idx="2729">
                  <c:v>2.2786270233276062E-2</c:v>
                </c:pt>
                <c:pt idx="2730">
                  <c:v>2.2784829783773015E-2</c:v>
                </c:pt>
                <c:pt idx="2731">
                  <c:v>2.278418682402172E-2</c:v>
                </c:pt>
                <c:pt idx="2732">
                  <c:v>2.2783567272660347E-2</c:v>
                </c:pt>
                <c:pt idx="2733">
                  <c:v>2.2782971129667255E-2</c:v>
                </c:pt>
                <c:pt idx="2734">
                  <c:v>2.2782398395021688E-2</c:v>
                </c:pt>
                <c:pt idx="2735">
                  <c:v>2.2781849068703775E-2</c:v>
                </c:pt>
                <c:pt idx="2736">
                  <c:v>2.2781323150694078E-2</c:v>
                </c:pt>
                <c:pt idx="2737">
                  <c:v>2.2780820640974499E-2</c:v>
                </c:pt>
                <c:pt idx="2738">
                  <c:v>2.2780341539526922E-2</c:v>
                </c:pt>
                <c:pt idx="2739">
                  <c:v>2.2781967133318724E-2</c:v>
                </c:pt>
                <c:pt idx="2740">
                  <c:v>2.2781539783756466E-2</c:v>
                </c:pt>
                <c:pt idx="2741">
                  <c:v>2.2781135846836033E-2</c:v>
                </c:pt>
                <c:pt idx="2742">
                  <c:v>2.2780755322543519E-2</c:v>
                </c:pt>
                <c:pt idx="2743">
                  <c:v>2.2779599468733074E-2</c:v>
                </c:pt>
                <c:pt idx="2744">
                  <c:v>2.2779270807319799E-2</c:v>
                </c:pt>
                <c:pt idx="2745">
                  <c:v>2.2778965557019568E-2</c:v>
                </c:pt>
                <c:pt idx="2746">
                  <c:v>2.2778683717823652E-2</c:v>
                </c:pt>
                <c:pt idx="2747">
                  <c:v>2.2779806195946932E-2</c:v>
                </c:pt>
                <c:pt idx="2748">
                  <c:v>2.2780318688145999E-2</c:v>
                </c:pt>
                <c:pt idx="2749">
                  <c:v>2.2780112059866353E-2</c:v>
                </c:pt>
                <c:pt idx="2750">
                  <c:v>2.2779928847072171E-2</c:v>
                </c:pt>
                <c:pt idx="2751">
                  <c:v>2.2777625688069791E-2</c:v>
                </c:pt>
                <c:pt idx="2752">
                  <c:v>2.2777484315312353E-2</c:v>
                </c:pt>
                <c:pt idx="2753">
                  <c:v>2.277736635360594E-2</c:v>
                </c:pt>
                <c:pt idx="2754">
                  <c:v>2.277727180294618E-2</c:v>
                </c:pt>
                <c:pt idx="2755">
                  <c:v>2.2779364015193267E-2</c:v>
                </c:pt>
                <c:pt idx="2756">
                  <c:v>2.2779321295207437E-2</c:v>
                </c:pt>
                <c:pt idx="2757">
                  <c:v>2.2779301990679568E-2</c:v>
                </c:pt>
                <c:pt idx="2758">
                  <c:v>2.277930610160837E-2</c:v>
                </c:pt>
                <c:pt idx="2759">
                  <c:v>2.2779333627994704E-2</c:v>
                </c:pt>
                <c:pt idx="2760">
                  <c:v>2.2777196130840224E-2</c:v>
                </c:pt>
                <c:pt idx="2761">
                  <c:v>2.2779458927142966E-2</c:v>
                </c:pt>
                <c:pt idx="2762">
                  <c:v>2.2779556699909619E-2</c:v>
                </c:pt>
                <c:pt idx="2763">
                  <c:v>2.2779677888143262E-2</c:v>
                </c:pt>
                <c:pt idx="2764">
                  <c:v>2.2777613903593882E-2</c:v>
                </c:pt>
                <c:pt idx="2765">
                  <c:v>2.2777039379338133E-2</c:v>
                </c:pt>
                <c:pt idx="2766">
                  <c:v>2.2777224077376534E-2</c:v>
                </c:pt>
                <c:pt idx="2767">
                  <c:v>2.2777432185009203E-2</c:v>
                </c:pt>
                <c:pt idx="2768">
                  <c:v>2.2777663702243597E-2</c:v>
                </c:pt>
                <c:pt idx="2769">
                  <c:v>2.2778662868355927E-2</c:v>
                </c:pt>
                <c:pt idx="2770">
                  <c:v>2.2778942894551821E-2</c:v>
                </c:pt>
                <c:pt idx="2771">
                  <c:v>2.2782238744480585E-2</c:v>
                </c:pt>
                <c:pt idx="2772">
                  <c:v>2.2779573180260908E-2</c:v>
                </c:pt>
                <c:pt idx="2773">
                  <c:v>2.2779923439796821E-2</c:v>
                </c:pt>
                <c:pt idx="2774">
                  <c:v>2.2779544407796646E-2</c:v>
                </c:pt>
                <c:pt idx="2775">
                  <c:v>2.2779939792516777E-2</c:v>
                </c:pt>
                <c:pt idx="2776">
                  <c:v>2.2780358586926036E-2</c:v>
                </c:pt>
                <c:pt idx="2777">
                  <c:v>2.2780800791039363E-2</c:v>
                </c:pt>
                <c:pt idx="2778">
                  <c:v>2.2782025904808524E-2</c:v>
                </c:pt>
                <c:pt idx="2779">
                  <c:v>2.2782516631380471E-2</c:v>
                </c:pt>
                <c:pt idx="2780">
                  <c:v>2.2783030769180784E-2</c:v>
                </c:pt>
                <c:pt idx="2781">
                  <c:v>2.2783886000292068E-2</c:v>
                </c:pt>
                <c:pt idx="2782">
                  <c:v>2.2783444762020856E-2</c:v>
                </c:pt>
                <c:pt idx="2783">
                  <c:v>2.2783945620441969E-2</c:v>
                </c:pt>
                <c:pt idx="2784">
                  <c:v>2.2784551692967323E-2</c:v>
                </c:pt>
                <c:pt idx="2785">
                  <c:v>2.2785181175344314E-2</c:v>
                </c:pt>
                <c:pt idx="2786">
                  <c:v>2.2785834067595347E-2</c:v>
                </c:pt>
                <c:pt idx="2787">
                  <c:v>2.2786510369741938E-2</c:v>
                </c:pt>
                <c:pt idx="2788">
                  <c:v>2.2787210081810005E-2</c:v>
                </c:pt>
                <c:pt idx="2789">
                  <c:v>2.2787933203822386E-2</c:v>
                </c:pt>
                <c:pt idx="2790">
                  <c:v>2.278867973580543E-2</c:v>
                </c:pt>
                <c:pt idx="2791">
                  <c:v>2.2792577878613499E-2</c:v>
                </c:pt>
                <c:pt idx="2792">
                  <c:v>2.2793378120667625E-2</c:v>
                </c:pt>
                <c:pt idx="2793">
                  <c:v>2.2794201778683396E-2</c:v>
                </c:pt>
                <c:pt idx="2794">
                  <c:v>2.2795048852690892E-2</c:v>
                </c:pt>
                <c:pt idx="2795">
                  <c:v>2.2793552197918437E-2</c:v>
                </c:pt>
                <c:pt idx="2796">
                  <c:v>2.2794440918404053E-2</c:v>
                </c:pt>
                <c:pt idx="2797">
                  <c:v>2.2795353050540871E-2</c:v>
                </c:pt>
                <c:pt idx="2798">
                  <c:v>2.2796288594357273E-2</c:v>
                </c:pt>
                <c:pt idx="2799">
                  <c:v>2.2797247549889526E-2</c:v>
                </c:pt>
                <c:pt idx="2800">
                  <c:v>2.2800623034318568E-2</c:v>
                </c:pt>
                <c:pt idx="2801">
                  <c:v>2.2801634021164634E-2</c:v>
                </c:pt>
                <c:pt idx="2802">
                  <c:v>2.2802668424268022E-2</c:v>
                </c:pt>
                <c:pt idx="2803">
                  <c:v>2.2803726243668269E-2</c:v>
                </c:pt>
                <c:pt idx="2804">
                  <c:v>2.2802393504481367E-2</c:v>
                </c:pt>
                <c:pt idx="2805">
                  <c:v>2.2803492931039032E-2</c:v>
                </c:pt>
                <c:pt idx="2806">
                  <c:v>2.2804615769567636E-2</c:v>
                </c:pt>
                <c:pt idx="2807">
                  <c:v>2.2805762020103433E-2</c:v>
                </c:pt>
                <c:pt idx="2808">
                  <c:v>2.2809366586452069E-2</c:v>
                </c:pt>
                <c:pt idx="2809">
                  <c:v>2.2810564904448726E-2</c:v>
                </c:pt>
                <c:pt idx="2810">
                  <c:v>2.2811786639025028E-2</c:v>
                </c:pt>
                <c:pt idx="2811">
                  <c:v>2.2813031790223089E-2</c:v>
                </c:pt>
                <c:pt idx="2812">
                  <c:v>2.2814300358088038E-2</c:v>
                </c:pt>
                <c:pt idx="2813">
                  <c:v>2.2815592342666283E-2</c:v>
                </c:pt>
                <c:pt idx="2814">
                  <c:v>2.2816907744002097E-2</c:v>
                </c:pt>
                <c:pt idx="2815">
                  <c:v>2.2818246562144897E-2</c:v>
                </c:pt>
                <c:pt idx="2816">
                  <c:v>2.2819608797141101E-2</c:v>
                </c:pt>
                <c:pt idx="2817">
                  <c:v>2.2816858374496703E-2</c:v>
                </c:pt>
                <c:pt idx="2818">
                  <c:v>2.2818258638817993E-2</c:v>
                </c:pt>
                <c:pt idx="2819">
                  <c:v>2.2819682312717648E-2</c:v>
                </c:pt>
                <c:pt idx="2820">
                  <c:v>2.2821129396246895E-2</c:v>
                </c:pt>
                <c:pt idx="2821">
                  <c:v>2.2823433749130213E-2</c:v>
                </c:pt>
                <c:pt idx="2822">
                  <c:v>2.2824929418481219E-2</c:v>
                </c:pt>
                <c:pt idx="2823">
                  <c:v>2.2826448499101194E-2</c:v>
                </c:pt>
                <c:pt idx="2824">
                  <c:v>2.2827990991043722E-2</c:v>
                </c:pt>
                <c:pt idx="2825">
                  <c:v>2.2829556894361502E-2</c:v>
                </c:pt>
                <c:pt idx="2826">
                  <c:v>2.2830303502518901E-2</c:v>
                </c:pt>
                <c:pt idx="2827">
                  <c:v>2.2831914454911818E-2</c:v>
                </c:pt>
                <c:pt idx="2828">
                  <c:v>2.2833548817360071E-2</c:v>
                </c:pt>
                <c:pt idx="2829">
                  <c:v>2.2835206589921948E-2</c:v>
                </c:pt>
                <c:pt idx="2830">
                  <c:v>2.2837737583551742E-2</c:v>
                </c:pt>
                <c:pt idx="2831">
                  <c:v>2.2839443956311756E-2</c:v>
                </c:pt>
                <c:pt idx="2832">
                  <c:v>2.284117374084934E-2</c:v>
                </c:pt>
                <c:pt idx="2833">
                  <c:v>2.2842926937226865E-2</c:v>
                </c:pt>
                <c:pt idx="2834">
                  <c:v>2.2844703545504063E-2</c:v>
                </c:pt>
                <c:pt idx="2835">
                  <c:v>2.2845644840965136E-2</c:v>
                </c:pt>
                <c:pt idx="2836">
                  <c:v>2.2847466485984718E-2</c:v>
                </c:pt>
                <c:pt idx="2837">
                  <c:v>2.2849311541602399E-2</c:v>
                </c:pt>
                <c:pt idx="2838">
                  <c:v>2.2851180007884424E-2</c:v>
                </c:pt>
                <c:pt idx="2839">
                  <c:v>2.2853071884894834E-2</c:v>
                </c:pt>
                <c:pt idx="2840">
                  <c:v>2.2854987172698991E-2</c:v>
                </c:pt>
                <c:pt idx="2841">
                  <c:v>2.2856925871365348E-2</c:v>
                </c:pt>
                <c:pt idx="2842">
                  <c:v>2.2858887980961029E-2</c:v>
                </c:pt>
                <c:pt idx="2843">
                  <c:v>2.2865240911399083E-2</c:v>
                </c:pt>
                <c:pt idx="2844">
                  <c:v>2.2867258841219314E-2</c:v>
                </c:pt>
                <c:pt idx="2845">
                  <c:v>2.2869300189651113E-2</c:v>
                </c:pt>
                <c:pt idx="2846">
                  <c:v>2.2871364956769256E-2</c:v>
                </c:pt>
                <c:pt idx="2847">
                  <c:v>2.2870810445400125E-2</c:v>
                </c:pt>
                <c:pt idx="2848">
                  <c:v>2.2872916632600729E-2</c:v>
                </c:pt>
                <c:pt idx="2849">
                  <c:v>2.2875046234221021E-2</c:v>
                </c:pt>
                <c:pt idx="2850">
                  <c:v>2.2877199250335704E-2</c:v>
                </c:pt>
                <c:pt idx="2851">
                  <c:v>2.2879375681020341E-2</c:v>
                </c:pt>
                <c:pt idx="2852">
                  <c:v>2.2884245356077249E-2</c:v>
                </c:pt>
                <c:pt idx="2853">
                  <c:v>2.2886474056115103E-2</c:v>
                </c:pt>
                <c:pt idx="2854">
                  <c:v>2.2888726175453435E-2</c:v>
                </c:pt>
                <c:pt idx="2855">
                  <c:v>2.2891001714174759E-2</c:v>
                </c:pt>
                <c:pt idx="2856">
                  <c:v>2.2890609055713298E-2</c:v>
                </c:pt>
                <c:pt idx="2857">
                  <c:v>2.2892925975461813E-2</c:v>
                </c:pt>
                <c:pt idx="2858">
                  <c:v>2.2895266310335033E-2</c:v>
                </c:pt>
                <c:pt idx="2859">
                  <c:v>2.2897630060415074E-2</c:v>
                </c:pt>
                <c:pt idx="2860">
                  <c:v>2.2900017225787991E-2</c:v>
                </c:pt>
                <c:pt idx="2861">
                  <c:v>2.2905146758161625E-2</c:v>
                </c:pt>
                <c:pt idx="2862">
                  <c:v>2.2907586234891922E-2</c:v>
                </c:pt>
                <c:pt idx="2863">
                  <c:v>2.291004913168123E-2</c:v>
                </c:pt>
                <c:pt idx="2864">
                  <c:v>2.2912535448618081E-2</c:v>
                </c:pt>
                <c:pt idx="2865">
                  <c:v>2.2915045185791003E-2</c:v>
                </c:pt>
                <c:pt idx="2866">
                  <c:v>2.2917578343290251E-2</c:v>
                </c:pt>
                <c:pt idx="2867">
                  <c:v>2.2920134921207359E-2</c:v>
                </c:pt>
                <c:pt idx="2868">
                  <c:v>2.2922714919633873E-2</c:v>
                </c:pt>
                <c:pt idx="2869">
                  <c:v>2.292071454093347E-2</c:v>
                </c:pt>
                <c:pt idx="2870">
                  <c:v>2.2923332187339843E-2</c:v>
                </c:pt>
                <c:pt idx="2871">
                  <c:v>2.2925973246993248E-2</c:v>
                </c:pt>
                <c:pt idx="2872">
                  <c:v>2.2928637719985986E-2</c:v>
                </c:pt>
                <c:pt idx="2873">
                  <c:v>2.2931325606411247E-2</c:v>
                </c:pt>
                <c:pt idx="2874">
                  <c:v>2.2934966443009866E-2</c:v>
                </c:pt>
                <c:pt idx="2875">
                  <c:v>2.2937703002340656E-2</c:v>
                </c:pt>
                <c:pt idx="2876">
                  <c:v>2.2940462976899004E-2</c:v>
                </c:pt>
                <c:pt idx="2877">
                  <c:v>2.2943246366780658E-2</c:v>
                </c:pt>
                <c:pt idx="2878">
                  <c:v>2.29451162433367E-2</c:v>
                </c:pt>
                <c:pt idx="2879">
                  <c:v>2.2947944612356354E-2</c:v>
                </c:pt>
                <c:pt idx="2880">
                  <c:v>2.2950796395482906E-2</c:v>
                </c:pt>
                <c:pt idx="2881">
                  <c:v>2.2953671592813953E-2</c:v>
                </c:pt>
                <c:pt idx="2882">
                  <c:v>2.295751454950521E-2</c:v>
                </c:pt>
                <c:pt idx="2883">
                  <c:v>2.2960438433414703E-2</c:v>
                </c:pt>
                <c:pt idx="2884">
                  <c:v>2.2963385733348482E-2</c:v>
                </c:pt>
                <c:pt idx="2885">
                  <c:v>2.2966356449411956E-2</c:v>
                </c:pt>
                <c:pt idx="2886">
                  <c:v>2.2969350581708778E-2</c:v>
                </c:pt>
                <c:pt idx="2887">
                  <c:v>2.2971414480810793E-2</c:v>
                </c:pt>
                <c:pt idx="2888">
                  <c:v>2.2974453580440427E-2</c:v>
                </c:pt>
                <c:pt idx="2889">
                  <c:v>2.2977516095103068E-2</c:v>
                </c:pt>
                <c:pt idx="2890">
                  <c:v>2.2980602024904265E-2</c:v>
                </c:pt>
                <c:pt idx="2891">
                  <c:v>2.2983711369952219E-2</c:v>
                </c:pt>
                <c:pt idx="2892">
                  <c:v>2.2986844130354692E-2</c:v>
                </c:pt>
                <c:pt idx="2893">
                  <c:v>2.2990000306222089E-2</c:v>
                </c:pt>
                <c:pt idx="2894">
                  <c:v>2.2993179897663939E-2</c:v>
                </c:pt>
                <c:pt idx="2895">
                  <c:v>2.3001228187727263E-2</c:v>
                </c:pt>
                <c:pt idx="2896">
                  <c:v>2.3004464001055942E-2</c:v>
                </c:pt>
                <c:pt idx="2897">
                  <c:v>2.3007723237918276E-2</c:v>
                </c:pt>
                <c:pt idx="2898">
                  <c:v>2.3011005898432014E-2</c:v>
                </c:pt>
                <c:pt idx="2899">
                  <c:v>2.3011381584382703E-2</c:v>
                </c:pt>
                <c:pt idx="2900">
                  <c:v>2.3014705439306896E-2</c:v>
                </c:pt>
                <c:pt idx="2901">
                  <c:v>2.3018052713654868E-2</c:v>
                </c:pt>
                <c:pt idx="2902">
                  <c:v>2.3021423407543682E-2</c:v>
                </c:pt>
                <c:pt idx="2903">
                  <c:v>2.3024817521094334E-2</c:v>
                </c:pt>
                <c:pt idx="2904">
                  <c:v>2.3031193764844551E-2</c:v>
                </c:pt>
                <c:pt idx="2905">
                  <c:v>2.3034640394261688E-2</c:v>
                </c:pt>
                <c:pt idx="2906">
                  <c:v>2.3038110448295051E-2</c:v>
                </c:pt>
                <c:pt idx="2907">
                  <c:v>2.304160392707056E-2</c:v>
                </c:pt>
                <c:pt idx="2908">
                  <c:v>2.3042139387975957E-2</c:v>
                </c:pt>
                <c:pt idx="2909">
                  <c:v>2.3045674022033752E-2</c:v>
                </c:pt>
                <c:pt idx="2910">
                  <c:v>2.3049232076609093E-2</c:v>
                </c:pt>
                <c:pt idx="2911">
                  <c:v>2.3052813551826035E-2</c:v>
                </c:pt>
                <c:pt idx="2912">
                  <c:v>2.3056418447812126E-2</c:v>
                </c:pt>
                <c:pt idx="2913">
                  <c:v>2.3063056726367555E-2</c:v>
                </c:pt>
                <c:pt idx="2914">
                  <c:v>2.3066714181888368E-2</c:v>
                </c:pt>
                <c:pt idx="2915">
                  <c:v>2.3070395063177169E-2</c:v>
                </c:pt>
                <c:pt idx="2916">
                  <c:v>2.3074099370365472E-2</c:v>
                </c:pt>
                <c:pt idx="2917">
                  <c:v>2.3077827103586069E-2</c:v>
                </c:pt>
                <c:pt idx="2918">
                  <c:v>2.3081578262973051E-2</c:v>
                </c:pt>
                <c:pt idx="2919">
                  <c:v>2.3085352848660933E-2</c:v>
                </c:pt>
                <c:pt idx="2920">
                  <c:v>2.3089150860784658E-2</c:v>
                </c:pt>
                <c:pt idx="2921">
                  <c:v>2.3087880378822052E-2</c:v>
                </c:pt>
                <c:pt idx="2922">
                  <c:v>2.3091715654406462E-2</c:v>
                </c:pt>
                <c:pt idx="2923">
                  <c:v>2.3095574349117843E-2</c:v>
                </c:pt>
                <c:pt idx="2924">
                  <c:v>2.3099456463088683E-2</c:v>
                </c:pt>
                <c:pt idx="2925">
                  <c:v>2.3103361996455889E-2</c:v>
                </c:pt>
                <c:pt idx="2926">
                  <c:v>2.3108318483390709E-2</c:v>
                </c:pt>
                <c:pt idx="2927">
                  <c:v>2.3112272781180578E-2</c:v>
                </c:pt>
                <c:pt idx="2928">
                  <c:v>2.3116250500324537E-2</c:v>
                </c:pt>
                <c:pt idx="2929">
                  <c:v>2.3120251640964443E-2</c:v>
                </c:pt>
                <c:pt idx="2930">
                  <c:v>2.3123240959029175E-2</c:v>
                </c:pt>
                <c:pt idx="2931">
                  <c:v>2.3127287011662882E-2</c:v>
                </c:pt>
                <c:pt idx="2932">
                  <c:v>2.3131356484664113E-2</c:v>
                </c:pt>
                <c:pt idx="2933">
                  <c:v>2.3135449378175073E-2</c:v>
                </c:pt>
                <c:pt idx="2934">
                  <c:v>2.3140608671532496E-2</c:v>
                </c:pt>
                <c:pt idx="2935">
                  <c:v>2.3144750344120241E-2</c:v>
                </c:pt>
                <c:pt idx="2936">
                  <c:v>2.3148915439203579E-2</c:v>
                </c:pt>
                <c:pt idx="2937">
                  <c:v>2.31531039569292E-2</c:v>
                </c:pt>
                <c:pt idx="2938">
                  <c:v>2.3157919515303681E-2</c:v>
                </c:pt>
                <c:pt idx="2939">
                  <c:v>2.3161105264184332E-2</c:v>
                </c:pt>
                <c:pt idx="2940">
                  <c:v>2.316536545125198E-2</c:v>
                </c:pt>
                <c:pt idx="2941">
                  <c:v>2.31696490600178E-2</c:v>
                </c:pt>
                <c:pt idx="2942">
                  <c:v>2.3173956090629739E-2</c:v>
                </c:pt>
                <c:pt idx="2943">
                  <c:v>2.3178286543237957E-2</c:v>
                </c:pt>
                <c:pt idx="2944">
                  <c:v>2.3182640417993929E-2</c:v>
                </c:pt>
                <c:pt idx="2945">
                  <c:v>2.3187017715050464E-2</c:v>
                </c:pt>
                <c:pt idx="2946">
                  <c:v>2.3191418434559047E-2</c:v>
                </c:pt>
                <c:pt idx="2947">
                  <c:v>2.3200118251051224E-2</c:v>
                </c:pt>
                <c:pt idx="2948">
                  <c:v>2.3204573649916637E-2</c:v>
                </c:pt>
                <c:pt idx="2949">
                  <c:v>2.3209052477966695E-2</c:v>
                </c:pt>
                <c:pt idx="2950">
                  <c:v>2.3213554735360405E-2</c:v>
                </c:pt>
                <c:pt idx="2951">
                  <c:v>2.3214849785751411E-2</c:v>
                </c:pt>
                <c:pt idx="2952">
                  <c:v>2.3222629538823036E-2</c:v>
                </c:pt>
                <c:pt idx="2953">
                  <c:v>2.3227661384925533E-2</c:v>
                </c:pt>
                <c:pt idx="2954">
                  <c:v>2.3231798061601215E-2</c:v>
                </c:pt>
                <c:pt idx="2955">
                  <c:v>2.3236417468141961E-2</c:v>
                </c:pt>
                <c:pt idx="2956">
                  <c:v>2.3241060305002875E-2</c:v>
                </c:pt>
                <c:pt idx="2957">
                  <c:v>2.3245726572350744E-2</c:v>
                </c:pt>
                <c:pt idx="2958">
                  <c:v>2.325041627035106E-2</c:v>
                </c:pt>
                <c:pt idx="2959">
                  <c:v>2.3255129399171473E-2</c:v>
                </c:pt>
                <c:pt idx="2960">
                  <c:v>2.3259865958979626E-2</c:v>
                </c:pt>
                <c:pt idx="2961">
                  <c:v>2.3264625949945338E-2</c:v>
                </c:pt>
                <c:pt idx="2962">
                  <c:v>2.3269409372237981E-2</c:v>
                </c:pt>
                <c:pt idx="2963">
                  <c:v>2.3274216226029095E-2</c:v>
                </c:pt>
                <c:pt idx="2964">
                  <c:v>2.3279046511489786E-2</c:v>
                </c:pt>
                <c:pt idx="2965">
                  <c:v>2.3283900228791163E-2</c:v>
                </c:pt>
                <c:pt idx="2966">
                  <c:v>2.3288777378108218E-2</c:v>
                </c:pt>
                <c:pt idx="2967">
                  <c:v>2.329367795961465E-2</c:v>
                </c:pt>
                <c:pt idx="2968">
                  <c:v>2.329860197348373E-2</c:v>
                </c:pt>
                <c:pt idx="2969">
                  <c:v>2.330354941989347E-2</c:v>
                </c:pt>
                <c:pt idx="2970">
                  <c:v>2.3308520299019305E-2</c:v>
                </c:pt>
                <c:pt idx="2971">
                  <c:v>2.3313514611038387E-2</c:v>
                </c:pt>
                <c:pt idx="2972">
                  <c:v>2.3318532356129601E-2</c:v>
                </c:pt>
                <c:pt idx="2973">
                  <c:v>2.3320212121941217E-2</c:v>
                </c:pt>
                <c:pt idx="2974">
                  <c:v>2.3325270734676069E-2</c:v>
                </c:pt>
                <c:pt idx="2975">
                  <c:v>2.3330352776245178E-2</c:v>
                </c:pt>
                <c:pt idx="2976">
                  <c:v>2.3335458246824228E-2</c:v>
                </c:pt>
                <c:pt idx="2977">
                  <c:v>2.3343972583956658E-2</c:v>
                </c:pt>
                <c:pt idx="2978">
                  <c:v>2.3350261897222377E-2</c:v>
                </c:pt>
                <c:pt idx="2979">
                  <c:v>2.3354312712920745E-2</c:v>
                </c:pt>
                <c:pt idx="2980">
                  <c:v>2.3359517929102284E-2</c:v>
                </c:pt>
                <c:pt idx="2981">
                  <c:v>2.3364746579997455E-2</c:v>
                </c:pt>
                <c:pt idx="2982">
                  <c:v>2.3366583089630622E-2</c:v>
                </c:pt>
                <c:pt idx="2983">
                  <c:v>2.3371852568353443E-2</c:v>
                </c:pt>
                <c:pt idx="2984">
                  <c:v>2.3377145477543937E-2</c:v>
                </c:pt>
                <c:pt idx="2985">
                  <c:v>2.3382461817388771E-2</c:v>
                </c:pt>
                <c:pt idx="2986">
                  <c:v>2.3387801587434243E-2</c:v>
                </c:pt>
                <c:pt idx="2987">
                  <c:v>2.339660978651267E-2</c:v>
                </c:pt>
                <c:pt idx="2988">
                  <c:v>2.34019996506655E-2</c:v>
                </c:pt>
                <c:pt idx="2989">
                  <c:v>2.3407409617797074E-2</c:v>
                </c:pt>
                <c:pt idx="2990">
                  <c:v>2.3411709821521239E-2</c:v>
                </c:pt>
                <c:pt idx="2991">
                  <c:v>2.3417159795475567E-2</c:v>
                </c:pt>
                <c:pt idx="2992">
                  <c:v>2.3422625861702902E-2</c:v>
                </c:pt>
                <c:pt idx="2993">
                  <c:v>2.3428106702951007E-2</c:v>
                </c:pt>
                <c:pt idx="2994">
                  <c:v>2.3433601001954463E-2</c:v>
                </c:pt>
                <c:pt idx="2995">
                  <c:v>2.3439107441430278E-2</c:v>
                </c:pt>
                <c:pt idx="2996">
                  <c:v>2.3444624704084933E-2</c:v>
                </c:pt>
                <c:pt idx="2997">
                  <c:v>2.3450151472607768E-2</c:v>
                </c:pt>
                <c:pt idx="2998">
                  <c:v>2.3455686429676267E-2</c:v>
                </c:pt>
                <c:pt idx="2999">
                  <c:v>2.3463546604459755E-2</c:v>
                </c:pt>
                <c:pt idx="3000">
                  <c:v>2.3469094179188479E-2</c:v>
                </c:pt>
                <c:pt idx="3001">
                  <c:v>2.3474645827444369E-2</c:v>
                </c:pt>
                <c:pt idx="3002">
                  <c:v>2.3480200245995123E-2</c:v>
                </c:pt>
                <c:pt idx="3003">
                  <c:v>2.3484597024432615E-2</c:v>
                </c:pt>
                <c:pt idx="3004">
                  <c:v>2.3491740616475326E-2</c:v>
                </c:pt>
                <c:pt idx="3005">
                  <c:v>2.3495708413442815E-2</c:v>
                </c:pt>
                <c:pt idx="3006">
                  <c:v>2.3501261167724986E-2</c:v>
                </c:pt>
                <c:pt idx="3007">
                  <c:v>2.3506810214740534E-2</c:v>
                </c:pt>
                <c:pt idx="3008">
                  <c:v>2.3514303415525638E-2</c:v>
                </c:pt>
                <c:pt idx="3009">
                  <c:v>2.3519839720470125E-2</c:v>
                </c:pt>
                <c:pt idx="3010">
                  <c:v>2.3525368183127792E-2</c:v>
                </c:pt>
                <c:pt idx="3011">
                  <c:v>2.3530887500131662E-2</c:v>
                </c:pt>
                <c:pt idx="3012">
                  <c:v>2.3535240408543632E-2</c:v>
                </c:pt>
                <c:pt idx="3013">
                  <c:v>2.3540738954833829E-2</c:v>
                </c:pt>
                <c:pt idx="3014">
                  <c:v>2.3546226680168088E-2</c:v>
                </c:pt>
                <c:pt idx="3015">
                  <c:v>2.3551703584455561E-2</c:v>
                </c:pt>
                <c:pt idx="3016">
                  <c:v>2.3559478422821242E-2</c:v>
                </c:pt>
                <c:pt idx="3017">
                  <c:v>2.3563778884054233E-2</c:v>
                </c:pt>
                <c:pt idx="3018">
                  <c:v>2.3569222905941437E-2</c:v>
                </c:pt>
                <c:pt idx="3019">
                  <c:v>2.3574656105797977E-2</c:v>
                </c:pt>
                <c:pt idx="3020">
                  <c:v>2.3580078483532187E-2</c:v>
                </c:pt>
                <c:pt idx="3021">
                  <c:v>2.3585490039055881E-2</c:v>
                </c:pt>
                <c:pt idx="3022">
                  <c:v>2.359089077228043E-2</c:v>
                </c:pt>
                <c:pt idx="3023">
                  <c:v>2.3596280683117647E-2</c:v>
                </c:pt>
                <c:pt idx="3024">
                  <c:v>2.3601659771478035E-2</c:v>
                </c:pt>
                <c:pt idx="3025">
                  <c:v>2.3603576304235332E-2</c:v>
                </c:pt>
                <c:pt idx="3026">
                  <c:v>2.3608935018497493E-2</c:v>
                </c:pt>
                <c:pt idx="3027">
                  <c:v>2.3614282911919297E-2</c:v>
                </c:pt>
                <c:pt idx="3028">
                  <c:v>2.3619619984412862E-2</c:v>
                </c:pt>
                <c:pt idx="3029">
                  <c:v>2.3626095105824765E-2</c:v>
                </c:pt>
                <c:pt idx="3030">
                  <c:v>2.3631410110031188E-2</c:v>
                </c:pt>
                <c:pt idx="3031">
                  <c:v>2.3636714292416809E-2</c:v>
                </c:pt>
                <c:pt idx="3032">
                  <c:v>2.364200765289598E-2</c:v>
                </c:pt>
                <c:pt idx="3033">
                  <c:v>2.3647290191382619E-2</c:v>
                </c:pt>
                <c:pt idx="3034">
                  <c:v>2.3651415175081462E-2</c:v>
                </c:pt>
                <c:pt idx="3035">
                  <c:v>2.3656676498678808E-2</c:v>
                </c:pt>
                <c:pt idx="3036">
                  <c:v>2.3661927000663378E-2</c:v>
                </c:pt>
                <c:pt idx="3037">
                  <c:v>2.3667166680952586E-2</c:v>
                </c:pt>
                <c:pt idx="3038">
                  <c:v>2.3673540550934614E-2</c:v>
                </c:pt>
                <c:pt idx="3039">
                  <c:v>2.3678758155671886E-2</c:v>
                </c:pt>
                <c:pt idx="3040">
                  <c:v>2.3683964937819303E-2</c:v>
                </c:pt>
                <c:pt idx="3041">
                  <c:v>2.3689160897293851E-2</c:v>
                </c:pt>
                <c:pt idx="3042">
                  <c:v>2.3693942666336863E-2</c:v>
                </c:pt>
                <c:pt idx="3043">
                  <c:v>2.3699115868638758E-2</c:v>
                </c:pt>
                <c:pt idx="3044">
                  <c:v>2.3704278248643778E-2</c:v>
                </c:pt>
                <c:pt idx="3045">
                  <c:v>2.3709429806267137E-2</c:v>
                </c:pt>
                <c:pt idx="3046">
                  <c:v>2.3714570541428007E-2</c:v>
                </c:pt>
                <c:pt idx="3047">
                  <c:v>2.3719700454041603E-2</c:v>
                </c:pt>
                <c:pt idx="3048">
                  <c:v>2.3724819544025333E-2</c:v>
                </c:pt>
                <c:pt idx="3049">
                  <c:v>2.3729927811297496E-2</c:v>
                </c:pt>
                <c:pt idx="3050">
                  <c:v>2.3735025255775068E-2</c:v>
                </c:pt>
                <c:pt idx="3051">
                  <c:v>2.3743529751843247E-2</c:v>
                </c:pt>
                <c:pt idx="3052">
                  <c:v>2.3748604229256735E-2</c:v>
                </c:pt>
                <c:pt idx="3053">
                  <c:v>2.3753667881695389E-2</c:v>
                </c:pt>
                <c:pt idx="3054">
                  <c:v>2.3758720709073634E-2</c:v>
                </c:pt>
                <c:pt idx="3055">
                  <c:v>2.3763344643613939E-2</c:v>
                </c:pt>
                <c:pt idx="3056">
                  <c:v>2.3768374717312704E-2</c:v>
                </c:pt>
                <c:pt idx="3057">
                  <c:v>2.3773393966338291E-2</c:v>
                </c:pt>
                <c:pt idx="3058">
                  <c:v>2.3778402390611197E-2</c:v>
                </c:pt>
                <c:pt idx="3059">
                  <c:v>2.3783399990047121E-2</c:v>
                </c:pt>
                <c:pt idx="3060">
                  <c:v>2.3791792528755771E-2</c:v>
                </c:pt>
                <c:pt idx="3061">
                  <c:v>2.3796767138880459E-2</c:v>
                </c:pt>
                <c:pt idx="3062">
                  <c:v>2.3801730921975985E-2</c:v>
                </c:pt>
                <c:pt idx="3063">
                  <c:v>2.380668387796241E-2</c:v>
                </c:pt>
                <c:pt idx="3064">
                  <c:v>2.3808225611837545E-2</c:v>
                </c:pt>
                <c:pt idx="3065">
                  <c:v>2.3813158260550638E-2</c:v>
                </c:pt>
                <c:pt idx="3066">
                  <c:v>2.3818080083860643E-2</c:v>
                </c:pt>
                <c:pt idx="3067">
                  <c:v>2.3826387429159056E-2</c:v>
                </c:pt>
                <c:pt idx="3068">
                  <c:v>2.3831286248363111E-2</c:v>
                </c:pt>
                <c:pt idx="3069">
                  <c:v>2.3836174239966843E-2</c:v>
                </c:pt>
                <c:pt idx="3070">
                  <c:v>2.3841051403888598E-2</c:v>
                </c:pt>
                <c:pt idx="3071">
                  <c:v>2.3845917740046723E-2</c:v>
                </c:pt>
                <c:pt idx="3072">
                  <c:v>2.3847383685760625E-2</c:v>
                </c:pt>
                <c:pt idx="3073">
                  <c:v>2.3855617928753622E-2</c:v>
                </c:pt>
                <c:pt idx="3074">
                  <c:v>2.3860451781140372E-2</c:v>
                </c:pt>
                <c:pt idx="3075">
                  <c:v>2.3865274805442031E-2</c:v>
                </c:pt>
                <c:pt idx="3076">
                  <c:v>2.38667029021844E-2</c:v>
                </c:pt>
                <c:pt idx="3077">
                  <c:v>2.3869250516969462E-2</c:v>
                </c:pt>
                <c:pt idx="3078">
                  <c:v>2.3874043343982961E-2</c:v>
                </c:pt>
                <c:pt idx="3079">
                  <c:v>2.3878825345874446E-2</c:v>
                </c:pt>
                <c:pt idx="3080">
                  <c:v>2.3883596522567069E-2</c:v>
                </c:pt>
                <c:pt idx="3081">
                  <c:v>2.3889482599714591E-2</c:v>
                </c:pt>
                <c:pt idx="3082">
                  <c:v>2.3894231665808376E-2</c:v>
                </c:pt>
                <c:pt idx="3083">
                  <c:v>2.3898969905814443E-2</c:v>
                </c:pt>
                <c:pt idx="3084">
                  <c:v>2.3903697319657247E-2</c:v>
                </c:pt>
                <c:pt idx="3085">
                  <c:v>2.3908413907258608E-2</c:v>
                </c:pt>
                <c:pt idx="3086">
                  <c:v>2.3911996249251881E-2</c:v>
                </c:pt>
                <c:pt idx="3087">
                  <c:v>2.3916691647407472E-2</c:v>
                </c:pt>
                <c:pt idx="3088">
                  <c:v>2.3921376219752537E-2</c:v>
                </c:pt>
                <c:pt idx="3089">
                  <c:v>2.3926049966211997E-2</c:v>
                </c:pt>
                <c:pt idx="3090">
                  <c:v>2.3931834448980869E-2</c:v>
                </c:pt>
                <c:pt idx="3091">
                  <c:v>2.3936486077535298E-2</c:v>
                </c:pt>
                <c:pt idx="3092">
                  <c:v>2.3941126879318601E-2</c:v>
                </c:pt>
                <c:pt idx="3093">
                  <c:v>2.3945756854250839E-2</c:v>
                </c:pt>
                <c:pt idx="3094">
                  <c:v>2.3949256307591361E-2</c:v>
                </c:pt>
                <c:pt idx="3095">
                  <c:v>2.3953865097159244E-2</c:v>
                </c:pt>
                <c:pt idx="3096">
                  <c:v>2.3958463060315981E-2</c:v>
                </c:pt>
                <c:pt idx="3097">
                  <c:v>2.3963050196987815E-2</c:v>
                </c:pt>
                <c:pt idx="3098">
                  <c:v>2.3967626507102758E-2</c:v>
                </c:pt>
                <c:pt idx="3099">
                  <c:v>2.3972191990583969E-2</c:v>
                </c:pt>
                <c:pt idx="3100">
                  <c:v>2.3976746647360346E-2</c:v>
                </c:pt>
                <c:pt idx="3101">
                  <c:v>2.398129047735548E-2</c:v>
                </c:pt>
                <c:pt idx="3102">
                  <c:v>2.3985823480499158E-2</c:v>
                </c:pt>
                <c:pt idx="3103">
                  <c:v>2.3995922963554281E-2</c:v>
                </c:pt>
                <c:pt idx="3104">
                  <c:v>2.4000431939320374E-2</c:v>
                </c:pt>
                <c:pt idx="3105">
                  <c:v>2.4004930084679358E-2</c:v>
                </c:pt>
                <c:pt idx="3106">
                  <c:v>2.4009417399557312E-2</c:v>
                </c:pt>
                <c:pt idx="3107">
                  <c:v>2.4010553197559084E-2</c:v>
                </c:pt>
                <c:pt idx="3108">
                  <c:v>2.401502028355855E-2</c:v>
                </c:pt>
                <c:pt idx="3109">
                  <c:v>2.401947654085964E-2</c:v>
                </c:pt>
                <c:pt idx="3110">
                  <c:v>2.4023921969389406E-2</c:v>
                </c:pt>
                <c:pt idx="3111">
                  <c:v>2.4028356569074469E-2</c:v>
                </c:pt>
                <c:pt idx="3112">
                  <c:v>2.4036113844545296E-2</c:v>
                </c:pt>
                <c:pt idx="3113">
                  <c:v>2.404052534397471E-2</c:v>
                </c:pt>
                <c:pt idx="3114">
                  <c:v>2.4044926012332171E-2</c:v>
                </c:pt>
                <c:pt idx="3115">
                  <c:v>2.404931584954376E-2</c:v>
                </c:pt>
                <c:pt idx="3116">
                  <c:v>2.4050367132317094E-2</c:v>
                </c:pt>
                <c:pt idx="3117">
                  <c:v>2.4054736757425619E-2</c:v>
                </c:pt>
                <c:pt idx="3118">
                  <c:v>2.4059095553185791E-2</c:v>
                </c:pt>
                <c:pt idx="3119">
                  <c:v>2.4063443519530353E-2</c:v>
                </c:pt>
                <c:pt idx="3120">
                  <c:v>2.4071102565879288E-2</c:v>
                </c:pt>
                <c:pt idx="3121">
                  <c:v>2.4075427414695136E-2</c:v>
                </c:pt>
                <c:pt idx="3122">
                  <c:v>2.4079741431859279E-2</c:v>
                </c:pt>
                <c:pt idx="3123">
                  <c:v>2.4084044617301237E-2</c:v>
                </c:pt>
                <c:pt idx="3124">
                  <c:v>2.4088336970947519E-2</c:v>
                </c:pt>
                <c:pt idx="3125">
                  <c:v>2.4092618492728504E-2</c:v>
                </c:pt>
                <c:pt idx="3126">
                  <c:v>2.4096889182572419E-2</c:v>
                </c:pt>
                <c:pt idx="3127">
                  <c:v>2.4101149040409216E-2</c:v>
                </c:pt>
                <c:pt idx="3128">
                  <c:v>2.4105398066167984E-2</c:v>
                </c:pt>
                <c:pt idx="3129">
                  <c:v>2.410412175163525E-2</c:v>
                </c:pt>
                <c:pt idx="3130">
                  <c:v>2.4108351573816598E-2</c:v>
                </c:pt>
                <c:pt idx="3131">
                  <c:v>2.4112570567094652E-2</c:v>
                </c:pt>
                <c:pt idx="3132">
                  <c:v>2.4116778731398746E-2</c:v>
                </c:pt>
                <c:pt idx="3133">
                  <c:v>2.4122076992576246E-2</c:v>
                </c:pt>
                <c:pt idx="3134">
                  <c:v>2.4126263004019655E-2</c:v>
                </c:pt>
                <c:pt idx="3135">
                  <c:v>2.4130438185609126E-2</c:v>
                </c:pt>
                <c:pt idx="3136">
                  <c:v>2.4134602537275705E-2</c:v>
                </c:pt>
                <c:pt idx="3137">
                  <c:v>2.4138756058953072E-2</c:v>
                </c:pt>
                <c:pt idx="3138">
                  <c:v>2.4141800305006064E-2</c:v>
                </c:pt>
                <c:pt idx="3139">
                  <c:v>2.4145932664609737E-2</c:v>
                </c:pt>
                <c:pt idx="3140">
                  <c:v>2.4150054194699774E-2</c:v>
                </c:pt>
                <c:pt idx="3141">
                  <c:v>2.4154164895213898E-2</c:v>
                </c:pt>
                <c:pt idx="3142">
                  <c:v>2.4159361215140958E-2</c:v>
                </c:pt>
                <c:pt idx="3143">
                  <c:v>2.4163449755470547E-2</c:v>
                </c:pt>
                <c:pt idx="3144">
                  <c:v>2.416752746534185E-2</c:v>
                </c:pt>
                <c:pt idx="3145">
                  <c:v>2.4171594344688983E-2</c:v>
                </c:pt>
                <c:pt idx="3146">
                  <c:v>2.4175650393445627E-2</c:v>
                </c:pt>
                <c:pt idx="3147">
                  <c:v>2.4178601673451518E-2</c:v>
                </c:pt>
                <c:pt idx="3148">
                  <c:v>2.418263656507013E-2</c:v>
                </c:pt>
                <c:pt idx="3149">
                  <c:v>2.4186660626585959E-2</c:v>
                </c:pt>
                <c:pt idx="3150">
                  <c:v>2.4190673857931437E-2</c:v>
                </c:pt>
                <c:pt idx="3151">
                  <c:v>2.4194676259042966E-2</c:v>
                </c:pt>
                <c:pt idx="3152">
                  <c:v>2.4198667829856954E-2</c:v>
                </c:pt>
                <c:pt idx="3153">
                  <c:v>2.4202648570307152E-2</c:v>
                </c:pt>
                <c:pt idx="3154">
                  <c:v>2.420661848033041E-2</c:v>
                </c:pt>
                <c:pt idx="3155">
                  <c:v>2.4216026982683742E-2</c:v>
                </c:pt>
                <c:pt idx="3156">
                  <c:v>2.4219972682281762E-2</c:v>
                </c:pt>
                <c:pt idx="3157">
                  <c:v>2.4223907547829562E-2</c:v>
                </c:pt>
                <c:pt idx="3158">
                  <c:v>2.4227831579260967E-2</c:v>
                </c:pt>
                <c:pt idx="3159">
                  <c:v>2.4228481255348887E-2</c:v>
                </c:pt>
                <c:pt idx="3160">
                  <c:v>2.4232385156465145E-2</c:v>
                </c:pt>
                <c:pt idx="3161">
                  <c:v>2.4236278225333512E-2</c:v>
                </c:pt>
                <c:pt idx="3162">
                  <c:v>2.4240160461892406E-2</c:v>
                </c:pt>
                <c:pt idx="3163">
                  <c:v>2.4244031866076741E-2</c:v>
                </c:pt>
                <c:pt idx="3164">
                  <c:v>2.4251148247801425E-2</c:v>
                </c:pt>
                <c:pt idx="3165">
                  <c:v>2.4254996438613452E-2</c:v>
                </c:pt>
                <c:pt idx="3166">
                  <c:v>2.4258833794794651E-2</c:v>
                </c:pt>
                <c:pt idx="3167">
                  <c:v>2.426266031628185E-2</c:v>
                </c:pt>
                <c:pt idx="3168">
                  <c:v>2.4263226399181114E-2</c:v>
                </c:pt>
                <c:pt idx="3169">
                  <c:v>2.4267032807800234E-2</c:v>
                </c:pt>
                <c:pt idx="3170">
                  <c:v>2.4270828383606672E-2</c:v>
                </c:pt>
                <c:pt idx="3171">
                  <c:v>2.4274613126537968E-2</c:v>
                </c:pt>
                <c:pt idx="3172">
                  <c:v>2.4278387036533407E-2</c:v>
                </c:pt>
                <c:pt idx="3173">
                  <c:v>2.4285391913065672E-2</c:v>
                </c:pt>
                <c:pt idx="3174">
                  <c:v>2.4289142589921219E-2</c:v>
                </c:pt>
                <c:pt idx="3175">
                  <c:v>2.4292882431578223E-2</c:v>
                </c:pt>
                <c:pt idx="3176">
                  <c:v>2.4296611437975225E-2</c:v>
                </c:pt>
                <c:pt idx="3177">
                  <c:v>2.4300329609051201E-2</c:v>
                </c:pt>
                <c:pt idx="3178">
                  <c:v>2.430403694474426E-2</c:v>
                </c:pt>
                <c:pt idx="3179">
                  <c:v>2.4307733444991233E-2</c:v>
                </c:pt>
                <c:pt idx="3180">
                  <c:v>2.431141910973281E-2</c:v>
                </c:pt>
                <c:pt idx="3181">
                  <c:v>2.4310788327980611E-2</c:v>
                </c:pt>
                <c:pt idx="3182">
                  <c:v>2.4314454432994025E-2</c:v>
                </c:pt>
                <c:pt idx="3183">
                  <c:v>2.4318109705097485E-2</c:v>
                </c:pt>
                <c:pt idx="3184">
                  <c:v>2.4321754144231697E-2</c:v>
                </c:pt>
                <c:pt idx="3185">
                  <c:v>2.4325387750338247E-2</c:v>
                </c:pt>
                <c:pt idx="3186">
                  <c:v>2.4330084283946184E-2</c:v>
                </c:pt>
                <c:pt idx="3187">
                  <c:v>2.433369569259853E-2</c:v>
                </c:pt>
                <c:pt idx="3188">
                  <c:v>2.4341587027845321E-2</c:v>
                </c:pt>
                <c:pt idx="3189">
                  <c:v>2.4340886008142375E-2</c:v>
                </c:pt>
                <c:pt idx="3190">
                  <c:v>2.4343393283383887E-2</c:v>
                </c:pt>
                <c:pt idx="3191">
                  <c:v>2.4346961890086335E-2</c:v>
                </c:pt>
                <c:pt idx="3192">
                  <c:v>2.4350519663352221E-2</c:v>
                </c:pt>
                <c:pt idx="3193">
                  <c:v>2.4354066603121807E-2</c:v>
                </c:pt>
                <c:pt idx="3194">
                  <c:v>2.4358672200655931E-2</c:v>
                </c:pt>
                <c:pt idx="3195">
                  <c:v>2.4362196936464509E-2</c:v>
                </c:pt>
                <c:pt idx="3196">
                  <c:v>2.4365710837905369E-2</c:v>
                </c:pt>
                <c:pt idx="3197">
                  <c:v>2.4369213904922596E-2</c:v>
                </c:pt>
                <c:pt idx="3198">
                  <c:v>2.4372706137458972E-2</c:v>
                </c:pt>
                <c:pt idx="3199">
                  <c:v>2.437512073512358E-2</c:v>
                </c:pt>
                <c:pt idx="3200">
                  <c:v>2.4378591838822558E-2</c:v>
                </c:pt>
                <c:pt idx="3201">
                  <c:v>2.4382052108569776E-2</c:v>
                </c:pt>
                <c:pt idx="3202">
                  <c:v>2.4385501544310337E-2</c:v>
                </c:pt>
                <c:pt idx="3203">
                  <c:v>2.438894014598714E-2</c:v>
                </c:pt>
                <c:pt idx="3204">
                  <c:v>2.4392367913544849E-2</c:v>
                </c:pt>
                <c:pt idx="3205">
                  <c:v>2.439578484692724E-2</c:v>
                </c:pt>
                <c:pt idx="3206">
                  <c:v>2.4399190946079417E-2</c:v>
                </c:pt>
                <c:pt idx="3207">
                  <c:v>2.4406836017186701E-2</c:v>
                </c:pt>
                <c:pt idx="3208">
                  <c:v>2.4410218263579767E-2</c:v>
                </c:pt>
                <c:pt idx="3209">
                  <c:v>2.4413589672765572E-2</c:v>
                </c:pt>
                <c:pt idx="3210">
                  <c:v>2.4416950244689106E-2</c:v>
                </c:pt>
                <c:pt idx="3211">
                  <c:v>2.4417119196960102E-2</c:v>
                </c:pt>
                <c:pt idx="3212">
                  <c:v>2.4420459740855813E-2</c:v>
                </c:pt>
                <c:pt idx="3213">
                  <c:v>2.4423789449434179E-2</c:v>
                </c:pt>
                <c:pt idx="3214">
                  <c:v>2.4427108322641475E-2</c:v>
                </c:pt>
                <c:pt idx="3215">
                  <c:v>2.4430416360420919E-2</c:v>
                </c:pt>
                <c:pt idx="3216">
                  <c:v>2.44362985732412E-2</c:v>
                </c:pt>
                <c:pt idx="3217">
                  <c:v>2.4439582287130109E-2</c:v>
                </c:pt>
                <c:pt idx="3218">
                  <c:v>2.4442855164014215E-2</c:v>
                </c:pt>
                <c:pt idx="3219">
                  <c:v>2.4446117203838203E-2</c:v>
                </c:pt>
                <c:pt idx="3220">
                  <c:v>2.4449368406547201E-2</c:v>
                </c:pt>
                <c:pt idx="3221">
                  <c:v>2.4452608772088064E-2</c:v>
                </c:pt>
                <c:pt idx="3222">
                  <c:v>2.4455838300408945E-2</c:v>
                </c:pt>
                <c:pt idx="3223">
                  <c:v>2.445905699145496E-2</c:v>
                </c:pt>
                <c:pt idx="3224">
                  <c:v>2.4462264845173401E-2</c:v>
                </c:pt>
                <c:pt idx="3225">
                  <c:v>2.446546186151155E-2</c:v>
                </c:pt>
                <c:pt idx="3226">
                  <c:v>2.4468648040415829E-2</c:v>
                </c:pt>
                <c:pt idx="3227">
                  <c:v>2.447182338183396E-2</c:v>
                </c:pt>
                <c:pt idx="3228">
                  <c:v>2.4474987885714519E-2</c:v>
                </c:pt>
                <c:pt idx="3229">
                  <c:v>2.4478141552003497E-2</c:v>
                </c:pt>
                <c:pt idx="3230">
                  <c:v>2.448128438065077E-2</c:v>
                </c:pt>
                <c:pt idx="3231">
                  <c:v>2.4484416371603198E-2</c:v>
                </c:pt>
                <c:pt idx="3232">
                  <c:v>2.4487537524810216E-2</c:v>
                </c:pt>
                <c:pt idx="3233">
                  <c:v>2.4486456033259787E-2</c:v>
                </c:pt>
                <c:pt idx="3234">
                  <c:v>2.4489557768466147E-2</c:v>
                </c:pt>
                <c:pt idx="3235">
                  <c:v>2.4492648668611481E-2</c:v>
                </c:pt>
                <c:pt idx="3236">
                  <c:v>2.4495728733646766E-2</c:v>
                </c:pt>
                <c:pt idx="3237">
                  <c:v>2.449984366401867E-2</c:v>
                </c:pt>
                <c:pt idx="3238">
                  <c:v>2.450290149156369E-2</c:v>
                </c:pt>
                <c:pt idx="3239">
                  <c:v>2.4510126672429845E-2</c:v>
                </c:pt>
                <c:pt idx="3240">
                  <c:v>2.4508984638693446E-2</c:v>
                </c:pt>
                <c:pt idx="3241">
                  <c:v>2.4512009958180682E-2</c:v>
                </c:pt>
                <c:pt idx="3242">
                  <c:v>2.451398158377624E-2</c:v>
                </c:pt>
                <c:pt idx="3243">
                  <c:v>2.4516985801657554E-2</c:v>
                </c:pt>
                <c:pt idx="3244">
                  <c:v>2.4519979184036651E-2</c:v>
                </c:pt>
                <c:pt idx="3245">
                  <c:v>2.4522961730863622E-2</c:v>
                </c:pt>
                <c:pt idx="3246">
                  <c:v>2.4526974012873192E-2</c:v>
                </c:pt>
                <c:pt idx="3247">
                  <c:v>2.4529934314922838E-2</c:v>
                </c:pt>
                <c:pt idx="3248">
                  <c:v>2.453288378056423E-2</c:v>
                </c:pt>
                <c:pt idx="3249">
                  <c:v>2.4535822409749494E-2</c:v>
                </c:pt>
                <c:pt idx="3250">
                  <c:v>2.4536887552258718E-2</c:v>
                </c:pt>
                <c:pt idx="3251">
                  <c:v>2.4542913965289213E-2</c:v>
                </c:pt>
                <c:pt idx="3252">
                  <c:v>2.454581544054751E-2</c:v>
                </c:pt>
                <c:pt idx="3253">
                  <c:v>2.4548706079138859E-2</c:v>
                </c:pt>
                <c:pt idx="3254">
                  <c:v>2.4551585881016261E-2</c:v>
                </c:pt>
                <c:pt idx="3255">
                  <c:v>2.4554454846133604E-2</c:v>
                </c:pt>
                <c:pt idx="3256">
                  <c:v>2.4557312974444769E-2</c:v>
                </c:pt>
                <c:pt idx="3257">
                  <c:v>2.4560160265902322E-2</c:v>
                </c:pt>
                <c:pt idx="3258">
                  <c:v>2.4562996720459269E-2</c:v>
                </c:pt>
                <c:pt idx="3259">
                  <c:v>2.4567887929808355E-2</c:v>
                </c:pt>
                <c:pt idx="3260">
                  <c:v>2.4570701543904411E-2</c:v>
                </c:pt>
                <c:pt idx="3261">
                  <c:v>2.4573504319528608E-2</c:v>
                </c:pt>
                <c:pt idx="3262">
                  <c:v>2.4576296256637504E-2</c:v>
                </c:pt>
                <c:pt idx="3263">
                  <c:v>2.4578046901391058E-2</c:v>
                </c:pt>
                <c:pt idx="3264">
                  <c:v>2.4580817747504487E-2</c:v>
                </c:pt>
                <c:pt idx="3265">
                  <c:v>2.4584364338799233E-2</c:v>
                </c:pt>
                <c:pt idx="3266">
                  <c:v>2.4586326925878314E-2</c:v>
                </c:pt>
                <c:pt idx="3267">
                  <c:v>2.4589065258048728E-2</c:v>
                </c:pt>
                <c:pt idx="3268">
                  <c:v>2.4592820267885063E-2</c:v>
                </c:pt>
                <c:pt idx="3269">
                  <c:v>2.4595536334103951E-2</c:v>
                </c:pt>
                <c:pt idx="3270">
                  <c:v>2.4598241561444349E-2</c:v>
                </c:pt>
                <c:pt idx="3271">
                  <c:v>2.4600935949861947E-2</c:v>
                </c:pt>
                <c:pt idx="3272">
                  <c:v>2.4602594346955824E-2</c:v>
                </c:pt>
                <c:pt idx="3273">
                  <c:v>2.4605267650039422E-2</c:v>
                </c:pt>
                <c:pt idx="3274">
                  <c:v>2.4607930114787329E-2</c:v>
                </c:pt>
                <c:pt idx="3275">
                  <c:v>2.4610581741155858E-2</c:v>
                </c:pt>
                <c:pt idx="3276">
                  <c:v>2.4615268073401461E-2</c:v>
                </c:pt>
                <c:pt idx="3277">
                  <c:v>2.4616874660526724E-2</c:v>
                </c:pt>
                <c:pt idx="3278">
                  <c:v>2.4619493175256985E-2</c:v>
                </c:pt>
                <c:pt idx="3279">
                  <c:v>2.4622100850715596E-2</c:v>
                </c:pt>
                <c:pt idx="3280">
                  <c:v>2.4624697686859976E-2</c:v>
                </c:pt>
                <c:pt idx="3281">
                  <c:v>2.4627283683647118E-2</c:v>
                </c:pt>
                <c:pt idx="3282">
                  <c:v>2.4629858841034014E-2</c:v>
                </c:pt>
                <c:pt idx="3283">
                  <c:v>2.4632423158979393E-2</c:v>
                </c:pt>
                <c:pt idx="3284">
                  <c:v>2.463497663744111E-2</c:v>
                </c:pt>
                <c:pt idx="3285">
                  <c:v>2.4635484481361582E-2</c:v>
                </c:pt>
                <c:pt idx="3286">
                  <c:v>2.4638017484674615E-2</c:v>
                </c:pt>
                <c:pt idx="3287">
                  <c:v>2.4640539649822997E-2</c:v>
                </c:pt>
                <c:pt idx="3288">
                  <c:v>2.4643050976767198E-2</c:v>
                </c:pt>
                <c:pt idx="3289">
                  <c:v>2.4641491382875913E-2</c:v>
                </c:pt>
                <c:pt idx="3290">
                  <c:v>2.4648041115878355E-2</c:v>
                </c:pt>
                <c:pt idx="3291">
                  <c:v>2.4650519927964496E-2</c:v>
                </c:pt>
                <c:pt idx="3292">
                  <c:v>2.4652987901682633E-2</c:v>
                </c:pt>
                <c:pt idx="3293">
                  <c:v>2.4655445036995433E-2</c:v>
                </c:pt>
                <c:pt idx="3294">
                  <c:v>2.4657891333860728E-2</c:v>
                </c:pt>
                <c:pt idx="3295">
                  <c:v>2.4660326792238119E-2</c:v>
                </c:pt>
                <c:pt idx="3296">
                  <c:v>2.4662751412091143E-2</c:v>
                </c:pt>
                <c:pt idx="3297">
                  <c:v>2.4665165193378077E-2</c:v>
                </c:pt>
                <c:pt idx="3298">
                  <c:v>2.4667568136060272E-2</c:v>
                </c:pt>
                <c:pt idx="3299">
                  <c:v>2.466996024009864E-2</c:v>
                </c:pt>
                <c:pt idx="3300">
                  <c:v>2.4672341505455407E-2</c:v>
                </c:pt>
                <c:pt idx="3301">
                  <c:v>2.467471193208929E-2</c:v>
                </c:pt>
                <c:pt idx="3302">
                  <c:v>2.4676400721785258E-2</c:v>
                </c:pt>
                <c:pt idx="3303">
                  <c:v>2.4678748536709833E-2</c:v>
                </c:pt>
                <c:pt idx="3304">
                  <c:v>2.4681085513519031E-2</c:v>
                </c:pt>
                <c:pt idx="3305">
                  <c:v>2.4683411652174428E-2</c:v>
                </c:pt>
                <c:pt idx="3306">
                  <c:v>2.4685726952638484E-2</c:v>
                </c:pt>
                <c:pt idx="3307">
                  <c:v>2.4688031414874991E-2</c:v>
                </c:pt>
                <c:pt idx="3308">
                  <c:v>2.469032503884596E-2</c:v>
                </c:pt>
                <c:pt idx="3309">
                  <c:v>2.4692607824514743E-2</c:v>
                </c:pt>
                <c:pt idx="3310">
                  <c:v>2.4694879771843356E-2</c:v>
                </c:pt>
                <c:pt idx="3311">
                  <c:v>2.4700145168119036E-2</c:v>
                </c:pt>
                <c:pt idx="3312">
                  <c:v>2.4702393576004563E-2</c:v>
                </c:pt>
                <c:pt idx="3313">
                  <c:v>2.4704631143255613E-2</c:v>
                </c:pt>
                <c:pt idx="3314">
                  <c:v>2.470685786983743E-2</c:v>
                </c:pt>
                <c:pt idx="3315">
                  <c:v>2.4708706126016375E-2</c:v>
                </c:pt>
                <c:pt idx="3316">
                  <c:v>2.4710908697889021E-2</c:v>
                </c:pt>
                <c:pt idx="3317">
                  <c:v>2.4713100429701457E-2</c:v>
                </c:pt>
                <c:pt idx="3318">
                  <c:v>2.4715281321418293E-2</c:v>
                </c:pt>
                <c:pt idx="3319">
                  <c:v>2.4719752797787917E-2</c:v>
                </c:pt>
                <c:pt idx="3320">
                  <c:v>2.4722597403214669E-2</c:v>
                </c:pt>
                <c:pt idx="3321">
                  <c:v>2.4724743890911501E-2</c:v>
                </c:pt>
                <c:pt idx="3322">
                  <c:v>2.4726879536181592E-2</c:v>
                </c:pt>
                <c:pt idx="3323">
                  <c:v>2.472602317732361E-2</c:v>
                </c:pt>
                <c:pt idx="3324">
                  <c:v>2.4728139027723851E-2</c:v>
                </c:pt>
                <c:pt idx="3325">
                  <c:v>2.4730244037783008E-2</c:v>
                </c:pt>
                <c:pt idx="3326">
                  <c:v>2.4732338207466138E-2</c:v>
                </c:pt>
                <c:pt idx="3327">
                  <c:v>2.4737395124900089E-2</c:v>
                </c:pt>
                <c:pt idx="3328">
                  <c:v>2.4739465714873118E-2</c:v>
                </c:pt>
                <c:pt idx="3329">
                  <c:v>2.4741525462175729E-2</c:v>
                </c:pt>
                <c:pt idx="3330">
                  <c:v>2.4743574366772252E-2</c:v>
                </c:pt>
                <c:pt idx="3331">
                  <c:v>2.4745612428630024E-2</c:v>
                </c:pt>
                <c:pt idx="3332">
                  <c:v>2.4744675575770377E-2</c:v>
                </c:pt>
                <c:pt idx="3333">
                  <c:v>2.4749656023994374E-2</c:v>
                </c:pt>
                <c:pt idx="3334">
                  <c:v>2.4751661557433052E-2</c:v>
                </c:pt>
                <c:pt idx="3335">
                  <c:v>2.4753656247998461E-2</c:v>
                </c:pt>
                <c:pt idx="3336">
                  <c:v>2.4752683676194473E-2</c:v>
                </c:pt>
                <c:pt idx="3337">
                  <c:v>2.4752688850603118E-2</c:v>
                </c:pt>
                <c:pt idx="3338">
                  <c:v>2.4754654213223169E-2</c:v>
                </c:pt>
                <c:pt idx="3339">
                  <c:v>2.4756608736501866E-2</c:v>
                </c:pt>
                <c:pt idx="3340">
                  <c:v>2.4758552420408728E-2</c:v>
                </c:pt>
                <c:pt idx="3341">
                  <c:v>2.4761467583202884E-2</c:v>
                </c:pt>
                <c:pt idx="3342">
                  <c:v>2.4763388945353584E-2</c:v>
                </c:pt>
                <c:pt idx="3343">
                  <c:v>2.4765299467305654E-2</c:v>
                </c:pt>
                <c:pt idx="3344">
                  <c:v>2.4767199149026156E-2</c:v>
                </c:pt>
                <c:pt idx="3345">
                  <c:v>2.4769087990484783E-2</c:v>
                </c:pt>
                <c:pt idx="3346">
                  <c:v>2.4769986895266077E-2</c:v>
                </c:pt>
                <c:pt idx="3347">
                  <c:v>2.4771854702691269E-2</c:v>
                </c:pt>
                <c:pt idx="3348">
                  <c:v>2.4773711670498636E-2</c:v>
                </c:pt>
                <c:pt idx="3349">
                  <c:v>2.4775557798655503E-2</c:v>
                </c:pt>
                <c:pt idx="3350">
                  <c:v>2.4778369592788219E-2</c:v>
                </c:pt>
                <c:pt idx="3351">
                  <c:v>2.4780193392039622E-2</c:v>
                </c:pt>
                <c:pt idx="3352">
                  <c:v>2.4782006350817887E-2</c:v>
                </c:pt>
                <c:pt idx="3353">
                  <c:v>2.478483338379088E-2</c:v>
                </c:pt>
                <c:pt idx="3354">
                  <c:v>2.4784880948707701E-2</c:v>
                </c:pt>
                <c:pt idx="3355">
                  <c:v>2.4786406933309583E-2</c:v>
                </c:pt>
                <c:pt idx="3356">
                  <c:v>2.4788177183097226E-2</c:v>
                </c:pt>
                <c:pt idx="3357">
                  <c:v>2.4789936593002507E-2</c:v>
                </c:pt>
                <c:pt idx="3358">
                  <c:v>2.4791685162996277E-2</c:v>
                </c:pt>
                <c:pt idx="3359">
                  <c:v>2.4793422893050716E-2</c:v>
                </c:pt>
                <c:pt idx="3360">
                  <c:v>2.4795149783137994E-2</c:v>
                </c:pt>
                <c:pt idx="3361">
                  <c:v>2.4796865833229414E-2</c:v>
                </c:pt>
                <c:pt idx="3362">
                  <c:v>2.4798571043296708E-2</c:v>
                </c:pt>
                <c:pt idx="3363">
                  <c:v>2.4805105247821497E-2</c:v>
                </c:pt>
                <c:pt idx="3364">
                  <c:v>2.4806785481393989E-2</c:v>
                </c:pt>
                <c:pt idx="3365">
                  <c:v>2.4808454871176958E-2</c:v>
                </c:pt>
                <c:pt idx="3366">
                  <c:v>2.4810113417144619E-2</c:v>
                </c:pt>
                <c:pt idx="3367">
                  <c:v>2.4808865200797701E-2</c:v>
                </c:pt>
                <c:pt idx="3368">
                  <c:v>2.4810504046005873E-2</c:v>
                </c:pt>
                <c:pt idx="3369">
                  <c:v>2.4812132049528028E-2</c:v>
                </c:pt>
                <c:pt idx="3370">
                  <c:v>2.4813749211336208E-2</c:v>
                </c:pt>
                <c:pt idx="3371">
                  <c:v>2.4815355531406829E-2</c:v>
                </c:pt>
                <c:pt idx="3372">
                  <c:v>2.4819836971288412E-2</c:v>
                </c:pt>
                <c:pt idx="3373">
                  <c:v>2.482141960978437E-2</c:v>
                </c:pt>
                <c:pt idx="3374">
                  <c:v>2.4822991404249702E-2</c:v>
                </c:pt>
                <c:pt idx="3375">
                  <c:v>2.4824552354657775E-2</c:v>
                </c:pt>
                <c:pt idx="3376">
                  <c:v>2.4823224504753851E-2</c:v>
                </c:pt>
                <c:pt idx="3377">
                  <c:v>2.4824765773843474E-2</c:v>
                </c:pt>
                <c:pt idx="3378">
                  <c:v>2.4826296201012951E-2</c:v>
                </c:pt>
                <c:pt idx="3379">
                  <c:v>2.4830687715203838E-2</c:v>
                </c:pt>
                <c:pt idx="3380">
                  <c:v>2.4832194444941374E-2</c:v>
                </c:pt>
                <c:pt idx="3381">
                  <c:v>2.4833690330468648E-2</c:v>
                </c:pt>
                <c:pt idx="3382">
                  <c:v>2.4835175371762885E-2</c:v>
                </c:pt>
                <c:pt idx="3383">
                  <c:v>2.4836649568797008E-2</c:v>
                </c:pt>
                <c:pt idx="3384">
                  <c:v>2.4835251082344269E-2</c:v>
                </c:pt>
                <c:pt idx="3385">
                  <c:v>2.4839565429988216E-2</c:v>
                </c:pt>
                <c:pt idx="3386">
                  <c:v>2.484100709409889E-2</c:v>
                </c:pt>
                <c:pt idx="3387">
                  <c:v>2.4842437913853179E-2</c:v>
                </c:pt>
                <c:pt idx="3388">
                  <c:v>2.4843857889226162E-2</c:v>
                </c:pt>
                <c:pt idx="3389">
                  <c:v>2.4841464718742035E-2</c:v>
                </c:pt>
                <c:pt idx="3390">
                  <c:v>2.4842865719351626E-2</c:v>
                </c:pt>
                <c:pt idx="3391">
                  <c:v>2.4844255878470875E-2</c:v>
                </c:pt>
                <c:pt idx="3392">
                  <c:v>2.4845635196076063E-2</c:v>
                </c:pt>
                <c:pt idx="3393">
                  <c:v>2.484795156169313E-2</c:v>
                </c:pt>
                <c:pt idx="3394">
                  <c:v>2.4853097128802442E-2</c:v>
                </c:pt>
                <c:pt idx="3395">
                  <c:v>2.4850654625743755E-2</c:v>
                </c:pt>
                <c:pt idx="3396">
                  <c:v>2.4851989894266829E-2</c:v>
                </c:pt>
                <c:pt idx="3397">
                  <c:v>2.4853314320426392E-2</c:v>
                </c:pt>
                <c:pt idx="3398">
                  <c:v>2.4853683428695313E-2</c:v>
                </c:pt>
                <c:pt idx="3399">
                  <c:v>2.4854986855092898E-2</c:v>
                </c:pt>
                <c:pt idx="3400">
                  <c:v>2.4856279439802054E-2</c:v>
                </c:pt>
                <c:pt idx="3401">
                  <c:v>2.4857561182803901E-2</c:v>
                </c:pt>
                <c:pt idx="3402">
                  <c:v>2.4859773815017628E-2</c:v>
                </c:pt>
                <c:pt idx="3403">
                  <c:v>2.4861033186546221E-2</c:v>
                </c:pt>
                <c:pt idx="3404">
                  <c:v>2.4862281715564535E-2</c:v>
                </c:pt>
                <c:pt idx="3405">
                  <c:v>2.4863519402050293E-2</c:v>
                </c:pt>
                <c:pt idx="3406">
                  <c:v>2.4863807271464693E-2</c:v>
                </c:pt>
                <c:pt idx="3407">
                  <c:v>2.4865023963785652E-2</c:v>
                </c:pt>
                <c:pt idx="3408">
                  <c:v>2.4866229814256118E-2</c:v>
                </c:pt>
                <c:pt idx="3409">
                  <c:v>2.4867424822857642E-2</c:v>
                </c:pt>
                <c:pt idx="3410">
                  <c:v>2.4868608989568705E-2</c:v>
                </c:pt>
                <c:pt idx="3411">
                  <c:v>2.4869782314371296E-2</c:v>
                </c:pt>
                <c:pt idx="3412">
                  <c:v>2.4870944797246532E-2</c:v>
                </c:pt>
                <c:pt idx="3413">
                  <c:v>2.4872096438175086E-2</c:v>
                </c:pt>
                <c:pt idx="3414">
                  <c:v>2.4873237237138513E-2</c:v>
                </c:pt>
                <c:pt idx="3415">
                  <c:v>2.4878097966914585E-2</c:v>
                </c:pt>
                <c:pt idx="3416">
                  <c:v>2.4879214290742798E-2</c:v>
                </c:pt>
                <c:pt idx="3417">
                  <c:v>2.488031976958073E-2</c:v>
                </c:pt>
                <c:pt idx="3418">
                  <c:v>2.4881414403410334E-2</c:v>
                </c:pt>
                <c:pt idx="3419">
                  <c:v>2.4879708536023788E-2</c:v>
                </c:pt>
                <c:pt idx="3420">
                  <c:v>2.4880783582206575E-2</c:v>
                </c:pt>
                <c:pt idx="3421">
                  <c:v>2.4881847785555841E-2</c:v>
                </c:pt>
                <c:pt idx="3422">
                  <c:v>2.4882901146054997E-2</c:v>
                </c:pt>
                <c:pt idx="3423">
                  <c:v>2.488394366368438E-2</c:v>
                </c:pt>
                <c:pt idx="3424">
                  <c:v>2.4887754460204303E-2</c:v>
                </c:pt>
                <c:pt idx="3425">
                  <c:v>2.4888773178474904E-2</c:v>
                </c:pt>
                <c:pt idx="3426">
                  <c:v>2.4889781051597931E-2</c:v>
                </c:pt>
                <c:pt idx="3427">
                  <c:v>2.48907780795549E-2</c:v>
                </c:pt>
                <c:pt idx="3428">
                  <c:v>2.4888993608215556E-2</c:v>
                </c:pt>
                <c:pt idx="3429">
                  <c:v>2.4889971068283414E-2</c:v>
                </c:pt>
                <c:pt idx="3430">
                  <c:v>2.4890937685367057E-2</c:v>
                </c:pt>
                <c:pt idx="3431">
                  <c:v>2.4891893459450323E-2</c:v>
                </c:pt>
                <c:pt idx="3432">
                  <c:v>2.4892838390519235E-2</c:v>
                </c:pt>
                <c:pt idx="3433">
                  <c:v>2.4896532497904463E-2</c:v>
                </c:pt>
                <c:pt idx="3434">
                  <c:v>2.4897453609248651E-2</c:v>
                </c:pt>
                <c:pt idx="3435">
                  <c:v>2.4898363875299576E-2</c:v>
                </c:pt>
                <c:pt idx="3436">
                  <c:v>2.4899263296043479E-2</c:v>
                </c:pt>
                <c:pt idx="3437">
                  <c:v>2.4900151871464892E-2</c:v>
                </c:pt>
                <c:pt idx="3438">
                  <c:v>2.4901029601547057E-2</c:v>
                </c:pt>
                <c:pt idx="3439">
                  <c:v>2.4901896486277938E-2</c:v>
                </c:pt>
                <c:pt idx="3440">
                  <c:v>2.4902752525642065E-2</c:v>
                </c:pt>
                <c:pt idx="3441">
                  <c:v>2.4899026107048243E-2</c:v>
                </c:pt>
                <c:pt idx="3442">
                  <c:v>2.4899864040970714E-2</c:v>
                </c:pt>
                <c:pt idx="3443">
                  <c:v>2.4900691133206296E-2</c:v>
                </c:pt>
                <c:pt idx="3444">
                  <c:v>2.4901507383743072E-2</c:v>
                </c:pt>
                <c:pt idx="3445">
                  <c:v>2.4902312792566023E-2</c:v>
                </c:pt>
                <c:pt idx="3446">
                  <c:v>2.4904018143668522E-2</c:v>
                </c:pt>
                <c:pt idx="3447">
                  <c:v>2.4904801148441631E-2</c:v>
                </c:pt>
                <c:pt idx="3448">
                  <c:v>2.4905573310718167E-2</c:v>
                </c:pt>
                <c:pt idx="3449">
                  <c:v>2.4906334630486714E-2</c:v>
                </c:pt>
                <c:pt idx="3450">
                  <c:v>2.4906177210532641E-2</c:v>
                </c:pt>
                <c:pt idx="3451">
                  <c:v>2.4906917568808983E-2</c:v>
                </c:pt>
                <c:pt idx="3452">
                  <c:v>2.4907647085285384E-2</c:v>
                </c:pt>
                <c:pt idx="3453">
                  <c:v>2.4908365759948588E-2</c:v>
                </c:pt>
                <c:pt idx="3454">
                  <c:v>2.4909978591268183E-2</c:v>
                </c:pt>
                <c:pt idx="3455">
                  <c:v>2.4910674855729655E-2</c:v>
                </c:pt>
                <c:pt idx="3456">
                  <c:v>2.4911360277599683E-2</c:v>
                </c:pt>
                <c:pt idx="3457">
                  <c:v>2.4912034856866855E-2</c:v>
                </c:pt>
                <c:pt idx="3458">
                  <c:v>2.4912698593520188E-2</c:v>
                </c:pt>
                <c:pt idx="3459">
                  <c:v>2.4912450129233363E-2</c:v>
                </c:pt>
                <c:pt idx="3460">
                  <c:v>2.4913092910895072E-2</c:v>
                </c:pt>
                <c:pt idx="3461">
                  <c:v>2.4913724850656585E-2</c:v>
                </c:pt>
                <c:pt idx="3462">
                  <c:v>2.4914345948507749E-2</c:v>
                </c:pt>
                <c:pt idx="3463">
                  <c:v>2.4914956204438399E-2</c:v>
                </c:pt>
                <c:pt idx="3464">
                  <c:v>2.4915555618437939E-2</c:v>
                </c:pt>
                <c:pt idx="3465">
                  <c:v>2.491614419049798E-2</c:v>
                </c:pt>
                <c:pt idx="3466">
                  <c:v>2.49167219206088E-2</c:v>
                </c:pt>
                <c:pt idx="3467">
                  <c:v>2.4921765992232048E-2</c:v>
                </c:pt>
                <c:pt idx="3468">
                  <c:v>2.4922318356218429E-2</c:v>
                </c:pt>
                <c:pt idx="3469">
                  <c:v>2.4922859874500256E-2</c:v>
                </c:pt>
                <c:pt idx="3470">
                  <c:v>2.4923390547066791E-2</c:v>
                </c:pt>
                <c:pt idx="3471">
                  <c:v>2.4921233003689685E-2</c:v>
                </c:pt>
                <c:pt idx="3472">
                  <c:v>2.4921744203380787E-2</c:v>
                </c:pt>
                <c:pt idx="3473">
                  <c:v>2.4922244559568745E-2</c:v>
                </c:pt>
                <c:pt idx="3474">
                  <c:v>2.4922734072245694E-2</c:v>
                </c:pt>
                <c:pt idx="3475">
                  <c:v>2.4923212741402904E-2</c:v>
                </c:pt>
                <c:pt idx="3476">
                  <c:v>2.4926346821979833E-2</c:v>
                </c:pt>
                <c:pt idx="3477">
                  <c:v>2.4926801574307669E-2</c:v>
                </c:pt>
                <c:pt idx="3478">
                  <c:v>2.4927245480855748E-2</c:v>
                </c:pt>
                <c:pt idx="3479">
                  <c:v>2.4927678541616764E-2</c:v>
                </c:pt>
                <c:pt idx="3480">
                  <c:v>2.4925443434141624E-2</c:v>
                </c:pt>
                <c:pt idx="3481">
                  <c:v>2.4925857042027488E-2</c:v>
                </c:pt>
                <c:pt idx="3482">
                  <c:v>2.4926259806344251E-2</c:v>
                </c:pt>
                <c:pt idx="3483">
                  <c:v>2.4926651727084047E-2</c:v>
                </c:pt>
                <c:pt idx="3484">
                  <c:v>2.4927032804241637E-2</c:v>
                </c:pt>
                <c:pt idx="3485">
                  <c:v>2.4930049144254826E-2</c:v>
                </c:pt>
                <c:pt idx="3486">
                  <c:v>2.4930406284312569E-2</c:v>
                </c:pt>
                <c:pt idx="3487">
                  <c:v>2.4930752578531244E-2</c:v>
                </c:pt>
                <c:pt idx="3488">
                  <c:v>2.4931088026903549E-2</c:v>
                </c:pt>
                <c:pt idx="3489">
                  <c:v>2.4931412629424325E-2</c:v>
                </c:pt>
                <c:pt idx="3490">
                  <c:v>2.4931726386088846E-2</c:v>
                </c:pt>
                <c:pt idx="3491">
                  <c:v>2.4932029296891953E-2</c:v>
                </c:pt>
                <c:pt idx="3492">
                  <c:v>2.4932321361828061E-2</c:v>
                </c:pt>
                <c:pt idx="3493">
                  <c:v>2.4928222346701785E-2</c:v>
                </c:pt>
                <c:pt idx="3494">
                  <c:v>2.4928496499075074E-2</c:v>
                </c:pt>
                <c:pt idx="3495">
                  <c:v>2.4928759809298644E-2</c:v>
                </c:pt>
                <c:pt idx="3496">
                  <c:v>2.4929012277369402E-2</c:v>
                </c:pt>
                <c:pt idx="3497">
                  <c:v>2.4929253903282052E-2</c:v>
                </c:pt>
                <c:pt idx="3498">
                  <c:v>2.4930357012321224E-2</c:v>
                </c:pt>
                <c:pt idx="3499">
                  <c:v>2.4930576194550514E-2</c:v>
                </c:pt>
                <c:pt idx="3500">
                  <c:v>2.4930784533864665E-2</c:v>
                </c:pt>
                <c:pt idx="3501">
                  <c:v>2.4930982030260167E-2</c:v>
                </c:pt>
                <c:pt idx="3502">
                  <c:v>2.4930299400355717E-2</c:v>
                </c:pt>
                <c:pt idx="3503">
                  <c:v>2.49304759732486E-2</c:v>
                </c:pt>
                <c:pt idx="3504">
                  <c:v>2.4930641703959963E-2</c:v>
                </c:pt>
                <c:pt idx="3505">
                  <c:v>2.4930796592487602E-2</c:v>
                </c:pt>
                <c:pt idx="3506">
                  <c:v>2.4931806869981088E-2</c:v>
                </c:pt>
                <c:pt idx="3507">
                  <c:v>2.4931939454911376E-2</c:v>
                </c:pt>
                <c:pt idx="3508">
                  <c:v>2.4932061733092804E-2</c:v>
                </c:pt>
                <c:pt idx="3509">
                  <c:v>2.4932174121562324E-2</c:v>
                </c:pt>
                <c:pt idx="3510">
                  <c:v>2.4932290990646404E-2</c:v>
                </c:pt>
                <c:pt idx="3511">
                  <c:v>2.4931520506621545E-2</c:v>
                </c:pt>
                <c:pt idx="3512">
                  <c:v>2.4931604986510706E-2</c:v>
                </c:pt>
                <c:pt idx="3513">
                  <c:v>2.4931681259874904E-2</c:v>
                </c:pt>
                <c:pt idx="3514">
                  <c:v>2.4931749746025578E-2</c:v>
                </c:pt>
                <c:pt idx="3515">
                  <c:v>2.4931810864271955E-2</c:v>
                </c:pt>
                <c:pt idx="3516">
                  <c:v>2.4931865033925908E-2</c:v>
                </c:pt>
                <c:pt idx="3517">
                  <c:v>2.4931912674298441E-2</c:v>
                </c:pt>
                <c:pt idx="3518">
                  <c:v>2.4931954204701866E-2</c:v>
                </c:pt>
                <c:pt idx="3519">
                  <c:v>2.4935432379795185E-2</c:v>
                </c:pt>
                <c:pt idx="3520">
                  <c:v>2.4935462295488459E-2</c:v>
                </c:pt>
                <c:pt idx="3521">
                  <c:v>2.4935487462748734E-2</c:v>
                </c:pt>
                <c:pt idx="3522">
                  <c:v>2.4935508291932734E-2</c:v>
                </c:pt>
                <c:pt idx="3523">
                  <c:v>2.4932944905283569E-2</c:v>
                </c:pt>
                <c:pt idx="3524">
                  <c:v>2.4935538577509159E-2</c:v>
                </c:pt>
                <c:pt idx="3525">
                  <c:v>2.4933833566490503E-2</c:v>
                </c:pt>
                <c:pt idx="3526">
                  <c:v>2.4935556435083606E-2</c:v>
                </c:pt>
                <c:pt idx="3527">
                  <c:v>2.4935561729266861E-2</c:v>
                </c:pt>
                <c:pt idx="3528">
                  <c:v>2.4935565147525401E-2</c:v>
                </c:pt>
                <c:pt idx="3529">
                  <c:v>2.493556710021811E-2</c:v>
                </c:pt>
                <c:pt idx="3530">
                  <c:v>2.4935567997702576E-2</c:v>
                </c:pt>
                <c:pt idx="3531">
                  <c:v>2.4935568250338543E-2</c:v>
                </c:pt>
                <c:pt idx="3532">
                  <c:v>2.4935568263099794E-2</c:v>
                </c:pt>
              </c:numCache>
            </c:numRef>
          </c:yVal>
          <c:smooth val="0"/>
        </c:ser>
        <c:dLbls>
          <c:showLegendKey val="0"/>
          <c:showVal val="0"/>
          <c:showCatName val="0"/>
          <c:showSerName val="0"/>
          <c:showPercent val="0"/>
          <c:showBubbleSize val="0"/>
        </c:dLbls>
        <c:axId val="339647104"/>
        <c:axId val="339665664"/>
      </c:scatterChart>
      <c:valAx>
        <c:axId val="339647104"/>
        <c:scaling>
          <c:orientation val="minMax"/>
          <c:max val="64011"/>
          <c:min val="41182"/>
        </c:scaling>
        <c:delete val="0"/>
        <c:axPos val="b"/>
        <c:numFmt formatCode="mmm\ yy" sourceLinked="0"/>
        <c:majorTickMark val="out"/>
        <c:minorTickMark val="in"/>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39665664"/>
        <c:crossesAt val="-5.0000000000000001E-3"/>
        <c:crossBetween val="midCat"/>
        <c:majorUnit val="3652.5"/>
        <c:minorUnit val="365.25"/>
      </c:valAx>
      <c:valAx>
        <c:axId val="339665664"/>
        <c:scaling>
          <c:orientation val="minMax"/>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647104"/>
        <c:crosses val="autoZero"/>
        <c:crossBetween val="midCat"/>
        <c:majorUnit val="5.0000000000000001E-3"/>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ON Fwd</a:t>
            </a:r>
          </a:p>
        </c:rich>
      </c:tx>
      <c:layout>
        <c:manualLayout>
          <c:xMode val="edge"/>
          <c:yMode val="edge"/>
          <c:x val="0.42703597534179194"/>
          <c:y val="1.4367816091954023E-2"/>
        </c:manualLayout>
      </c:layout>
      <c:overlay val="0"/>
      <c:spPr>
        <a:noFill/>
        <a:ln w="25400">
          <a:noFill/>
        </a:ln>
      </c:spPr>
    </c:title>
    <c:autoTitleDeleted val="0"/>
    <c:plotArea>
      <c:layout>
        <c:manualLayout>
          <c:layoutTarget val="inner"/>
          <c:xMode val="edge"/>
          <c:yMode val="edge"/>
          <c:x val="8.6021634417054321E-2"/>
          <c:y val="8.9080709749656942E-2"/>
          <c:w val="0.87711345093103599"/>
          <c:h val="0.74425496210197251"/>
        </c:manualLayout>
      </c:layout>
      <c:scatterChart>
        <c:scatterStyle val="lineMarker"/>
        <c:varyColors val="0"/>
        <c:ser>
          <c:idx val="0"/>
          <c:order val="0"/>
          <c:spPr>
            <a:ln w="28575">
              <a:noFill/>
            </a:ln>
          </c:spPr>
          <c:marker>
            <c:symbol val="diamond"/>
            <c:size val="2"/>
            <c:spPr>
              <a:solidFill>
                <a:srgbClr val="000080"/>
              </a:solidFill>
              <a:ln>
                <a:solidFill>
                  <a:srgbClr val="000080"/>
                </a:solidFill>
                <a:prstDash val="solid"/>
              </a:ln>
            </c:spPr>
          </c:marker>
          <c:xVal>
            <c:numRef>
              <c:f>Monitor!$C$5:$C$803</c:f>
              <c:numCache>
                <c:formatCode>ddd\,\ dd\-mmm\-yyyy</c:formatCode>
                <c:ptCount val="798"/>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numCache>
            </c:numRef>
          </c:xVal>
          <c:yVal>
            <c:numRef>
              <c:f>Monitor!$E$5:$E$803</c:f>
              <c:numCache>
                <c:formatCode>0.0000%</c:formatCode>
                <c:ptCount val="798"/>
                <c:pt idx="0">
                  <c:v>7.6200000000259394E-3</c:v>
                </c:pt>
                <c:pt idx="1">
                  <c:v>7.0537627089439781E-3</c:v>
                </c:pt>
                <c:pt idx="2">
                  <c:v>6.5991672096465948E-3</c:v>
                </c:pt>
                <c:pt idx="3">
                  <c:v>6.4618119800563534E-3</c:v>
                </c:pt>
                <c:pt idx="4">
                  <c:v>6.3783807143202864E-3</c:v>
                </c:pt>
                <c:pt idx="5">
                  <c:v>6.3354477735177994E-3</c:v>
                </c:pt>
                <c:pt idx="6">
                  <c:v>6.1877738203719446E-3</c:v>
                </c:pt>
                <c:pt idx="7">
                  <c:v>5.9511216401997302E-3</c:v>
                </c:pt>
                <c:pt idx="8">
                  <c:v>5.7884660181883874E-3</c:v>
                </c:pt>
                <c:pt idx="9">
                  <c:v>5.5991808242694674E-3</c:v>
                </c:pt>
                <c:pt idx="10">
                  <c:v>5.3936750585048543E-3</c:v>
                </c:pt>
                <c:pt idx="11">
                  <c:v>5.0813313220832157E-3</c:v>
                </c:pt>
                <c:pt idx="12">
                  <c:v>4.8882579676057247E-3</c:v>
                </c:pt>
                <c:pt idx="13">
                  <c:v>4.851463963841951E-3</c:v>
                </c:pt>
                <c:pt idx="14">
                  <c:v>4.8504940297888766E-3</c:v>
                </c:pt>
                <c:pt idx="15">
                  <c:v>4.8784587430539261E-3</c:v>
                </c:pt>
                <c:pt idx="16">
                  <c:v>4.9298596575919618E-3</c:v>
                </c:pt>
                <c:pt idx="17">
                  <c:v>4.9627506883975769E-3</c:v>
                </c:pt>
                <c:pt idx="18">
                  <c:v>4.9700425217746869E-3</c:v>
                </c:pt>
                <c:pt idx="19">
                  <c:v>4.971821892745254E-3</c:v>
                </c:pt>
                <c:pt idx="20">
                  <c:v>4.9423155952066367E-3</c:v>
                </c:pt>
                <c:pt idx="21">
                  <c:v>4.8990148910377229E-3</c:v>
                </c:pt>
                <c:pt idx="22">
                  <c:v>4.8736179215502773E-3</c:v>
                </c:pt>
                <c:pt idx="23">
                  <c:v>4.8486069191611136E-3</c:v>
                </c:pt>
                <c:pt idx="24">
                  <c:v>4.8239818837103599E-3</c:v>
                </c:pt>
                <c:pt idx="25">
                  <c:v>4.7760817305597669E-3</c:v>
                </c:pt>
                <c:pt idx="26">
                  <c:v>4.729341409452914E-3</c:v>
                </c:pt>
                <c:pt idx="27">
                  <c:v>4.7066462074951687E-3</c:v>
                </c:pt>
                <c:pt idx="28">
                  <c:v>4.6843369719962169E-3</c:v>
                </c:pt>
                <c:pt idx="29">
                  <c:v>4.6624137028761226E-3</c:v>
                </c:pt>
                <c:pt idx="30">
                  <c:v>4.6199130050883497E-3</c:v>
                </c:pt>
                <c:pt idx="31">
                  <c:v>4.578580289145151E-3</c:v>
                </c:pt>
                <c:pt idx="32">
                  <c:v>4.5585868510400473E-3</c:v>
                </c:pt>
                <c:pt idx="33">
                  <c:v>4.5389793789141208E-3</c:v>
                </c:pt>
                <c:pt idx="34">
                  <c:v>4.5197578726874355E-3</c:v>
                </c:pt>
                <c:pt idx="35">
                  <c:v>4.482657229036846E-3</c:v>
                </c:pt>
                <c:pt idx="36">
                  <c:v>4.4467315062135526E-3</c:v>
                </c:pt>
                <c:pt idx="37">
                  <c:v>4.4294398288435843E-3</c:v>
                </c:pt>
                <c:pt idx="38">
                  <c:v>4.4125341170531129E-3</c:v>
                </c:pt>
                <c:pt idx="39">
                  <c:v>4.3960143707622024E-3</c:v>
                </c:pt>
                <c:pt idx="40">
                  <c:v>4.3643143374971771E-3</c:v>
                </c:pt>
                <c:pt idx="41">
                  <c:v>4.3337950400346159E-3</c:v>
                </c:pt>
                <c:pt idx="42">
                  <c:v>4.3191281056476072E-3</c:v>
                </c:pt>
                <c:pt idx="43">
                  <c:v>4.3044620617482821E-3</c:v>
                </c:pt>
                <c:pt idx="44">
                  <c:v>4.2897198933022906E-3</c:v>
                </c:pt>
                <c:pt idx="45">
                  <c:v>4.2600322174646266E-3</c:v>
                </c:pt>
                <c:pt idx="46">
                  <c:v>4.2299899741315983E-3</c:v>
                </c:pt>
                <c:pt idx="47">
                  <c:v>4.2148671831121476E-3</c:v>
                </c:pt>
                <c:pt idx="48">
                  <c:v>4.1996682676259667E-3</c:v>
                </c:pt>
                <c:pt idx="49">
                  <c:v>4.1843932275931195E-3</c:v>
                </c:pt>
                <c:pt idx="50">
                  <c:v>4.1536373224371204E-3</c:v>
                </c:pt>
                <c:pt idx="51">
                  <c:v>4.1225318229543007E-3</c:v>
                </c:pt>
                <c:pt idx="52">
                  <c:v>4.1068761608276105E-3</c:v>
                </c:pt>
                <c:pt idx="53">
                  <c:v>4.0911443740743181E-3</c:v>
                </c:pt>
                <c:pt idx="54">
                  <c:v>4.0753364630941036E-3</c:v>
                </c:pt>
                <c:pt idx="55">
                  <c:v>4.0435123085291735E-3</c:v>
                </c:pt>
                <c:pt idx="56">
                  <c:v>4.0113435749855597E-3</c:v>
                </c:pt>
                <c:pt idx="57">
                  <c:v>3.9951550419914383E-3</c:v>
                </c:pt>
                <c:pt idx="58">
                  <c:v>3.9788903846904589E-3</c:v>
                </c:pt>
                <c:pt idx="59">
                  <c:v>3.9625496030826213E-3</c:v>
                </c:pt>
                <c:pt idx="60">
                  <c:v>3.9296571860791829E-3</c:v>
                </c:pt>
                <c:pt idx="61">
                  <c:v>3.8964252334228178E-3</c:v>
                </c:pt>
                <c:pt idx="62">
                  <c:v>3.8797038302806897E-3</c:v>
                </c:pt>
                <c:pt idx="63">
                  <c:v>3.8629063028317034E-3</c:v>
                </c:pt>
                <c:pt idx="64">
                  <c:v>3.8460326511557952E-3</c:v>
                </c:pt>
                <c:pt idx="65">
                  <c:v>3.8129935666209036E-3</c:v>
                </c:pt>
                <c:pt idx="66">
                  <c:v>3.7815655253581326E-3</c:v>
                </c:pt>
                <c:pt idx="67">
                  <c:v>3.7667688023912405E-3</c:v>
                </c:pt>
                <c:pt idx="68">
                  <c:v>3.7525103426183648E-3</c:v>
                </c:pt>
                <c:pt idx="69">
                  <c:v>3.7387901459595696E-3</c:v>
                </c:pt>
                <c:pt idx="70">
                  <c:v>3.7131822606539799E-3</c:v>
                </c:pt>
                <c:pt idx="71">
                  <c:v>3.6892919879871755E-3</c:v>
                </c:pt>
                <c:pt idx="72">
                  <c:v>3.6782631056198056E-3</c:v>
                </c:pt>
                <c:pt idx="73">
                  <c:v>3.6677724858069638E-3</c:v>
                </c:pt>
                <c:pt idx="74">
                  <c:v>3.6578201287085221E-3</c:v>
                </c:pt>
                <c:pt idx="75">
                  <c:v>3.6397464217508002E-3</c:v>
                </c:pt>
                <c:pt idx="76">
                  <c:v>3.623393325939972E-3</c:v>
                </c:pt>
                <c:pt idx="77">
                  <c:v>3.6161322814542984E-3</c:v>
                </c:pt>
                <c:pt idx="78">
                  <c:v>3.6094094994432169E-3</c:v>
                </c:pt>
                <c:pt idx="79">
                  <c:v>3.6032249797468552E-3</c:v>
                </c:pt>
                <c:pt idx="80">
                  <c:v>3.5926860015234041E-3</c:v>
                </c:pt>
                <c:pt idx="81">
                  <c:v>3.5838695245082874E-3</c:v>
                </c:pt>
                <c:pt idx="82">
                  <c:v>3.5803763163855251E-3</c:v>
                </c:pt>
                <c:pt idx="83">
                  <c:v>3.5774213705774827E-3</c:v>
                </c:pt>
                <c:pt idx="84">
                  <c:v>3.575004687004224E-3</c:v>
                </c:pt>
                <c:pt idx="85">
                  <c:v>3.5720009689299559E-3</c:v>
                </c:pt>
                <c:pt idx="86">
                  <c:v>3.5702710623919387E-3</c:v>
                </c:pt>
                <c:pt idx="87">
                  <c:v>3.5678486143098098E-3</c:v>
                </c:pt>
                <c:pt idx="88">
                  <c:v>3.5632673528596115E-3</c:v>
                </c:pt>
                <c:pt idx="89">
                  <c:v>3.5565272781212798E-3</c:v>
                </c:pt>
                <c:pt idx="90">
                  <c:v>3.5358858134504345E-3</c:v>
                </c:pt>
                <c:pt idx="91">
                  <c:v>3.5079788492442532E-3</c:v>
                </c:pt>
                <c:pt idx="92">
                  <c:v>3.4904447106232084E-3</c:v>
                </c:pt>
                <c:pt idx="93">
                  <c:v>3.4707517601528792E-3</c:v>
                </c:pt>
                <c:pt idx="94">
                  <c:v>3.4488999979132018E-3</c:v>
                </c:pt>
                <c:pt idx="95">
                  <c:v>3.3980325096116815E-3</c:v>
                </c:pt>
                <c:pt idx="96">
                  <c:v>3.3399048413329524E-3</c:v>
                </c:pt>
                <c:pt idx="97">
                  <c:v>3.3072590277605229E-3</c:v>
                </c:pt>
                <c:pt idx="98">
                  <c:v>3.2724544053763793E-3</c:v>
                </c:pt>
                <c:pt idx="99">
                  <c:v>3.2354909750598182E-3</c:v>
                </c:pt>
                <c:pt idx="100">
                  <c:v>3.1543957282487156E-3</c:v>
                </c:pt>
                <c:pt idx="101">
                  <c:v>3.0660491868594875E-3</c:v>
                </c:pt>
                <c:pt idx="102">
                  <c:v>3.018291726952782E-3</c:v>
                </c:pt>
                <c:pt idx="103">
                  <c:v>2.9683754635101423E-3</c:v>
                </c:pt>
                <c:pt idx="104">
                  <c:v>2.9163003976506729E-3</c:v>
                </c:pt>
                <c:pt idx="105">
                  <c:v>2.804976113672808E-3</c:v>
                </c:pt>
                <c:pt idx="106">
                  <c:v>2.6864121271508168E-3</c:v>
                </c:pt>
                <c:pt idx="107">
                  <c:v>2.6235430630361378E-3</c:v>
                </c:pt>
                <c:pt idx="108">
                  <c:v>2.5592674251839753E-3</c:v>
                </c:pt>
                <c:pt idx="109">
                  <c:v>2.4965941037713435E-3</c:v>
                </c:pt>
                <c:pt idx="110">
                  <c:v>2.3791116387883449E-3</c:v>
                </c:pt>
                <c:pt idx="111">
                  <c:v>2.2694461870553795E-3</c:v>
                </c:pt>
                <c:pt idx="112">
                  <c:v>2.2185455444745372E-3</c:v>
                </c:pt>
                <c:pt idx="113">
                  <c:v>2.1699994344626106E-3</c:v>
                </c:pt>
                <c:pt idx="114">
                  <c:v>2.1238078559804308E-3</c:v>
                </c:pt>
                <c:pt idx="115">
                  <c:v>2.0392846836791989E-3</c:v>
                </c:pt>
                <c:pt idx="116">
                  <c:v>1.9625868409622882E-3</c:v>
                </c:pt>
                <c:pt idx="117">
                  <c:v>1.9281679079785619E-3</c:v>
                </c:pt>
                <c:pt idx="118">
                  <c:v>1.896103501808355E-3</c:v>
                </c:pt>
                <c:pt idx="119">
                  <c:v>1.866393621812179E-3</c:v>
                </c:pt>
                <c:pt idx="120">
                  <c:v>1.8148314283106259E-3</c:v>
                </c:pt>
                <c:pt idx="121">
                  <c:v>1.771099353575778E-3</c:v>
                </c:pt>
                <c:pt idx="122">
                  <c:v>1.7531620970157036E-3</c:v>
                </c:pt>
                <c:pt idx="123">
                  <c:v>1.7375793639118342E-3</c:v>
                </c:pt>
                <c:pt idx="124">
                  <c:v>1.7243511539444256E-3</c:v>
                </c:pt>
                <c:pt idx="125">
                  <c:v>1.7057512252804941E-3</c:v>
                </c:pt>
                <c:pt idx="126">
                  <c:v>1.6949835408031078E-3</c:v>
                </c:pt>
                <c:pt idx="127">
                  <c:v>1.693527943560369E-3</c:v>
                </c:pt>
                <c:pt idx="128">
                  <c:v>1.6944268684149222E-3</c:v>
                </c:pt>
                <c:pt idx="129">
                  <c:v>1.6976803156865117E-3</c:v>
                </c:pt>
                <c:pt idx="130">
                  <c:v>1.7120437599871252E-3</c:v>
                </c:pt>
                <c:pt idx="131">
                  <c:v>1.7342393294228486E-3</c:v>
                </c:pt>
                <c:pt idx="132">
                  <c:v>1.7492653899786603E-3</c:v>
                </c:pt>
                <c:pt idx="133">
                  <c:v>1.766645973910741E-3</c:v>
                </c:pt>
                <c:pt idx="134">
                  <c:v>1.7863810814588987E-3</c:v>
                </c:pt>
                <c:pt idx="135">
                  <c:v>1.8337090505760045E-3</c:v>
                </c:pt>
                <c:pt idx="136">
                  <c:v>1.8888667572447559E-3</c:v>
                </c:pt>
                <c:pt idx="137">
                  <c:v>1.9203744901474806E-3</c:v>
                </c:pt>
                <c:pt idx="138">
                  <c:v>1.9542367496239166E-3</c:v>
                </c:pt>
                <c:pt idx="139">
                  <c:v>1.9904535365533604E-3</c:v>
                </c:pt>
                <c:pt idx="140">
                  <c:v>2.0707474479664256E-3</c:v>
                </c:pt>
                <c:pt idx="141">
                  <c:v>2.1588659728699611E-3</c:v>
                </c:pt>
                <c:pt idx="142">
                  <c:v>2.2068554083354286E-3</c:v>
                </c:pt>
                <c:pt idx="143">
                  <c:v>2.2571993760500675E-3</c:v>
                </c:pt>
                <c:pt idx="144">
                  <c:v>2.3098978771329826E-3</c:v>
                </c:pt>
                <c:pt idx="145">
                  <c:v>2.4231596358514906E-3</c:v>
                </c:pt>
                <c:pt idx="146">
                  <c:v>2.5442372360107157E-3</c:v>
                </c:pt>
                <c:pt idx="147">
                  <c:v>2.6087084200820954E-3</c:v>
                </c:pt>
                <c:pt idx="148">
                  <c:v>2.8186478852862962E-3</c:v>
                </c:pt>
                <c:pt idx="149">
                  <c:v>3.0449809170107756E-3</c:v>
                </c:pt>
                <c:pt idx="150">
                  <c:v>3.1259339117983842E-3</c:v>
                </c:pt>
                <c:pt idx="151">
                  <c:v>3.2476325633146175E-3</c:v>
                </c:pt>
                <c:pt idx="152">
                  <c:v>3.4306766876124328E-3</c:v>
                </c:pt>
                <c:pt idx="153">
                  <c:v>3.5597555104427414E-3</c:v>
                </c:pt>
                <c:pt idx="154">
                  <c:v>3.6170990278971971E-3</c:v>
                </c:pt>
                <c:pt idx="155">
                  <c:v>3.6701151993501213E-3</c:v>
                </c:pt>
                <c:pt idx="156">
                  <c:v>3.7188040228031127E-3</c:v>
                </c:pt>
                <c:pt idx="157">
                  <c:v>3.8017973150417106E-3</c:v>
                </c:pt>
                <c:pt idx="158">
                  <c:v>3.8702858041617105E-3</c:v>
                </c:pt>
                <c:pt idx="159">
                  <c:v>3.8973378645934531E-3</c:v>
                </c:pt>
                <c:pt idx="160">
                  <c:v>3.9200625687918489E-3</c:v>
                </c:pt>
                <c:pt idx="161">
                  <c:v>3.9384599161174094E-3</c:v>
                </c:pt>
                <c:pt idx="162">
                  <c:v>3.9608736626828289E-3</c:v>
                </c:pt>
                <c:pt idx="163">
                  <c:v>3.9687757243811461E-3</c:v>
                </c:pt>
                <c:pt idx="164">
                  <c:v>3.965536279908477E-3</c:v>
                </c:pt>
                <c:pt idx="165">
                  <c:v>3.9579694768043794E-3</c:v>
                </c:pt>
                <c:pt idx="166">
                  <c:v>3.9460753153885975E-3</c:v>
                </c:pt>
                <c:pt idx="167">
                  <c:v>3.9079048872903144E-3</c:v>
                </c:pt>
                <c:pt idx="168">
                  <c:v>3.8552250970003143E-3</c:v>
                </c:pt>
                <c:pt idx="169">
                  <c:v>3.8216941533786297E-3</c:v>
                </c:pt>
                <c:pt idx="170">
                  <c:v>3.7838358563213603E-3</c:v>
                </c:pt>
                <c:pt idx="171">
                  <c:v>3.7425935135804167E-3</c:v>
                </c:pt>
                <c:pt idx="172">
                  <c:v>3.6627011018808275E-3</c:v>
                </c:pt>
                <c:pt idx="173">
                  <c:v>3.5871757859329279E-3</c:v>
                </c:pt>
                <c:pt idx="174">
                  <c:v>3.5516525691647871E-3</c:v>
                </c:pt>
                <c:pt idx="175">
                  <c:v>3.5174618377187272E-3</c:v>
                </c:pt>
                <c:pt idx="176">
                  <c:v>3.4846035910351958E-3</c:v>
                </c:pt>
                <c:pt idx="177">
                  <c:v>3.4233612647849299E-3</c:v>
                </c:pt>
                <c:pt idx="178">
                  <c:v>3.3664954461709584E-3</c:v>
                </c:pt>
                <c:pt idx="179">
                  <c:v>3.3402996186637779E-3</c:v>
                </c:pt>
                <c:pt idx="180">
                  <c:v>3.3154362741605325E-3</c:v>
                </c:pt>
                <c:pt idx="181">
                  <c:v>3.2919054123414782E-3</c:v>
                </c:pt>
                <c:pt idx="182">
                  <c:v>3.2493146230727632E-3</c:v>
                </c:pt>
                <c:pt idx="183">
                  <c:v>3.2111067859919018E-3</c:v>
                </c:pt>
                <c:pt idx="184">
                  <c:v>3.1942383336769353E-3</c:v>
                </c:pt>
                <c:pt idx="185">
                  <c:v>3.1787023625273747E-3</c:v>
                </c:pt>
                <c:pt idx="186">
                  <c:v>3.164498872623156E-3</c:v>
                </c:pt>
                <c:pt idx="187">
                  <c:v>3.1405608926515782E-3</c:v>
                </c:pt>
                <c:pt idx="188">
                  <c:v>3.1210097209033449E-3</c:v>
                </c:pt>
                <c:pt idx="189">
                  <c:v>3.1134686344280738E-3</c:v>
                </c:pt>
                <c:pt idx="190">
                  <c:v>3.1072600283188478E-3</c:v>
                </c:pt>
                <c:pt idx="191">
                  <c:v>3.1023839025756672E-3</c:v>
                </c:pt>
                <c:pt idx="192">
                  <c:v>3.0959252842688301E-3</c:v>
                </c:pt>
                <c:pt idx="193">
                  <c:v>3.0913753256456289E-3</c:v>
                </c:pt>
                <c:pt idx="194">
                  <c:v>3.090029356869195E-3</c:v>
                </c:pt>
                <c:pt idx="195">
                  <c:v>3.0892328073228725E-3</c:v>
                </c:pt>
                <c:pt idx="196">
                  <c:v>3.0889856770066615E-3</c:v>
                </c:pt>
                <c:pt idx="197">
                  <c:v>3.0903493415213035E-3</c:v>
                </c:pt>
                <c:pt idx="198">
                  <c:v>3.0934913471636349E-3</c:v>
                </c:pt>
                <c:pt idx="199">
                  <c:v>3.0959913125983007E-3</c:v>
                </c:pt>
                <c:pt idx="200">
                  <c:v>3.099040697263078E-3</c:v>
                </c:pt>
                <c:pt idx="201">
                  <c:v>3.1026395011579666E-3</c:v>
                </c:pt>
                <c:pt idx="202">
                  <c:v>3.1116954022802901E-3</c:v>
                </c:pt>
                <c:pt idx="203">
                  <c:v>3.1225289092784436E-3</c:v>
                </c:pt>
                <c:pt idx="204">
                  <c:v>3.1288748095636976E-3</c:v>
                </c:pt>
                <c:pt idx="205">
                  <c:v>3.135770129158999E-3</c:v>
                </c:pt>
                <c:pt idx="206">
                  <c:v>3.143214868144284E-3</c:v>
                </c:pt>
                <c:pt idx="207">
                  <c:v>3.1599634809076349E-3</c:v>
                </c:pt>
                <c:pt idx="208">
                  <c:v>3.1784880187046838E-3</c:v>
                </c:pt>
                <c:pt idx="209">
                  <c:v>3.1886798551195028E-3</c:v>
                </c:pt>
                <c:pt idx="210">
                  <c:v>3.1994211111641135E-3</c:v>
                </c:pt>
                <c:pt idx="211">
                  <c:v>3.2107117869983881E-3</c:v>
                </c:pt>
                <c:pt idx="212">
                  <c:v>3.2351536098840228E-3</c:v>
                </c:pt>
                <c:pt idx="213">
                  <c:v>3.2608375558940139E-3</c:v>
                </c:pt>
                <c:pt idx="214">
                  <c:v>3.271688539285833E-3</c:v>
                </c:pt>
                <c:pt idx="215">
                  <c:v>3.2799021508367332E-3</c:v>
                </c:pt>
                <c:pt idx="216">
                  <c:v>3.2861413721363419E-3</c:v>
                </c:pt>
                <c:pt idx="217">
                  <c:v>3.2737990058873123E-3</c:v>
                </c:pt>
                <c:pt idx="218">
                  <c:v>3.2635510128731227E-3</c:v>
                </c:pt>
                <c:pt idx="219">
                  <c:v>3.2506656481778862E-3</c:v>
                </c:pt>
                <c:pt idx="220">
                  <c:v>3.2161324128132662E-3</c:v>
                </c:pt>
                <c:pt idx="221">
                  <c:v>3.172750479620845E-3</c:v>
                </c:pt>
                <c:pt idx="222">
                  <c:v>3.1466782621958345E-3</c:v>
                </c:pt>
                <c:pt idx="223">
                  <c:v>3.117968675727667E-3</c:v>
                </c:pt>
                <c:pt idx="224">
                  <c:v>3.086621720695959E-3</c:v>
                </c:pt>
                <c:pt idx="225">
                  <c:v>3.0151618377782796E-3</c:v>
                </c:pt>
                <c:pt idx="226">
                  <c:v>2.9348602309209326E-3</c:v>
                </c:pt>
                <c:pt idx="227">
                  <c:v>2.8903264452218025E-3</c:v>
                </c:pt>
                <c:pt idx="228">
                  <c:v>2.8431552960750395E-3</c:v>
                </c:pt>
                <c:pt idx="229">
                  <c:v>2.7933467845198123E-3</c:v>
                </c:pt>
                <c:pt idx="230">
                  <c:v>2.6849585808008669E-3</c:v>
                </c:pt>
                <c:pt idx="231">
                  <c:v>2.567739136996039E-3</c:v>
                </c:pt>
                <c:pt idx="232">
                  <c:v>2.5047438309844239E-3</c:v>
                </c:pt>
                <c:pt idx="233">
                  <c:v>2.4400181697536993E-3</c:v>
                </c:pt>
                <c:pt idx="234">
                  <c:v>2.2899815740262675E-3</c:v>
                </c:pt>
                <c:pt idx="235">
                  <c:v>2.153924491166137E-3</c:v>
                </c:pt>
                <c:pt idx="236">
                  <c:v>2.1051196715404785E-3</c:v>
                </c:pt>
                <c:pt idx="237">
                  <c:v>2.0591194877184194E-3</c:v>
                </c:pt>
                <c:pt idx="238">
                  <c:v>2.0159239388206629E-3</c:v>
                </c:pt>
                <c:pt idx="239">
                  <c:v>1.938892059811792E-3</c:v>
                </c:pt>
                <c:pt idx="240">
                  <c:v>1.8711880716892892E-3</c:v>
                </c:pt>
                <c:pt idx="241">
                  <c:v>1.8420156829446199E-3</c:v>
                </c:pt>
                <c:pt idx="242">
                  <c:v>1.8156479238484735E-3</c:v>
                </c:pt>
                <c:pt idx="243">
                  <c:v>1.7920847938412976E-3</c:v>
                </c:pt>
                <c:pt idx="244">
                  <c:v>1.7543158436605921E-3</c:v>
                </c:pt>
                <c:pt idx="245">
                  <c:v>1.725878555030036E-3</c:v>
                </c:pt>
                <c:pt idx="246">
                  <c:v>1.7163385636731476E-3</c:v>
                </c:pt>
                <c:pt idx="247">
                  <c:v>1.7096031991670202E-3</c:v>
                </c:pt>
                <c:pt idx="248">
                  <c:v>1.7056724611919094E-3</c:v>
                </c:pt>
                <c:pt idx="249">
                  <c:v>1.7071678359226183E-3</c:v>
                </c:pt>
                <c:pt idx="250">
                  <c:v>1.7179957748414409E-3</c:v>
                </c:pt>
                <c:pt idx="251">
                  <c:v>1.7280881699210937E-3</c:v>
                </c:pt>
                <c:pt idx="252">
                  <c:v>1.7409851921712516E-3</c:v>
                </c:pt>
                <c:pt idx="253">
                  <c:v>1.7566868417517867E-3</c:v>
                </c:pt>
                <c:pt idx="254">
                  <c:v>1.7959351427343506E-3</c:v>
                </c:pt>
                <c:pt idx="255">
                  <c:v>1.8413207743339655E-3</c:v>
                </c:pt>
                <c:pt idx="256">
                  <c:v>1.8670116547170323E-3</c:v>
                </c:pt>
                <c:pt idx="257">
                  <c:v>1.8944986868874025E-3</c:v>
                </c:pt>
                <c:pt idx="258">
                  <c:v>1.9237818710848842E-3</c:v>
                </c:pt>
                <c:pt idx="259">
                  <c:v>1.9883463962511172E-3</c:v>
                </c:pt>
                <c:pt idx="260">
                  <c:v>2.0588761379780607E-3</c:v>
                </c:pt>
                <c:pt idx="261">
                  <c:v>2.0971400898250891E-3</c:v>
                </c:pt>
                <c:pt idx="262">
                  <c:v>2.1372001967367993E-3</c:v>
                </c:pt>
                <c:pt idx="263">
                  <c:v>2.1790564593526796E-3</c:v>
                </c:pt>
                <c:pt idx="264">
                  <c:v>2.2687704695734112E-3</c:v>
                </c:pt>
                <c:pt idx="265">
                  <c:v>2.3644430801272875E-3</c:v>
                </c:pt>
                <c:pt idx="266">
                  <c:v>2.4152801313359618E-3</c:v>
                </c:pt>
                <c:pt idx="267">
                  <c:v>2.4679133424854172E-3</c:v>
                </c:pt>
                <c:pt idx="268">
                  <c:v>2.5223427142151422E-3</c:v>
                </c:pt>
                <c:pt idx="269">
                  <c:v>2.6372079797809533E-3</c:v>
                </c:pt>
                <c:pt idx="270">
                  <c:v>2.758021824842416E-3</c:v>
                </c:pt>
                <c:pt idx="271">
                  <c:v>2.8214320126629389E-3</c:v>
                </c:pt>
                <c:pt idx="272">
                  <c:v>2.8866383665793194E-3</c:v>
                </c:pt>
                <c:pt idx="273">
                  <c:v>2.9536408873909181E-3</c:v>
                </c:pt>
                <c:pt idx="274">
                  <c:v>3.0936597374786601E-3</c:v>
                </c:pt>
                <c:pt idx="275">
                  <c:v>3.2387540883593857E-3</c:v>
                </c:pt>
                <c:pt idx="276">
                  <c:v>3.3095860251552978E-3</c:v>
                </c:pt>
                <c:pt idx="277">
                  <c:v>3.3770626981244334E-3</c:v>
                </c:pt>
                <c:pt idx="278">
                  <c:v>3.4411841051884551E-3</c:v>
                </c:pt>
                <c:pt idx="279">
                  <c:v>3.558277858308756E-3</c:v>
                </c:pt>
                <c:pt idx="280">
                  <c:v>3.6641170412998747E-3</c:v>
                </c:pt>
                <c:pt idx="281">
                  <c:v>3.7114620945377652E-3</c:v>
                </c:pt>
                <c:pt idx="282">
                  <c:v>3.755451872518023E-3</c:v>
                </c:pt>
                <c:pt idx="283">
                  <c:v>3.7960863742014794E-3</c:v>
                </c:pt>
                <c:pt idx="284">
                  <c:v>3.866212636891575E-3</c:v>
                </c:pt>
                <c:pt idx="285">
                  <c:v>3.9250715959049387E-3</c:v>
                </c:pt>
                <c:pt idx="286">
                  <c:v>3.9489297005967927E-3</c:v>
                </c:pt>
                <c:pt idx="287">
                  <c:v>3.9694325234762573E-3</c:v>
                </c:pt>
                <c:pt idx="288">
                  <c:v>3.9865800639837801E-3</c:v>
                </c:pt>
                <c:pt idx="289">
                  <c:v>4.0097355285428904E-3</c:v>
                </c:pt>
                <c:pt idx="290">
                  <c:v>4.0216173945406553E-3</c:v>
                </c:pt>
                <c:pt idx="291">
                  <c:v>4.0219885179926251E-3</c:v>
                </c:pt>
                <c:pt idx="292">
                  <c:v>4.0190043576338041E-3</c:v>
                </c:pt>
                <c:pt idx="293">
                  <c:v>4.0126649136240644E-3</c:v>
                </c:pt>
                <c:pt idx="294">
                  <c:v>3.9888459433345957E-3</c:v>
                </c:pt>
                <c:pt idx="295">
                  <c:v>3.9537543049927848E-3</c:v>
                </c:pt>
                <c:pt idx="296">
                  <c:v>3.9306384467252542E-3</c:v>
                </c:pt>
                <c:pt idx="297">
                  <c:v>3.9048579836808983E-3</c:v>
                </c:pt>
                <c:pt idx="298">
                  <c:v>3.879175621683828E-3</c:v>
                </c:pt>
                <c:pt idx="299">
                  <c:v>3.8304809115263794E-3</c:v>
                </c:pt>
                <c:pt idx="300">
                  <c:v>3.7843339463705661E-3</c:v>
                </c:pt>
                <c:pt idx="301">
                  <c:v>3.7625954699116448E-3</c:v>
                </c:pt>
                <c:pt idx="302">
                  <c:v>3.7416457700167882E-3</c:v>
                </c:pt>
                <c:pt idx="303">
                  <c:v>3.7214848466859962E-3</c:v>
                </c:pt>
                <c:pt idx="304">
                  <c:v>3.6838299494856841E-3</c:v>
                </c:pt>
                <c:pt idx="305">
                  <c:v>3.64872891564616E-3</c:v>
                </c:pt>
                <c:pt idx="306">
                  <c:v>3.6325118729774175E-3</c:v>
                </c:pt>
                <c:pt idx="307">
                  <c:v>3.617083605993443E-3</c:v>
                </c:pt>
                <c:pt idx="308">
                  <c:v>3.6024441146942365E-3</c:v>
                </c:pt>
                <c:pt idx="309">
                  <c:v>3.5758299014609918E-3</c:v>
                </c:pt>
                <c:pt idx="310">
                  <c:v>3.5517739046664332E-3</c:v>
                </c:pt>
                <c:pt idx="311">
                  <c:v>3.5410782904321536E-3</c:v>
                </c:pt>
                <c:pt idx="312">
                  <c:v>3.5311714514030257E-3</c:v>
                </c:pt>
                <c:pt idx="313">
                  <c:v>3.5220533874991133E-3</c:v>
                </c:pt>
                <c:pt idx="314">
                  <c:v>3.506480663135747E-3</c:v>
                </c:pt>
                <c:pt idx="315">
                  <c:v>3.493468882016515E-3</c:v>
                </c:pt>
                <c:pt idx="316">
                  <c:v>3.4882946929393199E-3</c:v>
                </c:pt>
                <c:pt idx="317">
                  <c:v>3.4839092786675963E-3</c:v>
                </c:pt>
                <c:pt idx="318">
                  <c:v>3.4803126392013439E-3</c:v>
                </c:pt>
                <c:pt idx="319">
                  <c:v>3.4757821674968881E-3</c:v>
                </c:pt>
                <c:pt idx="320">
                  <c:v>3.4737932452966191E-3</c:v>
                </c:pt>
                <c:pt idx="321">
                  <c:v>3.474016976889871E-3</c:v>
                </c:pt>
                <c:pt idx="322">
                  <c:v>3.4749059804006777E-3</c:v>
                </c:pt>
                <c:pt idx="323">
                  <c:v>3.4764602559889113E-3</c:v>
                </c:pt>
                <c:pt idx="324">
                  <c:v>3.4818200551534062E-3</c:v>
                </c:pt>
                <c:pt idx="325">
                  <c:v>3.4893300784766268E-3</c:v>
                </c:pt>
                <c:pt idx="326">
                  <c:v>3.494210714212187E-3</c:v>
                </c:pt>
                <c:pt idx="327">
                  <c:v>3.4997566221051102E-3</c:v>
                </c:pt>
                <c:pt idx="328">
                  <c:v>3.5059678021553964E-3</c:v>
                </c:pt>
                <c:pt idx="329">
                  <c:v>3.5206421657996145E-3</c:v>
                </c:pt>
                <c:pt idx="330">
                  <c:v>3.5374652441699794E-3</c:v>
                </c:pt>
                <c:pt idx="331">
                  <c:v>3.547002785486697E-3</c:v>
                </c:pt>
                <c:pt idx="332">
                  <c:v>3.5572055991206497E-3</c:v>
                </c:pt>
                <c:pt idx="333">
                  <c:v>3.5680736852317096E-3</c:v>
                </c:pt>
                <c:pt idx="334">
                  <c:v>3.5920632733343894E-3</c:v>
                </c:pt>
                <c:pt idx="335">
                  <c:v>3.6181987555661266E-3</c:v>
                </c:pt>
                <c:pt idx="336">
                  <c:v>3.6323932048620833E-3</c:v>
                </c:pt>
                <c:pt idx="337">
                  <c:v>3.6472529271147636E-3</c:v>
                </c:pt>
                <c:pt idx="338">
                  <c:v>3.6627779222442314E-3</c:v>
                </c:pt>
                <c:pt idx="339">
                  <c:v>3.6960834359778261E-3</c:v>
                </c:pt>
                <c:pt idx="340">
                  <c:v>3.7315306343277399E-3</c:v>
                </c:pt>
                <c:pt idx="341">
                  <c:v>3.7503819955997386E-3</c:v>
                </c:pt>
                <c:pt idx="342">
                  <c:v>3.769294862552286E-3</c:v>
                </c:pt>
                <c:pt idx="343">
                  <c:v>3.7858541633628562E-3</c:v>
                </c:pt>
                <c:pt idx="344">
                  <c:v>3.8091552869801149E-3</c:v>
                </c:pt>
                <c:pt idx="345">
                  <c:v>3.8225180197137831E-3</c:v>
                </c:pt>
                <c:pt idx="346">
                  <c:v>3.8242906459196035E-3</c:v>
                </c:pt>
                <c:pt idx="347">
                  <c:v>3.8231059367888065E-3</c:v>
                </c:pt>
                <c:pt idx="348">
                  <c:v>3.8189638924013281E-3</c:v>
                </c:pt>
                <c:pt idx="349">
                  <c:v>3.8008621482443772E-3</c:v>
                </c:pt>
                <c:pt idx="350">
                  <c:v>3.7728223646027459E-3</c:v>
                </c:pt>
                <c:pt idx="351">
                  <c:v>3.7538936465697503E-3</c:v>
                </c:pt>
                <c:pt idx="352">
                  <c:v>3.7320075949587306E-3</c:v>
                </c:pt>
                <c:pt idx="353">
                  <c:v>3.707164210249303E-3</c:v>
                </c:pt>
                <c:pt idx="354">
                  <c:v>3.6476566250964737E-3</c:v>
                </c:pt>
                <c:pt idx="355">
                  <c:v>3.5782173541765161E-3</c:v>
                </c:pt>
                <c:pt idx="356">
                  <c:v>3.5385873148463531E-3</c:v>
                </c:pt>
                <c:pt idx="357">
                  <c:v>3.4959999471340097E-3</c:v>
                </c:pt>
                <c:pt idx="358">
                  <c:v>3.4504552521585907E-3</c:v>
                </c:pt>
                <c:pt idx="359">
                  <c:v>3.3495392725324535E-3</c:v>
                </c:pt>
                <c:pt idx="360">
                  <c:v>3.2387032234471036E-3</c:v>
                </c:pt>
                <c:pt idx="361">
                  <c:v>3.1783719106215358E-3</c:v>
                </c:pt>
                <c:pt idx="362">
                  <c:v>3.1150832782067539E-3</c:v>
                </c:pt>
                <c:pt idx="363">
                  <c:v>3.0497453268374386E-3</c:v>
                </c:pt>
                <c:pt idx="364">
                  <c:v>2.9255794468863172E-3</c:v>
                </c:pt>
                <c:pt idx="365">
                  <c:v>2.8096682671652218E-3</c:v>
                </c:pt>
                <c:pt idx="366">
                  <c:v>2.7558756814194396E-3</c:v>
                </c:pt>
                <c:pt idx="367">
                  <c:v>2.7045737651043567E-3</c:v>
                </c:pt>
                <c:pt idx="368">
                  <c:v>2.655762517020932E-3</c:v>
                </c:pt>
                <c:pt idx="369">
                  <c:v>2.5664605382758054E-3</c:v>
                </c:pt>
                <c:pt idx="370">
                  <c:v>2.4854241885385875E-3</c:v>
                </c:pt>
                <c:pt idx="371">
                  <c:v>2.4490662678644526E-3</c:v>
                </c:pt>
                <c:pt idx="372">
                  <c:v>2.4151990102261323E-3</c:v>
                </c:pt>
                <c:pt idx="373">
                  <c:v>2.383822414904202E-3</c:v>
                </c:pt>
                <c:pt idx="374">
                  <c:v>2.3293865002749214E-3</c:v>
                </c:pt>
                <c:pt idx="375">
                  <c:v>2.2832226442304204E-3</c:v>
                </c:pt>
                <c:pt idx="376">
                  <c:v>2.2642993516974741E-3</c:v>
                </c:pt>
                <c:pt idx="377">
                  <c:v>2.2478667182834755E-3</c:v>
                </c:pt>
                <c:pt idx="378">
                  <c:v>2.2339247436686804E-3</c:v>
                </c:pt>
                <c:pt idx="379">
                  <c:v>2.2143566095689238E-3</c:v>
                </c:pt>
                <c:pt idx="380">
                  <c:v>2.20306342864518E-3</c:v>
                </c:pt>
                <c:pt idx="381">
                  <c:v>2.2015747449088963E-3</c:v>
                </c:pt>
                <c:pt idx="382">
                  <c:v>2.2025767190125833E-3</c:v>
                </c:pt>
                <c:pt idx="383">
                  <c:v>2.2060693510361773E-3</c:v>
                </c:pt>
                <c:pt idx="384">
                  <c:v>2.2213705151852281E-3</c:v>
                </c:pt>
                <c:pt idx="385">
                  <c:v>2.2450225232439891E-3</c:v>
                </c:pt>
                <c:pt idx="386">
                  <c:v>2.2614248252406099E-3</c:v>
                </c:pt>
                <c:pt idx="387">
                  <c:v>2.2807741646513335E-3</c:v>
                </c:pt>
                <c:pt idx="388">
                  <c:v>2.3030705421955844E-3</c:v>
                </c:pt>
                <c:pt idx="389">
                  <c:v>2.3575021974053811E-3</c:v>
                </c:pt>
                <c:pt idx="390">
                  <c:v>2.4217264441794839E-3</c:v>
                </c:pt>
                <c:pt idx="391">
                  <c:v>2.4587580213442095E-3</c:v>
                </c:pt>
                <c:pt idx="392">
                  <c:v>2.4987366408790734E-3</c:v>
                </c:pt>
                <c:pt idx="393">
                  <c:v>2.5416623037433084E-3</c:v>
                </c:pt>
                <c:pt idx="394">
                  <c:v>2.637356431485216E-3</c:v>
                </c:pt>
                <c:pt idx="395">
                  <c:v>2.7428354111158626E-3</c:v>
                </c:pt>
                <c:pt idx="396">
                  <c:v>2.8004963079730771E-3</c:v>
                </c:pt>
                <c:pt idx="397">
                  <c:v>2.8611042557535882E-3</c:v>
                </c:pt>
                <c:pt idx="398">
                  <c:v>2.9246592557363726E-3</c:v>
                </c:pt>
                <c:pt idx="399">
                  <c:v>3.0616188035992309E-3</c:v>
                </c:pt>
                <c:pt idx="400">
                  <c:v>3.2083498104640285E-3</c:v>
                </c:pt>
                <c:pt idx="401">
                  <c:v>3.2866400965581022E-3</c:v>
                </c:pt>
                <c:pt idx="402">
                  <c:v>3.367877445406009E-3</c:v>
                </c:pt>
                <c:pt idx="403">
                  <c:v>3.5857597070987346E-3</c:v>
                </c:pt>
                <c:pt idx="404">
                  <c:v>3.8182702024158743E-3</c:v>
                </c:pt>
                <c:pt idx="405">
                  <c:v>3.9159537275246237E-3</c:v>
                </c:pt>
                <c:pt idx="406">
                  <c:v>4.010403106162741E-3</c:v>
                </c:pt>
                <c:pt idx="407">
                  <c:v>4.2242489085686508E-3</c:v>
                </c:pt>
                <c:pt idx="408">
                  <c:v>4.4155940257795123E-3</c:v>
                </c:pt>
                <c:pt idx="409">
                  <c:v>4.4832209938050482E-3</c:v>
                </c:pt>
                <c:pt idx="410">
                  <c:v>4.5463775501897175E-3</c:v>
                </c:pt>
                <c:pt idx="411">
                  <c:v>4.6050636926953104E-3</c:v>
                </c:pt>
                <c:pt idx="412">
                  <c:v>4.7075961434384084E-3</c:v>
                </c:pt>
                <c:pt idx="413">
                  <c:v>4.7951040821203605E-3</c:v>
                </c:pt>
                <c:pt idx="414">
                  <c:v>4.8314381254144223E-3</c:v>
                </c:pt>
                <c:pt idx="415">
                  <c:v>4.8633017442778481E-3</c:v>
                </c:pt>
                <c:pt idx="416">
                  <c:v>4.890694937351725E-3</c:v>
                </c:pt>
                <c:pt idx="417">
                  <c:v>4.9306474291732627E-3</c:v>
                </c:pt>
                <c:pt idx="418">
                  <c:v>4.9555634344056188E-3</c:v>
                </c:pt>
                <c:pt idx="419">
                  <c:v>4.9606044868610866E-3</c:v>
                </c:pt>
                <c:pt idx="420">
                  <c:v>4.9611751099298829E-3</c:v>
                </c:pt>
                <c:pt idx="421">
                  <c:v>4.9572753036120076E-3</c:v>
                </c:pt>
                <c:pt idx="422">
                  <c:v>4.9346418998208463E-3</c:v>
                </c:pt>
                <c:pt idx="423">
                  <c:v>4.8969717899893794E-3</c:v>
                </c:pt>
                <c:pt idx="424">
                  <c:v>4.8707198422537346E-3</c:v>
                </c:pt>
                <c:pt idx="425">
                  <c:v>4.8399974684887326E-3</c:v>
                </c:pt>
                <c:pt idx="426">
                  <c:v>4.8048046699733504E-3</c:v>
                </c:pt>
                <c:pt idx="427">
                  <c:v>4.7283985482504676E-3</c:v>
                </c:pt>
                <c:pt idx="428">
                  <c:v>4.6555842448370299E-3</c:v>
                </c:pt>
                <c:pt idx="429">
                  <c:v>4.6215560871853967E-3</c:v>
                </c:pt>
                <c:pt idx="430">
                  <c:v>4.5889366944784626E-3</c:v>
                </c:pt>
                <c:pt idx="431">
                  <c:v>4.5577260665563557E-3</c:v>
                </c:pt>
                <c:pt idx="432">
                  <c:v>4.5000569406816737E-3</c:v>
                </c:pt>
                <c:pt idx="433">
                  <c:v>4.4469711946426571E-3</c:v>
                </c:pt>
                <c:pt idx="434">
                  <c:v>4.4228043850491616E-3</c:v>
                </c:pt>
                <c:pt idx="435">
                  <c:v>4.4000463381621557E-3</c:v>
                </c:pt>
                <c:pt idx="436">
                  <c:v>4.3786970538217673E-3</c:v>
                </c:pt>
                <c:pt idx="437">
                  <c:v>4.3407466965650343E-3</c:v>
                </c:pt>
                <c:pt idx="438">
                  <c:v>4.3073875364108005E-3</c:v>
                </c:pt>
                <c:pt idx="439">
                  <c:v>4.2930820610465048E-3</c:v>
                </c:pt>
                <c:pt idx="440">
                  <c:v>4.2801853468699136E-3</c:v>
                </c:pt>
                <c:pt idx="441">
                  <c:v>4.2686973938010908E-3</c:v>
                </c:pt>
                <c:pt idx="442">
                  <c:v>4.2504675409205106E-3</c:v>
                </c:pt>
                <c:pt idx="443">
                  <c:v>4.2368331898856582E-3</c:v>
                </c:pt>
                <c:pt idx="444">
                  <c:v>4.2323890405970843E-3</c:v>
                </c:pt>
                <c:pt idx="445">
                  <c:v>4.2293536516968544E-3</c:v>
                </c:pt>
                <c:pt idx="446">
                  <c:v>4.2277270233448405E-3</c:v>
                </c:pt>
                <c:pt idx="447">
                  <c:v>4.2292193180060167E-3</c:v>
                </c:pt>
                <c:pt idx="448">
                  <c:v>4.2352475920726107E-3</c:v>
                </c:pt>
                <c:pt idx="449">
                  <c:v>4.2403016314196407E-3</c:v>
                </c:pt>
                <c:pt idx="450">
                  <c:v>4.2464012964327225E-3</c:v>
                </c:pt>
                <c:pt idx="451">
                  <c:v>4.2535465874316003E-3</c:v>
                </c:pt>
                <c:pt idx="452">
                  <c:v>4.2713732676435967E-3</c:v>
                </c:pt>
                <c:pt idx="453">
                  <c:v>4.2925840112051361E-3</c:v>
                </c:pt>
                <c:pt idx="454">
                  <c:v>4.3049574325326745E-3</c:v>
                </c:pt>
                <c:pt idx="455">
                  <c:v>4.3183764803256253E-3</c:v>
                </c:pt>
                <c:pt idx="456">
                  <c:v>4.3328411545040524E-3</c:v>
                </c:pt>
                <c:pt idx="457">
                  <c:v>4.3653088569772791E-3</c:v>
                </c:pt>
                <c:pt idx="458">
                  <c:v>4.401156118909455E-3</c:v>
                </c:pt>
                <c:pt idx="459">
                  <c:v>4.4208489274932816E-3</c:v>
                </c:pt>
                <c:pt idx="460">
                  <c:v>4.4415873636616254E-3</c:v>
                </c:pt>
                <c:pt idx="461">
                  <c:v>4.4633714272546143E-3</c:v>
                </c:pt>
                <c:pt idx="462">
                  <c:v>4.5104814913177194E-3</c:v>
                </c:pt>
                <c:pt idx="463">
                  <c:v>4.5609639613086728E-3</c:v>
                </c:pt>
                <c:pt idx="464">
                  <c:v>4.5879761657818818E-3</c:v>
                </c:pt>
                <c:pt idx="465">
                  <c:v>4.616033999118585E-3</c:v>
                </c:pt>
                <c:pt idx="466">
                  <c:v>4.7076500187372972E-3</c:v>
                </c:pt>
                <c:pt idx="467">
                  <c:v>4.8055760880227893E-3</c:v>
                </c:pt>
                <c:pt idx="468">
                  <c:v>4.8363745462864927E-3</c:v>
                </c:pt>
                <c:pt idx="469">
                  <c:v>4.863639850301027E-3</c:v>
                </c:pt>
                <c:pt idx="470">
                  <c:v>4.9064601420401033E-3</c:v>
                </c:pt>
                <c:pt idx="471">
                  <c:v>4.9373695086796232E-3</c:v>
                </c:pt>
                <c:pt idx="472">
                  <c:v>4.9469690312964332E-3</c:v>
                </c:pt>
                <c:pt idx="473">
                  <c:v>4.9530353962268237E-3</c:v>
                </c:pt>
                <c:pt idx="474">
                  <c:v>4.9555686034707946E-3</c:v>
                </c:pt>
                <c:pt idx="475">
                  <c:v>4.9489258567447791E-3</c:v>
                </c:pt>
                <c:pt idx="476">
                  <c:v>4.9303698551828035E-3</c:v>
                </c:pt>
                <c:pt idx="477">
                  <c:v>4.9152372747141015E-3</c:v>
                </c:pt>
                <c:pt idx="478">
                  <c:v>4.896571537678085E-3</c:v>
                </c:pt>
                <c:pt idx="479">
                  <c:v>4.874372644474434E-3</c:v>
                </c:pt>
                <c:pt idx="480">
                  <c:v>4.8182621603753972E-3</c:v>
                </c:pt>
                <c:pt idx="481">
                  <c:v>4.7502455258108256E-3</c:v>
                </c:pt>
                <c:pt idx="482">
                  <c:v>4.7103808641590916E-3</c:v>
                </c:pt>
                <c:pt idx="483">
                  <c:v>4.6669830520151834E-3</c:v>
                </c:pt>
                <c:pt idx="484">
                  <c:v>4.6200520904982056E-3</c:v>
                </c:pt>
                <c:pt idx="485">
                  <c:v>4.5144696184795663E-3</c:v>
                </c:pt>
                <c:pt idx="486">
                  <c:v>4.3969967805157495E-3</c:v>
                </c:pt>
                <c:pt idx="487">
                  <c:v>4.3324000952349451E-3</c:v>
                </c:pt>
                <c:pt idx="488">
                  <c:v>4.2642702704931423E-3</c:v>
                </c:pt>
                <c:pt idx="489">
                  <c:v>4.1926073083686788E-3</c:v>
                </c:pt>
                <c:pt idx="490">
                  <c:v>4.0474410268132033E-3</c:v>
                </c:pt>
                <c:pt idx="491">
                  <c:v>3.9112881758196494E-3</c:v>
                </c:pt>
                <c:pt idx="492">
                  <c:v>3.8483362251273689E-3</c:v>
                </c:pt>
                <c:pt idx="493">
                  <c:v>3.7884453069025881E-3</c:v>
                </c:pt>
                <c:pt idx="494">
                  <c:v>3.7316154196265217E-3</c:v>
                </c:pt>
                <c:pt idx="495">
                  <c:v>3.6281956380879166E-3</c:v>
                </c:pt>
                <c:pt idx="496">
                  <c:v>3.5349061530709491E-3</c:v>
                </c:pt>
                <c:pt idx="497">
                  <c:v>3.4933814007143127E-3</c:v>
                </c:pt>
                <c:pt idx="498">
                  <c:v>3.4549176718723373E-3</c:v>
                </c:pt>
                <c:pt idx="499">
                  <c:v>3.4195149655058543E-3</c:v>
                </c:pt>
                <c:pt idx="500">
                  <c:v>3.3589442958792404E-3</c:v>
                </c:pt>
                <c:pt idx="501">
                  <c:v>3.3085143481681456E-3</c:v>
                </c:pt>
                <c:pt idx="502">
                  <c:v>3.2884167423485877E-3</c:v>
                </c:pt>
                <c:pt idx="503">
                  <c:v>3.2713801547679111E-3</c:v>
                </c:pt>
                <c:pt idx="504">
                  <c:v>3.2574045850264355E-3</c:v>
                </c:pt>
                <c:pt idx="505">
                  <c:v>3.239685990514829E-3</c:v>
                </c:pt>
                <c:pt idx="506">
                  <c:v>3.2321124782175303E-3</c:v>
                </c:pt>
                <c:pt idx="507">
                  <c:v>3.2334419938351289E-3</c:v>
                </c:pt>
                <c:pt idx="508">
                  <c:v>3.2378325262527596E-3</c:v>
                </c:pt>
                <c:pt idx="509">
                  <c:v>3.2452840756302948E-3</c:v>
                </c:pt>
                <c:pt idx="510">
                  <c:v>3.2704202748323752E-3</c:v>
                </c:pt>
                <c:pt idx="511">
                  <c:v>3.3057004477754504E-3</c:v>
                </c:pt>
                <c:pt idx="512">
                  <c:v>3.3279401189201252E-3</c:v>
                </c:pt>
                <c:pt idx="513">
                  <c:v>3.3506559717189077E-3</c:v>
                </c:pt>
                <c:pt idx="514">
                  <c:v>3.3733310389028048E-3</c:v>
                </c:pt>
                <c:pt idx="515">
                  <c:v>3.4185776825879088E-3</c:v>
                </c:pt>
                <c:pt idx="516">
                  <c:v>3.463623449810882E-3</c:v>
                </c:pt>
                <c:pt idx="517">
                  <c:v>3.6200649163120602E-3</c:v>
                </c:pt>
                <c:pt idx="518">
                  <c:v>3.7745078771322937E-3</c:v>
                </c:pt>
                <c:pt idx="519">
                  <c:v>3.9269523297136288E-3</c:v>
                </c:pt>
                <c:pt idx="520">
                  <c:v>4.0773982716579837E-3</c:v>
                </c:pt>
                <c:pt idx="521">
                  <c:v>4.2258457002475325E-3</c:v>
                </c:pt>
                <c:pt idx="522">
                  <c:v>4.3722946131641294E-3</c:v>
                </c:pt>
                <c:pt idx="523">
                  <c:v>4.5167450080096927E-3</c:v>
                </c:pt>
                <c:pt idx="524">
                  <c:v>4.6591968822262686E-3</c:v>
                </c:pt>
                <c:pt idx="525">
                  <c:v>4.7996502334957114E-3</c:v>
                </c:pt>
                <c:pt idx="526">
                  <c:v>4.9381050594998754E-3</c:v>
                </c:pt>
                <c:pt idx="527">
                  <c:v>5.074561357920615E-3</c:v>
                </c:pt>
                <c:pt idx="528">
                  <c:v>5.2090191265197205E-3</c:v>
                </c:pt>
                <c:pt idx="529">
                  <c:v>5.3414783629790463E-3</c:v>
                </c:pt>
                <c:pt idx="530">
                  <c:v>5.4719390651403188E-3</c:v>
                </c:pt>
                <c:pt idx="531">
                  <c:v>5.6004012309252005E-3</c:v>
                </c:pt>
                <c:pt idx="532">
                  <c:v>5.7268648579356096E-3</c:v>
                </c:pt>
                <c:pt idx="533">
                  <c:v>5.851329944412953E-3</c:v>
                </c:pt>
                <c:pt idx="534">
                  <c:v>5.9737964880390848E-3</c:v>
                </c:pt>
                <c:pt idx="535">
                  <c:v>6.0942644868156037E-3</c:v>
                </c:pt>
                <c:pt idx="536">
                  <c:v>6.2127339387441083E-3</c:v>
                </c:pt>
                <c:pt idx="537">
                  <c:v>6.329204841826197E-3</c:v>
                </c:pt>
                <c:pt idx="538">
                  <c:v>6.4436771942233406E-3</c:v>
                </c:pt>
                <c:pt idx="539">
                  <c:v>6.5561509940170737E-3</c:v>
                </c:pt>
                <c:pt idx="540">
                  <c:v>6.6666262392089948E-3</c:v>
                </c:pt>
                <c:pt idx="541">
                  <c:v>6.7751029280405106E-3</c:v>
                </c:pt>
                <c:pt idx="542">
                  <c:v>6.8815810586730919E-3</c:v>
                </c:pt>
                <c:pt idx="543">
                  <c:v>6.9860606293481453E-3</c:v>
                </c:pt>
                <c:pt idx="544">
                  <c:v>7.0885416384669497E-3</c:v>
                </c:pt>
                <c:pt idx="545">
                  <c:v>7.2032155709766954E-3</c:v>
                </c:pt>
                <c:pt idx="546">
                  <c:v>7.2875079646816943E-3</c:v>
                </c:pt>
                <c:pt idx="547">
                  <c:v>7.383993278500256E-3</c:v>
                </c:pt>
                <c:pt idx="548">
                  <c:v>7.4784800240479399E-3</c:v>
                </c:pt>
                <c:pt idx="549">
                  <c:v>7.5709681997260247E-3</c:v>
                </c:pt>
                <c:pt idx="550">
                  <c:v>7.6614578039357895E-3</c:v>
                </c:pt>
                <c:pt idx="551">
                  <c:v>7.749948835238385E-3</c:v>
                </c:pt>
                <c:pt idx="552">
                  <c:v>7.8364412921150262E-3</c:v>
                </c:pt>
                <c:pt idx="553">
                  <c:v>7.920935173126864E-3</c:v>
                </c:pt>
                <c:pt idx="554">
                  <c:v>8.0034304769149855E-3</c:v>
                </c:pt>
                <c:pt idx="555">
                  <c:v>8.0839272020405417E-3</c:v>
                </c:pt>
                <c:pt idx="556">
                  <c:v>8.1624253472245556E-3</c:v>
                </c:pt>
                <c:pt idx="557">
                  <c:v>8.2389249111880503E-3</c:v>
                </c:pt>
                <c:pt idx="558">
                  <c:v>8.3134258924921767E-3</c:v>
                </c:pt>
                <c:pt idx="559">
                  <c:v>8.38592829001783E-3</c:v>
                </c:pt>
                <c:pt idx="560">
                  <c:v>8.4564321025659694E-3</c:v>
                </c:pt>
                <c:pt idx="561">
                  <c:v>8.5441431633803688E-3</c:v>
                </c:pt>
                <c:pt idx="562">
                  <c:v>8.5914439680134791E-3</c:v>
                </c:pt>
                <c:pt idx="563">
                  <c:v>8.6650043043157154E-3</c:v>
                </c:pt>
                <c:pt idx="564">
                  <c:v>8.7184614798019311E-3</c:v>
                </c:pt>
                <c:pt idx="565">
                  <c:v>8.7789723504361206E-3</c:v>
                </c:pt>
                <c:pt idx="566">
                  <c:v>8.8374846294581033E-3</c:v>
                </c:pt>
                <c:pt idx="567">
                  <c:v>8.8940074161492078E-3</c:v>
                </c:pt>
                <c:pt idx="568">
                  <c:v>8.950051339011722E-3</c:v>
                </c:pt>
                <c:pt idx="569">
                  <c:v>9.0067721205233653E-3</c:v>
                </c:pt>
                <c:pt idx="570">
                  <c:v>9.0641697609239458E-3</c:v>
                </c:pt>
                <c:pt idx="571">
                  <c:v>9.1222442606131438E-3</c:v>
                </c:pt>
                <c:pt idx="572">
                  <c:v>9.1809956199107035E-3</c:v>
                </c:pt>
                <c:pt idx="573">
                  <c:v>9.2404238391363691E-3</c:v>
                </c:pt>
                <c:pt idx="574">
                  <c:v>9.300528918609885E-3</c:v>
                </c:pt>
                <c:pt idx="575">
                  <c:v>9.3613108587309313E-3</c:v>
                </c:pt>
                <c:pt idx="576">
                  <c:v>9.4227696597393162E-3</c:v>
                </c:pt>
                <c:pt idx="577">
                  <c:v>9.4849053220347201E-3</c:v>
                </c:pt>
                <c:pt idx="578">
                  <c:v>9.5477178460967593E-3</c:v>
                </c:pt>
                <c:pt idx="579">
                  <c:v>9.6112072320053699E-3</c:v>
                </c:pt>
                <c:pt idx="580">
                  <c:v>9.6753734803201041E-3</c:v>
                </c:pt>
                <c:pt idx="581">
                  <c:v>9.7402165913607064E-3</c:v>
                </c:pt>
                <c:pt idx="582">
                  <c:v>9.8057365654469208E-3</c:v>
                </c:pt>
                <c:pt idx="583">
                  <c:v>9.8719334030583639E-3</c:v>
                </c:pt>
                <c:pt idx="584">
                  <c:v>9.9388071044348436E-3</c:v>
                </c:pt>
                <c:pt idx="585">
                  <c:v>1.0006357670055976E-2</c:v>
                </c:pt>
                <c:pt idx="586">
                  <c:v>1.0074585100241507E-2</c:v>
                </c:pt>
                <c:pt idx="587">
                  <c:v>1.0143489395391114E-2</c:v>
                </c:pt>
                <c:pt idx="588">
                  <c:v>1.021307055590448E-2</c:v>
                </c:pt>
                <c:pt idx="589">
                  <c:v>1.0283328582101348E-2</c:v>
                </c:pt>
                <c:pt idx="590">
                  <c:v>1.035426347454127E-2</c:v>
                </c:pt>
                <c:pt idx="591">
                  <c:v>1.0425875233464055E-2</c:v>
                </c:pt>
                <c:pt idx="592">
                  <c:v>1.0498163859429255E-2</c:v>
                </c:pt>
                <c:pt idx="593">
                  <c:v>1.0571129352676678E-2</c:v>
                </c:pt>
                <c:pt idx="594">
                  <c:v>1.0644771713685941E-2</c:v>
                </c:pt>
                <c:pt idx="595">
                  <c:v>1.071909094293666E-2</c:v>
                </c:pt>
                <c:pt idx="596">
                  <c:v>1.0794087040748579E-2</c:v>
                </c:pt>
                <c:pt idx="597">
                  <c:v>1.0891505178225458E-2</c:v>
                </c:pt>
                <c:pt idx="598">
                  <c:v>1.0957072218023001E-2</c:v>
                </c:pt>
                <c:pt idx="599">
                  <c:v>1.1023136550027957E-2</c:v>
                </c:pt>
                <c:pt idx="600">
                  <c:v>1.1100840126561096E-2</c:v>
                </c:pt>
                <c:pt idx="601">
                  <c:v>1.1179220573813708E-2</c:v>
                </c:pt>
                <c:pt idx="602">
                  <c:v>1.1258277892265411E-2</c:v>
                </c:pt>
                <c:pt idx="603">
                  <c:v>1.1338012082395821E-2</c:v>
                </c:pt>
                <c:pt idx="604">
                  <c:v>1.1418423144604617E-2</c:v>
                </c:pt>
                <c:pt idx="605">
                  <c:v>1.149951107929148E-2</c:v>
                </c:pt>
                <c:pt idx="606">
                  <c:v>1.1581275887095899E-2</c:v>
                </c:pt>
                <c:pt idx="607">
                  <c:v>1.1663717568257681E-2</c:v>
                </c:pt>
                <c:pt idx="608">
                  <c:v>1.1746836123416315E-2</c:v>
                </c:pt>
                <c:pt idx="609">
                  <c:v>1.1830631552971482E-2</c:v>
                </c:pt>
                <c:pt idx="610">
                  <c:v>1.1915103857402798E-2</c:v>
                </c:pt>
                <c:pt idx="611">
                  <c:v>1.2024705698365779E-2</c:v>
                </c:pt>
                <c:pt idx="612">
                  <c:v>1.2086079092812341E-2</c:v>
                </c:pt>
                <c:pt idx="613">
                  <c:v>1.2172582024669865E-2</c:v>
                </c:pt>
                <c:pt idx="614">
                  <c:v>1.2259761833401939E-2</c:v>
                </c:pt>
                <c:pt idx="615">
                  <c:v>1.2354133596006456E-2</c:v>
                </c:pt>
                <c:pt idx="616">
                  <c:v>1.2436152083248331E-2</c:v>
                </c:pt>
                <c:pt idx="617">
                  <c:v>1.2525362525401817E-2</c:v>
                </c:pt>
                <c:pt idx="618">
                  <c:v>1.2615249846268384E-2</c:v>
                </c:pt>
                <c:pt idx="619">
                  <c:v>1.2705814046407582E-2</c:v>
                </c:pt>
                <c:pt idx="620">
                  <c:v>1.2796613598204942E-2</c:v>
                </c:pt>
                <c:pt idx="621">
                  <c:v>1.288707138610512E-2</c:v>
                </c:pt>
                <c:pt idx="622">
                  <c:v>1.2977183933289282E-2</c:v>
                </c:pt>
                <c:pt idx="623">
                  <c:v>1.3066951239357749E-2</c:v>
                </c:pt>
                <c:pt idx="624">
                  <c:v>1.3156373304230584E-2</c:v>
                </c:pt>
                <c:pt idx="625">
                  <c:v>1.3245450127508107E-2</c:v>
                </c:pt>
                <c:pt idx="626">
                  <c:v>1.333418170895051E-2</c:v>
                </c:pt>
                <c:pt idx="627">
                  <c:v>1.3422568048477856E-2</c:v>
                </c:pt>
                <c:pt idx="628">
                  <c:v>1.351060914561053E-2</c:v>
                </c:pt>
                <c:pt idx="629">
                  <c:v>1.3598305000108724E-2</c:v>
                </c:pt>
                <c:pt idx="630">
                  <c:v>1.36856556118925E-2</c:v>
                </c:pt>
                <c:pt idx="631">
                  <c:v>1.3772660980562179E-2</c:v>
                </c:pt>
                <c:pt idx="632">
                  <c:v>1.3859321105957889E-2</c:v>
                </c:pt>
                <c:pt idx="633">
                  <c:v>1.3945635987759886E-2</c:v>
                </c:pt>
                <c:pt idx="634">
                  <c:v>1.4031605625808297E-2</c:v>
                </c:pt>
                <c:pt idx="635">
                  <c:v>1.4117230019703442E-2</c:v>
                </c:pt>
                <c:pt idx="636">
                  <c:v>1.4202509169365385E-2</c:v>
                </c:pt>
                <c:pt idx="637">
                  <c:v>1.4287443074474382E-2</c:v>
                </c:pt>
                <c:pt idx="638">
                  <c:v>1.4372031734710689E-2</c:v>
                </c:pt>
                <c:pt idx="639">
                  <c:v>1.4456275149994369E-2</c:v>
                </c:pt>
                <c:pt idx="640">
                  <c:v>1.4540173319925742E-2</c:v>
                </c:pt>
                <c:pt idx="641">
                  <c:v>1.4623726244424873E-2</c:v>
                </c:pt>
                <c:pt idx="642">
                  <c:v>1.470693392309208E-2</c:v>
                </c:pt>
                <c:pt idx="643">
                  <c:v>1.4789796355767493E-2</c:v>
                </c:pt>
                <c:pt idx="644">
                  <c:v>1.4872313542211302E-2</c:v>
                </c:pt>
                <c:pt idx="645">
                  <c:v>1.4954485482183699E-2</c:v>
                </c:pt>
                <c:pt idx="646">
                  <c:v>1.5036312175364941E-2</c:v>
                </c:pt>
                <c:pt idx="647">
                  <c:v>1.5117793621755027E-2</c:v>
                </c:pt>
                <c:pt idx="648">
                  <c:v>1.5198929820874341E-2</c:v>
                </c:pt>
                <c:pt idx="649">
                  <c:v>1.529188131894621E-2</c:v>
                </c:pt>
                <c:pt idx="650">
                  <c:v>1.536622643823371E-2</c:v>
                </c:pt>
                <c:pt idx="651">
                  <c:v>1.5440266932689184E-2</c:v>
                </c:pt>
                <c:pt idx="652">
                  <c:v>1.5520022140806944E-2</c:v>
                </c:pt>
                <c:pt idx="653">
                  <c:v>1.5599432100454891E-2</c:v>
                </c:pt>
                <c:pt idx="654">
                  <c:v>1.5678496811633025E-2</c:v>
                </c:pt>
                <c:pt idx="655">
                  <c:v>1.5757216274021602E-2</c:v>
                </c:pt>
                <c:pt idx="656">
                  <c:v>1.5835590487300877E-2</c:v>
                </c:pt>
                <c:pt idx="657">
                  <c:v>1.5913619451390915E-2</c:v>
                </c:pt>
                <c:pt idx="658">
                  <c:v>1.5991303165971971E-2</c:v>
                </c:pt>
                <c:pt idx="659">
                  <c:v>1.6068641630884173E-2</c:v>
                </c:pt>
                <c:pt idx="660">
                  <c:v>1.6145634845887713E-2</c:v>
                </c:pt>
                <c:pt idx="661">
                  <c:v>1.6222282810662847E-2</c:v>
                </c:pt>
                <c:pt idx="662">
                  <c:v>1.6298585525129639E-2</c:v>
                </c:pt>
                <c:pt idx="663">
                  <c:v>1.637454298904828E-2</c:v>
                </c:pt>
                <c:pt idx="664">
                  <c:v>1.6450155202178962E-2</c:v>
                </c:pt>
                <c:pt idx="665">
                  <c:v>1.6525422164201942E-2</c:v>
                </c:pt>
                <c:pt idx="666">
                  <c:v>1.6621686664652913E-2</c:v>
                </c:pt>
                <c:pt idx="667">
                  <c:v>1.6674920334445176E-2</c:v>
                </c:pt>
                <c:pt idx="668">
                  <c:v>1.6749151542185814E-2</c:v>
                </c:pt>
                <c:pt idx="669">
                  <c:v>1.6823037498019389E-2</c:v>
                </c:pt>
                <c:pt idx="670">
                  <c:v>1.6896578201786028E-2</c:v>
                </c:pt>
                <c:pt idx="671">
                  <c:v>1.6969773653245923E-2</c:v>
                </c:pt>
                <c:pt idx="672">
                  <c:v>1.7042700128264698E-2</c:v>
                </c:pt>
                <c:pt idx="673">
                  <c:v>1.7115521913666498E-2</c:v>
                </c:pt>
                <c:pt idx="674">
                  <c:v>1.7188244876917835E-2</c:v>
                </c:pt>
                <c:pt idx="675">
                  <c:v>1.7260869017858838E-2</c:v>
                </c:pt>
                <c:pt idx="676">
                  <c:v>1.7333394336409569E-2</c:v>
                </c:pt>
                <c:pt idx="677">
                  <c:v>1.7405820832490093E-2</c:v>
                </c:pt>
                <c:pt idx="678">
                  <c:v>1.7478148506180347E-2</c:v>
                </c:pt>
                <c:pt idx="679">
                  <c:v>1.7550377357240521E-2</c:v>
                </c:pt>
                <c:pt idx="680">
                  <c:v>1.7622507385750552E-2</c:v>
                </c:pt>
                <c:pt idx="681">
                  <c:v>1.7694538591550568E-2</c:v>
                </c:pt>
                <c:pt idx="682">
                  <c:v>1.7766470974720505E-2</c:v>
                </c:pt>
                <c:pt idx="683">
                  <c:v>1.7838304535020555E-2</c:v>
                </c:pt>
                <c:pt idx="684">
                  <c:v>1.7910039272450717E-2</c:v>
                </c:pt>
                <c:pt idx="685">
                  <c:v>1.7981675187090929E-2</c:v>
                </c:pt>
                <c:pt idx="686">
                  <c:v>1.805321227870138E-2</c:v>
                </c:pt>
                <c:pt idx="687">
                  <c:v>1.8124650547282073E-2</c:v>
                </c:pt>
                <c:pt idx="688">
                  <c:v>1.8195989992833006E-2</c:v>
                </c:pt>
                <c:pt idx="689">
                  <c:v>1.8267230615194308E-2</c:v>
                </c:pt>
                <c:pt idx="690">
                  <c:v>1.8338372414445914E-2</c:v>
                </c:pt>
                <c:pt idx="691">
                  <c:v>1.8409415390427952E-2</c:v>
                </c:pt>
                <c:pt idx="692">
                  <c:v>1.8480359542980551E-2</c:v>
                </c:pt>
                <c:pt idx="693">
                  <c:v>1.8551204872263583E-2</c:v>
                </c:pt>
                <c:pt idx="694">
                  <c:v>1.8621951378117174E-2</c:v>
                </c:pt>
                <c:pt idx="695">
                  <c:v>1.869259906046139E-2</c:v>
                </c:pt>
                <c:pt idx="696">
                  <c:v>1.876314791929623E-2</c:v>
                </c:pt>
                <c:pt idx="697">
                  <c:v>1.8833597954541759E-2</c:v>
                </c:pt>
                <c:pt idx="698">
                  <c:v>1.8903949166038103E-2</c:v>
                </c:pt>
                <c:pt idx="699">
                  <c:v>1.89742015538652E-2</c:v>
                </c:pt>
                <c:pt idx="700">
                  <c:v>1.9044355117943113E-2</c:v>
                </c:pt>
                <c:pt idx="701">
                  <c:v>1.9114409858191905E-2</c:v>
                </c:pt>
                <c:pt idx="702">
                  <c:v>1.9199855183646974E-2</c:v>
                </c:pt>
                <c:pt idx="703">
                  <c:v>1.9264194384254196E-2</c:v>
                </c:pt>
                <c:pt idx="704">
                  <c:v>1.9333938534948913E-2</c:v>
                </c:pt>
                <c:pt idx="705">
                  <c:v>1.9403583861494766E-2</c:v>
                </c:pt>
                <c:pt idx="706">
                  <c:v>1.9473130363891755E-2</c:v>
                </c:pt>
                <c:pt idx="707">
                  <c:v>1.9542578042219816E-2</c:v>
                </c:pt>
                <c:pt idx="708">
                  <c:v>1.961192689623914E-2</c:v>
                </c:pt>
                <c:pt idx="709">
                  <c:v>1.9681176925949728E-2</c:v>
                </c:pt>
                <c:pt idx="710">
                  <c:v>1.975032813135158E-2</c:v>
                </c:pt>
                <c:pt idx="711">
                  <c:v>1.9819380512284823E-2</c:v>
                </c:pt>
                <c:pt idx="712">
                  <c:v>1.9888334068749458E-2</c:v>
                </c:pt>
                <c:pt idx="713">
                  <c:v>1.9957188800665548E-2</c:v>
                </c:pt>
                <c:pt idx="714">
                  <c:v>2.0025944708033094E-2</c:v>
                </c:pt>
                <c:pt idx="715">
                  <c:v>2.009460179077216E-2</c:v>
                </c:pt>
                <c:pt idx="716">
                  <c:v>2.0163160048802808E-2</c:v>
                </c:pt>
                <c:pt idx="717">
                  <c:v>2.0251161168634013E-2</c:v>
                </c:pt>
                <c:pt idx="718">
                  <c:v>2.0319493541434142E-2</c:v>
                </c:pt>
                <c:pt idx="719">
                  <c:v>2.0404068908284057E-2</c:v>
                </c:pt>
                <c:pt idx="720">
                  <c:v>2.045586181226966E-2</c:v>
                </c:pt>
                <c:pt idx="721">
                  <c:v>2.0523897710225114E-2</c:v>
                </c:pt>
                <c:pt idx="722">
                  <c:v>2.0591834783152407E-2</c:v>
                </c:pt>
                <c:pt idx="723">
                  <c:v>2.0659673030971604E-2</c:v>
                </c:pt>
                <c:pt idx="724">
                  <c:v>2.0727370051600857E-2</c:v>
                </c:pt>
                <c:pt idx="725">
                  <c:v>2.0794870421934064E-2</c:v>
                </c:pt>
                <c:pt idx="726">
                  <c:v>2.0862173807998374E-2</c:v>
                </c:pt>
                <c:pt idx="727">
                  <c:v>2.092928020955398E-2</c:v>
                </c:pt>
                <c:pt idx="728">
                  <c:v>2.0996189626600881E-2</c:v>
                </c:pt>
                <c:pt idx="729">
                  <c:v>2.1062902059139077E-2</c:v>
                </c:pt>
                <c:pt idx="730">
                  <c:v>2.1129417506768888E-2</c:v>
                </c:pt>
                <c:pt idx="731">
                  <c:v>2.1195735969650187E-2</c:v>
                </c:pt>
                <c:pt idx="732">
                  <c:v>2.1261857447543164E-2</c:v>
                </c:pt>
                <c:pt idx="733">
                  <c:v>2.1327781940367885E-2</c:v>
                </c:pt>
                <c:pt idx="734">
                  <c:v>2.1393509447964476E-2</c:v>
                </c:pt>
                <c:pt idx="735">
                  <c:v>2.1459039970332938E-2</c:v>
                </c:pt>
                <c:pt idx="736">
                  <c:v>2.1524373507313399E-2</c:v>
                </c:pt>
                <c:pt idx="737">
                  <c:v>2.1589510058745986E-2</c:v>
                </c:pt>
                <c:pt idx="738">
                  <c:v>2.1654449624550764E-2</c:v>
                </c:pt>
                <c:pt idx="739">
                  <c:v>2.1719192204727733E-2</c:v>
                </c:pt>
                <c:pt idx="740">
                  <c:v>2.1783737799037084E-2</c:v>
                </c:pt>
                <c:pt idx="741">
                  <c:v>2.1848086407398881E-2</c:v>
                </c:pt>
                <c:pt idx="742">
                  <c:v>2.1912238029733189E-2</c:v>
                </c:pt>
                <c:pt idx="743">
                  <c:v>2.197619266596007E-2</c:v>
                </c:pt>
                <c:pt idx="744">
                  <c:v>2.2039950315919654E-2</c:v>
                </c:pt>
                <c:pt idx="745">
                  <c:v>2.2103510979532004E-2</c:v>
                </c:pt>
                <c:pt idx="746">
                  <c:v>2.2166874656717184E-2</c:v>
                </c:pt>
                <c:pt idx="747">
                  <c:v>2.2230041347315321E-2</c:v>
                </c:pt>
                <c:pt idx="748">
                  <c:v>2.2293011051246481E-2</c:v>
                </c:pt>
                <c:pt idx="749">
                  <c:v>2.2355783768430726E-2</c:v>
                </c:pt>
                <c:pt idx="750">
                  <c:v>2.2418359498708185E-2</c:v>
                </c:pt>
                <c:pt idx="751">
                  <c:v>2.2480738242078857E-2</c:v>
                </c:pt>
                <c:pt idx="752">
                  <c:v>2.2542919998302935E-2</c:v>
                </c:pt>
                <c:pt idx="753">
                  <c:v>2.2620290754085115E-2</c:v>
                </c:pt>
                <c:pt idx="754">
                  <c:v>2.2682047979059039E-2</c:v>
                </c:pt>
                <c:pt idx="755">
                  <c:v>2.2728283343775857E-2</c:v>
                </c:pt>
                <c:pt idx="756">
                  <c:v>2.2789677150694132E-2</c:v>
                </c:pt>
                <c:pt idx="757">
                  <c:v>2.2850873970066132E-2</c:v>
                </c:pt>
                <c:pt idx="758">
                  <c:v>2.2911873801811922E-2</c:v>
                </c:pt>
                <c:pt idx="759">
                  <c:v>2.2972676645771628E-2</c:v>
                </c:pt>
                <c:pt idx="760">
                  <c:v>2.3033282501785379E-2</c:v>
                </c:pt>
                <c:pt idx="761">
                  <c:v>2.3093691369853175E-2</c:v>
                </c:pt>
                <c:pt idx="762">
                  <c:v>2.315390324989508E-2</c:v>
                </c:pt>
                <c:pt idx="763">
                  <c:v>2.3213918141671286E-2</c:v>
                </c:pt>
                <c:pt idx="764">
                  <c:v>2.3273736045181792E-2</c:v>
                </c:pt>
                <c:pt idx="765">
                  <c:v>2.3333356960346663E-2</c:v>
                </c:pt>
                <c:pt idx="766">
                  <c:v>2.3392780887006026E-2</c:v>
                </c:pt>
                <c:pt idx="767">
                  <c:v>2.3471949742669196E-2</c:v>
                </c:pt>
                <c:pt idx="768">
                  <c:v>2.3511037774568422E-2</c:v>
                </c:pt>
                <c:pt idx="769">
                  <c:v>2.3569870735311582E-2</c:v>
                </c:pt>
                <c:pt idx="770">
                  <c:v>2.3628506707149555E-2</c:v>
                </c:pt>
                <c:pt idx="771">
                  <c:v>2.3686945690002403E-2</c:v>
                </c:pt>
                <c:pt idx="772">
                  <c:v>2.3745187683870128E-2</c:v>
                </c:pt>
                <c:pt idx="773">
                  <c:v>2.3803232688512921E-2</c:v>
                </c:pt>
                <c:pt idx="774">
                  <c:v>2.3861080704010718E-2</c:v>
                </c:pt>
                <c:pt idx="775">
                  <c:v>2.3918731730043774E-2</c:v>
                </c:pt>
                <c:pt idx="776">
                  <c:v>2.3976168660055919E-2</c:v>
                </c:pt>
                <c:pt idx="777">
                  <c:v>2.403328977837127E-2</c:v>
                </c:pt>
                <c:pt idx="778">
                  <c:v>2.4090077978113911E-2</c:v>
                </c:pt>
                <c:pt idx="779">
                  <c:v>2.4146533259203906E-2</c:v>
                </c:pt>
                <c:pt idx="780">
                  <c:v>2.4202655621401448E-2</c:v>
                </c:pt>
                <c:pt idx="781">
                  <c:v>2.4258445064706535E-2</c:v>
                </c:pt>
                <c:pt idx="782">
                  <c:v>2.4313901588799425E-2</c:v>
                </c:pt>
                <c:pt idx="783">
                  <c:v>2.4369025193520244E-2</c:v>
                </c:pt>
                <c:pt idx="784">
                  <c:v>2.4423815878948929E-2</c:v>
                </c:pt>
                <c:pt idx="785">
                  <c:v>2.4478273644605864E-2</c:v>
                </c:pt>
                <c:pt idx="786">
                  <c:v>2.4532398490570984E-2</c:v>
                </c:pt>
                <c:pt idx="787">
                  <c:v>2.4586190416604481E-2</c:v>
                </c:pt>
                <c:pt idx="788">
                  <c:v>2.4639649422546483E-2</c:v>
                </c:pt>
                <c:pt idx="789">
                  <c:v>2.4692775508396991E-2</c:v>
                </c:pt>
                <c:pt idx="790">
                  <c:v>2.4745568673756324E-2</c:v>
                </c:pt>
                <c:pt idx="791">
                  <c:v>2.4798028918704418E-2</c:v>
                </c:pt>
                <c:pt idx="792">
                  <c:v>2.4850156243001464E-2</c:v>
                </c:pt>
                <c:pt idx="793">
                  <c:v>2.4901950646487592E-2</c:v>
                </c:pt>
                <c:pt idx="794">
                  <c:v>2.4953412129002928E-2</c:v>
                </c:pt>
                <c:pt idx="795">
                  <c:v>2.5004540690467536E-2</c:v>
                </c:pt>
                <c:pt idx="796">
                  <c:v>2.5055336330721545E-2</c:v>
                </c:pt>
                <c:pt idx="797">
                  <c:v>2.5105799049525146E-2</c:v>
                </c:pt>
              </c:numCache>
            </c:numRef>
          </c:yVal>
          <c:smooth val="0"/>
        </c:ser>
        <c:dLbls>
          <c:showLegendKey val="0"/>
          <c:showVal val="0"/>
          <c:showCatName val="0"/>
          <c:showSerName val="0"/>
          <c:showPercent val="0"/>
          <c:showBubbleSize val="0"/>
        </c:dLbls>
        <c:axId val="339680640"/>
        <c:axId val="339699200"/>
      </c:scatterChart>
      <c:valAx>
        <c:axId val="339680640"/>
        <c:scaling>
          <c:orientation val="minMax"/>
          <c:max val="42461"/>
          <c:min val="42004"/>
        </c:scaling>
        <c:delete val="0"/>
        <c:axPos val="b"/>
        <c:numFmt formatCode="mmm\ yy" sourceLinked="0"/>
        <c:majorTickMark val="out"/>
        <c:minorTickMark val="in"/>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39699200"/>
        <c:crossesAt val="-2E-3"/>
        <c:crossBetween val="midCat"/>
        <c:majorUnit val="91.3125"/>
        <c:minorUnit val="30.4375"/>
      </c:valAx>
      <c:valAx>
        <c:axId val="339699200"/>
        <c:scaling>
          <c:orientation val="minMax"/>
          <c:max val="0.01"/>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680640"/>
        <c:crosses val="autoZero"/>
        <c:crossBetween val="midCat"/>
        <c:majorUnit val="2E-3"/>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5</xdr:col>
      <xdr:colOff>171450</xdr:colOff>
      <xdr:row>1</xdr:row>
      <xdr:rowOff>85725</xdr:rowOff>
    </xdr:from>
    <xdr:to>
      <xdr:col>13</xdr:col>
      <xdr:colOff>361950</xdr:colOff>
      <xdr:row>22</xdr:row>
      <xdr:rowOff>133350</xdr:rowOff>
    </xdr:to>
    <xdr:graphicFrame macro="[0]!Format1Y">
      <xdr:nvGraphicFramePr>
        <xdr:cNvPr id="10" name="Fwd_6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9</xdr:col>
          <xdr:colOff>495300</xdr:colOff>
          <xdr:row>27</xdr:row>
          <xdr:rowOff>85725</xdr:rowOff>
        </xdr:from>
        <xdr:to>
          <xdr:col>10</xdr:col>
          <xdr:colOff>447675</xdr:colOff>
          <xdr:row>31</xdr:row>
          <xdr:rowOff>66675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19050</xdr:colOff>
          <xdr:row>27</xdr:row>
          <xdr:rowOff>85725</xdr:rowOff>
        </xdr:from>
        <xdr:to>
          <xdr:col>9</xdr:col>
          <xdr:colOff>238125</xdr:colOff>
          <xdr:row>31</xdr:row>
          <xdr:rowOff>66675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266700</xdr:colOff>
          <xdr:row>27</xdr:row>
          <xdr:rowOff>95250</xdr:rowOff>
        </xdr:from>
        <xdr:to>
          <xdr:col>11</xdr:col>
          <xdr:colOff>819150</xdr:colOff>
          <xdr:row>31</xdr:row>
          <xdr:rowOff>76200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32</xdr:row>
          <xdr:rowOff>133350</xdr:rowOff>
        </xdr:from>
        <xdr:to>
          <xdr:col>10</xdr:col>
          <xdr:colOff>95250</xdr:colOff>
          <xdr:row>36</xdr:row>
          <xdr:rowOff>114300</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Insert</a:t>
              </a:r>
            </a:p>
            <a:p>
              <a:pPr algn="ctr" rtl="0">
                <a:defRPr sz="1000"/>
              </a:pPr>
              <a:r>
                <a:rPr lang="en-US" sz="1100" b="0" i="0" u="none" strike="noStrike" baseline="0">
                  <a:solidFill>
                    <a:srgbClr val="000000"/>
                  </a:solidFill>
                  <a:latin typeface="Calibri"/>
                </a:rPr>
                <a:t>Mkt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295275</xdr:colOff>
          <xdr:row>32</xdr:row>
          <xdr:rowOff>123825</xdr:rowOff>
        </xdr:from>
        <xdr:to>
          <xdr:col>11</xdr:col>
          <xdr:colOff>809625</xdr:colOff>
          <xdr:row>36</xdr:row>
          <xdr:rowOff>104775</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Delete </a:t>
              </a:r>
            </a:p>
            <a:p>
              <a:pPr algn="ctr" rtl="0">
                <a:defRPr sz="1000"/>
              </a:pPr>
              <a:r>
                <a:rPr lang="en-US" sz="1100" b="0" i="0" u="none" strike="noStrike" baseline="0">
                  <a:solidFill>
                    <a:srgbClr val="000000"/>
                  </a:solidFill>
                  <a:latin typeface="Calibri"/>
                </a:rPr>
                <a:t>Mkt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561975</xdr:colOff>
          <xdr:row>57</xdr:row>
          <xdr:rowOff>95250</xdr:rowOff>
        </xdr:from>
        <xdr:to>
          <xdr:col>11</xdr:col>
          <xdr:colOff>47625</xdr:colOff>
          <xdr:row>61</xdr:row>
          <xdr:rowOff>66675</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a:p>
              <a:pPr algn="ctr" rtl="0">
                <a:defRPr sz="1000"/>
              </a:pPr>
              <a:r>
                <a:rPr lang="en-US" sz="1100" b="0" i="0" u="none" strike="noStrike" baseline="0">
                  <a:solidFill>
                    <a:srgbClr val="000000"/>
                  </a:solidFill>
                  <a:latin typeface="Calibri"/>
                </a:rPr>
                <a:t> ON Fwd</a:t>
              </a:r>
            </a:p>
          </xdr:txBody>
        </xdr:sp>
        <xdr:clientData fPrintsWithSheet="0"/>
      </xdr:twoCellAnchor>
    </mc:Choice>
    <mc:Fallback/>
  </mc:AlternateContent>
  <xdr:twoCellAnchor>
    <xdr:from>
      <xdr:col>5</xdr:col>
      <xdr:colOff>195261</xdr:colOff>
      <xdr:row>37</xdr:row>
      <xdr:rowOff>114300</xdr:rowOff>
    </xdr:from>
    <xdr:to>
      <xdr:col>13</xdr:col>
      <xdr:colOff>390524</xdr:colOff>
      <xdr:row>57</xdr:row>
      <xdr:rowOff>0</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142875</xdr:colOff>
      <xdr:row>15</xdr:row>
      <xdr:rowOff>104775</xdr:rowOff>
    </xdr:to>
    <xdr:graphicFrame macro="">
      <xdr:nvGraphicFramePr>
        <xdr:cNvPr id="2"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16</xdr:row>
      <xdr:rowOff>0</xdr:rowOff>
    </xdr:from>
    <xdr:to>
      <xdr:col>9</xdr:col>
      <xdr:colOff>295275</xdr:colOff>
      <xdr:row>31</xdr:row>
      <xdr:rowOff>9525</xdr:rowOff>
    </xdr:to>
    <xdr:graphicFrame macro="">
      <xdr:nvGraphicFramePr>
        <xdr:cNvPr id="3"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32</xdr:row>
      <xdr:rowOff>0</xdr:rowOff>
    </xdr:from>
    <xdr:to>
      <xdr:col>9</xdr:col>
      <xdr:colOff>323850</xdr:colOff>
      <xdr:row>47</xdr:row>
      <xdr:rowOff>9525</xdr:rowOff>
    </xdr:to>
    <xdr:graphicFrame macro="">
      <xdr:nvGraphicFramePr>
        <xdr:cNvPr id="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48</xdr:row>
      <xdr:rowOff>0</xdr:rowOff>
    </xdr:from>
    <xdr:to>
      <xdr:col>9</xdr:col>
      <xdr:colOff>323850</xdr:colOff>
      <xdr:row>71</xdr:row>
      <xdr:rowOff>85725</xdr:rowOff>
    </xdr:to>
    <xdr:graphicFrame macro="">
      <xdr:nvGraphicFramePr>
        <xdr:cNvPr id="5" name="Chart 72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3" sqref="D13"/>
    </sheetView>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43" t="s">
        <v>103</v>
      </c>
      <c r="C2" s="244"/>
      <c r="D2" s="244"/>
      <c r="E2" s="244"/>
      <c r="F2" s="245"/>
      <c r="K2" s="243" t="s">
        <v>124</v>
      </c>
      <c r="L2" s="244"/>
      <c r="M2" s="244"/>
      <c r="N2" s="246"/>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43" t="s">
        <v>120</v>
      </c>
      <c r="L9" s="244"/>
      <c r="M9" s="244"/>
      <c r="N9" s="246"/>
    </row>
    <row r="10" spans="2:14" ht="12.75" x14ac:dyDescent="0.2">
      <c r="B10" s="29"/>
      <c r="C10" s="55" t="s">
        <v>89</v>
      </c>
      <c r="D10" s="30" t="b">
        <v>1</v>
      </c>
      <c r="E10" s="27"/>
      <c r="F10" s="26"/>
      <c r="K10" s="89"/>
      <c r="L10" s="91"/>
      <c r="M10" s="91"/>
      <c r="N10" s="86"/>
    </row>
    <row r="11" spans="2:14" ht="12.75" x14ac:dyDescent="0.2">
      <c r="B11" s="29"/>
      <c r="C11" s="55" t="s">
        <v>88</v>
      </c>
      <c r="D11" s="54"/>
      <c r="E11" s="27"/>
      <c r="F11" s="26"/>
      <c r="K11" s="89"/>
      <c r="L11" s="88" t="s">
        <v>119</v>
      </c>
      <c r="M11" s="90" t="s">
        <v>118</v>
      </c>
      <c r="N11" s="86"/>
    </row>
    <row r="12" spans="2:14" ht="12.75" x14ac:dyDescent="0.2">
      <c r="B12" s="29"/>
      <c r="C12" s="53" t="s">
        <v>87</v>
      </c>
      <c r="D12" s="52" t="b">
        <v>0</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_EURYC6M#0001</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41788</v>
      </c>
      <c r="D27" s="32">
        <f>MAX(_xll.ohPack(Selected!I1:I126))</f>
        <v>1</v>
      </c>
      <c r="E27" s="27"/>
      <c r="F27" s="26"/>
    </row>
    <row r="28" spans="2:6" x14ac:dyDescent="0.2">
      <c r="B28" s="29"/>
      <c r="C28" s="31">
        <f>MAX(_xll.ohPack(Selected!H2:H126))</f>
        <v>63703</v>
      </c>
      <c r="D28" s="30">
        <f>MIN(_xll.ohPack(Selected!I1:I126))</f>
        <v>0.23897029582049134</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170</v>
      </c>
      <c r="D31" s="52" t="b">
        <f>_xll.qlExtrapolatorEnableExtrapolation(YieldCurve,TRUE)</f>
        <v>1</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K14" activeCellId="2" sqref="E14:E31 F14:F31 K14:K31"/>
    </sheetView>
  </sheetViews>
  <sheetFormatPr defaultRowHeight="11.25" x14ac:dyDescent="0.2"/>
  <cols>
    <col min="1" max="1" width="20.140625" style="64" customWidth="1"/>
    <col min="2" max="2" width="24.140625" style="2" customWidth="1"/>
    <col min="3" max="3" width="36.5703125" style="2" customWidth="1"/>
    <col min="4" max="4" width="30" style="2"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bestFit="1" customWidth="1"/>
    <col min="15" max="15" width="28.140625" style="64" bestFit="1" customWidth="1"/>
    <col min="16" max="16" width="3.5703125" style="64" customWidth="1"/>
    <col min="17" max="16384" width="9.140625" style="64"/>
  </cols>
  <sheetData>
    <row r="1" spans="2:12" ht="33.75" x14ac:dyDescent="0.2">
      <c r="B1" s="247" t="s">
        <v>64</v>
      </c>
      <c r="C1" s="248"/>
      <c r="D1" s="249"/>
      <c r="E1" s="169" t="s">
        <v>63</v>
      </c>
      <c r="F1" s="169" t="s">
        <v>62</v>
      </c>
      <c r="G1" s="169" t="s">
        <v>61</v>
      </c>
      <c r="H1" s="169" t="s">
        <v>60</v>
      </c>
      <c r="I1" s="169" t="s">
        <v>59</v>
      </c>
      <c r="J1" s="169" t="s">
        <v>58</v>
      </c>
      <c r="K1" s="169" t="s">
        <v>57</v>
      </c>
      <c r="L1" s="169" t="s">
        <v>56</v>
      </c>
    </row>
    <row r="2" spans="2:12" x14ac:dyDescent="0.2">
      <c r="B2" s="170"/>
      <c r="C2" s="171"/>
      <c r="D2" s="172" t="s">
        <v>55</v>
      </c>
      <c r="E2" s="172" t="str">
        <f t="shared" ref="E2:E29" si="0">RateHelperPrefix&amp;"_"&amp;$B2&amp;$C2&amp;$D2</f>
        <v>EUR_YC6MRH_SND</v>
      </c>
      <c r="F2" s="173">
        <f>_xll.qlRateHelperQuoteValue($E2,Trigger)</f>
        <v>7.62E-3</v>
      </c>
      <c r="G2" s="173"/>
      <c r="H2" s="174" t="b">
        <v>1</v>
      </c>
      <c r="I2" s="174">
        <v>10</v>
      </c>
      <c r="J2" s="174">
        <v>1</v>
      </c>
      <c r="K2" s="191">
        <f>_xll.qlRateHelperEarliestDate($E2,Trigger)</f>
        <v>41788</v>
      </c>
      <c r="L2" s="192">
        <f>_xll.qlRateHelperLatestDate($E2,Trigger)</f>
        <v>41789</v>
      </c>
    </row>
    <row r="3" spans="2:12" x14ac:dyDescent="0.2">
      <c r="B3" s="170"/>
      <c r="C3" s="171"/>
      <c r="D3" s="172" t="s">
        <v>54</v>
      </c>
      <c r="E3" s="172" t="str">
        <f t="shared" si="0"/>
        <v>EUR_YC6MRH_SWD</v>
      </c>
      <c r="F3" s="173">
        <f>_xll.qlRateHelperQuoteValue($E3,Trigger)</f>
        <v>6.8890000000000002E-3</v>
      </c>
      <c r="G3" s="173"/>
      <c r="H3" s="174" t="b">
        <v>1</v>
      </c>
      <c r="I3" s="174">
        <v>10</v>
      </c>
      <c r="J3" s="174">
        <v>1</v>
      </c>
      <c r="K3" s="191">
        <f>_xll.qlRateHelperEarliestDate($E3,Trigger)</f>
        <v>41788</v>
      </c>
      <c r="L3" s="192">
        <f>_xll.qlRateHelperLatestDate($E3,Trigger)</f>
        <v>41795</v>
      </c>
    </row>
    <row r="4" spans="2:12" x14ac:dyDescent="0.2">
      <c r="B4" s="170"/>
      <c r="C4" s="171"/>
      <c r="D4" s="172" t="s">
        <v>53</v>
      </c>
      <c r="E4" s="172" t="str">
        <f t="shared" si="0"/>
        <v>EUR_YC6MRH_2WD</v>
      </c>
      <c r="F4" s="173">
        <f>_xll.qlRateHelperQuoteValue($E4,Trigger)</f>
        <v>6.4619999999999999E-3</v>
      </c>
      <c r="G4" s="173"/>
      <c r="H4" s="174" t="b">
        <v>1</v>
      </c>
      <c r="I4" s="174">
        <v>10</v>
      </c>
      <c r="J4" s="174">
        <v>1</v>
      </c>
      <c r="K4" s="191">
        <f>_xll.qlRateHelperEarliestDate($E4,Trigger)</f>
        <v>41788</v>
      </c>
      <c r="L4" s="192">
        <f>_xll.qlRateHelperLatestDate($E4,Trigger)</f>
        <v>41802</v>
      </c>
    </row>
    <row r="5" spans="2:12" x14ac:dyDescent="0.2">
      <c r="B5" s="170"/>
      <c r="C5" s="171"/>
      <c r="D5" s="172" t="s">
        <v>52</v>
      </c>
      <c r="E5" s="172" t="str">
        <f t="shared" si="0"/>
        <v>EUR_YC6MRH_3WD</v>
      </c>
      <c r="F5" s="173">
        <f>_xll.qlRateHelperQuoteValue($E5,Trigger)</f>
        <v>5.986E-3</v>
      </c>
      <c r="G5" s="173"/>
      <c r="H5" s="174" t="b">
        <v>1</v>
      </c>
      <c r="I5" s="174">
        <v>10</v>
      </c>
      <c r="J5" s="174">
        <v>1</v>
      </c>
      <c r="K5" s="191">
        <f>_xll.qlRateHelperEarliestDate($E5,Trigger)</f>
        <v>41788</v>
      </c>
      <c r="L5" s="192">
        <f>_xll.qlRateHelperLatestDate($E5,Trigger)</f>
        <v>41809</v>
      </c>
    </row>
    <row r="6" spans="2:12" x14ac:dyDescent="0.2">
      <c r="B6" s="170"/>
      <c r="C6" s="171"/>
      <c r="D6" s="172" t="s">
        <v>51</v>
      </c>
      <c r="E6" s="172" t="str">
        <f t="shared" si="0"/>
        <v>EUR_YC6MRH_1MD</v>
      </c>
      <c r="F6" s="173">
        <f>_xll.qlRateHelperQuoteValue($E6,Trigger)</f>
        <v>5.6280000000000002E-3</v>
      </c>
      <c r="G6" s="173"/>
      <c r="H6" s="174" t="b">
        <v>1</v>
      </c>
      <c r="I6" s="174">
        <v>10</v>
      </c>
      <c r="J6" s="174">
        <v>1</v>
      </c>
      <c r="K6" s="191">
        <f>_xll.qlRateHelperEarliestDate($E6,Trigger)</f>
        <v>41788</v>
      </c>
      <c r="L6" s="192">
        <f>_xll.qlRateHelperLatestDate($E6,Trigger)</f>
        <v>41820</v>
      </c>
    </row>
    <row r="7" spans="2:12" x14ac:dyDescent="0.2">
      <c r="B7" s="170"/>
      <c r="C7" s="171"/>
      <c r="D7" s="172" t="s">
        <v>50</v>
      </c>
      <c r="E7" s="172" t="str">
        <f t="shared" si="0"/>
        <v>EUR_YC6MRH_2MD</v>
      </c>
      <c r="F7" s="173">
        <f>_xll.qlRateHelperQuoteValue($E7,Trigger)</f>
        <v>5.1370000000000001E-3</v>
      </c>
      <c r="G7" s="173"/>
      <c r="H7" s="174" t="b">
        <v>1</v>
      </c>
      <c r="I7" s="174">
        <v>10</v>
      </c>
      <c r="J7" s="174">
        <v>1</v>
      </c>
      <c r="K7" s="191">
        <f>_xll.qlRateHelperEarliestDate($E7,Trigger)</f>
        <v>41788</v>
      </c>
      <c r="L7" s="192">
        <f>_xll.qlRateHelperLatestDate($E7,Trigger)</f>
        <v>41849</v>
      </c>
    </row>
    <row r="8" spans="2:12" x14ac:dyDescent="0.2">
      <c r="B8" s="170"/>
      <c r="C8" s="171"/>
      <c r="D8" s="172" t="s">
        <v>49</v>
      </c>
      <c r="E8" s="172" t="str">
        <f t="shared" si="0"/>
        <v>EUR_YC6MRH_3MD</v>
      </c>
      <c r="F8" s="173">
        <f>_xll.qlRateHelperQuoteValue($E8,Trigger)</f>
        <v>4.7850000000000002E-3</v>
      </c>
      <c r="G8" s="173"/>
      <c r="H8" s="174" t="b">
        <v>1</v>
      </c>
      <c r="I8" s="174">
        <v>10</v>
      </c>
      <c r="J8" s="174">
        <v>1</v>
      </c>
      <c r="K8" s="191">
        <f>_xll.qlRateHelperEarliestDate($E8,Trigger)</f>
        <v>41788</v>
      </c>
      <c r="L8" s="192">
        <f>_xll.qlRateHelperLatestDate($E8,Trigger)</f>
        <v>41880</v>
      </c>
    </row>
    <row r="9" spans="2:12" x14ac:dyDescent="0.2">
      <c r="B9" s="170"/>
      <c r="C9" s="171"/>
      <c r="D9" s="172" t="s">
        <v>48</v>
      </c>
      <c r="E9" s="172" t="str">
        <f t="shared" si="0"/>
        <v>EUR_YC6MRH_4MD</v>
      </c>
      <c r="F9" s="173">
        <f>_xll.qlRateHelperQuoteValue($E9,Trigger)</f>
        <v>4.5030000000000001E-3</v>
      </c>
      <c r="G9" s="173"/>
      <c r="H9" s="174" t="b">
        <v>1</v>
      </c>
      <c r="I9" s="174">
        <v>10</v>
      </c>
      <c r="J9" s="174">
        <v>1</v>
      </c>
      <c r="K9" s="191">
        <f>_xll.qlRateHelperEarliestDate($E9,Trigger)</f>
        <v>41788</v>
      </c>
      <c r="L9" s="192">
        <f>_xll.qlRateHelperLatestDate($E9,Trigger)</f>
        <v>41911</v>
      </c>
    </row>
    <row r="10" spans="2:12"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41788</v>
      </c>
      <c r="L10" s="192">
        <f>_xll.qlRateHelperLatestDate($E10,Trigger)</f>
        <v>41941</v>
      </c>
    </row>
    <row r="11" spans="2:12" x14ac:dyDescent="0.2">
      <c r="B11" s="170"/>
      <c r="C11" s="171"/>
      <c r="D11" s="172" t="s">
        <v>46</v>
      </c>
      <c r="E11" s="172" t="str">
        <f t="shared" si="0"/>
        <v>EUR_YC6MRH_6MD</v>
      </c>
      <c r="F11" s="173">
        <f>_xll.qlRateHelperQuoteValue($E11,Trigger)</f>
        <v>4.0200000000000001E-3</v>
      </c>
      <c r="G11" s="173"/>
      <c r="H11" s="174" t="b">
        <v>0</v>
      </c>
      <c r="I11" s="174">
        <v>10</v>
      </c>
      <c r="J11" s="174">
        <v>1</v>
      </c>
      <c r="K11" s="191">
        <f>_xll.qlRateHelperEarliestDate($E11,Trigger)</f>
        <v>41788</v>
      </c>
      <c r="L11" s="192">
        <f>_xll.qlRateHelperLatestDate($E11,Trigger)</f>
        <v>41971</v>
      </c>
    </row>
    <row r="12" spans="2:12"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41788</v>
      </c>
      <c r="L12" s="194">
        <f>_xll.qlRateHelperLatestDate($E12,Trigger)</f>
        <v>41971</v>
      </c>
    </row>
    <row r="13" spans="2:12"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41789</v>
      </c>
      <c r="L13" s="196">
        <f>_xll.qlRateHelperLatestDate($E13,Trigger)</f>
        <v>41971</v>
      </c>
    </row>
    <row r="14" spans="2:12" x14ac:dyDescent="0.2">
      <c r="B14" s="185">
        <v>1</v>
      </c>
      <c r="C14" s="171" t="s">
        <v>42</v>
      </c>
      <c r="D14" s="172" t="str">
        <f t="shared" ref="D14:D31" si="1">(B14+Months)&amp;"F"</f>
        <v>7F</v>
      </c>
      <c r="E14" s="172" t="str">
        <f t="shared" si="0"/>
        <v>EUR_YC6MRH_1x7F</v>
      </c>
      <c r="F14" s="173">
        <f>_xll.qlRateHelperQuoteValue($E14,Trigger)</f>
        <v>3.2799999999999995E-3</v>
      </c>
      <c r="G14" s="173"/>
      <c r="H14" s="174" t="b">
        <v>1</v>
      </c>
      <c r="I14" s="174">
        <v>20</v>
      </c>
      <c r="J14" s="174">
        <v>1</v>
      </c>
      <c r="K14" s="191">
        <f>_xll.qlRateHelperEarliestDate($E14,Trigger)</f>
        <v>41820</v>
      </c>
      <c r="L14" s="192">
        <f>_xll.qlRateHelperLatestDate($E14,Trigger)</f>
        <v>42004</v>
      </c>
    </row>
    <row r="15" spans="2:12" x14ac:dyDescent="0.2">
      <c r="B15" s="185">
        <v>2</v>
      </c>
      <c r="C15" s="171" t="s">
        <v>42</v>
      </c>
      <c r="D15" s="172" t="str">
        <f t="shared" si="1"/>
        <v>8F</v>
      </c>
      <c r="E15" s="172" t="str">
        <f t="shared" si="0"/>
        <v>EUR_YC6MRH_2x8F</v>
      </c>
      <c r="F15" s="173">
        <f>_xll.qlRateHelperQuoteValue($E15,Trigger)</f>
        <v>3.15E-3</v>
      </c>
      <c r="G15" s="173"/>
      <c r="H15" s="174" t="b">
        <v>1</v>
      </c>
      <c r="I15" s="174">
        <v>20</v>
      </c>
      <c r="J15" s="174">
        <v>1</v>
      </c>
      <c r="K15" s="191">
        <f>_xll.qlRateHelperEarliestDate($E15,Trigger)</f>
        <v>41849</v>
      </c>
      <c r="L15" s="192">
        <f>_xll.qlRateHelperLatestDate($E15,Trigger)</f>
        <v>42033</v>
      </c>
    </row>
    <row r="16" spans="2:12" x14ac:dyDescent="0.2">
      <c r="B16" s="185">
        <v>3</v>
      </c>
      <c r="C16" s="171" t="s">
        <v>42</v>
      </c>
      <c r="D16" s="172" t="str">
        <f t="shared" si="1"/>
        <v>9F</v>
      </c>
      <c r="E16" s="172" t="str">
        <f t="shared" si="0"/>
        <v>EUR_YC6MRH_3x9F</v>
      </c>
      <c r="F16" s="173">
        <f>_xll.qlRateHelperQuoteValue($E16,Trigger)</f>
        <v>3.0200000000000005E-3</v>
      </c>
      <c r="G16" s="173"/>
      <c r="H16" s="174" t="b">
        <v>1</v>
      </c>
      <c r="I16" s="174">
        <v>20</v>
      </c>
      <c r="J16" s="174">
        <v>1</v>
      </c>
      <c r="K16" s="191">
        <f>_xll.qlRateHelperEarliestDate($E16,Trigger)</f>
        <v>41880</v>
      </c>
      <c r="L16" s="192">
        <f>_xll.qlRateHelperLatestDate($E16,Trigger)</f>
        <v>42062</v>
      </c>
    </row>
    <row r="17" spans="1:12" x14ac:dyDescent="0.2">
      <c r="B17" s="185">
        <v>4</v>
      </c>
      <c r="C17" s="171" t="s">
        <v>42</v>
      </c>
      <c r="D17" s="172" t="str">
        <f t="shared" si="1"/>
        <v>10F</v>
      </c>
      <c r="E17" s="172" t="str">
        <f t="shared" si="0"/>
        <v>EUR_YC6MRH_4x10F</v>
      </c>
      <c r="F17" s="173">
        <f>_xll.qlRateHelperQuoteValue($E17,Trigger)</f>
        <v>2.9300000000000003E-3</v>
      </c>
      <c r="G17" s="173"/>
      <c r="H17" s="174" t="b">
        <v>1</v>
      </c>
      <c r="I17" s="174">
        <v>20</v>
      </c>
      <c r="J17" s="174">
        <v>1</v>
      </c>
      <c r="K17" s="191">
        <f>_xll.qlRateHelperEarliestDate($E17,Trigger)</f>
        <v>41911</v>
      </c>
      <c r="L17" s="192">
        <f>_xll.qlRateHelperLatestDate($E17,Trigger)</f>
        <v>42093</v>
      </c>
    </row>
    <row r="18" spans="1:12" x14ac:dyDescent="0.2">
      <c r="B18" s="185">
        <v>5</v>
      </c>
      <c r="C18" s="171" t="s">
        <v>42</v>
      </c>
      <c r="D18" s="172" t="str">
        <f t="shared" si="1"/>
        <v>11F</v>
      </c>
      <c r="E18" s="172" t="str">
        <f t="shared" si="0"/>
        <v>EUR_YC6MRH_5x11F</v>
      </c>
      <c r="F18" s="173">
        <f>_xll.qlRateHelperQuoteValue($E18,Trigger)</f>
        <v>2.9000000000000002E-3</v>
      </c>
      <c r="G18" s="173"/>
      <c r="H18" s="174" t="b">
        <v>1</v>
      </c>
      <c r="I18" s="174">
        <v>20</v>
      </c>
      <c r="J18" s="174">
        <v>1</v>
      </c>
      <c r="K18" s="191">
        <f>_xll.qlRateHelperEarliestDate($E18,Trigger)</f>
        <v>41941</v>
      </c>
      <c r="L18" s="192">
        <f>_xll.qlRateHelperLatestDate($E18,Trigger)</f>
        <v>42123</v>
      </c>
    </row>
    <row r="19" spans="1:12" x14ac:dyDescent="0.2">
      <c r="B19" s="185">
        <v>6</v>
      </c>
      <c r="C19" s="171" t="s">
        <v>42</v>
      </c>
      <c r="D19" s="172" t="str">
        <f t="shared" si="1"/>
        <v>12F</v>
      </c>
      <c r="E19" s="172" t="str">
        <f t="shared" si="0"/>
        <v>EUR_YC6MRH_6x12F</v>
      </c>
      <c r="F19" s="173">
        <f>_xll.qlRateHelperQuoteValue($E19,Trigger)</f>
        <v>2.8900000000000002E-3</v>
      </c>
      <c r="G19" s="173"/>
      <c r="H19" s="174" t="b">
        <v>1</v>
      </c>
      <c r="I19" s="174">
        <v>20</v>
      </c>
      <c r="J19" s="174">
        <v>1</v>
      </c>
      <c r="K19" s="191">
        <f>_xll.qlRateHelperEarliestDate($E19,Trigger)</f>
        <v>41971</v>
      </c>
      <c r="L19" s="192">
        <f>_xll.qlRateHelperLatestDate($E19,Trigger)</f>
        <v>42153</v>
      </c>
    </row>
    <row r="20" spans="1:12" x14ac:dyDescent="0.2">
      <c r="B20" s="185">
        <v>7</v>
      </c>
      <c r="C20" s="171" t="s">
        <v>42</v>
      </c>
      <c r="D20" s="172" t="str">
        <f t="shared" si="1"/>
        <v>13F</v>
      </c>
      <c r="E20" s="172" t="str">
        <f t="shared" si="0"/>
        <v>EUR_YC6MRH_7x13F</v>
      </c>
      <c r="F20" s="173">
        <f>_xll.qlRateHelperQuoteValue($E20,Trigger)</f>
        <v>2.9200000000000003E-3</v>
      </c>
      <c r="G20" s="173"/>
      <c r="H20" s="174" t="b">
        <v>1</v>
      </c>
      <c r="I20" s="174">
        <v>20</v>
      </c>
      <c r="J20" s="174">
        <v>1</v>
      </c>
      <c r="K20" s="191">
        <f>_xll.qlRateHelperEarliestDate($E20,Trigger)</f>
        <v>42002</v>
      </c>
      <c r="L20" s="192">
        <f>_xll.qlRateHelperLatestDate($E20,Trigger)</f>
        <v>42184</v>
      </c>
    </row>
    <row r="21" spans="1:12" x14ac:dyDescent="0.2">
      <c r="B21" s="185">
        <v>8</v>
      </c>
      <c r="C21" s="171" t="s">
        <v>42</v>
      </c>
      <c r="D21" s="172" t="str">
        <f t="shared" si="1"/>
        <v>14F</v>
      </c>
      <c r="E21" s="172" t="str">
        <f t="shared" si="0"/>
        <v>EUR_YC6MRH_8x14F</v>
      </c>
      <c r="F21" s="173">
        <f>_xll.qlRateHelperQuoteValue($E21,Trigger)</f>
        <v>2.9300000000000003E-3</v>
      </c>
      <c r="G21" s="173"/>
      <c r="H21" s="174" t="b">
        <v>1</v>
      </c>
      <c r="I21" s="174">
        <v>20</v>
      </c>
      <c r="J21" s="174">
        <v>1</v>
      </c>
      <c r="K21" s="191">
        <f>_xll.qlRateHelperEarliestDate($E21,Trigger)</f>
        <v>42033</v>
      </c>
      <c r="L21" s="192">
        <f>_xll.qlRateHelperLatestDate($E21,Trigger)</f>
        <v>42214</v>
      </c>
    </row>
    <row r="22" spans="1:12"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42062</v>
      </c>
      <c r="L22" s="192">
        <f>_xll.qlRateHelperLatestDate($E22,Trigger)</f>
        <v>42247</v>
      </c>
    </row>
    <row r="23" spans="1:12"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42093</v>
      </c>
      <c r="L23" s="192">
        <f>_xll.qlRateHelperLatestDate($E23,Trigger)</f>
        <v>42277</v>
      </c>
    </row>
    <row r="24" spans="1:12" x14ac:dyDescent="0.2">
      <c r="B24" s="185">
        <v>11</v>
      </c>
      <c r="C24" s="171" t="s">
        <v>42</v>
      </c>
      <c r="D24" s="172" t="str">
        <f t="shared" si="1"/>
        <v>17F</v>
      </c>
      <c r="E24" s="172" t="str">
        <f t="shared" si="0"/>
        <v>EUR_YC6MRH_11x17F</v>
      </c>
      <c r="F24" s="173">
        <f>_xll.qlRateHelperQuoteValue($E24,Trigger)</f>
        <v>3.15E-3</v>
      </c>
      <c r="G24" s="173"/>
      <c r="H24" s="174" t="b">
        <v>1</v>
      </c>
      <c r="I24" s="174">
        <v>20</v>
      </c>
      <c r="J24" s="174">
        <v>1</v>
      </c>
      <c r="K24" s="191">
        <f>_xll.qlRateHelperEarliestDate($E24,Trigger)</f>
        <v>42123</v>
      </c>
      <c r="L24" s="192">
        <f>_xll.qlRateHelperLatestDate($E24,Trigger)</f>
        <v>42306</v>
      </c>
    </row>
    <row r="25" spans="1:12" x14ac:dyDescent="0.2">
      <c r="B25" s="185">
        <v>12</v>
      </c>
      <c r="C25" s="171" t="s">
        <v>42</v>
      </c>
      <c r="D25" s="172" t="str">
        <f t="shared" si="1"/>
        <v>18F</v>
      </c>
      <c r="E25" s="172" t="str">
        <f t="shared" si="0"/>
        <v>EUR_YC6MRH_12x18F</v>
      </c>
      <c r="F25" s="173">
        <f>_xll.qlRateHelperQuoteValue($E25,Trigger)</f>
        <v>3.2299999999999994E-3</v>
      </c>
      <c r="G25" s="173"/>
      <c r="H25" s="174" t="b">
        <v>1</v>
      </c>
      <c r="I25" s="174">
        <v>20</v>
      </c>
      <c r="J25" s="174">
        <v>1</v>
      </c>
      <c r="K25" s="191">
        <f>_xll.qlRateHelperEarliestDate($E25,Trigger)</f>
        <v>42153</v>
      </c>
      <c r="L25" s="192">
        <f>_xll.qlRateHelperLatestDate($E25,Trigger)</f>
        <v>42338</v>
      </c>
    </row>
    <row r="26" spans="1:12" x14ac:dyDescent="0.2">
      <c r="B26" s="185">
        <v>13</v>
      </c>
      <c r="C26" s="171" t="s">
        <v>42</v>
      </c>
      <c r="D26" s="172" t="str">
        <f t="shared" si="1"/>
        <v>19F</v>
      </c>
      <c r="E26" s="172" t="str">
        <f t="shared" si="0"/>
        <v>EUR_YC6MRH_13x19F</v>
      </c>
      <c r="F26" s="173">
        <f>_xll.qlRateHelperQuoteValue($E26,Trigger)</f>
        <v>3.3199999999999996E-3</v>
      </c>
      <c r="G26" s="173"/>
      <c r="H26" s="174" t="b">
        <v>1</v>
      </c>
      <c r="I26" s="174">
        <v>20</v>
      </c>
      <c r="J26" s="174">
        <v>1</v>
      </c>
      <c r="K26" s="191">
        <f>_xll.qlRateHelperEarliestDate($E26,Trigger)</f>
        <v>42184</v>
      </c>
      <c r="L26" s="192">
        <f>_xll.qlRateHelperLatestDate($E26,Trigger)</f>
        <v>42367</v>
      </c>
    </row>
    <row r="27" spans="1:12" x14ac:dyDescent="0.2">
      <c r="B27" s="185">
        <v>14</v>
      </c>
      <c r="C27" s="171" t="s">
        <v>42</v>
      </c>
      <c r="D27" s="172" t="str">
        <f t="shared" si="1"/>
        <v>20F</v>
      </c>
      <c r="E27" s="172" t="str">
        <f t="shared" si="0"/>
        <v>EUR_YC6MRH_14x20F</v>
      </c>
      <c r="F27" s="173">
        <f>_xll.qlRateHelperQuoteValue($E27,Trigger)</f>
        <v>3.4699999999999996E-3</v>
      </c>
      <c r="G27" s="173"/>
      <c r="H27" s="174" t="b">
        <v>1</v>
      </c>
      <c r="I27" s="174">
        <v>20</v>
      </c>
      <c r="J27" s="174">
        <v>1</v>
      </c>
      <c r="K27" s="191">
        <f>_xll.qlRateHelperEarliestDate($E27,Trigger)</f>
        <v>42214</v>
      </c>
      <c r="L27" s="192">
        <f>_xll.qlRateHelperLatestDate($E27,Trigger)</f>
        <v>42398</v>
      </c>
    </row>
    <row r="28" spans="1:12" x14ac:dyDescent="0.2">
      <c r="B28" s="185">
        <v>15</v>
      </c>
      <c r="C28" s="171" t="s">
        <v>42</v>
      </c>
      <c r="D28" s="172" t="str">
        <f t="shared" si="1"/>
        <v>21F</v>
      </c>
      <c r="E28" s="172" t="str">
        <f t="shared" si="0"/>
        <v>EUR_YC6MRH_15x21F</v>
      </c>
      <c r="F28" s="173">
        <f>_xll.qlRateHelperQuoteValue($E28,Trigger)</f>
        <v>3.5999999999999999E-3</v>
      </c>
      <c r="G28" s="173"/>
      <c r="H28" s="174" t="b">
        <v>1</v>
      </c>
      <c r="I28" s="174">
        <v>20</v>
      </c>
      <c r="J28" s="174">
        <v>1</v>
      </c>
      <c r="K28" s="191">
        <f>_xll.qlRateHelperEarliestDate($E28,Trigger)</f>
        <v>42247</v>
      </c>
      <c r="L28" s="192">
        <f>_xll.qlRateHelperLatestDate($E28,Trigger)</f>
        <v>42429</v>
      </c>
    </row>
    <row r="29" spans="1:12" x14ac:dyDescent="0.2">
      <c r="B29" s="185">
        <v>16</v>
      </c>
      <c r="C29" s="171" t="s">
        <v>42</v>
      </c>
      <c r="D29" s="172" t="str">
        <f t="shared" si="1"/>
        <v>22F</v>
      </c>
      <c r="E29" s="172" t="str">
        <f t="shared" si="0"/>
        <v>EUR_YC6MRH_16x22F</v>
      </c>
      <c r="F29" s="173">
        <f>_xll.qlRateHelperQuoteValue($E29,Trigger)</f>
        <v>3.7399999999999998E-3</v>
      </c>
      <c r="G29" s="173"/>
      <c r="H29" s="174" t="b">
        <v>1</v>
      </c>
      <c r="I29" s="174">
        <v>20</v>
      </c>
      <c r="J29" s="174">
        <v>1</v>
      </c>
      <c r="K29" s="191">
        <f>_xll.qlRateHelperEarliestDate($E29,Trigger)</f>
        <v>42276</v>
      </c>
      <c r="L29" s="192">
        <f>_xll.qlRateHelperLatestDate($E29,Trigger)</f>
        <v>42458</v>
      </c>
    </row>
    <row r="30" spans="1:12" x14ac:dyDescent="0.2">
      <c r="B30" s="185">
        <v>17</v>
      </c>
      <c r="C30" s="171" t="s">
        <v>42</v>
      </c>
      <c r="D30" s="172" t="str">
        <f t="shared" si="1"/>
        <v>23F</v>
      </c>
      <c r="E30" s="172" t="str">
        <f t="shared" ref="E30:E61" si="2">RateHelperPrefix&amp;"_"&amp;$B30&amp;$C30&amp;$D30</f>
        <v>EUR_YC6MRH_17x23F</v>
      </c>
      <c r="F30" s="173">
        <f>_xll.qlRateHelperQuoteValue($E30,Trigger)</f>
        <v>3.9300000000000003E-3</v>
      </c>
      <c r="G30" s="173"/>
      <c r="H30" s="174" t="b">
        <v>1</v>
      </c>
      <c r="I30" s="174">
        <v>20</v>
      </c>
      <c r="J30" s="174">
        <v>1</v>
      </c>
      <c r="K30" s="191">
        <f>_xll.qlRateHelperEarliestDate($E30,Trigger)</f>
        <v>42306</v>
      </c>
      <c r="L30" s="192">
        <f>_xll.qlRateHelperLatestDate($E30,Trigger)</f>
        <v>42489</v>
      </c>
    </row>
    <row r="31" spans="1:12" x14ac:dyDescent="0.2">
      <c r="B31" s="180">
        <v>18</v>
      </c>
      <c r="C31" s="181" t="s">
        <v>42</v>
      </c>
      <c r="D31" s="182" t="str">
        <f t="shared" si="1"/>
        <v>24F</v>
      </c>
      <c r="E31" s="182" t="str">
        <f t="shared" si="2"/>
        <v>EUR_YC6MRH_18x24F</v>
      </c>
      <c r="F31" s="183">
        <f>_xll.qlRateHelperQuoteValue($E31,Trigger)</f>
        <v>4.1099999999999999E-3</v>
      </c>
      <c r="G31" s="183"/>
      <c r="H31" s="174" t="b">
        <v>1</v>
      </c>
      <c r="I31" s="184">
        <v>20</v>
      </c>
      <c r="J31" s="184">
        <v>1</v>
      </c>
      <c r="K31" s="195">
        <f>_xll.qlRateHelperEarliestDate($E31,Trigger)</f>
        <v>42338</v>
      </c>
      <c r="L31" s="196">
        <f>_xll.qlRateHelperLatestDate($E31,Trigger)</f>
        <v>42521</v>
      </c>
    </row>
    <row r="32" spans="1:12" ht="11.25" customHeight="1" x14ac:dyDescent="0.2">
      <c r="A32" s="176" t="b">
        <v>0</v>
      </c>
      <c r="B32" s="185"/>
      <c r="C32" s="171" t="str">
        <f t="shared" ref="C32:C73" si="3">IF(IndexTenor="6M","IMMFRA","FUT")&amp;IndexTenor</f>
        <v>IMMFRA6M</v>
      </c>
      <c r="D32" s="172" t="str">
        <f t="array" ref="D32:D73">_xll.qlIMMNextCodes(_xll.qlSettingsEvaluationDate(Trigger)-1,$A32:$A73)</f>
        <v>M4</v>
      </c>
      <c r="E32" s="172" t="str">
        <f t="shared" si="2"/>
        <v>EUR_YC6MRH_IMMFRA6MM4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3"/>
        <v>IMMFRA6M</v>
      </c>
      <c r="D33" s="172" t="str">
        <v>N4</v>
      </c>
      <c r="E33" s="172" t="str">
        <f t="shared" si="2"/>
        <v>EUR_YC6MRH_IMMFRA6MN4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3"/>
        <v>IMMFRA6M</v>
      </c>
      <c r="D34" s="172" t="str">
        <v>Q4</v>
      </c>
      <c r="E34" s="172" t="str">
        <f t="shared" si="2"/>
        <v>EUR_YC6MRH_IMMFRA6MQ4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3"/>
        <v>IMMFRA6M</v>
      </c>
      <c r="D35" s="172" t="str">
        <v>U4</v>
      </c>
      <c r="E35" s="172" t="str">
        <f t="shared" si="2"/>
        <v>EUR_YC6MRH_IMMFRA6MU4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3"/>
        <v>IMMFRA6M</v>
      </c>
      <c r="D36" s="172" t="str">
        <v>V4</v>
      </c>
      <c r="E36" s="172" t="str">
        <f t="shared" si="2"/>
        <v>EUR_YC6MRH_IMMFRA6MV4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3"/>
        <v>IMMFRA6M</v>
      </c>
      <c r="D37" s="172" t="str">
        <v>X4</v>
      </c>
      <c r="E37" s="172" t="str">
        <f t="shared" si="2"/>
        <v>EUR_YC6MRH_IMMFRA6MX4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3"/>
        <v>IMMFRA6M</v>
      </c>
      <c r="D38" s="172" t="str">
        <v>Z4</v>
      </c>
      <c r="E38" s="172" t="str">
        <f t="shared" si="2"/>
        <v>EUR_YC6MRH_IMMFRA6MZ4</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3"/>
        <v>IMMFRA6M</v>
      </c>
      <c r="D39" s="172" t="str">
        <v>F5</v>
      </c>
      <c r="E39" s="172" t="str">
        <f t="shared" si="2"/>
        <v>EUR_YC6MRH_IMMFRA6MF5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3"/>
        <v>IMMFRA6M</v>
      </c>
      <c r="D40" s="172" t="str">
        <v>G5</v>
      </c>
      <c r="E40" s="172" t="str">
        <f t="shared" si="2"/>
        <v>EUR_YC6MRH_IMMFRA6MG5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3"/>
        <v>IMMFRA6M</v>
      </c>
      <c r="D41" s="172" t="str">
        <v>H5</v>
      </c>
      <c r="E41" s="172" t="str">
        <f t="shared" si="2"/>
        <v>EUR_YC6MRH_IMMFRA6MH5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3"/>
        <v>IMMFRA6M</v>
      </c>
      <c r="D42" s="172" t="str">
        <v>J5</v>
      </c>
      <c r="E42" s="172" t="str">
        <f t="shared" si="2"/>
        <v>EUR_YC6MRH_IMMFRA6MJ5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3"/>
        <v>IMMFRA6M</v>
      </c>
      <c r="D43" s="172" t="str">
        <v>K5</v>
      </c>
      <c r="E43" s="172" t="str">
        <f t="shared" si="2"/>
        <v>EUR_YC6MRH_IMMFRA6MK5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3"/>
        <v>IMMFRA6M</v>
      </c>
      <c r="D44" s="172" t="str">
        <v>M5</v>
      </c>
      <c r="E44" s="172" t="str">
        <f t="shared" si="2"/>
        <v>EUR_YC6MRH_IMMFRA6MM5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3"/>
        <v>IMMFRA6M</v>
      </c>
      <c r="D45" s="172" t="str">
        <v>U5</v>
      </c>
      <c r="E45" s="172" t="str">
        <f t="shared" si="2"/>
        <v>EUR_YC6MRH_IMMFRA6MU5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3"/>
        <v>IMMFRA6M</v>
      </c>
      <c r="D46" s="172" t="str">
        <v>Z5</v>
      </c>
      <c r="E46" s="172" t="str">
        <f t="shared" si="2"/>
        <v>EUR_YC6MRH_IMMFRA6MZ5</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3"/>
        <v>IMMFRA6M</v>
      </c>
      <c r="D47" s="172" t="str">
        <v>H6</v>
      </c>
      <c r="E47" s="172" t="str">
        <f t="shared" si="2"/>
        <v>EUR_YC6MRH_IMMFRA6MH6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3"/>
        <v>IMMFRA6M</v>
      </c>
      <c r="D48" s="172" t="str">
        <v>M6</v>
      </c>
      <c r="E48" s="172" t="str">
        <f t="shared" si="2"/>
        <v>EUR_YC6MRH_IMMFRA6MM6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3"/>
        <v>IMMFRA6M</v>
      </c>
      <c r="D49" s="172" t="str">
        <v>U6</v>
      </c>
      <c r="E49" s="172" t="str">
        <f t="shared" si="2"/>
        <v>EUR_YC6MRH_IMMFRA6MU6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3"/>
        <v>IMMFRA6M</v>
      </c>
      <c r="D50" s="172" t="str">
        <v>Z6</v>
      </c>
      <c r="E50" s="172" t="str">
        <f t="shared" si="2"/>
        <v>EUR_YC6MRH_IMMFRA6MZ6</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3"/>
        <v>IMMFRA6M</v>
      </c>
      <c r="D51" s="172" t="str">
        <v>H7</v>
      </c>
      <c r="E51" s="172" t="str">
        <f t="shared" si="2"/>
        <v>EUR_YC6MRH_IMMFRA6MH7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3"/>
        <v>IMMFRA6M</v>
      </c>
      <c r="D52" s="172" t="str">
        <v>M7</v>
      </c>
      <c r="E52" s="172" t="str">
        <f t="shared" si="2"/>
        <v>EUR_YC6MRH_IMMFRA6MM7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3"/>
        <v>IMMFRA6M</v>
      </c>
      <c r="D53" s="172" t="str">
        <v>U7</v>
      </c>
      <c r="E53" s="172" t="str">
        <f t="shared" si="2"/>
        <v>EUR_YC6MRH_IMMFRA6MU7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3"/>
        <v>IMMFRA6M</v>
      </c>
      <c r="D54" s="172" t="str">
        <v>Z7</v>
      </c>
      <c r="E54" s="172" t="str">
        <f t="shared" si="2"/>
        <v>EUR_YC6MRH_IMMFRA6MZ7</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3"/>
        <v>IMMFRA6M</v>
      </c>
      <c r="D55" s="172" t="str">
        <v>H8</v>
      </c>
      <c r="E55" s="172" t="str">
        <f t="shared" si="2"/>
        <v>EUR_YC6MRH_IMMFRA6MH8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3"/>
        <v>IMMFRA6M</v>
      </c>
      <c r="D56" s="172" t="str">
        <v>M8</v>
      </c>
      <c r="E56" s="172" t="str">
        <f t="shared" si="2"/>
        <v>EUR_YC6MRH_IMMFRA6MM8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3"/>
        <v>IMMFRA6M</v>
      </c>
      <c r="D57" s="172" t="str">
        <v>U8</v>
      </c>
      <c r="E57" s="172" t="str">
        <f t="shared" si="2"/>
        <v>EUR_YC6MRH_IMMFRA6MU8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3"/>
        <v>IMMFRA6M</v>
      </c>
      <c r="D58" s="172" t="str">
        <v>Z8</v>
      </c>
      <c r="E58" s="172" t="str">
        <f t="shared" si="2"/>
        <v>EUR_YC6MRH_IMMFRA6MZ8</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3"/>
        <v>IMMFRA6M</v>
      </c>
      <c r="D59" s="172" t="str">
        <v>H9</v>
      </c>
      <c r="E59" s="172" t="str">
        <f t="shared" si="2"/>
        <v>EUR_YC6MRH_IMMFRA6MH9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3"/>
        <v>IMMFRA6M</v>
      </c>
      <c r="D60" s="172" t="str">
        <v>M9</v>
      </c>
      <c r="E60" s="172" t="str">
        <f t="shared" si="2"/>
        <v>EUR_YC6MRH_IMMFRA6MM9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3"/>
        <v>IMMFRA6M</v>
      </c>
      <c r="D61" s="172" t="str">
        <v>U9</v>
      </c>
      <c r="E61" s="172" t="str">
        <f t="shared" si="2"/>
        <v>EUR_YC6MRH_IMMFRA6MU9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3"/>
        <v>IMMFRA6M</v>
      </c>
      <c r="D62" s="172" t="str">
        <v>Z9</v>
      </c>
      <c r="E62" s="172" t="str">
        <f t="shared" ref="E62:E93" si="4">RateHelperPrefix&amp;"_"&amp;$B62&amp;$C62&amp;$D62</f>
        <v>EUR_YC6MRH_IMMFRA6MZ9</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3"/>
        <v>IMMFRA6M</v>
      </c>
      <c r="D63" s="172" t="str">
        <v>H0</v>
      </c>
      <c r="E63" s="172" t="str">
        <f t="shared" si="4"/>
        <v>EUR_YC6MRH_IMMFRA6MH0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3"/>
        <v>IMMFRA6M</v>
      </c>
      <c r="D64" s="172" t="str">
        <v>M0</v>
      </c>
      <c r="E64" s="172" t="str">
        <f t="shared" si="4"/>
        <v>EUR_YC6MRH_IMMFRA6MM0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3"/>
        <v>IMMFRA6M</v>
      </c>
      <c r="D65" s="172" t="str">
        <v>U0</v>
      </c>
      <c r="E65" s="172" t="str">
        <f t="shared" si="4"/>
        <v>EUR_YC6MRH_IMMFRA6MU0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3"/>
        <v>IMMFRA6M</v>
      </c>
      <c r="D66" s="172" t="str">
        <v>Z0</v>
      </c>
      <c r="E66" s="172" t="str">
        <f t="shared" si="4"/>
        <v>EUR_YC6MRH_IMMFRA6MZ0</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3"/>
        <v>IMMFRA6M</v>
      </c>
      <c r="D67" s="172" t="str">
        <v>H1</v>
      </c>
      <c r="E67" s="172" t="str">
        <f t="shared" si="4"/>
        <v>EUR_YC6MRH_IMMFRA6MH1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3"/>
        <v>IMMFRA6M</v>
      </c>
      <c r="D68" s="172" t="str">
        <v>M1</v>
      </c>
      <c r="E68" s="172" t="str">
        <f t="shared" si="4"/>
        <v>EUR_YC6MRH_IMMFRA6MM1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3"/>
        <v>IMMFRA6M</v>
      </c>
      <c r="D69" s="172" t="str">
        <v>U1</v>
      </c>
      <c r="E69" s="172" t="str">
        <f t="shared" si="4"/>
        <v>EUR_YC6MRH_IMMFRA6MU1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3"/>
        <v>IMMFRA6M</v>
      </c>
      <c r="D70" s="172" t="str">
        <v>Z1</v>
      </c>
      <c r="E70" s="172" t="str">
        <f t="shared" si="4"/>
        <v>EUR_YC6MRH_IMMFRA6MZ1</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3"/>
        <v>IMMFRA6M</v>
      </c>
      <c r="D71" s="172" t="str">
        <v>H2</v>
      </c>
      <c r="E71" s="172" t="str">
        <f t="shared" si="4"/>
        <v>EUR_YC6MRH_IMMFRA6MH2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3"/>
        <v>IMMFRA6M</v>
      </c>
      <c r="D72" s="172" t="str">
        <v>M2</v>
      </c>
      <c r="E72" s="172" t="str">
        <f t="shared" si="4"/>
        <v>EUR_YC6MRH_IMMFRA6MM2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3"/>
        <v>IMMFRA6M</v>
      </c>
      <c r="D73" s="182" t="str">
        <v>U2</v>
      </c>
      <c r="E73" s="182" t="str">
        <f t="shared" si="4"/>
        <v>EUR_YC6MRH_IMMFRA6MU2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4"/>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4"/>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4"/>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4"/>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4"/>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4"/>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4"/>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4"/>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4"/>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4"/>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4"/>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4"/>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4"/>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4"/>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4"/>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4"/>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4"/>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4"/>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5">SwapFixedFreq</f>
        <v>AB</v>
      </c>
      <c r="C92" s="171" t="str">
        <f t="shared" ref="C92:C128" si="6">IborType</f>
        <v>6E</v>
      </c>
      <c r="D92" s="172" t="s">
        <v>36</v>
      </c>
      <c r="E92" s="172" t="str">
        <f t="shared" si="4"/>
        <v>EUR_YC6MRH_AB6E1Y</v>
      </c>
      <c r="F92" s="173">
        <f>_xll.qlRateHelperQuoteValue($E92,Trigger)</f>
        <v>3.5199999999999997E-3</v>
      </c>
      <c r="G92" s="173">
        <f>_xll.qlSwapRateHelperSpread($E92,Trigger)</f>
        <v>0</v>
      </c>
      <c r="H92" s="174" t="b">
        <v>0</v>
      </c>
      <c r="I92" s="174">
        <v>50</v>
      </c>
      <c r="J92" s="174">
        <v>1</v>
      </c>
      <c r="K92" s="191">
        <f>_xll.qlRateHelperEarliestDate($E92,Trigger)</f>
        <v>41788</v>
      </c>
      <c r="L92" s="192">
        <f>_xll.qlRateHelperLatestDate($E92,Trigger)</f>
        <v>42153</v>
      </c>
      <c r="N92" s="189" t="e">
        <f t="shared" ref="N92:N128" si="7">IF(G92=G129,F92-F129,"--")</f>
        <v>#NUM!</v>
      </c>
    </row>
    <row r="93" spans="2:14" x14ac:dyDescent="0.2">
      <c r="B93" s="185" t="str">
        <f t="shared" si="5"/>
        <v>AB</v>
      </c>
      <c r="C93" s="171" t="str">
        <f t="shared" si="6"/>
        <v>6E</v>
      </c>
      <c r="D93" s="172" t="s">
        <v>35</v>
      </c>
      <c r="E93" s="172" t="str">
        <f t="shared" si="4"/>
        <v>EUR_YC6MRH_AB6E15M</v>
      </c>
      <c r="F93" s="173">
        <f>_xll.qlRateHelperQuoteValue($E93,Trigger)</f>
        <v>3.0999999999999999E-3</v>
      </c>
      <c r="G93" s="173">
        <f>_xll.qlSwapRateHelperSpread($E93,Trigger)</f>
        <v>0</v>
      </c>
      <c r="H93" s="174" t="b">
        <v>0</v>
      </c>
      <c r="I93" s="174">
        <v>50</v>
      </c>
      <c r="J93" s="174">
        <v>1</v>
      </c>
      <c r="K93" s="191">
        <f>_xll.qlRateHelperEarliestDate($E93,Trigger)</f>
        <v>41788</v>
      </c>
      <c r="L93" s="192">
        <f>_xll.qlRateHelperLatestDate($E93,Trigger)</f>
        <v>42247</v>
      </c>
      <c r="N93" s="189" t="e">
        <f t="shared" si="7"/>
        <v>#NUM!</v>
      </c>
    </row>
    <row r="94" spans="2:14" x14ac:dyDescent="0.2">
      <c r="B94" s="185" t="str">
        <f t="shared" si="5"/>
        <v>AB</v>
      </c>
      <c r="C94" s="171" t="str">
        <f t="shared" si="6"/>
        <v>6E</v>
      </c>
      <c r="D94" s="172" t="s">
        <v>34</v>
      </c>
      <c r="E94" s="172" t="str">
        <f t="shared" ref="E94:E125" si="8">RateHelperPrefix&amp;"_"&amp;$B94&amp;$C94&amp;$D94</f>
        <v>EUR_YC6MRH_AB6E18M</v>
      </c>
      <c r="F94" s="173">
        <f>_xll.qlRateHelperQuoteValue($E94,Trigger)</f>
        <v>3.4499999999999999E-3</v>
      </c>
      <c r="G94" s="173">
        <f>_xll.qlSwapRateHelperSpread($E94,Trigger)</f>
        <v>0</v>
      </c>
      <c r="H94" s="174" t="b">
        <v>0</v>
      </c>
      <c r="I94" s="174">
        <v>50</v>
      </c>
      <c r="J94" s="174">
        <v>1</v>
      </c>
      <c r="K94" s="191">
        <f>_xll.qlRateHelperEarliestDate($E94,Trigger)</f>
        <v>41788</v>
      </c>
      <c r="L94" s="192">
        <f>_xll.qlRateHelperLatestDate($E94,Trigger)</f>
        <v>42338</v>
      </c>
      <c r="N94" s="189" t="e">
        <f t="shared" si="7"/>
        <v>#NUM!</v>
      </c>
    </row>
    <row r="95" spans="2:14" x14ac:dyDescent="0.2">
      <c r="B95" s="185" t="str">
        <f t="shared" si="5"/>
        <v>AB</v>
      </c>
      <c r="C95" s="171" t="str">
        <f t="shared" si="6"/>
        <v>6E</v>
      </c>
      <c r="D95" s="172" t="s">
        <v>33</v>
      </c>
      <c r="E95" s="172" t="str">
        <f t="shared" si="8"/>
        <v>EUR_YC6MRH_AB6E21M</v>
      </c>
      <c r="F95" s="173">
        <f>_xll.qlRateHelperQuoteValue($E95,Trigger)</f>
        <v>3.2599999999999994E-3</v>
      </c>
      <c r="G95" s="173">
        <f>_xll.qlSwapRateHelperSpread($E95,Trigger)</f>
        <v>0</v>
      </c>
      <c r="H95" s="174" t="b">
        <v>0</v>
      </c>
      <c r="I95" s="174">
        <v>50</v>
      </c>
      <c r="J95" s="174">
        <v>1</v>
      </c>
      <c r="K95" s="191">
        <f>_xll.qlRateHelperEarliestDate($E95,Trigger)</f>
        <v>41788</v>
      </c>
      <c r="L95" s="192">
        <f>_xll.qlRateHelperLatestDate($E95,Trigger)</f>
        <v>42429</v>
      </c>
      <c r="N95" s="189" t="e">
        <f t="shared" si="7"/>
        <v>#NUM!</v>
      </c>
    </row>
    <row r="96" spans="2:14" x14ac:dyDescent="0.2">
      <c r="B96" s="185" t="str">
        <f t="shared" si="5"/>
        <v>AB</v>
      </c>
      <c r="C96" s="171" t="str">
        <f t="shared" si="6"/>
        <v>6E</v>
      </c>
      <c r="D96" s="172" t="s">
        <v>32</v>
      </c>
      <c r="E96" s="172" t="str">
        <f t="shared" si="8"/>
        <v>EUR_YC6MRH_AB6E2Y</v>
      </c>
      <c r="F96" s="173">
        <f>_xll.qlRateHelperQuoteValue($E96,Trigger)</f>
        <v>3.63E-3</v>
      </c>
      <c r="G96" s="173">
        <f>_xll.qlSwapRateHelperSpread($E96,Trigger)</f>
        <v>0</v>
      </c>
      <c r="H96" s="174" t="b">
        <v>0</v>
      </c>
      <c r="I96" s="174">
        <v>50</v>
      </c>
      <c r="J96" s="174">
        <v>1</v>
      </c>
      <c r="K96" s="191">
        <f>_xll.qlRateHelperEarliestDate($E96,Trigger)</f>
        <v>41788</v>
      </c>
      <c r="L96" s="192">
        <f>_xll.qlRateHelperLatestDate($E96,Trigger)</f>
        <v>42520</v>
      </c>
      <c r="N96" s="189" t="e">
        <f t="shared" si="7"/>
        <v>#NUM!</v>
      </c>
    </row>
    <row r="97" spans="2:14" x14ac:dyDescent="0.2">
      <c r="B97" s="185" t="str">
        <f t="shared" si="5"/>
        <v>AB</v>
      </c>
      <c r="C97" s="171" t="str">
        <f t="shared" si="6"/>
        <v>6E</v>
      </c>
      <c r="D97" s="172" t="s">
        <v>31</v>
      </c>
      <c r="E97" s="172" t="str">
        <f t="shared" si="8"/>
        <v>EUR_YC6MRH_AB6E3Y</v>
      </c>
      <c r="F97" s="173">
        <f>_xll.qlRateHelperQuoteValue($E97,Trigger)</f>
        <v>4.5999999999999999E-3</v>
      </c>
      <c r="G97" s="173">
        <f>_xll.qlSwapRateHelperSpread($E97,Trigger)</f>
        <v>0</v>
      </c>
      <c r="H97" s="174" t="b">
        <v>1</v>
      </c>
      <c r="I97" s="174">
        <v>50</v>
      </c>
      <c r="J97" s="174">
        <v>1</v>
      </c>
      <c r="K97" s="191">
        <f>_xll.qlRateHelperEarliestDate($E97,Trigger)</f>
        <v>41788</v>
      </c>
      <c r="L97" s="192">
        <f>_xll.qlRateHelperLatestDate($E97,Trigger)</f>
        <v>42884</v>
      </c>
      <c r="N97" s="189" t="e">
        <f t="shared" si="7"/>
        <v>#NUM!</v>
      </c>
    </row>
    <row r="98" spans="2:14" x14ac:dyDescent="0.2">
      <c r="B98" s="185" t="str">
        <f t="shared" si="5"/>
        <v>AB</v>
      </c>
      <c r="C98" s="171" t="str">
        <f t="shared" si="6"/>
        <v>6E</v>
      </c>
      <c r="D98" s="172" t="s">
        <v>30</v>
      </c>
      <c r="E98" s="172" t="str">
        <f t="shared" si="8"/>
        <v>EUR_YC6MRH_AB6E4Y</v>
      </c>
      <c r="F98" s="173">
        <f>_xll.qlRateHelperQuoteValue($E98,Trigger)</f>
        <v>6.1500000000000001E-3</v>
      </c>
      <c r="G98" s="173">
        <f>_xll.qlSwapRateHelperSpread($E98,Trigger)</f>
        <v>0</v>
      </c>
      <c r="H98" s="174" t="b">
        <v>1</v>
      </c>
      <c r="I98" s="174">
        <v>50</v>
      </c>
      <c r="J98" s="174">
        <v>1</v>
      </c>
      <c r="K98" s="191">
        <f>_xll.qlRateHelperEarliestDate($E98,Trigger)</f>
        <v>41788</v>
      </c>
      <c r="L98" s="192">
        <f>_xll.qlRateHelperLatestDate($E98,Trigger)</f>
        <v>43249</v>
      </c>
      <c r="N98" s="189" t="e">
        <f t="shared" si="7"/>
        <v>#NUM!</v>
      </c>
    </row>
    <row r="99" spans="2:14" x14ac:dyDescent="0.2">
      <c r="B99" s="185" t="str">
        <f t="shared" si="5"/>
        <v>AB</v>
      </c>
      <c r="C99" s="171" t="str">
        <f t="shared" si="6"/>
        <v>6E</v>
      </c>
      <c r="D99" s="172" t="s">
        <v>29</v>
      </c>
      <c r="E99" s="172" t="str">
        <f t="shared" si="8"/>
        <v>EUR_YC6MRH_AB6E5Y</v>
      </c>
      <c r="F99" s="173">
        <f>_xll.qlRateHelperQuoteValue($E99,Trigger)</f>
        <v>7.9400000000000009E-3</v>
      </c>
      <c r="G99" s="173">
        <f>_xll.qlSwapRateHelperSpread($E99,Trigger)</f>
        <v>0</v>
      </c>
      <c r="H99" s="174" t="b">
        <v>1</v>
      </c>
      <c r="I99" s="174">
        <v>50</v>
      </c>
      <c r="J99" s="174">
        <v>1</v>
      </c>
      <c r="K99" s="191">
        <f>_xll.qlRateHelperEarliestDate($E99,Trigger)</f>
        <v>41788</v>
      </c>
      <c r="L99" s="192">
        <f>_xll.qlRateHelperLatestDate($E99,Trigger)</f>
        <v>43614</v>
      </c>
      <c r="N99" s="189" t="e">
        <f t="shared" si="7"/>
        <v>#NUM!</v>
      </c>
    </row>
    <row r="100" spans="2:14" x14ac:dyDescent="0.2">
      <c r="B100" s="185" t="str">
        <f t="shared" si="5"/>
        <v>AB</v>
      </c>
      <c r="C100" s="171" t="str">
        <f t="shared" si="6"/>
        <v>6E</v>
      </c>
      <c r="D100" s="172" t="s">
        <v>28</v>
      </c>
      <c r="E100" s="172" t="str">
        <f t="shared" si="8"/>
        <v>EUR_YC6MRH_AB6E6Y</v>
      </c>
      <c r="F100" s="173">
        <f>_xll.qlRateHelperQuoteValue($E100,Trigger)</f>
        <v>9.7900000000000001E-3</v>
      </c>
      <c r="G100" s="173">
        <f>_xll.qlSwapRateHelperSpread($E100,Trigger)</f>
        <v>0</v>
      </c>
      <c r="H100" s="174" t="b">
        <v>1</v>
      </c>
      <c r="I100" s="174">
        <v>50</v>
      </c>
      <c r="J100" s="174">
        <v>1</v>
      </c>
      <c r="K100" s="191">
        <f>_xll.qlRateHelperEarliestDate($E100,Trigger)</f>
        <v>41788</v>
      </c>
      <c r="L100" s="192">
        <f>_xll.qlRateHelperLatestDate($E100,Trigger)</f>
        <v>43980</v>
      </c>
      <c r="N100" s="189" t="e">
        <f t="shared" si="7"/>
        <v>#NUM!</v>
      </c>
    </row>
    <row r="101" spans="2:14" x14ac:dyDescent="0.2">
      <c r="B101" s="185" t="str">
        <f t="shared" si="5"/>
        <v>AB</v>
      </c>
      <c r="C101" s="171" t="str">
        <f t="shared" si="6"/>
        <v>6E</v>
      </c>
      <c r="D101" s="172" t="s">
        <v>27</v>
      </c>
      <c r="E101" s="172" t="str">
        <f t="shared" si="8"/>
        <v>EUR_YC6MRH_AB6E7Y</v>
      </c>
      <c r="F101" s="173">
        <f>_xll.qlRateHelperQuoteValue($E101,Trigger)</f>
        <v>1.1599999999999999E-2</v>
      </c>
      <c r="G101" s="173">
        <f>_xll.qlSwapRateHelperSpread($E101,Trigger)</f>
        <v>0</v>
      </c>
      <c r="H101" s="174" t="b">
        <v>1</v>
      </c>
      <c r="I101" s="174">
        <v>50</v>
      </c>
      <c r="J101" s="174">
        <v>1</v>
      </c>
      <c r="K101" s="191">
        <f>_xll.qlRateHelperEarliestDate($E101,Trigger)</f>
        <v>41788</v>
      </c>
      <c r="L101" s="192">
        <f>_xll.qlRateHelperLatestDate($E101,Trigger)</f>
        <v>44347</v>
      </c>
      <c r="N101" s="189" t="e">
        <f t="shared" si="7"/>
        <v>#NUM!</v>
      </c>
    </row>
    <row r="102" spans="2:14" x14ac:dyDescent="0.2">
      <c r="B102" s="185" t="str">
        <f t="shared" si="5"/>
        <v>AB</v>
      </c>
      <c r="C102" s="171" t="str">
        <f t="shared" si="6"/>
        <v>6E</v>
      </c>
      <c r="D102" s="172" t="s">
        <v>26</v>
      </c>
      <c r="E102" s="172" t="str">
        <f t="shared" si="8"/>
        <v>EUR_YC6MRH_AB6E8Y</v>
      </c>
      <c r="F102" s="173">
        <f>_xll.qlRateHelperQuoteValue($E102,Trigger)</f>
        <v>1.329E-2</v>
      </c>
      <c r="G102" s="173">
        <f>_xll.qlSwapRateHelperSpread($E102,Trigger)</f>
        <v>0</v>
      </c>
      <c r="H102" s="174" t="b">
        <v>1</v>
      </c>
      <c r="I102" s="174">
        <v>50</v>
      </c>
      <c r="J102" s="174">
        <v>1</v>
      </c>
      <c r="K102" s="191">
        <f>_xll.qlRateHelperEarliestDate($E102,Trigger)</f>
        <v>41788</v>
      </c>
      <c r="L102" s="192">
        <f>_xll.qlRateHelperLatestDate($E102,Trigger)</f>
        <v>44711</v>
      </c>
      <c r="N102" s="189" t="e">
        <f t="shared" si="7"/>
        <v>#NUM!</v>
      </c>
    </row>
    <row r="103" spans="2:14" x14ac:dyDescent="0.2">
      <c r="B103" s="185" t="str">
        <f t="shared" si="5"/>
        <v>AB</v>
      </c>
      <c r="C103" s="171" t="str">
        <f t="shared" si="6"/>
        <v>6E</v>
      </c>
      <c r="D103" s="172" t="s">
        <v>25</v>
      </c>
      <c r="E103" s="172" t="str">
        <f t="shared" si="8"/>
        <v>EUR_YC6MRH_AB6E9Y</v>
      </c>
      <c r="F103" s="173">
        <f>_xll.qlRateHelperQuoteValue($E103,Trigger)</f>
        <v>1.482E-2</v>
      </c>
      <c r="G103" s="173">
        <f>_xll.qlSwapRateHelperSpread($E103,Trigger)</f>
        <v>0</v>
      </c>
      <c r="H103" s="174" t="b">
        <v>1</v>
      </c>
      <c r="I103" s="174">
        <v>50</v>
      </c>
      <c r="J103" s="174">
        <v>1</v>
      </c>
      <c r="K103" s="191">
        <f>_xll.qlRateHelperEarliestDate($E103,Trigger)</f>
        <v>41788</v>
      </c>
      <c r="L103" s="192">
        <f>_xll.qlRateHelperLatestDate($E103,Trigger)</f>
        <v>45075</v>
      </c>
      <c r="N103" s="189" t="e">
        <f t="shared" si="7"/>
        <v>#NUM!</v>
      </c>
    </row>
    <row r="104" spans="2:14" x14ac:dyDescent="0.2">
      <c r="B104" s="185" t="str">
        <f t="shared" si="5"/>
        <v>AB</v>
      </c>
      <c r="C104" s="171" t="str">
        <f t="shared" si="6"/>
        <v>6E</v>
      </c>
      <c r="D104" s="172" t="s">
        <v>24</v>
      </c>
      <c r="E104" s="172" t="str">
        <f t="shared" si="8"/>
        <v>EUR_YC6MRH_AB6E10Y</v>
      </c>
      <c r="F104" s="173">
        <f>_xll.qlRateHelperQuoteValue($E104,Trigger)</f>
        <v>1.617E-2</v>
      </c>
      <c r="G104" s="173">
        <f>_xll.qlSwapRateHelperSpread($E104,Trigger)</f>
        <v>0</v>
      </c>
      <c r="H104" s="174" t="b">
        <v>1</v>
      </c>
      <c r="I104" s="174">
        <v>50</v>
      </c>
      <c r="J104" s="174">
        <v>1</v>
      </c>
      <c r="K104" s="191">
        <f>_xll.qlRateHelperEarliestDate($E104,Trigger)</f>
        <v>41788</v>
      </c>
      <c r="L104" s="192">
        <f>_xll.qlRateHelperLatestDate($E104,Trigger)</f>
        <v>45441</v>
      </c>
      <c r="N104" s="189" t="e">
        <f t="shared" si="7"/>
        <v>#NUM!</v>
      </c>
    </row>
    <row r="105" spans="2:14" x14ac:dyDescent="0.2">
      <c r="B105" s="185" t="str">
        <f t="shared" si="5"/>
        <v>AB</v>
      </c>
      <c r="C105" s="171" t="str">
        <f t="shared" si="6"/>
        <v>6E</v>
      </c>
      <c r="D105" s="172" t="s">
        <v>23</v>
      </c>
      <c r="E105" s="172" t="str">
        <f t="shared" si="8"/>
        <v>EUR_YC6MRH_AB6E11Y</v>
      </c>
      <c r="F105" s="173">
        <f>_xll.qlRateHelperQuoteValue($E105,Trigger)</f>
        <v>1.736E-2</v>
      </c>
      <c r="G105" s="173">
        <f>_xll.qlSwapRateHelperSpread($E105,Trigger)</f>
        <v>0</v>
      </c>
      <c r="H105" s="174" t="b">
        <v>1</v>
      </c>
      <c r="I105" s="174">
        <v>50</v>
      </c>
      <c r="J105" s="174">
        <v>1</v>
      </c>
      <c r="K105" s="191">
        <f>_xll.qlRateHelperEarliestDate($E105,Trigger)</f>
        <v>41788</v>
      </c>
      <c r="L105" s="192">
        <f>_xll.qlRateHelperLatestDate($E105,Trigger)</f>
        <v>45806</v>
      </c>
      <c r="N105" s="189" t="e">
        <f t="shared" si="7"/>
        <v>#NUM!</v>
      </c>
    </row>
    <row r="106" spans="2:14" x14ac:dyDescent="0.2">
      <c r="B106" s="185" t="str">
        <f t="shared" si="5"/>
        <v>AB</v>
      </c>
      <c r="C106" s="171" t="str">
        <f t="shared" si="6"/>
        <v>6E</v>
      </c>
      <c r="D106" s="172" t="s">
        <v>22</v>
      </c>
      <c r="E106" s="172" t="str">
        <f t="shared" si="8"/>
        <v>EUR_YC6MRH_AB6E12Y</v>
      </c>
      <c r="F106" s="173">
        <f>_xll.qlRateHelperQuoteValue($E106,Trigger)</f>
        <v>1.84E-2</v>
      </c>
      <c r="G106" s="173">
        <f>_xll.qlSwapRateHelperSpread($E106,Trigger)</f>
        <v>0</v>
      </c>
      <c r="H106" s="174" t="b">
        <v>1</v>
      </c>
      <c r="I106" s="174">
        <v>50</v>
      </c>
      <c r="J106" s="174">
        <v>1</v>
      </c>
      <c r="K106" s="191">
        <f>_xll.qlRateHelperEarliestDate($E106,Trigger)</f>
        <v>41788</v>
      </c>
      <c r="L106" s="192">
        <f>_xll.qlRateHelperLatestDate($E106,Trigger)</f>
        <v>46171</v>
      </c>
      <c r="N106" s="189" t="e">
        <f t="shared" si="7"/>
        <v>#NUM!</v>
      </c>
    </row>
    <row r="107" spans="2:14" x14ac:dyDescent="0.2">
      <c r="B107" s="185" t="str">
        <f t="shared" si="5"/>
        <v>AB</v>
      </c>
      <c r="C107" s="171" t="str">
        <f t="shared" si="6"/>
        <v>6E</v>
      </c>
      <c r="D107" s="172" t="s">
        <v>21</v>
      </c>
      <c r="E107" s="172" t="str">
        <f t="shared" si="8"/>
        <v>EUR_YC6MRH_AB6E13Y</v>
      </c>
      <c r="F107" s="173">
        <f>_xll.qlRateHelperQuoteValue($E107,Trigger)</f>
        <v>1.9299999999999998E-2</v>
      </c>
      <c r="G107" s="173">
        <f>_xll.qlSwapRateHelperSpread($E107,Trigger)</f>
        <v>0</v>
      </c>
      <c r="H107" s="174" t="b">
        <v>1</v>
      </c>
      <c r="I107" s="174">
        <v>50</v>
      </c>
      <c r="J107" s="174">
        <v>1</v>
      </c>
      <c r="K107" s="191">
        <f>_xll.qlRateHelperEarliestDate($E107,Trigger)</f>
        <v>41788</v>
      </c>
      <c r="L107" s="192">
        <f>_xll.qlRateHelperLatestDate($E107,Trigger)</f>
        <v>46538</v>
      </c>
      <c r="N107" s="189" t="e">
        <f t="shared" si="7"/>
        <v>#NUM!</v>
      </c>
    </row>
    <row r="108" spans="2:14" x14ac:dyDescent="0.2">
      <c r="B108" s="185" t="str">
        <f t="shared" si="5"/>
        <v>AB</v>
      </c>
      <c r="C108" s="171" t="str">
        <f t="shared" si="6"/>
        <v>6E</v>
      </c>
      <c r="D108" s="172" t="s">
        <v>20</v>
      </c>
      <c r="E108" s="172" t="str">
        <f t="shared" si="8"/>
        <v>EUR_YC6MRH_AB6E14Y</v>
      </c>
      <c r="F108" s="173">
        <f>_xll.qlRateHelperQuoteValue($E108,Trigger)</f>
        <v>2.0070000000000001E-2</v>
      </c>
      <c r="G108" s="173">
        <f>_xll.qlSwapRateHelperSpread($E108,Trigger)</f>
        <v>0</v>
      </c>
      <c r="H108" s="174" t="b">
        <v>1</v>
      </c>
      <c r="I108" s="174">
        <v>50</v>
      </c>
      <c r="J108" s="174">
        <v>1</v>
      </c>
      <c r="K108" s="191">
        <f>_xll.qlRateHelperEarliestDate($E108,Trigger)</f>
        <v>41788</v>
      </c>
      <c r="L108" s="192">
        <f>_xll.qlRateHelperLatestDate($E108,Trigger)</f>
        <v>46902</v>
      </c>
      <c r="N108" s="189" t="e">
        <f t="shared" si="7"/>
        <v>#NUM!</v>
      </c>
    </row>
    <row r="109" spans="2:14" x14ac:dyDescent="0.2">
      <c r="B109" s="185" t="str">
        <f t="shared" si="5"/>
        <v>AB</v>
      </c>
      <c r="C109" s="171" t="str">
        <f t="shared" si="6"/>
        <v>6E</v>
      </c>
      <c r="D109" s="172" t="s">
        <v>19</v>
      </c>
      <c r="E109" s="172" t="str">
        <f t="shared" si="8"/>
        <v>EUR_YC6MRH_AB6E15Y</v>
      </c>
      <c r="F109" s="173">
        <f>_xll.qlRateHelperQuoteValue($E109,Trigger)</f>
        <v>2.0710000000000003E-2</v>
      </c>
      <c r="G109" s="173">
        <f>_xll.qlSwapRateHelperSpread($E109,Trigger)</f>
        <v>0</v>
      </c>
      <c r="H109" s="174" t="b">
        <v>1</v>
      </c>
      <c r="I109" s="174">
        <v>50</v>
      </c>
      <c r="J109" s="174">
        <v>1</v>
      </c>
      <c r="K109" s="191">
        <f>_xll.qlRateHelperEarliestDate($E109,Trigger)</f>
        <v>41788</v>
      </c>
      <c r="L109" s="192">
        <f>_xll.qlRateHelperLatestDate($E109,Trigger)</f>
        <v>47267</v>
      </c>
      <c r="N109" s="189" t="e">
        <f t="shared" si="7"/>
        <v>#NUM!</v>
      </c>
    </row>
    <row r="110" spans="2:14" x14ac:dyDescent="0.2">
      <c r="B110" s="185" t="str">
        <f t="shared" si="5"/>
        <v>AB</v>
      </c>
      <c r="C110" s="171" t="str">
        <f t="shared" si="6"/>
        <v>6E</v>
      </c>
      <c r="D110" s="172" t="s">
        <v>18</v>
      </c>
      <c r="E110" s="172" t="str">
        <f t="shared" si="8"/>
        <v>EUR_YC6MRH_AB6E16Y</v>
      </c>
      <c r="F110" s="173">
        <f>_xll.qlRateHelperQuoteValue($E110,Trigger)</f>
        <v>2.1230000000000002E-2</v>
      </c>
      <c r="G110" s="173">
        <f>_xll.qlSwapRateHelperSpread($E110,Trigger)</f>
        <v>0</v>
      </c>
      <c r="H110" s="174" t="b">
        <v>1</v>
      </c>
      <c r="I110" s="174">
        <v>50</v>
      </c>
      <c r="J110" s="174">
        <v>1</v>
      </c>
      <c r="K110" s="191">
        <f>_xll.qlRateHelperEarliestDate($E110,Trigger)</f>
        <v>41788</v>
      </c>
      <c r="L110" s="192">
        <f>_xll.qlRateHelperLatestDate($E110,Trigger)</f>
        <v>47632</v>
      </c>
      <c r="N110" s="189" t="e">
        <f t="shared" si="7"/>
        <v>#NUM!</v>
      </c>
    </row>
    <row r="111" spans="2:14" x14ac:dyDescent="0.2">
      <c r="B111" s="185" t="str">
        <f t="shared" si="5"/>
        <v>AB</v>
      </c>
      <c r="C111" s="171" t="str">
        <f t="shared" si="6"/>
        <v>6E</v>
      </c>
      <c r="D111" s="172" t="s">
        <v>17</v>
      </c>
      <c r="E111" s="172" t="str">
        <f t="shared" si="8"/>
        <v>EUR_YC6MRH_AB6E17Y</v>
      </c>
      <c r="F111" s="173">
        <f>_xll.qlRateHelperQuoteValue($E111,Trigger)</f>
        <v>2.1640000000000003E-2</v>
      </c>
      <c r="G111" s="173">
        <f>_xll.qlSwapRateHelperSpread($E111,Trigger)</f>
        <v>0</v>
      </c>
      <c r="H111" s="174" t="b">
        <v>1</v>
      </c>
      <c r="I111" s="174">
        <v>50</v>
      </c>
      <c r="J111" s="174">
        <v>1</v>
      </c>
      <c r="K111" s="191">
        <f>_xll.qlRateHelperEarliestDate($E111,Trigger)</f>
        <v>41788</v>
      </c>
      <c r="L111" s="192">
        <f>_xll.qlRateHelperLatestDate($E111,Trigger)</f>
        <v>47997</v>
      </c>
      <c r="N111" s="189" t="e">
        <f t="shared" si="7"/>
        <v>#NUM!</v>
      </c>
    </row>
    <row r="112" spans="2:14" x14ac:dyDescent="0.2">
      <c r="B112" s="185" t="str">
        <f t="shared" si="5"/>
        <v>AB</v>
      </c>
      <c r="C112" s="171" t="str">
        <f t="shared" si="6"/>
        <v>6E</v>
      </c>
      <c r="D112" s="172" t="s">
        <v>16</v>
      </c>
      <c r="E112" s="172" t="str">
        <f t="shared" si="8"/>
        <v>EUR_YC6MRH_AB6E18Y</v>
      </c>
      <c r="F112" s="173">
        <f>_xll.qlRateHelperQuoteValue($E112,Trigger)</f>
        <v>2.198E-2</v>
      </c>
      <c r="G112" s="173">
        <f>_xll.qlSwapRateHelperSpread($E112,Trigger)</f>
        <v>0</v>
      </c>
      <c r="H112" s="174" t="b">
        <v>1</v>
      </c>
      <c r="I112" s="174">
        <v>50</v>
      </c>
      <c r="J112" s="174">
        <v>1</v>
      </c>
      <c r="K112" s="191">
        <f>_xll.qlRateHelperEarliestDate($E112,Trigger)</f>
        <v>41788</v>
      </c>
      <c r="L112" s="192">
        <f>_xll.qlRateHelperLatestDate($E112,Trigger)</f>
        <v>48365</v>
      </c>
      <c r="N112" s="189" t="e">
        <f t="shared" si="7"/>
        <v>#NUM!</v>
      </c>
    </row>
    <row r="113" spans="2:14" x14ac:dyDescent="0.2">
      <c r="B113" s="185" t="str">
        <f t="shared" si="5"/>
        <v>AB</v>
      </c>
      <c r="C113" s="171" t="str">
        <f t="shared" si="6"/>
        <v>6E</v>
      </c>
      <c r="D113" s="172" t="s">
        <v>15</v>
      </c>
      <c r="E113" s="172" t="str">
        <f t="shared" si="8"/>
        <v>EUR_YC6MRH_AB6E19Y</v>
      </c>
      <c r="F113" s="173">
        <f>_xll.qlRateHelperQuoteValue($E113,Trigger)</f>
        <v>2.223E-2</v>
      </c>
      <c r="G113" s="173">
        <f>_xll.qlSwapRateHelperSpread($E113,Trigger)</f>
        <v>0</v>
      </c>
      <c r="H113" s="174" t="b">
        <v>1</v>
      </c>
      <c r="I113" s="174">
        <v>50</v>
      </c>
      <c r="J113" s="174">
        <v>1</v>
      </c>
      <c r="K113" s="191">
        <f>_xll.qlRateHelperEarliestDate($E113,Trigger)</f>
        <v>41788</v>
      </c>
      <c r="L113" s="192">
        <f>_xll.qlRateHelperLatestDate($E113,Trigger)</f>
        <v>48729</v>
      </c>
      <c r="N113" s="189" t="e">
        <f t="shared" si="7"/>
        <v>#NUM!</v>
      </c>
    </row>
    <row r="114" spans="2:14" x14ac:dyDescent="0.2">
      <c r="B114" s="185" t="str">
        <f t="shared" si="5"/>
        <v>AB</v>
      </c>
      <c r="C114" s="171" t="str">
        <f t="shared" si="6"/>
        <v>6E</v>
      </c>
      <c r="D114" s="172" t="s">
        <v>14</v>
      </c>
      <c r="E114" s="172" t="str">
        <f t="shared" si="8"/>
        <v>EUR_YC6MRH_AB6E20Y</v>
      </c>
      <c r="F114" s="173">
        <f>_xll.qlRateHelperQuoteValue($E114,Trigger)</f>
        <v>2.2439999999999998E-2</v>
      </c>
      <c r="G114" s="173">
        <f>_xll.qlSwapRateHelperSpread($E114,Trigger)</f>
        <v>0</v>
      </c>
      <c r="H114" s="174" t="b">
        <v>1</v>
      </c>
      <c r="I114" s="174">
        <v>50</v>
      </c>
      <c r="J114" s="174">
        <v>1</v>
      </c>
      <c r="K114" s="191">
        <f>_xll.qlRateHelperEarliestDate($E114,Trigger)</f>
        <v>41788</v>
      </c>
      <c r="L114" s="192">
        <f>_xll.qlRateHelperLatestDate($E114,Trigger)</f>
        <v>49093</v>
      </c>
      <c r="N114" s="189" t="e">
        <f t="shared" si="7"/>
        <v>#NUM!</v>
      </c>
    </row>
    <row r="115" spans="2:14" x14ac:dyDescent="0.2">
      <c r="B115" s="185" t="str">
        <f t="shared" si="5"/>
        <v>AB</v>
      </c>
      <c r="C115" s="171" t="str">
        <f t="shared" si="6"/>
        <v>6E</v>
      </c>
      <c r="D115" s="172" t="s">
        <v>13</v>
      </c>
      <c r="E115" s="172" t="str">
        <f t="shared" si="8"/>
        <v>EUR_YC6MRH_AB6E21Y</v>
      </c>
      <c r="F115" s="173">
        <f>_xll.qlRateHelperQuoteValue($E115,Trigger)</f>
        <v>2.2610000000000002E-2</v>
      </c>
      <c r="G115" s="173">
        <f>_xll.qlSwapRateHelperSpread($E115,Trigger)</f>
        <v>0</v>
      </c>
      <c r="H115" s="174" t="b">
        <v>1</v>
      </c>
      <c r="I115" s="174">
        <v>50</v>
      </c>
      <c r="J115" s="174">
        <v>1</v>
      </c>
      <c r="K115" s="191">
        <f>_xll.qlRateHelperEarliestDate($E115,Trigger)</f>
        <v>41788</v>
      </c>
      <c r="L115" s="192">
        <f>_xll.qlRateHelperLatestDate($E115,Trigger)</f>
        <v>49458</v>
      </c>
      <c r="N115" s="189" t="e">
        <f t="shared" si="7"/>
        <v>#NUM!</v>
      </c>
    </row>
    <row r="116" spans="2:14" x14ac:dyDescent="0.2">
      <c r="B116" s="185" t="str">
        <f t="shared" si="5"/>
        <v>AB</v>
      </c>
      <c r="C116" s="171" t="str">
        <f t="shared" si="6"/>
        <v>6E</v>
      </c>
      <c r="D116" s="172" t="s">
        <v>12</v>
      </c>
      <c r="E116" s="172" t="str">
        <f t="shared" si="8"/>
        <v>EUR_YC6MRH_AB6E22Y</v>
      </c>
      <c r="F116" s="173">
        <f>_xll.qlRateHelperQuoteValue($E116,Trigger)</f>
        <v>2.2749999999999999E-2</v>
      </c>
      <c r="G116" s="173">
        <f>_xll.qlSwapRateHelperSpread($E116,Trigger)</f>
        <v>0</v>
      </c>
      <c r="H116" s="174" t="b">
        <v>1</v>
      </c>
      <c r="I116" s="174">
        <v>50</v>
      </c>
      <c r="J116" s="174">
        <v>1</v>
      </c>
      <c r="K116" s="191">
        <f>_xll.qlRateHelperEarliestDate($E116,Trigger)</f>
        <v>41788</v>
      </c>
      <c r="L116" s="192">
        <f>_xll.qlRateHelperLatestDate($E116,Trigger)</f>
        <v>49824</v>
      </c>
      <c r="N116" s="189" t="e">
        <f t="shared" si="7"/>
        <v>#NUM!</v>
      </c>
    </row>
    <row r="117" spans="2:14" x14ac:dyDescent="0.2">
      <c r="B117" s="185" t="str">
        <f t="shared" si="5"/>
        <v>AB</v>
      </c>
      <c r="C117" s="171" t="str">
        <f t="shared" si="6"/>
        <v>6E</v>
      </c>
      <c r="D117" s="172" t="s">
        <v>11</v>
      </c>
      <c r="E117" s="172" t="str">
        <f t="shared" si="8"/>
        <v>EUR_YC6MRH_AB6E23Y</v>
      </c>
      <c r="F117" s="173">
        <f>_xll.qlRateHelperQuoteValue($E117,Trigger)</f>
        <v>2.2860000000000002E-2</v>
      </c>
      <c r="G117" s="173">
        <f>_xll.qlSwapRateHelperSpread($E117,Trigger)</f>
        <v>0</v>
      </c>
      <c r="H117" s="174" t="b">
        <v>1</v>
      </c>
      <c r="I117" s="174">
        <v>50</v>
      </c>
      <c r="J117" s="174">
        <v>1</v>
      </c>
      <c r="K117" s="191">
        <f>_xll.qlRateHelperEarliestDate($E117,Trigger)</f>
        <v>41788</v>
      </c>
      <c r="L117" s="192">
        <f>_xll.qlRateHelperLatestDate($E117,Trigger)</f>
        <v>50189</v>
      </c>
      <c r="N117" s="189" t="e">
        <f t="shared" si="7"/>
        <v>#NUM!</v>
      </c>
    </row>
    <row r="118" spans="2:14" x14ac:dyDescent="0.2">
      <c r="B118" s="185" t="str">
        <f t="shared" si="5"/>
        <v>AB</v>
      </c>
      <c r="C118" s="171" t="str">
        <f t="shared" si="6"/>
        <v>6E</v>
      </c>
      <c r="D118" s="172" t="s">
        <v>10</v>
      </c>
      <c r="E118" s="172" t="str">
        <f t="shared" si="8"/>
        <v>EUR_YC6MRH_AB6E24Y</v>
      </c>
      <c r="F118" s="173">
        <f>_xll.qlRateHelperQuoteValue($E118,Trigger)</f>
        <v>2.2949999999999998E-2</v>
      </c>
      <c r="G118" s="173">
        <f>_xll.qlSwapRateHelperSpread($E118,Trigger)</f>
        <v>0</v>
      </c>
      <c r="H118" s="174" t="b">
        <v>1</v>
      </c>
      <c r="I118" s="174">
        <v>50</v>
      </c>
      <c r="J118" s="174">
        <v>1</v>
      </c>
      <c r="K118" s="191">
        <f>_xll.qlRateHelperEarliestDate($E118,Trigger)</f>
        <v>41788</v>
      </c>
      <c r="L118" s="192">
        <f>_xll.qlRateHelperLatestDate($E118,Trigger)</f>
        <v>50556</v>
      </c>
      <c r="N118" s="189" t="e">
        <f t="shared" si="7"/>
        <v>#NUM!</v>
      </c>
    </row>
    <row r="119" spans="2:14" x14ac:dyDescent="0.2">
      <c r="B119" s="185" t="str">
        <f t="shared" si="5"/>
        <v>AB</v>
      </c>
      <c r="C119" s="171" t="str">
        <f t="shared" si="6"/>
        <v>6E</v>
      </c>
      <c r="D119" s="172" t="s">
        <v>9</v>
      </c>
      <c r="E119" s="172" t="str">
        <f t="shared" si="8"/>
        <v>EUR_YC6MRH_AB6E25Y</v>
      </c>
      <c r="F119" s="173">
        <f>_xll.qlRateHelperQuoteValue($E119,Trigger)</f>
        <v>2.3010000000000003E-2</v>
      </c>
      <c r="G119" s="173">
        <f>_xll.qlSwapRateHelperSpread($E119,Trigger)</f>
        <v>0</v>
      </c>
      <c r="H119" s="174" t="b">
        <v>1</v>
      </c>
      <c r="I119" s="174">
        <v>50</v>
      </c>
      <c r="J119" s="174">
        <v>1</v>
      </c>
      <c r="K119" s="191">
        <f>_xll.qlRateHelperEarliestDate($E119,Trigger)</f>
        <v>41788</v>
      </c>
      <c r="L119" s="192">
        <f>_xll.qlRateHelperLatestDate($E119,Trigger)</f>
        <v>50920</v>
      </c>
      <c r="N119" s="189" t="e">
        <f t="shared" si="7"/>
        <v>#NUM!</v>
      </c>
    </row>
    <row r="120" spans="2:14" x14ac:dyDescent="0.2">
      <c r="B120" s="185" t="str">
        <f t="shared" si="5"/>
        <v>AB</v>
      </c>
      <c r="C120" s="171" t="str">
        <f t="shared" si="6"/>
        <v>6E</v>
      </c>
      <c r="D120" s="172" t="s">
        <v>8</v>
      </c>
      <c r="E120" s="172" t="str">
        <f t="shared" si="8"/>
        <v>EUR_YC6MRH_AB6E26Y</v>
      </c>
      <c r="F120" s="173">
        <f>_xll.qlRateHelperQuoteValue($E120,Trigger)</f>
        <v>2.3060000000000001E-2</v>
      </c>
      <c r="G120" s="173">
        <f>_xll.qlSwapRateHelperSpread($E120,Trigger)</f>
        <v>0</v>
      </c>
      <c r="H120" s="174" t="b">
        <v>1</v>
      </c>
      <c r="I120" s="174">
        <v>50</v>
      </c>
      <c r="J120" s="174">
        <v>1</v>
      </c>
      <c r="K120" s="191">
        <f>_xll.qlRateHelperEarliestDate($E120,Trigger)</f>
        <v>41788</v>
      </c>
      <c r="L120" s="192">
        <f>_xll.qlRateHelperLatestDate($E120,Trigger)</f>
        <v>51285</v>
      </c>
      <c r="N120" s="189" t="e">
        <f t="shared" si="7"/>
        <v>#NUM!</v>
      </c>
    </row>
    <row r="121" spans="2:14" x14ac:dyDescent="0.2">
      <c r="B121" s="185" t="str">
        <f t="shared" si="5"/>
        <v>AB</v>
      </c>
      <c r="C121" s="171" t="str">
        <f t="shared" si="6"/>
        <v>6E</v>
      </c>
      <c r="D121" s="172" t="s">
        <v>7</v>
      </c>
      <c r="E121" s="172" t="str">
        <f t="shared" si="8"/>
        <v>EUR_YC6MRH_AB6E27Y</v>
      </c>
      <c r="F121" s="173">
        <f>_xll.qlRateHelperQuoteValue($E121,Trigger)</f>
        <v>2.308E-2</v>
      </c>
      <c r="G121" s="173">
        <f>_xll.qlSwapRateHelperSpread($E121,Trigger)</f>
        <v>0</v>
      </c>
      <c r="H121" s="174" t="b">
        <v>1</v>
      </c>
      <c r="I121" s="174">
        <v>50</v>
      </c>
      <c r="J121" s="174">
        <v>1</v>
      </c>
      <c r="K121" s="191">
        <f>_xll.qlRateHelperEarliestDate($E121,Trigger)</f>
        <v>41788</v>
      </c>
      <c r="L121" s="192">
        <f>_xll.qlRateHelperLatestDate($E121,Trigger)</f>
        <v>51650</v>
      </c>
      <c r="N121" s="189" t="e">
        <f t="shared" si="7"/>
        <v>#NUM!</v>
      </c>
    </row>
    <row r="122" spans="2:14" x14ac:dyDescent="0.2">
      <c r="B122" s="185" t="str">
        <f t="shared" si="5"/>
        <v>AB</v>
      </c>
      <c r="C122" s="171" t="str">
        <f t="shared" si="6"/>
        <v>6E</v>
      </c>
      <c r="D122" s="172" t="s">
        <v>6</v>
      </c>
      <c r="E122" s="172" t="str">
        <f t="shared" si="8"/>
        <v>EUR_YC6MRH_AB6E28Y</v>
      </c>
      <c r="F122" s="173">
        <f>_xll.qlRateHelperQuoteValue($E122,Trigger)</f>
        <v>2.3099999999999999E-2</v>
      </c>
      <c r="G122" s="173">
        <f>_xll.qlSwapRateHelperSpread($E122,Trigger)</f>
        <v>0</v>
      </c>
      <c r="H122" s="174" t="b">
        <v>1</v>
      </c>
      <c r="I122" s="174">
        <v>50</v>
      </c>
      <c r="J122" s="174">
        <v>1</v>
      </c>
      <c r="K122" s="191">
        <f>_xll.qlRateHelperEarliestDate($E122,Trigger)</f>
        <v>41788</v>
      </c>
      <c r="L122" s="192">
        <f>_xll.qlRateHelperLatestDate($E122,Trigger)</f>
        <v>52015</v>
      </c>
      <c r="N122" s="189" t="e">
        <f t="shared" si="7"/>
        <v>#NUM!</v>
      </c>
    </row>
    <row r="123" spans="2:14" x14ac:dyDescent="0.2">
      <c r="B123" s="185" t="str">
        <f t="shared" si="5"/>
        <v>AB</v>
      </c>
      <c r="C123" s="171" t="str">
        <f t="shared" si="6"/>
        <v>6E</v>
      </c>
      <c r="D123" s="172" t="s">
        <v>5</v>
      </c>
      <c r="E123" s="172" t="str">
        <f t="shared" si="8"/>
        <v>EUR_YC6MRH_AB6E29Y</v>
      </c>
      <c r="F123" s="173">
        <f>_xll.qlRateHelperQuoteValue($E123,Trigger)</f>
        <v>2.3119999999999998E-2</v>
      </c>
      <c r="G123" s="173">
        <f>_xll.qlSwapRateHelperSpread($E123,Trigger)</f>
        <v>0</v>
      </c>
      <c r="H123" s="174" t="b">
        <v>1</v>
      </c>
      <c r="I123" s="174">
        <v>50</v>
      </c>
      <c r="J123" s="174">
        <v>1</v>
      </c>
      <c r="K123" s="191">
        <f>_xll.qlRateHelperEarliestDate($E123,Trigger)</f>
        <v>41788</v>
      </c>
      <c r="L123" s="192">
        <f>_xll.qlRateHelperLatestDate($E123,Trigger)</f>
        <v>52380</v>
      </c>
      <c r="N123" s="189" t="e">
        <f t="shared" si="7"/>
        <v>#NUM!</v>
      </c>
    </row>
    <row r="124" spans="2:14" x14ac:dyDescent="0.2">
      <c r="B124" s="185" t="str">
        <f t="shared" ref="B124:B155" si="9">SwapFixedFreq</f>
        <v>AB</v>
      </c>
      <c r="C124" s="171" t="str">
        <f t="shared" si="6"/>
        <v>6E</v>
      </c>
      <c r="D124" s="172" t="s">
        <v>4</v>
      </c>
      <c r="E124" s="172" t="str">
        <f t="shared" si="8"/>
        <v>EUR_YC6MRH_AB6E30Y</v>
      </c>
      <c r="F124" s="173">
        <f>_xll.qlRateHelperQuoteValue($E124,Trigger)</f>
        <v>2.3130000000000001E-2</v>
      </c>
      <c r="G124" s="173">
        <f>_xll.qlSwapRateHelperSpread($E124,Trigger)</f>
        <v>0</v>
      </c>
      <c r="H124" s="174" t="b">
        <v>1</v>
      </c>
      <c r="I124" s="174">
        <v>50</v>
      </c>
      <c r="J124" s="174">
        <v>1</v>
      </c>
      <c r="K124" s="191">
        <f>_xll.qlRateHelperEarliestDate($E124,Trigger)</f>
        <v>41788</v>
      </c>
      <c r="L124" s="192">
        <f>_xll.qlRateHelperLatestDate($E124,Trigger)</f>
        <v>52747</v>
      </c>
      <c r="N124" s="189" t="e">
        <f t="shared" si="7"/>
        <v>#NUM!</v>
      </c>
    </row>
    <row r="125" spans="2:14" x14ac:dyDescent="0.2">
      <c r="B125" s="185" t="str">
        <f t="shared" si="9"/>
        <v>AB</v>
      </c>
      <c r="C125" s="171" t="str">
        <f t="shared" si="6"/>
        <v>6E</v>
      </c>
      <c r="D125" s="172" t="s">
        <v>3</v>
      </c>
      <c r="E125" s="172" t="str">
        <f t="shared" si="8"/>
        <v>EUR_YC6MRH_AB6E35Y</v>
      </c>
      <c r="F125" s="173">
        <f>_xll.qlRateHelperQuoteValue($E125,Trigger)</f>
        <v>2.3230000000000001E-2</v>
      </c>
      <c r="G125" s="173">
        <f>_xll.qlSwapRateHelperSpread($E125,Trigger)</f>
        <v>0</v>
      </c>
      <c r="H125" s="174" t="b">
        <v>1</v>
      </c>
      <c r="I125" s="174">
        <v>50</v>
      </c>
      <c r="J125" s="174">
        <v>1</v>
      </c>
      <c r="K125" s="191">
        <f>_xll.qlRateHelperEarliestDate($E125,Trigger)</f>
        <v>41788</v>
      </c>
      <c r="L125" s="192">
        <f>_xll.qlRateHelperLatestDate($E125,Trigger)</f>
        <v>54574</v>
      </c>
      <c r="N125" s="189" t="e">
        <f t="shared" si="7"/>
        <v>#NUM!</v>
      </c>
    </row>
    <row r="126" spans="2:14" x14ac:dyDescent="0.2">
      <c r="B126" s="185" t="str">
        <f t="shared" si="9"/>
        <v>AB</v>
      </c>
      <c r="C126" s="171" t="str">
        <f t="shared" si="6"/>
        <v>6E</v>
      </c>
      <c r="D126" s="172" t="s">
        <v>2</v>
      </c>
      <c r="E126" s="172" t="str">
        <f t="shared" ref="E126:E157" si="10">RateHelperPrefix&amp;"_"&amp;$B126&amp;$C126&amp;$D126</f>
        <v>EUR_YC6MRH_AB6E40Y</v>
      </c>
      <c r="F126" s="173">
        <f>_xll.qlRateHelperQuoteValue($E126,Trigger)</f>
        <v>2.334E-2</v>
      </c>
      <c r="G126" s="173">
        <f>_xll.qlSwapRateHelperSpread($E126,Trigger)</f>
        <v>0</v>
      </c>
      <c r="H126" s="174" t="b">
        <v>1</v>
      </c>
      <c r="I126" s="174">
        <v>50</v>
      </c>
      <c r="J126" s="174">
        <v>1</v>
      </c>
      <c r="K126" s="191">
        <f>_xll.qlRateHelperEarliestDate($E126,Trigger)</f>
        <v>41788</v>
      </c>
      <c r="L126" s="192">
        <f>_xll.qlRateHelperLatestDate($E126,Trigger)</f>
        <v>56398</v>
      </c>
      <c r="N126" s="189" t="e">
        <f t="shared" si="7"/>
        <v>#NUM!</v>
      </c>
    </row>
    <row r="127" spans="2:14" x14ac:dyDescent="0.2">
      <c r="B127" s="185" t="str">
        <f t="shared" si="9"/>
        <v>AB</v>
      </c>
      <c r="C127" s="171" t="str">
        <f t="shared" si="6"/>
        <v>6E</v>
      </c>
      <c r="D127" s="172" t="s">
        <v>1</v>
      </c>
      <c r="E127" s="172" t="str">
        <f t="shared" si="10"/>
        <v>EUR_YC6MRH_AB6E50Y</v>
      </c>
      <c r="F127" s="173">
        <f>_xll.qlRateHelperQuoteValue($E127,Trigger)</f>
        <v>2.3359999999999999E-2</v>
      </c>
      <c r="G127" s="173">
        <f>_xll.qlSwapRateHelperSpread($E127,Trigger)</f>
        <v>0</v>
      </c>
      <c r="H127" s="174" t="b">
        <v>1</v>
      </c>
      <c r="I127" s="174">
        <v>50</v>
      </c>
      <c r="J127" s="174">
        <v>1</v>
      </c>
      <c r="K127" s="191">
        <f>_xll.qlRateHelperEarliestDate($E127,Trigger)</f>
        <v>41788</v>
      </c>
      <c r="L127" s="192">
        <f>_xll.qlRateHelperLatestDate($E127,Trigger)</f>
        <v>60051</v>
      </c>
      <c r="N127" s="189" t="e">
        <f t="shared" si="7"/>
        <v>#NUM!</v>
      </c>
    </row>
    <row r="128" spans="2:14" x14ac:dyDescent="0.2">
      <c r="B128" s="180" t="str">
        <f t="shared" si="9"/>
        <v>AB</v>
      </c>
      <c r="C128" s="181" t="str">
        <f t="shared" si="6"/>
        <v>6E</v>
      </c>
      <c r="D128" s="182" t="s">
        <v>0</v>
      </c>
      <c r="E128" s="182" t="str">
        <f t="shared" si="10"/>
        <v>EUR_YC6MRH_AB6E60Y</v>
      </c>
      <c r="F128" s="183">
        <f>_xll.qlRateHelperQuoteValue($E128,Trigger)</f>
        <v>2.349E-2</v>
      </c>
      <c r="G128" s="183">
        <f>_xll.qlSwapRateHelperSpread($E128,Trigger)</f>
        <v>0</v>
      </c>
      <c r="H128" s="184" t="b">
        <v>1</v>
      </c>
      <c r="I128" s="184">
        <v>50</v>
      </c>
      <c r="J128" s="184">
        <v>1</v>
      </c>
      <c r="K128" s="195">
        <f>_xll.qlRateHelperEarliestDate($E128,Trigger)</f>
        <v>41788</v>
      </c>
      <c r="L128" s="196">
        <f>_xll.qlRateHelperLatestDate($E128,Trigger)</f>
        <v>63703</v>
      </c>
      <c r="N128" s="189" t="e">
        <f t="shared" si="7"/>
        <v>#NUM!</v>
      </c>
    </row>
    <row r="129" spans="2:12" x14ac:dyDescent="0.2">
      <c r="B129" s="185" t="str">
        <f t="shared" si="9"/>
        <v>AB</v>
      </c>
      <c r="C129" s="171" t="str">
        <f t="shared" ref="C129:C165" si="11">IborType&amp;"BASIS"</f>
        <v>6EBASIS</v>
      </c>
      <c r="D129" s="172" t="s">
        <v>36</v>
      </c>
      <c r="E129" s="172" t="str">
        <f t="shared" si="10"/>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9"/>
        <v>AB</v>
      </c>
      <c r="C130" s="171" t="str">
        <f t="shared" si="11"/>
        <v>6EBASIS</v>
      </c>
      <c r="D130" s="172" t="s">
        <v>35</v>
      </c>
      <c r="E130" s="172" t="str">
        <f t="shared" si="10"/>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9"/>
        <v>AB</v>
      </c>
      <c r="C131" s="171" t="str">
        <f t="shared" si="11"/>
        <v>6EBASIS</v>
      </c>
      <c r="D131" s="172" t="s">
        <v>34</v>
      </c>
      <c r="E131" s="172" t="str">
        <f t="shared" si="10"/>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9"/>
        <v>AB</v>
      </c>
      <c r="C132" s="171" t="str">
        <f t="shared" si="11"/>
        <v>6EBASIS</v>
      </c>
      <c r="D132" s="172" t="s">
        <v>33</v>
      </c>
      <c r="E132" s="172" t="str">
        <f t="shared" si="10"/>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9"/>
        <v>AB</v>
      </c>
      <c r="C133" s="171" t="str">
        <f t="shared" si="11"/>
        <v>6EBASIS</v>
      </c>
      <c r="D133" s="172" t="s">
        <v>32</v>
      </c>
      <c r="E133" s="172" t="str">
        <f t="shared" si="10"/>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9"/>
        <v>AB</v>
      </c>
      <c r="C134" s="171" t="str">
        <f t="shared" si="11"/>
        <v>6EBASIS</v>
      </c>
      <c r="D134" s="172" t="s">
        <v>31</v>
      </c>
      <c r="E134" s="172" t="str">
        <f t="shared" si="10"/>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9"/>
        <v>AB</v>
      </c>
      <c r="C135" s="171" t="str">
        <f t="shared" si="11"/>
        <v>6EBASIS</v>
      </c>
      <c r="D135" s="172" t="s">
        <v>30</v>
      </c>
      <c r="E135" s="172" t="str">
        <f t="shared" si="10"/>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9"/>
        <v>AB</v>
      </c>
      <c r="C136" s="171" t="str">
        <f t="shared" si="11"/>
        <v>6EBASIS</v>
      </c>
      <c r="D136" s="172" t="s">
        <v>29</v>
      </c>
      <c r="E136" s="172" t="str">
        <f t="shared" si="10"/>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9"/>
        <v>AB</v>
      </c>
      <c r="C137" s="171" t="str">
        <f t="shared" si="11"/>
        <v>6EBASIS</v>
      </c>
      <c r="D137" s="172" t="s">
        <v>28</v>
      </c>
      <c r="E137" s="172" t="str">
        <f t="shared" si="10"/>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9"/>
        <v>AB</v>
      </c>
      <c r="C138" s="171" t="str">
        <f t="shared" si="11"/>
        <v>6EBASIS</v>
      </c>
      <c r="D138" s="172" t="s">
        <v>27</v>
      </c>
      <c r="E138" s="172" t="str">
        <f t="shared" si="10"/>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9"/>
        <v>AB</v>
      </c>
      <c r="C139" s="171" t="str">
        <f t="shared" si="11"/>
        <v>6EBASIS</v>
      </c>
      <c r="D139" s="172" t="s">
        <v>26</v>
      </c>
      <c r="E139" s="172" t="str">
        <f t="shared" si="10"/>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9"/>
        <v>AB</v>
      </c>
      <c r="C140" s="171" t="str">
        <f t="shared" si="11"/>
        <v>6EBASIS</v>
      </c>
      <c r="D140" s="172" t="s">
        <v>25</v>
      </c>
      <c r="E140" s="172" t="str">
        <f t="shared" si="10"/>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9"/>
        <v>AB</v>
      </c>
      <c r="C141" s="171" t="str">
        <f t="shared" si="11"/>
        <v>6EBASIS</v>
      </c>
      <c r="D141" s="172" t="s">
        <v>24</v>
      </c>
      <c r="E141" s="172" t="str">
        <f t="shared" si="10"/>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9"/>
        <v>AB</v>
      </c>
      <c r="C142" s="171" t="str">
        <f t="shared" si="11"/>
        <v>6EBASIS</v>
      </c>
      <c r="D142" s="172" t="s">
        <v>23</v>
      </c>
      <c r="E142" s="172" t="str">
        <f t="shared" si="10"/>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9"/>
        <v>AB</v>
      </c>
      <c r="C143" s="171" t="str">
        <f t="shared" si="11"/>
        <v>6EBASIS</v>
      </c>
      <c r="D143" s="172" t="s">
        <v>22</v>
      </c>
      <c r="E143" s="172" t="str">
        <f t="shared" si="10"/>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9"/>
        <v>AB</v>
      </c>
      <c r="C144" s="171" t="str">
        <f t="shared" si="11"/>
        <v>6EBASIS</v>
      </c>
      <c r="D144" s="172" t="s">
        <v>21</v>
      </c>
      <c r="E144" s="172" t="str">
        <f t="shared" si="10"/>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9"/>
        <v>AB</v>
      </c>
      <c r="C145" s="171" t="str">
        <f t="shared" si="11"/>
        <v>6EBASIS</v>
      </c>
      <c r="D145" s="172" t="s">
        <v>20</v>
      </c>
      <c r="E145" s="172" t="str">
        <f t="shared" si="10"/>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9"/>
        <v>AB</v>
      </c>
      <c r="C146" s="171" t="str">
        <f t="shared" si="11"/>
        <v>6EBASIS</v>
      </c>
      <c r="D146" s="172" t="s">
        <v>19</v>
      </c>
      <c r="E146" s="172" t="str">
        <f t="shared" si="10"/>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9"/>
        <v>AB</v>
      </c>
      <c r="C147" s="171" t="str">
        <f t="shared" si="11"/>
        <v>6EBASIS</v>
      </c>
      <c r="D147" s="172" t="s">
        <v>18</v>
      </c>
      <c r="E147" s="172" t="str">
        <f t="shared" si="10"/>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9"/>
        <v>AB</v>
      </c>
      <c r="C148" s="171" t="str">
        <f t="shared" si="11"/>
        <v>6EBASIS</v>
      </c>
      <c r="D148" s="172" t="s">
        <v>17</v>
      </c>
      <c r="E148" s="172" t="str">
        <f t="shared" si="10"/>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9"/>
        <v>AB</v>
      </c>
      <c r="C149" s="171" t="str">
        <f t="shared" si="11"/>
        <v>6EBASIS</v>
      </c>
      <c r="D149" s="172" t="s">
        <v>16</v>
      </c>
      <c r="E149" s="172" t="str">
        <f t="shared" si="10"/>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9"/>
        <v>AB</v>
      </c>
      <c r="C150" s="171" t="str">
        <f t="shared" si="11"/>
        <v>6EBASIS</v>
      </c>
      <c r="D150" s="172" t="s">
        <v>15</v>
      </c>
      <c r="E150" s="172" t="str">
        <f t="shared" si="10"/>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9"/>
        <v>AB</v>
      </c>
      <c r="C151" s="171" t="str">
        <f t="shared" si="11"/>
        <v>6EBASIS</v>
      </c>
      <c r="D151" s="172" t="s">
        <v>14</v>
      </c>
      <c r="E151" s="172" t="str">
        <f t="shared" si="10"/>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9"/>
        <v>AB</v>
      </c>
      <c r="C152" s="171" t="str">
        <f t="shared" si="11"/>
        <v>6EBASIS</v>
      </c>
      <c r="D152" s="172" t="s">
        <v>13</v>
      </c>
      <c r="E152" s="172" t="str">
        <f t="shared" si="10"/>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9"/>
        <v>AB</v>
      </c>
      <c r="C153" s="171" t="str">
        <f t="shared" si="11"/>
        <v>6EBASIS</v>
      </c>
      <c r="D153" s="172" t="s">
        <v>12</v>
      </c>
      <c r="E153" s="172" t="str">
        <f t="shared" si="10"/>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9"/>
        <v>AB</v>
      </c>
      <c r="C154" s="171" t="str">
        <f t="shared" si="11"/>
        <v>6EBASIS</v>
      </c>
      <c r="D154" s="172" t="s">
        <v>11</v>
      </c>
      <c r="E154" s="172" t="str">
        <f t="shared" si="10"/>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9"/>
        <v>AB</v>
      </c>
      <c r="C155" s="171" t="str">
        <f t="shared" si="11"/>
        <v>6EBASIS</v>
      </c>
      <c r="D155" s="172" t="s">
        <v>10</v>
      </c>
      <c r="E155" s="172" t="str">
        <f t="shared" si="10"/>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2">SwapFixedFreq</f>
        <v>AB</v>
      </c>
      <c r="C156" s="171" t="str">
        <f t="shared" si="11"/>
        <v>6EBASIS</v>
      </c>
      <c r="D156" s="172" t="s">
        <v>9</v>
      </c>
      <c r="E156" s="172" t="str">
        <f t="shared" si="10"/>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2"/>
        <v>AB</v>
      </c>
      <c r="C157" s="171" t="str">
        <f t="shared" si="11"/>
        <v>6EBASIS</v>
      </c>
      <c r="D157" s="172" t="s">
        <v>8</v>
      </c>
      <c r="E157" s="172" t="str">
        <f t="shared" si="10"/>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2"/>
        <v>AB</v>
      </c>
      <c r="C158" s="171" t="str">
        <f t="shared" si="11"/>
        <v>6EBASIS</v>
      </c>
      <c r="D158" s="172" t="s">
        <v>7</v>
      </c>
      <c r="E158" s="172" t="str">
        <f t="shared" ref="E158:E165" si="13">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2"/>
        <v>AB</v>
      </c>
      <c r="C159" s="171" t="str">
        <f t="shared" si="11"/>
        <v>6EBASIS</v>
      </c>
      <c r="D159" s="172" t="s">
        <v>6</v>
      </c>
      <c r="E159" s="172" t="str">
        <f t="shared" si="13"/>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2"/>
        <v>AB</v>
      </c>
      <c r="C160" s="171" t="str">
        <f t="shared" si="11"/>
        <v>6EBASIS</v>
      </c>
      <c r="D160" s="172" t="s">
        <v>5</v>
      </c>
      <c r="E160" s="172" t="str">
        <f t="shared" si="13"/>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2"/>
        <v>AB</v>
      </c>
      <c r="C161" s="171" t="str">
        <f t="shared" si="11"/>
        <v>6EBASIS</v>
      </c>
      <c r="D161" s="172" t="s">
        <v>4</v>
      </c>
      <c r="E161" s="172" t="str">
        <f t="shared" si="13"/>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2"/>
        <v>AB</v>
      </c>
      <c r="C162" s="171" t="str">
        <f t="shared" si="11"/>
        <v>6EBASIS</v>
      </c>
      <c r="D162" s="172" t="s">
        <v>3</v>
      </c>
      <c r="E162" s="172" t="str">
        <f t="shared" si="13"/>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2"/>
        <v>AB</v>
      </c>
      <c r="C163" s="171" t="str">
        <f t="shared" si="11"/>
        <v>6EBASIS</v>
      </c>
      <c r="D163" s="172" t="s">
        <v>2</v>
      </c>
      <c r="E163" s="172" t="str">
        <f t="shared" si="13"/>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2"/>
        <v>AB</v>
      </c>
      <c r="C164" s="171" t="str">
        <f t="shared" si="11"/>
        <v>6EBASIS</v>
      </c>
      <c r="D164" s="172" t="s">
        <v>1</v>
      </c>
      <c r="E164" s="172" t="str">
        <f t="shared" si="13"/>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2"/>
        <v>AB</v>
      </c>
      <c r="C165" s="181" t="str">
        <f t="shared" si="11"/>
        <v>6EBASIS</v>
      </c>
      <c r="D165" s="182" t="s">
        <v>0</v>
      </c>
      <c r="E165" s="182" t="str">
        <f t="shared" si="13"/>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50" t="s">
        <v>73</v>
      </c>
      <c r="B1" s="251"/>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7.62E-3</v>
      </c>
      <c r="F2" s="10" t="str">
        <f>IF(ISERROR(_xll.qlSwapRateHelperSpread($D2)),IF(ISERROR(_xll.qlFuturesRateHelperConvexityAdjustment($D2)),"--",_xll.qlFuturesRateHelperConvexityAdjustment($D2)),_xll.qlSwapRateHelperSpread($D2))</f>
        <v>--</v>
      </c>
      <c r="G2" s="9">
        <f>_xll.qlRateHelperEarliestDate($D2)</f>
        <v>41788</v>
      </c>
      <c r="H2" s="8">
        <f>_xll.qlRateHelperLatestDate($D2)</f>
        <v>41789</v>
      </c>
      <c r="I2" s="3">
        <v>0.99997883378135155</v>
      </c>
    </row>
    <row r="3" spans="1:9" x14ac:dyDescent="0.2">
      <c r="A3" s="15" t="s">
        <v>69</v>
      </c>
      <c r="B3" s="17">
        <v>1</v>
      </c>
      <c r="D3" s="11" t="str">
        <v>EUR_YC6MRH_SWD</v>
      </c>
      <c r="E3" s="10">
        <f>_xll.qlRateHelperRate($D3)</f>
        <v>6.8890000000000002E-3</v>
      </c>
      <c r="F3" s="10" t="str">
        <f>IF(ISERROR(_xll.qlSwapRateHelperSpread($D3)),IF(ISERROR(_xll.qlFuturesRateHelperConvexityAdjustment($D3)),"--",_xll.qlFuturesRateHelperConvexityAdjustment($D3)),_xll.qlSwapRateHelperSpread($D3))</f>
        <v>--</v>
      </c>
      <c r="G3" s="9">
        <f>_xll.qlRateHelperEarliestDate($D3)</f>
        <v>41788</v>
      </c>
      <c r="H3" s="8">
        <f>_xll.qlRateHelperLatestDate($D3)</f>
        <v>41795</v>
      </c>
      <c r="I3" s="3">
        <v>0.99986606516316578</v>
      </c>
    </row>
    <row r="4" spans="1:9" x14ac:dyDescent="0.2">
      <c r="A4" s="15" t="s">
        <v>68</v>
      </c>
      <c r="B4" s="17">
        <v>2</v>
      </c>
      <c r="D4" s="11" t="str">
        <v>EUR_YC6MRH_2WD</v>
      </c>
      <c r="E4" s="10">
        <f>_xll.qlRateHelperRate($D4)</f>
        <v>6.4619999999999999E-3</v>
      </c>
      <c r="F4" s="10" t="str">
        <f>IF(ISERROR(_xll.qlSwapRateHelperSpread($D4)),IF(ISERROR(_xll.qlFuturesRateHelperConvexityAdjustment($D4)),"--",_xll.qlFuturesRateHelperConvexityAdjustment($D4)),_xll.qlSwapRateHelperSpread($D4))</f>
        <v>--</v>
      </c>
      <c r="G4" s="9">
        <f>_xll.qlRateHelperEarliestDate($D4)</f>
        <v>41788</v>
      </c>
      <c r="H4" s="8">
        <f>_xll.qlRateHelperLatestDate($D4)</f>
        <v>41802</v>
      </c>
      <c r="I4" s="3">
        <v>0.99974876313582406</v>
      </c>
    </row>
    <row r="5" spans="1:9" x14ac:dyDescent="0.2">
      <c r="A5" s="15" t="s">
        <v>67</v>
      </c>
      <c r="B5" s="16" t="s">
        <v>66</v>
      </c>
      <c r="D5" s="11" t="str">
        <v>EUR_YC6MRH_3WD</v>
      </c>
      <c r="E5" s="10">
        <f>_xll.qlRateHelperRate($D5)</f>
        <v>5.986E-3</v>
      </c>
      <c r="F5" s="10" t="str">
        <f>IF(ISERROR(_xll.qlSwapRateHelperSpread($D5)),IF(ISERROR(_xll.qlFuturesRateHelperConvexityAdjustment($D5)),"--",_xll.qlFuturesRateHelperConvexityAdjustment($D5)),_xll.qlSwapRateHelperSpread($D5))</f>
        <v>--</v>
      </c>
      <c r="G5" s="9">
        <f>_xll.qlRateHelperEarliestDate($D5)</f>
        <v>41788</v>
      </c>
      <c r="H5" s="8">
        <f>_xll.qlRateHelperLatestDate($D5)</f>
        <v>41809</v>
      </c>
      <c r="I5" s="3">
        <v>0.99965093855310627</v>
      </c>
    </row>
    <row r="6" spans="1:9" x14ac:dyDescent="0.2">
      <c r="A6" s="15" t="s">
        <v>65</v>
      </c>
      <c r="B6" s="14" t="str">
        <f>_xll.ohRangeRetrieveError(Selected!D2)</f>
        <v/>
      </c>
      <c r="D6" s="11" t="str">
        <v>EUR_YC6MRH_1MD</v>
      </c>
      <c r="E6" s="10">
        <f>_xll.qlRateHelperRate($D6)</f>
        <v>5.6280000000000002E-3</v>
      </c>
      <c r="F6" s="10" t="str">
        <f>IF(ISERROR(_xll.qlSwapRateHelperSpread($D6)),IF(ISERROR(_xll.qlFuturesRateHelperConvexityAdjustment($D6)),"--",_xll.qlFuturesRateHelperConvexityAdjustment($D6)),_xll.qlSwapRateHelperSpread($D6))</f>
        <v>--</v>
      </c>
      <c r="G6" s="9">
        <f>_xll.qlRateHelperEarliestDate($D6)</f>
        <v>41788</v>
      </c>
      <c r="H6" s="8">
        <f>_xll.qlRateHelperLatestDate($D6)</f>
        <v>41820</v>
      </c>
      <c r="I6" s="3">
        <v>0.99949998347493363</v>
      </c>
    </row>
    <row r="7" spans="1:9" ht="12" thickBot="1" x14ac:dyDescent="0.25">
      <c r="A7" s="13" t="str">
        <f>_xll.ohGroup(RateHelperPrefix&amp;"_RateHelpersSelected",_xll.ohPack(Selected!D2:D126),TRUE,,ObjectOverwrite)</f>
        <v>EUR_YC6MRH_RateHelpersSelected#0001</v>
      </c>
      <c r="B7" s="12" t="str">
        <f>_xll.ohRangeRetrieveError(RateHelpersSelected)</f>
        <v/>
      </c>
      <c r="D7" s="11" t="str">
        <v>EUR_YC6MRH_2MD</v>
      </c>
      <c r="E7" s="10">
        <f>_xll.qlRateHelperRate($D7)</f>
        <v>5.1370000000000001E-3</v>
      </c>
      <c r="F7" s="10" t="str">
        <f>IF(ISERROR(_xll.qlSwapRateHelperSpread($D7)),IF(ISERROR(_xll.qlFuturesRateHelperConvexityAdjustment($D7)),"--",_xll.qlFuturesRateHelperConvexityAdjustment($D7)),_xll.qlSwapRateHelperSpread($D7))</f>
        <v>--</v>
      </c>
      <c r="G7" s="9">
        <f>_xll.qlRateHelperEarliestDate($D7)</f>
        <v>41788</v>
      </c>
      <c r="H7" s="8">
        <f>_xll.qlRateHelperLatestDate($D7)</f>
        <v>41849</v>
      </c>
      <c r="I7" s="3">
        <v>0.99913032088899212</v>
      </c>
    </row>
    <row r="8" spans="1:9" x14ac:dyDescent="0.2">
      <c r="D8" s="11" t="str">
        <v>EUR_YC6MRH_3MD</v>
      </c>
      <c r="E8" s="10">
        <f>_xll.qlRateHelperRate($D8)</f>
        <v>4.7850000000000002E-3</v>
      </c>
      <c r="F8" s="10" t="str">
        <f>IF(ISERROR(_xll.qlSwapRateHelperSpread($D8)),IF(ISERROR(_xll.qlFuturesRateHelperConvexityAdjustment($D8)),"--",_xll.qlFuturesRateHelperConvexityAdjustment($D8)),_xll.qlSwapRateHelperSpread($D8))</f>
        <v>--</v>
      </c>
      <c r="G8" s="9">
        <f>_xll.qlRateHelperEarliestDate($D8)</f>
        <v>41788</v>
      </c>
      <c r="H8" s="8">
        <f>_xll.qlRateHelperLatestDate($D8)</f>
        <v>41880</v>
      </c>
      <c r="I8" s="3">
        <v>0.99877866016173233</v>
      </c>
    </row>
    <row r="9" spans="1:9" x14ac:dyDescent="0.2">
      <c r="D9" s="11" t="str">
        <v>EUR_YC6MRH_4MD</v>
      </c>
      <c r="E9" s="10">
        <f>_xll.qlRateHelperRate($D9)</f>
        <v>4.5030000000000001E-3</v>
      </c>
      <c r="F9" s="10" t="str">
        <f>IF(ISERROR(_xll.qlSwapRateHelperSpread($D9)),IF(ISERROR(_xll.qlFuturesRateHelperConvexityAdjustment($D9)),"--",_xll.qlFuturesRateHelperConvexityAdjustment($D9)),_xll.qlSwapRateHelperSpread($D9))</f>
        <v>--</v>
      </c>
      <c r="G9" s="9">
        <f>_xll.qlRateHelperEarliestDate($D9)</f>
        <v>41788</v>
      </c>
      <c r="H9" s="8">
        <f>_xll.qlRateHelperLatestDate($D9)</f>
        <v>41911</v>
      </c>
      <c r="I9" s="3">
        <v>0.99846383842299014</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41788</v>
      </c>
      <c r="H10" s="8">
        <f>_xll.qlRateHelperLatestDate($D10)</f>
        <v>41941</v>
      </c>
      <c r="I10" s="3">
        <v>0.99819404238366849</v>
      </c>
    </row>
    <row r="11" spans="1:9" x14ac:dyDescent="0.2">
      <c r="D11" s="11" t="str">
        <v>EUR_YC6MRH_1x7F</v>
      </c>
      <c r="E11" s="10">
        <f>_xll.qlRateHelperRate($D11)</f>
        <v>3.2799999999999995E-3</v>
      </c>
      <c r="F11" s="10" t="str">
        <f>IF(ISERROR(_xll.qlSwapRateHelperSpread($D11)),IF(ISERROR(_xll.qlFuturesRateHelperConvexityAdjustment($D11)),"--",_xll.qlFuturesRateHelperConvexityAdjustment($D11)),_xll.qlSwapRateHelperSpread($D11))</f>
        <v>--</v>
      </c>
      <c r="G11" s="9">
        <f>_xll.qlRateHelperEarliestDate($D11)</f>
        <v>41820</v>
      </c>
      <c r="H11" s="8">
        <f>_xll.qlRateHelperLatestDate($D11)</f>
        <v>42004</v>
      </c>
      <c r="I11" s="3">
        <v>0.99782718163975737</v>
      </c>
    </row>
    <row r="12" spans="1:9" x14ac:dyDescent="0.2">
      <c r="D12" s="11" t="str">
        <v>EUR_YC6MRH_2x8F</v>
      </c>
      <c r="E12" s="10">
        <f>_xll.qlRateHelperRate($D12)</f>
        <v>3.15E-3</v>
      </c>
      <c r="F12" s="10" t="str">
        <f>IF(ISERROR(_xll.qlSwapRateHelperSpread($D12)),IF(ISERROR(_xll.qlFuturesRateHelperConvexityAdjustment($D12)),"--",_xll.qlFuturesRateHelperConvexityAdjustment($D12)),_xll.qlSwapRateHelperSpread($D12))</f>
        <v>--</v>
      </c>
      <c r="G12" s="9">
        <f>_xll.qlRateHelperEarliestDate($D12)</f>
        <v>41849</v>
      </c>
      <c r="H12" s="8">
        <f>_xll.qlRateHelperLatestDate($D12)</f>
        <v>42033</v>
      </c>
      <c r="I12" s="3">
        <v>0.9975243067551165</v>
      </c>
    </row>
    <row r="13" spans="1:9" x14ac:dyDescent="0.2">
      <c r="D13" s="11" t="str">
        <v>EUR_YC6MRH_3x9F</v>
      </c>
      <c r="E13" s="10">
        <f>_xll.qlRateHelperRate($D13)</f>
        <v>3.0200000000000005E-3</v>
      </c>
      <c r="F13" s="10" t="str">
        <f>IF(ISERROR(_xll.qlSwapRateHelperSpread($D13)),IF(ISERROR(_xll.qlFuturesRateHelperConvexityAdjustment($D13)),"--",_xll.qlFuturesRateHelperConvexityAdjustment($D13)),_xll.qlSwapRateHelperSpread($D13))</f>
        <v>--</v>
      </c>
      <c r="G13" s="9">
        <f>_xll.qlRateHelperEarliestDate($D13)</f>
        <v>41880</v>
      </c>
      <c r="H13" s="8">
        <f>_xll.qlRateHelperLatestDate($D13)</f>
        <v>42062</v>
      </c>
      <c r="I13" s="3">
        <v>0.99725607175262643</v>
      </c>
    </row>
    <row r="14" spans="1:9" x14ac:dyDescent="0.2">
      <c r="D14" s="11" t="str">
        <v>EUR_YC6MRH_4x10F</v>
      </c>
      <c r="E14" s="10">
        <f>_xll.qlRateHelperRate($D14)</f>
        <v>2.9300000000000003E-3</v>
      </c>
      <c r="F14" s="10" t="str">
        <f>IF(ISERROR(_xll.qlSwapRateHelperSpread($D14)),IF(ISERROR(_xll.qlFuturesRateHelperConvexityAdjustment($D14)),"--",_xll.qlFuturesRateHelperConvexityAdjustment($D14)),_xll.qlSwapRateHelperSpread($D14))</f>
        <v>--</v>
      </c>
      <c r="G14" s="9">
        <f>_xll.qlRateHelperEarliestDate($D14)</f>
        <v>41911</v>
      </c>
      <c r="H14" s="8">
        <f>_xll.qlRateHelperLatestDate($D14)</f>
        <v>42093</v>
      </c>
      <c r="I14" s="3">
        <v>0.99698702370005055</v>
      </c>
    </row>
    <row r="15" spans="1:9" x14ac:dyDescent="0.2">
      <c r="D15" s="11" t="str">
        <v>EUR_YC6MRH_5x11F</v>
      </c>
      <c r="E15" s="10">
        <f>_xll.qlRateHelperRate($D15)</f>
        <v>2.9000000000000002E-3</v>
      </c>
      <c r="F15" s="10" t="str">
        <f>IF(ISERROR(_xll.qlSwapRateHelperSpread($D15)),IF(ISERROR(_xll.qlFuturesRateHelperConvexityAdjustment($D15)),"--",_xll.qlFuturesRateHelperConvexityAdjustment($D15)),_xll.qlSwapRateHelperSpread($D15))</f>
        <v>--</v>
      </c>
      <c r="G15" s="9">
        <f>_xll.qlRateHelperEarliestDate($D15)</f>
        <v>41941</v>
      </c>
      <c r="H15" s="8">
        <f>_xll.qlRateHelperLatestDate($D15)</f>
        <v>42123</v>
      </c>
      <c r="I15" s="3">
        <v>0.99673272146591918</v>
      </c>
    </row>
    <row r="16" spans="1:9" x14ac:dyDescent="0.2">
      <c r="D16" s="11" t="str">
        <v>EUR_YC6MRH_6x12F</v>
      </c>
      <c r="E16" s="10">
        <f>_xll.qlRateHelperRate($D16)</f>
        <v>2.8900000000000002E-3</v>
      </c>
      <c r="F16" s="10" t="str">
        <f>IF(ISERROR(_xll.qlSwapRateHelperSpread($D16)),IF(ISERROR(_xll.qlFuturesRateHelperConvexityAdjustment($D16)),"--",_xll.qlFuturesRateHelperConvexityAdjustment($D16)),_xll.qlSwapRateHelperSpread($D16))</f>
        <v>--</v>
      </c>
      <c r="G16" s="9">
        <f>_xll.qlRateHelperEarliestDate($D16)</f>
        <v>41971</v>
      </c>
      <c r="H16" s="8">
        <f>_xll.qlRateHelperLatestDate($D16)</f>
        <v>42153</v>
      </c>
      <c r="I16" s="3">
        <v>0.99657420644040118</v>
      </c>
    </row>
    <row r="17" spans="4:9" x14ac:dyDescent="0.2">
      <c r="D17" s="11" t="str">
        <v>EUR_YC6MRH_7x13F</v>
      </c>
      <c r="E17" s="10">
        <f>_xll.qlRateHelperRate($D17)</f>
        <v>2.9200000000000003E-3</v>
      </c>
      <c r="F17" s="10" t="str">
        <f>IF(ISERROR(_xll.qlSwapRateHelperSpread($D17)),IF(ISERROR(_xll.qlFuturesRateHelperConvexityAdjustment($D17)),"--",_xll.qlFuturesRateHelperConvexityAdjustment($D17)),_xll.qlSwapRateHelperSpread($D17))</f>
        <v>--</v>
      </c>
      <c r="G17" s="9">
        <f>_xll.qlRateHelperEarliestDate($D17)</f>
        <v>42002</v>
      </c>
      <c r="H17" s="8">
        <f>_xll.qlRateHelperLatestDate($D17)</f>
        <v>42184</v>
      </c>
      <c r="I17" s="3">
        <v>0.99637341731763129</v>
      </c>
    </row>
    <row r="18" spans="4:9" x14ac:dyDescent="0.2">
      <c r="D18" s="11" t="str">
        <v>EUR_YC6MRH_8x14F</v>
      </c>
      <c r="E18" s="10">
        <f>_xll.qlRateHelperRate($D18)</f>
        <v>2.9300000000000003E-3</v>
      </c>
      <c r="F18" s="10" t="str">
        <f>IF(ISERROR(_xll.qlSwapRateHelperSpread($D18)),IF(ISERROR(_xll.qlFuturesRateHelperConvexityAdjustment($D18)),"--",_xll.qlFuturesRateHelperConvexityAdjustment($D18)),_xll.qlSwapRateHelperSpread($D18))</f>
        <v>--</v>
      </c>
      <c r="G18" s="9">
        <f>_xll.qlRateHelperEarliestDate($D18)</f>
        <v>42033</v>
      </c>
      <c r="H18" s="8">
        <f>_xll.qlRateHelperLatestDate($D18)</f>
        <v>42214</v>
      </c>
      <c r="I18" s="3">
        <v>0.99605697648750358</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42062</v>
      </c>
      <c r="H19" s="8">
        <f>_xll.qlRateHelperLatestDate($D19)</f>
        <v>42247</v>
      </c>
      <c r="I19" s="3">
        <v>0.99572611092413277</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42093</v>
      </c>
      <c r="H20" s="8">
        <f>_xll.qlRateHelperLatestDate($D20)</f>
        <v>42277</v>
      </c>
      <c r="I20" s="3">
        <v>0.99543017091274311</v>
      </c>
    </row>
    <row r="21" spans="4:9" x14ac:dyDescent="0.2">
      <c r="D21" s="11" t="str">
        <v>EUR_YC6MRH_11x17F</v>
      </c>
      <c r="E21" s="10">
        <f>_xll.qlRateHelperRate($D21)</f>
        <v>3.15E-3</v>
      </c>
      <c r="F21" s="10" t="str">
        <f>IF(ISERROR(_xll.qlSwapRateHelperSpread($D21)),IF(ISERROR(_xll.qlFuturesRateHelperConvexityAdjustment($D21)),"--",_xll.qlFuturesRateHelperConvexityAdjustment($D21)),_xll.qlSwapRateHelperSpread($D21))</f>
        <v>--</v>
      </c>
      <c r="G21" s="9">
        <f>_xll.qlRateHelperEarliestDate($D21)</f>
        <v>42123</v>
      </c>
      <c r="H21" s="8">
        <f>_xll.qlRateHelperLatestDate($D21)</f>
        <v>42306</v>
      </c>
      <c r="I21" s="3">
        <v>0.995139254734276</v>
      </c>
    </row>
    <row r="22" spans="4:9" x14ac:dyDescent="0.2">
      <c r="D22" s="11" t="str">
        <v>EUR_YC6MRH_12x18F</v>
      </c>
      <c r="E22" s="10">
        <f>_xll.qlRateHelperRate($D22)</f>
        <v>3.2299999999999994E-3</v>
      </c>
      <c r="F22" s="10" t="str">
        <f>IF(ISERROR(_xll.qlSwapRateHelperSpread($D22)),IF(ISERROR(_xll.qlFuturesRateHelperConvexityAdjustment($D22)),"--",_xll.qlFuturesRateHelperConvexityAdjustment($D22)),_xll.qlSwapRateHelperSpread($D22))</f>
        <v>--</v>
      </c>
      <c r="G22" s="9">
        <f>_xll.qlRateHelperEarliestDate($D22)</f>
        <v>42153</v>
      </c>
      <c r="H22" s="8">
        <f>_xll.qlRateHelperLatestDate($D22)</f>
        <v>42338</v>
      </c>
      <c r="I22" s="3">
        <v>0.99492277282123631</v>
      </c>
    </row>
    <row r="23" spans="4:9" x14ac:dyDescent="0.2">
      <c r="D23" s="11" t="str">
        <v>EUR_YC6MRH_13x19F</v>
      </c>
      <c r="E23" s="10">
        <f>_xll.qlRateHelperRate($D23)</f>
        <v>3.3199999999999996E-3</v>
      </c>
      <c r="F23" s="10" t="str">
        <f>IF(ISERROR(_xll.qlSwapRateHelperSpread($D23)),IF(ISERROR(_xll.qlFuturesRateHelperConvexityAdjustment($D23)),"--",_xll.qlFuturesRateHelperConvexityAdjustment($D23)),_xll.qlSwapRateHelperSpread($D23))</f>
        <v>--</v>
      </c>
      <c r="G23" s="9">
        <f>_xll.qlRateHelperEarliestDate($D23)</f>
        <v>42184</v>
      </c>
      <c r="H23" s="8">
        <f>_xll.qlRateHelperLatestDate($D23)</f>
        <v>42367</v>
      </c>
      <c r="I23" s="3">
        <v>0.99469470422180628</v>
      </c>
    </row>
    <row r="24" spans="4:9" x14ac:dyDescent="0.2">
      <c r="D24" s="11" t="str">
        <v>EUR_YC6MRH_14x20F</v>
      </c>
      <c r="E24" s="10">
        <f>_xll.qlRateHelperRate($D24)</f>
        <v>3.4699999999999996E-3</v>
      </c>
      <c r="F24" s="10" t="str">
        <f>IF(ISERROR(_xll.qlSwapRateHelperSpread($D24)),IF(ISERROR(_xll.qlFuturesRateHelperConvexityAdjustment($D24)),"--",_xll.qlFuturesRateHelperConvexityAdjustment($D24)),_xll.qlSwapRateHelperSpread($D24))</f>
        <v>--</v>
      </c>
      <c r="G24" s="9">
        <f>_xll.qlRateHelperEarliestDate($D24)</f>
        <v>42214</v>
      </c>
      <c r="H24" s="8">
        <f>_xll.qlRateHelperLatestDate($D24)</f>
        <v>42398</v>
      </c>
      <c r="I24" s="3">
        <v>0.994293541652853</v>
      </c>
    </row>
    <row r="25" spans="4:9" x14ac:dyDescent="0.2">
      <c r="D25" s="11" t="str">
        <v>EUR_YC6MRH_15x21F</v>
      </c>
      <c r="E25" s="10">
        <f>_xll.qlRateHelperRate($D25)</f>
        <v>3.5999999999999999E-3</v>
      </c>
      <c r="F25" s="10" t="str">
        <f>IF(ISERROR(_xll.qlSwapRateHelperSpread($D25)),IF(ISERROR(_xll.qlFuturesRateHelperConvexityAdjustment($D25)),"--",_xll.qlFuturesRateHelperConvexityAdjustment($D25)),_xll.qlSwapRateHelperSpread($D25))</f>
        <v>--</v>
      </c>
      <c r="G25" s="9">
        <f>_xll.qlRateHelperEarliestDate($D25)</f>
        <v>42247</v>
      </c>
      <c r="H25" s="8">
        <f>_xll.qlRateHelperLatestDate($D25)</f>
        <v>42429</v>
      </c>
      <c r="I25" s="3">
        <v>0.99391718165352361</v>
      </c>
    </row>
    <row r="26" spans="4:9" x14ac:dyDescent="0.2">
      <c r="D26" s="11" t="str">
        <v>EUR_YC6MRH_16x22F</v>
      </c>
      <c r="E26" s="10">
        <f>_xll.qlRateHelperRate($D26)</f>
        <v>3.7399999999999998E-3</v>
      </c>
      <c r="F26" s="10" t="str">
        <f>IF(ISERROR(_xll.qlSwapRateHelperSpread($D26)),IF(ISERROR(_xll.qlFuturesRateHelperConvexityAdjustment($D26)),"--",_xll.qlFuturesRateHelperConvexityAdjustment($D26)),_xll.qlSwapRateHelperSpread($D26))</f>
        <v>--</v>
      </c>
      <c r="G26" s="9">
        <f>_xll.qlRateHelperEarliestDate($D26)</f>
        <v>42276</v>
      </c>
      <c r="H26" s="8">
        <f>_xll.qlRateHelperLatestDate($D26)</f>
        <v>42458</v>
      </c>
      <c r="I26" s="3">
        <v>0.99356193620346467</v>
      </c>
    </row>
    <row r="27" spans="4:9" x14ac:dyDescent="0.2">
      <c r="D27" s="11" t="str">
        <v>EUR_YC6MRH_17x23F</v>
      </c>
      <c r="E27" s="10">
        <f>_xll.qlRateHelperRate($D27)</f>
        <v>3.9300000000000003E-3</v>
      </c>
      <c r="F27" s="10" t="str">
        <f>IF(ISERROR(_xll.qlSwapRateHelperSpread($D27)),IF(ISERROR(_xll.qlFuturesRateHelperConvexityAdjustment($D27)),"--",_xll.qlFuturesRateHelperConvexityAdjustment($D27)),_xll.qlSwapRateHelperSpread($D27))</f>
        <v>--</v>
      </c>
      <c r="G27" s="9">
        <f>_xll.qlRateHelperEarliestDate($D27)</f>
        <v>42306</v>
      </c>
      <c r="H27" s="8">
        <f>_xll.qlRateHelperLatestDate($D27)</f>
        <v>42489</v>
      </c>
      <c r="I27" s="3">
        <v>0.99315517897547845</v>
      </c>
    </row>
    <row r="28" spans="4:9" x14ac:dyDescent="0.2">
      <c r="D28" s="11" t="str">
        <v>EUR_YC6MRH_18x24F</v>
      </c>
      <c r="E28" s="10">
        <f>_xll.qlRateHelperRate($D28)</f>
        <v>4.1099999999999999E-3</v>
      </c>
      <c r="F28" s="10" t="str">
        <f>IF(ISERROR(_xll.qlSwapRateHelperSpread($D28)),IF(ISERROR(_xll.qlFuturesRateHelperConvexityAdjustment($D28)),"--",_xll.qlFuturesRateHelperConvexityAdjustment($D28)),_xll.qlSwapRateHelperSpread($D28))</f>
        <v>--</v>
      </c>
      <c r="G28" s="9">
        <f>_xll.qlRateHelperEarliestDate($D28)</f>
        <v>42338</v>
      </c>
      <c r="H28" s="8">
        <f>_xll.qlRateHelperLatestDate($D28)</f>
        <v>42521</v>
      </c>
      <c r="I28" s="3">
        <v>0.9928484641674743</v>
      </c>
    </row>
    <row r="29" spans="4:9" x14ac:dyDescent="0.2">
      <c r="D29" s="11" t="str">
        <v>EUR_YC6MRH_AB6E3Y</v>
      </c>
      <c r="E29" s="10">
        <f>_xll.qlRateHelperRate($D29)</f>
        <v>4.5999999999999999E-3</v>
      </c>
      <c r="F29" s="10">
        <f>IF(ISERROR(_xll.qlSwapRateHelperSpread($D29)),IF(ISERROR(_xll.qlFuturesRateHelperConvexityAdjustment($D29)),"--",_xll.qlFuturesRateHelperConvexityAdjustment($D29)),_xll.qlSwapRateHelperSpread($D29))</f>
        <v>0</v>
      </c>
      <c r="G29" s="9">
        <f>_xll.qlRateHelperEarliestDate($D29)</f>
        <v>41788</v>
      </c>
      <c r="H29" s="8">
        <f>_xll.qlRateHelperLatestDate($D29)</f>
        <v>42884</v>
      </c>
      <c r="I29" s="3">
        <v>0.98631162037713804</v>
      </c>
    </row>
    <row r="30" spans="4:9" x14ac:dyDescent="0.2">
      <c r="D30" s="11" t="str">
        <v>EUR_YC6MRH_AB6E4Y</v>
      </c>
      <c r="E30" s="10">
        <f>_xll.qlRateHelperRate($D30)</f>
        <v>6.1500000000000001E-3</v>
      </c>
      <c r="F30" s="10">
        <f>IF(ISERROR(_xll.qlSwapRateHelperSpread($D30)),IF(ISERROR(_xll.qlFuturesRateHelperConvexityAdjustment($D30)),"--",_xll.qlFuturesRateHelperConvexityAdjustment($D30)),_xll.qlSwapRateHelperSpread($D30))</f>
        <v>0</v>
      </c>
      <c r="G30" s="9">
        <f>_xll.qlRateHelperEarliestDate($D30)</f>
        <v>41788</v>
      </c>
      <c r="H30" s="8">
        <f>_xll.qlRateHelperLatestDate($D30)</f>
        <v>43249</v>
      </c>
      <c r="I30" s="3">
        <v>0.97572112792523302</v>
      </c>
    </row>
    <row r="31" spans="4:9" x14ac:dyDescent="0.2">
      <c r="D31" s="11" t="str">
        <v>EUR_YC6MRH_AB6E5Y</v>
      </c>
      <c r="E31" s="10">
        <f>_xll.qlRateHelperRate($D31)</f>
        <v>7.9400000000000009E-3</v>
      </c>
      <c r="F31" s="10">
        <f>IF(ISERROR(_xll.qlSwapRateHelperSpread($D31)),IF(ISERROR(_xll.qlFuturesRateHelperConvexityAdjustment($D31)),"--",_xll.qlFuturesRateHelperConvexityAdjustment($D31)),_xll.qlSwapRateHelperSpread($D31))</f>
        <v>0</v>
      </c>
      <c r="G31" s="9">
        <f>_xll.qlRateHelperEarliestDate($D31)</f>
        <v>41788</v>
      </c>
      <c r="H31" s="8">
        <f>_xll.qlRateHelperLatestDate($D31)</f>
        <v>43614</v>
      </c>
      <c r="I31" s="3">
        <v>0.96106565553897227</v>
      </c>
    </row>
    <row r="32" spans="4:9" x14ac:dyDescent="0.2">
      <c r="D32" s="11" t="str">
        <v>EUR_YC6MRH_AB6E6Y</v>
      </c>
      <c r="E32" s="10">
        <f>_xll.qlRateHelperRate($D32)</f>
        <v>9.7900000000000001E-3</v>
      </c>
      <c r="F32" s="10">
        <f>IF(ISERROR(_xll.qlSwapRateHelperSpread($D32)),IF(ISERROR(_xll.qlFuturesRateHelperConvexityAdjustment($D32)),"--",_xll.qlFuturesRateHelperConvexityAdjustment($D32)),_xll.qlSwapRateHelperSpread($D32))</f>
        <v>0</v>
      </c>
      <c r="G32" s="9">
        <f>_xll.qlRateHelperEarliestDate($D32)</f>
        <v>41788</v>
      </c>
      <c r="H32" s="8">
        <f>_xll.qlRateHelperLatestDate($D32)</f>
        <v>43980</v>
      </c>
      <c r="I32" s="3">
        <v>0.94282588600274386</v>
      </c>
    </row>
    <row r="33" spans="4:9" x14ac:dyDescent="0.2">
      <c r="D33" s="11" t="str">
        <v>EUR_YC6MRH_AB6E7Y</v>
      </c>
      <c r="E33" s="10">
        <f>_xll.qlRateHelperRate($D33)</f>
        <v>1.1599999999999999E-2</v>
      </c>
      <c r="F33" s="10">
        <f>IF(ISERROR(_xll.qlSwapRateHelperSpread($D33)),IF(ISERROR(_xll.qlFuturesRateHelperConvexityAdjustment($D33)),"--",_xll.qlFuturesRateHelperConvexityAdjustment($D33)),_xll.qlSwapRateHelperSpread($D33))</f>
        <v>0</v>
      </c>
      <c r="G33" s="9">
        <f>_xll.qlRateHelperEarliestDate($D33)</f>
        <v>41788</v>
      </c>
      <c r="H33" s="8">
        <f>_xll.qlRateHelperLatestDate($D33)</f>
        <v>44347</v>
      </c>
      <c r="I33" s="3">
        <v>0.92158647016420248</v>
      </c>
    </row>
    <row r="34" spans="4:9" x14ac:dyDescent="0.2">
      <c r="D34" s="11" t="str">
        <v>EUR_YC6MRH_AB6E8Y</v>
      </c>
      <c r="E34" s="10">
        <f>_xll.qlRateHelperRate($D34)</f>
        <v>1.329E-2</v>
      </c>
      <c r="F34" s="10">
        <f>IF(ISERROR(_xll.qlSwapRateHelperSpread($D34)),IF(ISERROR(_xll.qlFuturesRateHelperConvexityAdjustment($D34)),"--",_xll.qlFuturesRateHelperConvexityAdjustment($D34)),_xll.qlSwapRateHelperSpread($D34))</f>
        <v>0</v>
      </c>
      <c r="G34" s="9">
        <f>_xll.qlRateHelperEarliestDate($D34)</f>
        <v>41788</v>
      </c>
      <c r="H34" s="8">
        <f>_xll.qlRateHelperLatestDate($D34)</f>
        <v>44711</v>
      </c>
      <c r="I34" s="3">
        <v>0.89831900231340578</v>
      </c>
    </row>
    <row r="35" spans="4:9" x14ac:dyDescent="0.2">
      <c r="D35" s="11" t="str">
        <v>EUR_YC6MRH_AB6E9Y</v>
      </c>
      <c r="E35" s="10">
        <f>_xll.qlRateHelperRate($D35)</f>
        <v>1.482E-2</v>
      </c>
      <c r="F35" s="10">
        <f>IF(ISERROR(_xll.qlSwapRateHelperSpread($D35)),IF(ISERROR(_xll.qlFuturesRateHelperConvexityAdjustment($D35)),"--",_xll.qlFuturesRateHelperConvexityAdjustment($D35)),_xll.qlSwapRateHelperSpread($D35))</f>
        <v>0</v>
      </c>
      <c r="G35" s="9">
        <f>_xll.qlRateHelperEarliestDate($D35)</f>
        <v>41788</v>
      </c>
      <c r="H35" s="8">
        <f>_xll.qlRateHelperLatestDate($D35)</f>
        <v>45075</v>
      </c>
      <c r="I35" s="3">
        <v>0.87380388888938798</v>
      </c>
    </row>
    <row r="36" spans="4:9" x14ac:dyDescent="0.2">
      <c r="D36" s="11" t="str">
        <v>EUR_YC6MRH_AB6E10Y</v>
      </c>
      <c r="E36" s="10">
        <f>_xll.qlRateHelperRate($D36)</f>
        <v>1.617E-2</v>
      </c>
      <c r="F36" s="10">
        <f>IF(ISERROR(_xll.qlSwapRateHelperSpread($D36)),IF(ISERROR(_xll.qlFuturesRateHelperConvexityAdjustment($D36)),"--",_xll.qlFuturesRateHelperConvexityAdjustment($D36)),_xll.qlSwapRateHelperSpread($D36))</f>
        <v>0</v>
      </c>
      <c r="G36" s="9">
        <f>_xll.qlRateHelperEarliestDate($D36)</f>
        <v>41788</v>
      </c>
      <c r="H36" s="8">
        <f>_xll.qlRateHelperLatestDate($D36)</f>
        <v>45441</v>
      </c>
      <c r="I36" s="3">
        <v>0.84869466329642818</v>
      </c>
    </row>
    <row r="37" spans="4:9" x14ac:dyDescent="0.2">
      <c r="D37" s="11" t="str">
        <v>EUR_YC6MRH_AB6E11Y</v>
      </c>
      <c r="E37" s="10">
        <f>_xll.qlRateHelperRate($D37)</f>
        <v>1.736E-2</v>
      </c>
      <c r="F37" s="10">
        <f>IF(ISERROR(_xll.qlSwapRateHelperSpread($D37)),IF(ISERROR(_xll.qlFuturesRateHelperConvexityAdjustment($D37)),"--",_xll.qlFuturesRateHelperConvexityAdjustment($D37)),_xll.qlSwapRateHelperSpread($D37))</f>
        <v>0</v>
      </c>
      <c r="G37" s="9">
        <f>_xll.qlRateHelperEarliestDate($D37)</f>
        <v>41788</v>
      </c>
      <c r="H37" s="8">
        <f>_xll.qlRateHelperLatestDate($D37)</f>
        <v>45806</v>
      </c>
      <c r="I37" s="3">
        <v>0.82337764912771128</v>
      </c>
    </row>
    <row r="38" spans="4:9" x14ac:dyDescent="0.2">
      <c r="D38" s="11" t="str">
        <v>EUR_YC6MRH_AB6E12Y</v>
      </c>
      <c r="E38" s="10">
        <f>_xll.qlRateHelperRate($D38)</f>
        <v>1.84E-2</v>
      </c>
      <c r="F38" s="10">
        <f>IF(ISERROR(_xll.qlSwapRateHelperSpread($D38)),IF(ISERROR(_xll.qlFuturesRateHelperConvexityAdjustment($D38)),"--",_xll.qlFuturesRateHelperConvexityAdjustment($D38)),_xll.qlSwapRateHelperSpread($D38))</f>
        <v>0</v>
      </c>
      <c r="G38" s="9">
        <f>_xll.qlRateHelperEarliestDate($D38)</f>
        <v>41788</v>
      </c>
      <c r="H38" s="8">
        <f>_xll.qlRateHelperLatestDate($D38)</f>
        <v>46171</v>
      </c>
      <c r="I38" s="3">
        <v>0.79822042063940923</v>
      </c>
    </row>
    <row r="39" spans="4:9" x14ac:dyDescent="0.2">
      <c r="D39" s="11" t="str">
        <v>EUR_YC6MRH_AB6E13Y</v>
      </c>
      <c r="E39" s="10">
        <f>_xll.qlRateHelperRate($D39)</f>
        <v>1.9299999999999998E-2</v>
      </c>
      <c r="F39" s="10">
        <f>IF(ISERROR(_xll.qlSwapRateHelperSpread($D39)),IF(ISERROR(_xll.qlFuturesRateHelperConvexityAdjustment($D39)),"--",_xll.qlFuturesRateHelperConvexityAdjustment($D39)),_xll.qlSwapRateHelperSpread($D39))</f>
        <v>0</v>
      </c>
      <c r="G39" s="9">
        <f>_xll.qlRateHelperEarliestDate($D39)</f>
        <v>41788</v>
      </c>
      <c r="H39" s="8">
        <f>_xll.qlRateHelperLatestDate($D39)</f>
        <v>46538</v>
      </c>
      <c r="I39" s="3">
        <v>0.77344714850435292</v>
      </c>
    </row>
    <row r="40" spans="4:9" x14ac:dyDescent="0.2">
      <c r="D40" s="11" t="str">
        <v>EUR_YC6MRH_AB6E14Y</v>
      </c>
      <c r="E40" s="10">
        <f>_xll.qlRateHelperRate($D40)</f>
        <v>2.0070000000000001E-2</v>
      </c>
      <c r="F40" s="10">
        <f>IF(ISERROR(_xll.qlSwapRateHelperSpread($D40)),IF(ISERROR(_xll.qlFuturesRateHelperConvexityAdjustment($D40)),"--",_xll.qlFuturesRateHelperConvexityAdjustment($D40)),_xll.qlSwapRateHelperSpread($D40))</f>
        <v>0</v>
      </c>
      <c r="G40" s="9">
        <f>_xll.qlRateHelperEarliestDate($D40)</f>
        <v>41788</v>
      </c>
      <c r="H40" s="8">
        <f>_xll.qlRateHelperLatestDate($D40)</f>
        <v>46902</v>
      </c>
      <c r="I40" s="3">
        <v>0.74950654522731797</v>
      </c>
    </row>
    <row r="41" spans="4:9" x14ac:dyDescent="0.2">
      <c r="D41" s="11" t="str">
        <v>EUR_YC6MRH_AB6E15Y</v>
      </c>
      <c r="E41" s="10">
        <f>_xll.qlRateHelperRate($D41)</f>
        <v>2.0710000000000003E-2</v>
      </c>
      <c r="F41" s="10">
        <f>IF(ISERROR(_xll.qlSwapRateHelperSpread($D41)),IF(ISERROR(_xll.qlFuturesRateHelperConvexityAdjustment($D41)),"--",_xll.qlFuturesRateHelperConvexityAdjustment($D41)),_xll.qlSwapRateHelperSpread($D41))</f>
        <v>0</v>
      </c>
      <c r="G41" s="9">
        <f>_xll.qlRateHelperEarliestDate($D41)</f>
        <v>41788</v>
      </c>
      <c r="H41" s="8">
        <f>_xll.qlRateHelperLatestDate($D41)</f>
        <v>47267</v>
      </c>
      <c r="I41" s="3">
        <v>0.7265595705571507</v>
      </c>
    </row>
    <row r="42" spans="4:9" x14ac:dyDescent="0.2">
      <c r="D42" s="11" t="str">
        <v>EUR_YC6MRH_AB6E16Y</v>
      </c>
      <c r="E42" s="10">
        <f>_xll.qlRateHelperRate($D42)</f>
        <v>2.1230000000000002E-2</v>
      </c>
      <c r="F42" s="10">
        <f>IF(ISERROR(_xll.qlSwapRateHelperSpread($D42)),IF(ISERROR(_xll.qlFuturesRateHelperConvexityAdjustment($D42)),"--",_xll.qlFuturesRateHelperConvexityAdjustment($D42)),_xll.qlSwapRateHelperSpread($D42))</f>
        <v>0</v>
      </c>
      <c r="G42" s="9">
        <f>_xll.qlRateHelperEarliestDate($D42)</f>
        <v>41788</v>
      </c>
      <c r="H42" s="8">
        <f>_xll.qlRateHelperLatestDate($D42)</f>
        <v>47632</v>
      </c>
      <c r="I42" s="3">
        <v>0.70480684212282496</v>
      </c>
    </row>
    <row r="43" spans="4:9" x14ac:dyDescent="0.2">
      <c r="D43" s="11" t="str">
        <v>EUR_YC6MRH_AB6E17Y</v>
      </c>
      <c r="E43" s="10">
        <f>_xll.qlRateHelperRate($D43)</f>
        <v>2.1640000000000003E-2</v>
      </c>
      <c r="F43" s="10">
        <f>IF(ISERROR(_xll.qlSwapRateHelperSpread($D43)),IF(ISERROR(_xll.qlFuturesRateHelperConvexityAdjustment($D43)),"--",_xll.qlFuturesRateHelperConvexityAdjustment($D43)),_xll.qlSwapRateHelperSpread($D43))</f>
        <v>0</v>
      </c>
      <c r="G43" s="9">
        <f>_xll.qlRateHelperEarliestDate($D43)</f>
        <v>41788</v>
      </c>
      <c r="H43" s="8">
        <f>_xll.qlRateHelperLatestDate($D43)</f>
        <v>47997</v>
      </c>
      <c r="I43" s="3">
        <v>0.6843600547420059</v>
      </c>
    </row>
    <row r="44" spans="4:9" x14ac:dyDescent="0.2">
      <c r="D44" s="11" t="str">
        <v>EUR_YC6MRH_AB6E18Y</v>
      </c>
      <c r="E44" s="10">
        <f>_xll.qlRateHelperRate($D44)</f>
        <v>2.198E-2</v>
      </c>
      <c r="F44" s="10">
        <f>IF(ISERROR(_xll.qlSwapRateHelperSpread($D44)),IF(ISERROR(_xll.qlFuturesRateHelperConvexityAdjustment($D44)),"--",_xll.qlFuturesRateHelperConvexityAdjustment($D44)),_xll.qlSwapRateHelperSpread($D44))</f>
        <v>0</v>
      </c>
      <c r="G44" s="9">
        <f>_xll.qlRateHelperEarliestDate($D44)</f>
        <v>41788</v>
      </c>
      <c r="H44" s="8">
        <f>_xll.qlRateHelperLatestDate($D44)</f>
        <v>48365</v>
      </c>
      <c r="I44" s="3">
        <v>0.66476387296688877</v>
      </c>
    </row>
    <row r="45" spans="4:9" x14ac:dyDescent="0.2">
      <c r="D45" s="11" t="str">
        <v>EUR_YC6MRH_AB6E19Y</v>
      </c>
      <c r="E45" s="10">
        <f>_xll.qlRateHelperRate($D45)</f>
        <v>2.223E-2</v>
      </c>
      <c r="F45" s="10">
        <f>IF(ISERROR(_xll.qlSwapRateHelperSpread($D45)),IF(ISERROR(_xll.qlFuturesRateHelperConvexityAdjustment($D45)),"--",_xll.qlFuturesRateHelperConvexityAdjustment($D45)),_xll.qlSwapRateHelperSpread($D45))</f>
        <v>0</v>
      </c>
      <c r="G45" s="9">
        <f>_xll.qlRateHelperEarliestDate($D45)</f>
        <v>41788</v>
      </c>
      <c r="H45" s="8">
        <f>_xll.qlRateHelperLatestDate($D45)</f>
        <v>48729</v>
      </c>
      <c r="I45" s="3">
        <v>0.64661990418187831</v>
      </c>
    </row>
    <row r="46" spans="4:9" x14ac:dyDescent="0.2">
      <c r="D46" s="11" t="str">
        <v>EUR_YC6MRH_AB6E20Y</v>
      </c>
      <c r="E46" s="10">
        <f>_xll.qlRateHelperRate($D46)</f>
        <v>2.2439999999999998E-2</v>
      </c>
      <c r="F46" s="10">
        <f>IF(ISERROR(_xll.qlSwapRateHelperSpread($D46)),IF(ISERROR(_xll.qlFuturesRateHelperConvexityAdjustment($D46)),"--",_xll.qlFuturesRateHelperConvexityAdjustment($D46)),_xll.qlSwapRateHelperSpread($D46))</f>
        <v>0</v>
      </c>
      <c r="G46" s="9">
        <f>_xll.qlRateHelperEarliestDate($D46)</f>
        <v>41788</v>
      </c>
      <c r="H46" s="8">
        <f>_xll.qlRateHelperLatestDate($D46)</f>
        <v>49093</v>
      </c>
      <c r="I46" s="3">
        <v>0.62923746033470862</v>
      </c>
    </row>
    <row r="47" spans="4:9" x14ac:dyDescent="0.2">
      <c r="D47" s="11" t="str">
        <v>EUR_YC6MRH_AB6E21Y</v>
      </c>
      <c r="E47" s="10">
        <f>_xll.qlRateHelperRate($D47)</f>
        <v>2.2610000000000002E-2</v>
      </c>
      <c r="F47" s="10">
        <f>IF(ISERROR(_xll.qlSwapRateHelperSpread($D47)),IF(ISERROR(_xll.qlFuturesRateHelperConvexityAdjustment($D47)),"--",_xll.qlFuturesRateHelperConvexityAdjustment($D47)),_xll.qlSwapRateHelperSpread($D47))</f>
        <v>0</v>
      </c>
      <c r="G47" s="9">
        <f>_xll.qlRateHelperEarliestDate($D47)</f>
        <v>41788</v>
      </c>
      <c r="H47" s="8">
        <f>_xll.qlRateHelperLatestDate($D47)</f>
        <v>49458</v>
      </c>
      <c r="I47" s="3">
        <v>0.61260828900035369</v>
      </c>
    </row>
    <row r="48" spans="4:9" x14ac:dyDescent="0.2">
      <c r="D48" s="11" t="str">
        <v>EUR_YC6MRH_AB6E22Y</v>
      </c>
      <c r="E48" s="10">
        <f>_xll.qlRateHelperRate($D48)</f>
        <v>2.2749999999999999E-2</v>
      </c>
      <c r="F48" s="10">
        <f>IF(ISERROR(_xll.qlSwapRateHelperSpread($D48)),IF(ISERROR(_xll.qlFuturesRateHelperConvexityAdjustment($D48)),"--",_xll.qlFuturesRateHelperConvexityAdjustment($D48)),_xll.qlSwapRateHelperSpread($D48))</f>
        <v>0</v>
      </c>
      <c r="G48" s="9">
        <f>_xll.qlRateHelperEarliestDate($D48)</f>
        <v>41788</v>
      </c>
      <c r="H48" s="8">
        <f>_xll.qlRateHelperLatestDate($D48)</f>
        <v>49824</v>
      </c>
      <c r="I48" s="3">
        <v>0.59666116936500013</v>
      </c>
    </row>
    <row r="49" spans="4:9" x14ac:dyDescent="0.2">
      <c r="D49" s="11" t="str">
        <v>EUR_YC6MRH_AB6E23Y</v>
      </c>
      <c r="E49" s="10">
        <f>_xll.qlRateHelperRate($D49)</f>
        <v>2.2860000000000002E-2</v>
      </c>
      <c r="F49" s="10">
        <f>IF(ISERROR(_xll.qlSwapRateHelperSpread($D49)),IF(ISERROR(_xll.qlFuturesRateHelperConvexityAdjustment($D49)),"--",_xll.qlFuturesRateHelperConvexityAdjustment($D49)),_xll.qlSwapRateHelperSpread($D49))</f>
        <v>0</v>
      </c>
      <c r="G49" s="9">
        <f>_xll.qlRateHelperEarliestDate($D49)</f>
        <v>41788</v>
      </c>
      <c r="H49" s="8">
        <f>_xll.qlRateHelperLatestDate($D49)</f>
        <v>50189</v>
      </c>
      <c r="I49" s="3">
        <v>0.58143939565140357</v>
      </c>
    </row>
    <row r="50" spans="4:9" x14ac:dyDescent="0.2">
      <c r="D50" s="11" t="str">
        <v>EUR_YC6MRH_AB6E24Y</v>
      </c>
      <c r="E50" s="10">
        <f>_xll.qlRateHelperRate($D50)</f>
        <v>2.2949999999999998E-2</v>
      </c>
      <c r="F50" s="10">
        <f>IF(ISERROR(_xll.qlSwapRateHelperSpread($D50)),IF(ISERROR(_xll.qlFuturesRateHelperConvexityAdjustment($D50)),"--",_xll.qlFuturesRateHelperConvexityAdjustment($D50)),_xll.qlSwapRateHelperSpread($D50))</f>
        <v>0</v>
      </c>
      <c r="G50" s="9">
        <f>_xll.qlRateHelperEarliestDate($D50)</f>
        <v>41788</v>
      </c>
      <c r="H50" s="8">
        <f>_xll.qlRateHelperLatestDate($D50)</f>
        <v>50556</v>
      </c>
      <c r="I50" s="3">
        <v>0.56672931985638586</v>
      </c>
    </row>
    <row r="51" spans="4:9" x14ac:dyDescent="0.2">
      <c r="D51" s="11" t="str">
        <v>EUR_YC6MRH_AB6E25Y</v>
      </c>
      <c r="E51" s="10">
        <f>_xll.qlRateHelperRate($D51)</f>
        <v>2.3010000000000003E-2</v>
      </c>
      <c r="F51" s="10">
        <f>IF(ISERROR(_xll.qlSwapRateHelperSpread($D51)),IF(ISERROR(_xll.qlFuturesRateHelperConvexityAdjustment($D51)),"--",_xll.qlFuturesRateHelperConvexityAdjustment($D51)),_xll.qlSwapRateHelperSpread($D51))</f>
        <v>0</v>
      </c>
      <c r="G51" s="9">
        <f>_xll.qlRateHelperEarliestDate($D51)</f>
        <v>41788</v>
      </c>
      <c r="H51" s="8">
        <f>_xll.qlRateHelperLatestDate($D51)</f>
        <v>50920</v>
      </c>
      <c r="I51" s="3">
        <v>0.55288569810060961</v>
      </c>
    </row>
    <row r="52" spans="4:9" x14ac:dyDescent="0.2">
      <c r="D52" s="11" t="str">
        <v>EUR_YC6MRH_AB6E26Y</v>
      </c>
      <c r="E52" s="10">
        <f>_xll.qlRateHelperRate($D52)</f>
        <v>2.3060000000000001E-2</v>
      </c>
      <c r="F52" s="10">
        <f>IF(ISERROR(_xll.qlSwapRateHelperSpread($D52)),IF(ISERROR(_xll.qlFuturesRateHelperConvexityAdjustment($D52)),"--",_xll.qlFuturesRateHelperConvexityAdjustment($D52)),_xll.qlSwapRateHelperSpread($D52))</f>
        <v>0</v>
      </c>
      <c r="G52" s="9">
        <f>_xll.qlRateHelperEarliestDate($D52)</f>
        <v>41788</v>
      </c>
      <c r="H52" s="8">
        <f>_xll.qlRateHelperLatestDate($D52)</f>
        <v>51285</v>
      </c>
      <c r="I52" s="3">
        <v>0.53951635463177805</v>
      </c>
    </row>
    <row r="53" spans="4:9" x14ac:dyDescent="0.2">
      <c r="D53" s="11" t="str">
        <v>EUR_YC6MRH_AB6E27Y</v>
      </c>
      <c r="E53" s="10">
        <f>_xll.qlRateHelperRate($D53)</f>
        <v>2.308E-2</v>
      </c>
      <c r="F53" s="10">
        <f>IF(ISERROR(_xll.qlSwapRateHelperSpread($D53)),IF(ISERROR(_xll.qlFuturesRateHelperConvexityAdjustment($D53)),"--",_xll.qlFuturesRateHelperConvexityAdjustment($D53)),_xll.qlSwapRateHelperSpread($D53))</f>
        <v>0</v>
      </c>
      <c r="G53" s="9">
        <f>_xll.qlRateHelperEarliestDate($D53)</f>
        <v>41788</v>
      </c>
      <c r="H53" s="8">
        <f>_xll.qlRateHelperLatestDate($D53)</f>
        <v>51650</v>
      </c>
      <c r="I53" s="3">
        <v>0.52695853351571575</v>
      </c>
    </row>
    <row r="54" spans="4:9" x14ac:dyDescent="0.2">
      <c r="D54" s="11" t="str">
        <v>EUR_YC6MRH_AB6E28Y</v>
      </c>
      <c r="E54" s="10">
        <f>_xll.qlRateHelperRate($D54)</f>
        <v>2.3099999999999999E-2</v>
      </c>
      <c r="F54" s="10">
        <f>IF(ISERROR(_xll.qlSwapRateHelperSpread($D54)),IF(ISERROR(_xll.qlFuturesRateHelperConvexityAdjustment($D54)),"--",_xll.qlFuturesRateHelperConvexityAdjustment($D54)),_xll.qlSwapRateHelperSpread($D54))</f>
        <v>0</v>
      </c>
      <c r="G54" s="9">
        <f>_xll.qlRateHelperEarliestDate($D54)</f>
        <v>41788</v>
      </c>
      <c r="H54" s="8">
        <f>_xll.qlRateHelperLatestDate($D54)</f>
        <v>52015</v>
      </c>
      <c r="I54" s="3">
        <v>0.51466246373887958</v>
      </c>
    </row>
    <row r="55" spans="4:9" x14ac:dyDescent="0.2">
      <c r="D55" s="11" t="str">
        <v>EUR_YC6MRH_AB6E29Y</v>
      </c>
      <c r="E55" s="10">
        <f>_xll.qlRateHelperRate($D55)</f>
        <v>2.3119999999999998E-2</v>
      </c>
      <c r="F55" s="10">
        <f>IF(ISERROR(_xll.qlSwapRateHelperSpread($D55)),IF(ISERROR(_xll.qlFuturesRateHelperConvexityAdjustment($D55)),"--",_xll.qlFuturesRateHelperConvexityAdjustment($D55)),_xll.qlSwapRateHelperSpread($D55))</f>
        <v>0</v>
      </c>
      <c r="G55" s="9">
        <f>_xll.qlRateHelperEarliestDate($D55)</f>
        <v>41788</v>
      </c>
      <c r="H55" s="8">
        <f>_xll.qlRateHelperLatestDate($D55)</f>
        <v>52380</v>
      </c>
      <c r="I55" s="3">
        <v>0.50262473247650385</v>
      </c>
    </row>
    <row r="56" spans="4:9" x14ac:dyDescent="0.2">
      <c r="D56" s="11" t="str">
        <v>EUR_YC6MRH_AB6E30Y</v>
      </c>
      <c r="E56" s="10">
        <f>_xll.qlRateHelperRate($D56)</f>
        <v>2.3130000000000001E-2</v>
      </c>
      <c r="F56" s="10">
        <f>IF(ISERROR(_xll.qlSwapRateHelperSpread($D56)),IF(ISERROR(_xll.qlFuturesRateHelperConvexityAdjustment($D56)),"--",_xll.qlFuturesRateHelperConvexityAdjustment($D56)),_xll.qlSwapRateHelperSpread($D56))</f>
        <v>0</v>
      </c>
      <c r="G56" s="9">
        <f>_xll.qlRateHelperEarliestDate($D56)</f>
        <v>41788</v>
      </c>
      <c r="H56" s="8">
        <f>_xll.qlRateHelperLatestDate($D56)</f>
        <v>52747</v>
      </c>
      <c r="I56" s="3">
        <v>0.49102305381663397</v>
      </c>
    </row>
    <row r="57" spans="4:9" x14ac:dyDescent="0.2">
      <c r="D57" s="11" t="str">
        <v>EUR_YC6MRH_AB6E35Y</v>
      </c>
      <c r="E57" s="10">
        <f>_xll.qlRateHelperRate($D57)</f>
        <v>2.3230000000000001E-2</v>
      </c>
      <c r="F57" s="10">
        <f>IF(ISERROR(_xll.qlSwapRateHelperSpread($D57)),IF(ISERROR(_xll.qlFuturesRateHelperConvexityAdjustment($D57)),"--",_xll.qlFuturesRateHelperConvexityAdjustment($D57)),_xll.qlSwapRateHelperSpread($D57))</f>
        <v>0</v>
      </c>
      <c r="G57" s="9">
        <f>_xll.qlRateHelperEarliestDate($D57)</f>
        <v>41788</v>
      </c>
      <c r="H57" s="8">
        <f>_xll.qlRateHelperLatestDate($D57)</f>
        <v>54574</v>
      </c>
      <c r="I57" s="3">
        <v>0.43567845679702527</v>
      </c>
    </row>
    <row r="58" spans="4:9" x14ac:dyDescent="0.2">
      <c r="D58" s="11" t="str">
        <v>EUR_YC6MRH_AB6E40Y</v>
      </c>
      <c r="E58" s="10">
        <f>_xll.qlRateHelperRate($D58)</f>
        <v>2.334E-2</v>
      </c>
      <c r="F58" s="10">
        <f>IF(ISERROR(_xll.qlSwapRateHelperSpread($D58)),IF(ISERROR(_xll.qlFuturesRateHelperConvexityAdjustment($D58)),"--",_xll.qlFuturesRateHelperConvexityAdjustment($D58)),_xll.qlSwapRateHelperSpread($D58))</f>
        <v>0</v>
      </c>
      <c r="G58" s="9">
        <f>_xll.qlRateHelperEarliestDate($D58)</f>
        <v>41788</v>
      </c>
      <c r="H58" s="8">
        <f>_xll.qlRateHelperLatestDate($D58)</f>
        <v>56398</v>
      </c>
      <c r="I58" s="3">
        <v>0.3857778410871962</v>
      </c>
    </row>
    <row r="59" spans="4:9" x14ac:dyDescent="0.2">
      <c r="D59" s="11" t="str">
        <v>EUR_YC6MRH_AB6E50Y</v>
      </c>
      <c r="E59" s="10">
        <f>_xll.qlRateHelperRate($D59)</f>
        <v>2.3359999999999999E-2</v>
      </c>
      <c r="F59" s="10">
        <f>IF(ISERROR(_xll.qlSwapRateHelperSpread($D59)),IF(ISERROR(_xll.qlFuturesRateHelperConvexityAdjustment($D59)),"--",_xll.qlFuturesRateHelperConvexityAdjustment($D59)),_xll.qlSwapRateHelperSpread($D59))</f>
        <v>0</v>
      </c>
      <c r="G59" s="9">
        <f>_xll.qlRateHelperEarliestDate($D59)</f>
        <v>41788</v>
      </c>
      <c r="H59" s="8">
        <f>_xll.qlRateHelperLatestDate($D59)</f>
        <v>60051</v>
      </c>
      <c r="I59" s="3">
        <v>0.305748229201662</v>
      </c>
    </row>
    <row r="60" spans="4:9" x14ac:dyDescent="0.2">
      <c r="D60" s="11" t="str">
        <v>EUR_YC6MRH_AB6E60Y</v>
      </c>
      <c r="E60" s="10">
        <f>_xll.qlRateHelperRate($D60)</f>
        <v>2.349E-2</v>
      </c>
      <c r="F60" s="10">
        <f>IF(ISERROR(_xll.qlSwapRateHelperSpread($D60)),IF(ISERROR(_xll.qlFuturesRateHelperConvexityAdjustment($D60)),"--",_xll.qlFuturesRateHelperConvexityAdjustment($D60)),_xll.qlSwapRateHelperSpread($D60))</f>
        <v>0</v>
      </c>
      <c r="G60" s="9">
        <f>_xll.qlRateHelperEarliestDate($D60)</f>
        <v>41788</v>
      </c>
      <c r="H60" s="8">
        <f>_xll.qlRateHelperLatestDate($D60)</f>
        <v>63703</v>
      </c>
      <c r="I60" s="3">
        <v>0.23897029582049134</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EUR_YC6MRH_SND#0001</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EUR_YC6MRH_SWD#0001</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EUR_YC6MRH_2WD#0001</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EUR_YC6MRH_3WD#0001</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EUR_YC6MRH_1MD#0001</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EUR_YC6MRH_2MD#0001</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EUR_YC6MRH_3MD#0001</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EUR_YC6MRH_4MD#0001</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EUR_YC6MRH_5MD#0001</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EUR_YC6MRH_6MD#0001</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EUR_YC6MRH_T6F1#0001</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EUR_YC6MRH_TOM6F1#0001</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EUR_YC6MRH_1x7F#0001</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EUR_YC6MRH_2x8F#0001</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EUR_YC6MRH_3x9F#0001</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EUR_YC6MRH_4x10F#0001</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EUR_YC6MRH_5x11F#0001</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EUR_YC6MRH_6x12F#0001</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EUR_YC6MRH_7x13F#0001</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EUR_YC6MRH_8x14F#0001</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EUR_YC6MRH_9x15F#0001</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EUR_YC6MRH_10x16F#0001</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EUR_YC6MRH_11x17F#0001</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EUR_YC6MRH_12x18F#0001</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EUR_YC6MRH_13x19F#0001</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EUR_YC6MRH_14x20F#0001</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EUR_YC6MRH_15x21F#0001</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EUR_YC6MRH_16x22F#0001</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EUR_YC6MRH_17x23F#0001</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EUR_YC6MRH_18x24F#0001</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topLeftCell="A4" workbookViewId="0"/>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EUR_YC6MRH_AB6E_ibor6M#0001</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EUR_YC6MRH_AB6E1Y#0001</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EUR_YC6MRH_AB6E15M#0001</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EUR_YC6MRH_AB6E18M#0001</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EUR_YC6MRH_AB6E21M#0001</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EUR_YC6MRH_AB6E2Y#0001</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EUR_YC6MRH_AB6E3Y#0001</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EUR_YC6MRH_AB6E4Y#0001</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EUR_YC6MRH_AB6E5Y#0001</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EUR_YC6MRH_AB6E6Y#0001</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EUR_YC6MRH_AB6E7Y#0001</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EUR_YC6MRH_AB6E8Y#0001</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EUR_YC6MRH_AB6E9Y#0001</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EUR_YC6MRH_AB6E10Y#0001</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EUR_YC6MRH_AB6E11Y#0001</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EUR_YC6MRH_AB6E12Y#0001</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EUR_YC6MRH_AB6E13Y#0001</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EUR_YC6MRH_AB6E14Y#0001</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EUR_YC6MRH_AB6E15Y#0001</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EUR_YC6MRH_AB6E16Y#0001</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EUR_YC6MRH_AB6E17Y#0001</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EUR_YC6MRH_AB6E18Y#0001</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EUR_YC6MRH_AB6E19Y#0001</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EUR_YC6MRH_AB6E20Y#0001</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EUR_YC6MRH_AB6E21Y#0001</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EUR_YC6MRH_AB6E22Y#0001</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EUR_YC6MRH_AB6E23Y#0001</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EUR_YC6MRH_AB6E24Y#0001</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EUR_YC6MRH_AB6E25Y#0001</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EUR_YC6MRH_AB6E26Y#0001</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EUR_YC6MRH_AB6E27Y#0001</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EUR_YC6MRH_AB6E28Y#0001</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EUR_YC6MRH_AB6E29Y#0001</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EUR_YC6MRH_AB6E30Y#0001</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EUR_YC6MRH_AB6E35Y#0001</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EUR_YC6MRH_AB6E40Y#0001</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EUR_YC6MRH_AB6E50Y#0001</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EUR_YC6MRH_AB6E60Y#0001</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15377"/>
  <sheetViews>
    <sheetView tabSelected="1" topLeftCell="C1" zoomScaleNormal="100" zoomScaleSheetLayoutView="110" workbookViewId="0">
      <selection activeCell="D1" sqref="D1"/>
    </sheetView>
  </sheetViews>
  <sheetFormatPr defaultRowHeight="11.25" outlineLevelCol="1" x14ac:dyDescent="0.2"/>
  <cols>
    <col min="1" max="1" width="0" style="64" hidden="1" customWidth="1" outlineLevel="1"/>
    <col min="2" max="2" width="19.28515625" style="235" bestFit="1" customWidth="1" collapsed="1"/>
    <col min="3" max="3" width="17.28515625" style="235" bestFit="1" customWidth="1"/>
    <col min="4" max="5" width="15.140625" style="64" bestFit="1" customWidth="1"/>
    <col min="6" max="7" width="7" style="235" customWidth="1"/>
    <col min="8" max="8" width="9" style="235" bestFit="1" customWidth="1"/>
    <col min="9" max="9" width="5" style="235" bestFit="1" customWidth="1"/>
    <col min="10" max="10" width="9" style="235" bestFit="1" customWidth="1"/>
    <col min="11" max="11" width="7" style="235" bestFit="1" customWidth="1"/>
    <col min="12" max="13" width="17.28515625" style="64" bestFit="1" customWidth="1"/>
    <col min="14" max="14" width="8" style="64" bestFit="1" customWidth="1"/>
    <col min="15" max="15" width="19.28515625" style="64" bestFit="1" customWidth="1"/>
    <col min="16" max="16" width="17.28515625" style="64" bestFit="1" customWidth="1"/>
    <col min="17" max="17" width="12" style="64" bestFit="1" customWidth="1"/>
    <col min="18" max="18" width="6" style="223" hidden="1" customWidth="1" outlineLevel="1"/>
    <col min="19" max="19" width="19.28515625" style="64" hidden="1" customWidth="1" outlineLevel="1"/>
    <col min="20" max="20" width="8" style="64" hidden="1" customWidth="1" outlineLevel="1"/>
    <col min="21" max="21" width="9" style="64" hidden="1" customWidth="1" outlineLevel="1"/>
    <col min="22" max="22" width="8" style="64" bestFit="1" customWidth="1" collapsed="1"/>
    <col min="23" max="26" width="17.28515625" style="64" bestFit="1" customWidth="1"/>
    <col min="27" max="27" width="13.140625" style="64" bestFit="1" customWidth="1"/>
    <col min="28" max="28" width="17.28515625" style="64" bestFit="1" customWidth="1"/>
    <col min="29" max="29" width="10" style="64" bestFit="1" customWidth="1"/>
    <col min="30" max="30" width="13.140625" style="64" bestFit="1" customWidth="1"/>
    <col min="31" max="257" width="9.140625" style="64"/>
    <col min="258" max="258" width="17.28515625" style="64" bestFit="1" customWidth="1"/>
    <col min="259" max="259" width="9" style="64" bestFit="1" customWidth="1"/>
    <col min="260" max="260" width="6" style="64" bestFit="1" customWidth="1"/>
    <col min="261" max="261" width="9" style="64" bestFit="1" customWidth="1"/>
    <col min="262" max="262" width="6" style="64" bestFit="1" customWidth="1"/>
    <col min="263" max="263" width="15.140625" style="64" bestFit="1" customWidth="1"/>
    <col min="264" max="264" width="9" style="64" bestFit="1" customWidth="1"/>
    <col min="265" max="265" width="5" style="64" bestFit="1" customWidth="1"/>
    <col min="266" max="266" width="9" style="64" bestFit="1" customWidth="1"/>
    <col min="267" max="267" width="7" style="64" bestFit="1" customWidth="1"/>
    <col min="268" max="269" width="17.28515625" style="64" bestFit="1" customWidth="1"/>
    <col min="270" max="270" width="8" style="64" bestFit="1" customWidth="1"/>
    <col min="271" max="271" width="6.28515625" style="64" customWidth="1"/>
    <col min="272" max="272" width="6" style="64" bestFit="1" customWidth="1"/>
    <col min="273" max="273" width="3" style="64" customWidth="1"/>
    <col min="274" max="274" width="11" style="64" bestFit="1" customWidth="1"/>
    <col min="275" max="275" width="22.42578125" style="64" bestFit="1" customWidth="1"/>
    <col min="276" max="276" width="17.28515625" style="64" bestFit="1" customWidth="1"/>
    <col min="277" max="278" width="8" style="64" bestFit="1" customWidth="1"/>
    <col min="279" max="279" width="17.28515625" style="64" bestFit="1" customWidth="1"/>
    <col min="280" max="281" width="15.140625" style="64" bestFit="1" customWidth="1"/>
    <col min="282" max="282" width="8" style="64" bestFit="1" customWidth="1"/>
    <col min="283" max="513" width="9.140625" style="64"/>
    <col min="514" max="514" width="17.28515625" style="64" bestFit="1" customWidth="1"/>
    <col min="515" max="515" width="9" style="64" bestFit="1" customWidth="1"/>
    <col min="516" max="516" width="6" style="64" bestFit="1" customWidth="1"/>
    <col min="517" max="517" width="9" style="64" bestFit="1" customWidth="1"/>
    <col min="518" max="518" width="6" style="64" bestFit="1" customWidth="1"/>
    <col min="519" max="519" width="15.140625" style="64" bestFit="1" customWidth="1"/>
    <col min="520" max="520" width="9" style="64" bestFit="1" customWidth="1"/>
    <col min="521" max="521" width="5" style="64" bestFit="1" customWidth="1"/>
    <col min="522" max="522" width="9" style="64" bestFit="1" customWidth="1"/>
    <col min="523" max="523" width="7" style="64" bestFit="1" customWidth="1"/>
    <col min="524" max="525" width="17.28515625" style="64" bestFit="1" customWidth="1"/>
    <col min="526" max="526" width="8" style="64" bestFit="1" customWidth="1"/>
    <col min="527" max="527" width="6.28515625" style="64" customWidth="1"/>
    <col min="528" max="528" width="6" style="64" bestFit="1" customWidth="1"/>
    <col min="529" max="529" width="3" style="64" customWidth="1"/>
    <col min="530" max="530" width="11" style="64" bestFit="1" customWidth="1"/>
    <col min="531" max="531" width="22.42578125" style="64" bestFit="1" customWidth="1"/>
    <col min="532" max="532" width="17.28515625" style="64" bestFit="1" customWidth="1"/>
    <col min="533" max="534" width="8" style="64" bestFit="1" customWidth="1"/>
    <col min="535" max="535" width="17.28515625" style="64" bestFit="1" customWidth="1"/>
    <col min="536" max="537" width="15.140625" style="64" bestFit="1" customWidth="1"/>
    <col min="538" max="538" width="8" style="64" bestFit="1" customWidth="1"/>
    <col min="539" max="769" width="9.140625" style="64"/>
    <col min="770" max="770" width="17.28515625" style="64" bestFit="1" customWidth="1"/>
    <col min="771" max="771" width="9" style="64" bestFit="1" customWidth="1"/>
    <col min="772" max="772" width="6" style="64" bestFit="1" customWidth="1"/>
    <col min="773" max="773" width="9" style="64" bestFit="1" customWidth="1"/>
    <col min="774" max="774" width="6" style="64" bestFit="1" customWidth="1"/>
    <col min="775" max="775" width="15.140625" style="64" bestFit="1" customWidth="1"/>
    <col min="776" max="776" width="9" style="64" bestFit="1" customWidth="1"/>
    <col min="777" max="777" width="5" style="64" bestFit="1" customWidth="1"/>
    <col min="778" max="778" width="9" style="64" bestFit="1" customWidth="1"/>
    <col min="779" max="779" width="7" style="64" bestFit="1" customWidth="1"/>
    <col min="780" max="781" width="17.28515625" style="64" bestFit="1" customWidth="1"/>
    <col min="782" max="782" width="8" style="64" bestFit="1" customWidth="1"/>
    <col min="783" max="783" width="6.28515625" style="64" customWidth="1"/>
    <col min="784" max="784" width="6" style="64" bestFit="1" customWidth="1"/>
    <col min="785" max="785" width="3" style="64" customWidth="1"/>
    <col min="786" max="786" width="11" style="64" bestFit="1" customWidth="1"/>
    <col min="787" max="787" width="22.42578125" style="64" bestFit="1" customWidth="1"/>
    <col min="788" max="788" width="17.28515625" style="64" bestFit="1" customWidth="1"/>
    <col min="789" max="790" width="8" style="64" bestFit="1" customWidth="1"/>
    <col min="791" max="791" width="17.28515625" style="64" bestFit="1" customWidth="1"/>
    <col min="792" max="793" width="15.140625" style="64" bestFit="1" customWidth="1"/>
    <col min="794" max="794" width="8" style="64" bestFit="1" customWidth="1"/>
    <col min="795" max="1025" width="9.140625" style="64"/>
    <col min="1026" max="1026" width="17.28515625" style="64" bestFit="1" customWidth="1"/>
    <col min="1027" max="1027" width="9" style="64" bestFit="1" customWidth="1"/>
    <col min="1028" max="1028" width="6" style="64" bestFit="1" customWidth="1"/>
    <col min="1029" max="1029" width="9" style="64" bestFit="1" customWidth="1"/>
    <col min="1030" max="1030" width="6" style="64" bestFit="1" customWidth="1"/>
    <col min="1031" max="1031" width="15.140625" style="64" bestFit="1" customWidth="1"/>
    <col min="1032" max="1032" width="9" style="64" bestFit="1" customWidth="1"/>
    <col min="1033" max="1033" width="5" style="64" bestFit="1" customWidth="1"/>
    <col min="1034" max="1034" width="9" style="64" bestFit="1" customWidth="1"/>
    <col min="1035" max="1035" width="7" style="64" bestFit="1" customWidth="1"/>
    <col min="1036" max="1037" width="17.28515625" style="64" bestFit="1" customWidth="1"/>
    <col min="1038" max="1038" width="8" style="64" bestFit="1" customWidth="1"/>
    <col min="1039" max="1039" width="6.28515625" style="64" customWidth="1"/>
    <col min="1040" max="1040" width="6" style="64" bestFit="1" customWidth="1"/>
    <col min="1041" max="1041" width="3" style="64" customWidth="1"/>
    <col min="1042" max="1042" width="11" style="64" bestFit="1" customWidth="1"/>
    <col min="1043" max="1043" width="22.42578125" style="64" bestFit="1" customWidth="1"/>
    <col min="1044" max="1044" width="17.28515625" style="64" bestFit="1" customWidth="1"/>
    <col min="1045" max="1046" width="8" style="64" bestFit="1" customWidth="1"/>
    <col min="1047" max="1047" width="17.28515625" style="64" bestFit="1" customWidth="1"/>
    <col min="1048" max="1049" width="15.140625" style="64" bestFit="1" customWidth="1"/>
    <col min="1050" max="1050" width="8" style="64" bestFit="1" customWidth="1"/>
    <col min="1051" max="1281" width="9.140625" style="64"/>
    <col min="1282" max="1282" width="17.28515625" style="64" bestFit="1" customWidth="1"/>
    <col min="1283" max="1283" width="9" style="64" bestFit="1" customWidth="1"/>
    <col min="1284" max="1284" width="6" style="64" bestFit="1" customWidth="1"/>
    <col min="1285" max="1285" width="9" style="64" bestFit="1" customWidth="1"/>
    <col min="1286" max="1286" width="6" style="64" bestFit="1" customWidth="1"/>
    <col min="1287" max="1287" width="15.140625" style="64" bestFit="1" customWidth="1"/>
    <col min="1288" max="1288" width="9" style="64" bestFit="1" customWidth="1"/>
    <col min="1289" max="1289" width="5" style="64" bestFit="1" customWidth="1"/>
    <col min="1290" max="1290" width="9" style="64" bestFit="1" customWidth="1"/>
    <col min="1291" max="1291" width="7" style="64" bestFit="1" customWidth="1"/>
    <col min="1292" max="1293" width="17.28515625" style="64" bestFit="1" customWidth="1"/>
    <col min="1294" max="1294" width="8" style="64" bestFit="1" customWidth="1"/>
    <col min="1295" max="1295" width="6.28515625" style="64" customWidth="1"/>
    <col min="1296" max="1296" width="6" style="64" bestFit="1" customWidth="1"/>
    <col min="1297" max="1297" width="3" style="64" customWidth="1"/>
    <col min="1298" max="1298" width="11" style="64" bestFit="1" customWidth="1"/>
    <col min="1299" max="1299" width="22.42578125" style="64" bestFit="1" customWidth="1"/>
    <col min="1300" max="1300" width="17.28515625" style="64" bestFit="1" customWidth="1"/>
    <col min="1301" max="1302" width="8" style="64" bestFit="1" customWidth="1"/>
    <col min="1303" max="1303" width="17.28515625" style="64" bestFit="1" customWidth="1"/>
    <col min="1304" max="1305" width="15.140625" style="64" bestFit="1" customWidth="1"/>
    <col min="1306" max="1306" width="8" style="64" bestFit="1" customWidth="1"/>
    <col min="1307" max="1537" width="9.140625" style="64"/>
    <col min="1538" max="1538" width="17.28515625" style="64" bestFit="1" customWidth="1"/>
    <col min="1539" max="1539" width="9" style="64" bestFit="1" customWidth="1"/>
    <col min="1540" max="1540" width="6" style="64" bestFit="1" customWidth="1"/>
    <col min="1541" max="1541" width="9" style="64" bestFit="1" customWidth="1"/>
    <col min="1542" max="1542" width="6" style="64" bestFit="1" customWidth="1"/>
    <col min="1543" max="1543" width="15.140625" style="64" bestFit="1" customWidth="1"/>
    <col min="1544" max="1544" width="9" style="64" bestFit="1" customWidth="1"/>
    <col min="1545" max="1545" width="5" style="64" bestFit="1" customWidth="1"/>
    <col min="1546" max="1546" width="9" style="64" bestFit="1" customWidth="1"/>
    <col min="1547" max="1547" width="7" style="64" bestFit="1" customWidth="1"/>
    <col min="1548" max="1549" width="17.28515625" style="64" bestFit="1" customWidth="1"/>
    <col min="1550" max="1550" width="8" style="64" bestFit="1" customWidth="1"/>
    <col min="1551" max="1551" width="6.28515625" style="64" customWidth="1"/>
    <col min="1552" max="1552" width="6" style="64" bestFit="1" customWidth="1"/>
    <col min="1553" max="1553" width="3" style="64" customWidth="1"/>
    <col min="1554" max="1554" width="11" style="64" bestFit="1" customWidth="1"/>
    <col min="1555" max="1555" width="22.42578125" style="64" bestFit="1" customWidth="1"/>
    <col min="1556" max="1556" width="17.28515625" style="64" bestFit="1" customWidth="1"/>
    <col min="1557" max="1558" width="8" style="64" bestFit="1" customWidth="1"/>
    <col min="1559" max="1559" width="17.28515625" style="64" bestFit="1" customWidth="1"/>
    <col min="1560" max="1561" width="15.140625" style="64" bestFit="1" customWidth="1"/>
    <col min="1562" max="1562" width="8" style="64" bestFit="1" customWidth="1"/>
    <col min="1563" max="1793" width="9.140625" style="64"/>
    <col min="1794" max="1794" width="17.28515625" style="64" bestFit="1" customWidth="1"/>
    <col min="1795" max="1795" width="9" style="64" bestFit="1" customWidth="1"/>
    <col min="1796" max="1796" width="6" style="64" bestFit="1" customWidth="1"/>
    <col min="1797" max="1797" width="9" style="64" bestFit="1" customWidth="1"/>
    <col min="1798" max="1798" width="6" style="64" bestFit="1" customWidth="1"/>
    <col min="1799" max="1799" width="15.140625" style="64" bestFit="1" customWidth="1"/>
    <col min="1800" max="1800" width="9" style="64" bestFit="1" customWidth="1"/>
    <col min="1801" max="1801" width="5" style="64" bestFit="1" customWidth="1"/>
    <col min="1802" max="1802" width="9" style="64" bestFit="1" customWidth="1"/>
    <col min="1803" max="1803" width="7" style="64" bestFit="1" customWidth="1"/>
    <col min="1804" max="1805" width="17.28515625" style="64" bestFit="1" customWidth="1"/>
    <col min="1806" max="1806" width="8" style="64" bestFit="1" customWidth="1"/>
    <col min="1807" max="1807" width="6.28515625" style="64" customWidth="1"/>
    <col min="1808" max="1808" width="6" style="64" bestFit="1" customWidth="1"/>
    <col min="1809" max="1809" width="3" style="64" customWidth="1"/>
    <col min="1810" max="1810" width="11" style="64" bestFit="1" customWidth="1"/>
    <col min="1811" max="1811" width="22.42578125" style="64" bestFit="1" customWidth="1"/>
    <col min="1812" max="1812" width="17.28515625" style="64" bestFit="1" customWidth="1"/>
    <col min="1813" max="1814" width="8" style="64" bestFit="1" customWidth="1"/>
    <col min="1815" max="1815" width="17.28515625" style="64" bestFit="1" customWidth="1"/>
    <col min="1816" max="1817" width="15.140625" style="64" bestFit="1" customWidth="1"/>
    <col min="1818" max="1818" width="8" style="64" bestFit="1" customWidth="1"/>
    <col min="1819" max="2049" width="9.140625" style="64"/>
    <col min="2050" max="2050" width="17.28515625" style="64" bestFit="1" customWidth="1"/>
    <col min="2051" max="2051" width="9" style="64" bestFit="1" customWidth="1"/>
    <col min="2052" max="2052" width="6" style="64" bestFit="1" customWidth="1"/>
    <col min="2053" max="2053" width="9" style="64" bestFit="1" customWidth="1"/>
    <col min="2054" max="2054" width="6" style="64" bestFit="1" customWidth="1"/>
    <col min="2055" max="2055" width="15.140625" style="64" bestFit="1" customWidth="1"/>
    <col min="2056" max="2056" width="9" style="64" bestFit="1" customWidth="1"/>
    <col min="2057" max="2057" width="5" style="64" bestFit="1" customWidth="1"/>
    <col min="2058" max="2058" width="9" style="64" bestFit="1" customWidth="1"/>
    <col min="2059" max="2059" width="7" style="64" bestFit="1" customWidth="1"/>
    <col min="2060" max="2061" width="17.28515625" style="64" bestFit="1" customWidth="1"/>
    <col min="2062" max="2062" width="8" style="64" bestFit="1" customWidth="1"/>
    <col min="2063" max="2063" width="6.28515625" style="64" customWidth="1"/>
    <col min="2064" max="2064" width="6" style="64" bestFit="1" customWidth="1"/>
    <col min="2065" max="2065" width="3" style="64" customWidth="1"/>
    <col min="2066" max="2066" width="11" style="64" bestFit="1" customWidth="1"/>
    <col min="2067" max="2067" width="22.42578125" style="64" bestFit="1" customWidth="1"/>
    <col min="2068" max="2068" width="17.28515625" style="64" bestFit="1" customWidth="1"/>
    <col min="2069" max="2070" width="8" style="64" bestFit="1" customWidth="1"/>
    <col min="2071" max="2071" width="17.28515625" style="64" bestFit="1" customWidth="1"/>
    <col min="2072" max="2073" width="15.140625" style="64" bestFit="1" customWidth="1"/>
    <col min="2074" max="2074" width="8" style="64" bestFit="1" customWidth="1"/>
    <col min="2075" max="2305" width="9.140625" style="64"/>
    <col min="2306" max="2306" width="17.28515625" style="64" bestFit="1" customWidth="1"/>
    <col min="2307" max="2307" width="9" style="64" bestFit="1" customWidth="1"/>
    <col min="2308" max="2308" width="6" style="64" bestFit="1" customWidth="1"/>
    <col min="2309" max="2309" width="9" style="64" bestFit="1" customWidth="1"/>
    <col min="2310" max="2310" width="6" style="64" bestFit="1" customWidth="1"/>
    <col min="2311" max="2311" width="15.140625" style="64" bestFit="1" customWidth="1"/>
    <col min="2312" max="2312" width="9" style="64" bestFit="1" customWidth="1"/>
    <col min="2313" max="2313" width="5" style="64" bestFit="1" customWidth="1"/>
    <col min="2314" max="2314" width="9" style="64" bestFit="1" customWidth="1"/>
    <col min="2315" max="2315" width="7" style="64" bestFit="1" customWidth="1"/>
    <col min="2316" max="2317" width="17.28515625" style="64" bestFit="1" customWidth="1"/>
    <col min="2318" max="2318" width="8" style="64" bestFit="1" customWidth="1"/>
    <col min="2319" max="2319" width="6.28515625" style="64" customWidth="1"/>
    <col min="2320" max="2320" width="6" style="64" bestFit="1" customWidth="1"/>
    <col min="2321" max="2321" width="3" style="64" customWidth="1"/>
    <col min="2322" max="2322" width="11" style="64" bestFit="1" customWidth="1"/>
    <col min="2323" max="2323" width="22.42578125" style="64" bestFit="1" customWidth="1"/>
    <col min="2324" max="2324" width="17.28515625" style="64" bestFit="1" customWidth="1"/>
    <col min="2325" max="2326" width="8" style="64" bestFit="1" customWidth="1"/>
    <col min="2327" max="2327" width="17.28515625" style="64" bestFit="1" customWidth="1"/>
    <col min="2328" max="2329" width="15.140625" style="64" bestFit="1" customWidth="1"/>
    <col min="2330" max="2330" width="8" style="64" bestFit="1" customWidth="1"/>
    <col min="2331" max="2561" width="9.140625" style="64"/>
    <col min="2562" max="2562" width="17.28515625" style="64" bestFit="1" customWidth="1"/>
    <col min="2563" max="2563" width="9" style="64" bestFit="1" customWidth="1"/>
    <col min="2564" max="2564" width="6" style="64" bestFit="1" customWidth="1"/>
    <col min="2565" max="2565" width="9" style="64" bestFit="1" customWidth="1"/>
    <col min="2566" max="2566" width="6" style="64" bestFit="1" customWidth="1"/>
    <col min="2567" max="2567" width="15.140625" style="64" bestFit="1" customWidth="1"/>
    <col min="2568" max="2568" width="9" style="64" bestFit="1" customWidth="1"/>
    <col min="2569" max="2569" width="5" style="64" bestFit="1" customWidth="1"/>
    <col min="2570" max="2570" width="9" style="64" bestFit="1" customWidth="1"/>
    <col min="2571" max="2571" width="7" style="64" bestFit="1" customWidth="1"/>
    <col min="2572" max="2573" width="17.28515625" style="64" bestFit="1" customWidth="1"/>
    <col min="2574" max="2574" width="8" style="64" bestFit="1" customWidth="1"/>
    <col min="2575" max="2575" width="6.28515625" style="64" customWidth="1"/>
    <col min="2576" max="2576" width="6" style="64" bestFit="1" customWidth="1"/>
    <col min="2577" max="2577" width="3" style="64" customWidth="1"/>
    <col min="2578" max="2578" width="11" style="64" bestFit="1" customWidth="1"/>
    <col min="2579" max="2579" width="22.42578125" style="64" bestFit="1" customWidth="1"/>
    <col min="2580" max="2580" width="17.28515625" style="64" bestFit="1" customWidth="1"/>
    <col min="2581" max="2582" width="8" style="64" bestFit="1" customWidth="1"/>
    <col min="2583" max="2583" width="17.28515625" style="64" bestFit="1" customWidth="1"/>
    <col min="2584" max="2585" width="15.140625" style="64" bestFit="1" customWidth="1"/>
    <col min="2586" max="2586" width="8" style="64" bestFit="1" customWidth="1"/>
    <col min="2587" max="2817" width="9.140625" style="64"/>
    <col min="2818" max="2818" width="17.28515625" style="64" bestFit="1" customWidth="1"/>
    <col min="2819" max="2819" width="9" style="64" bestFit="1" customWidth="1"/>
    <col min="2820" max="2820" width="6" style="64" bestFit="1" customWidth="1"/>
    <col min="2821" max="2821" width="9" style="64" bestFit="1" customWidth="1"/>
    <col min="2822" max="2822" width="6" style="64" bestFit="1" customWidth="1"/>
    <col min="2823" max="2823" width="15.140625" style="64" bestFit="1" customWidth="1"/>
    <col min="2824" max="2824" width="9" style="64" bestFit="1" customWidth="1"/>
    <col min="2825" max="2825" width="5" style="64" bestFit="1" customWidth="1"/>
    <col min="2826" max="2826" width="9" style="64" bestFit="1" customWidth="1"/>
    <col min="2827" max="2827" width="7" style="64" bestFit="1" customWidth="1"/>
    <col min="2828" max="2829" width="17.28515625" style="64" bestFit="1" customWidth="1"/>
    <col min="2830" max="2830" width="8" style="64" bestFit="1" customWidth="1"/>
    <col min="2831" max="2831" width="6.28515625" style="64" customWidth="1"/>
    <col min="2832" max="2832" width="6" style="64" bestFit="1" customWidth="1"/>
    <col min="2833" max="2833" width="3" style="64" customWidth="1"/>
    <col min="2834" max="2834" width="11" style="64" bestFit="1" customWidth="1"/>
    <col min="2835" max="2835" width="22.42578125" style="64" bestFit="1" customWidth="1"/>
    <col min="2836" max="2836" width="17.28515625" style="64" bestFit="1" customWidth="1"/>
    <col min="2837" max="2838" width="8" style="64" bestFit="1" customWidth="1"/>
    <col min="2839" max="2839" width="17.28515625" style="64" bestFit="1" customWidth="1"/>
    <col min="2840" max="2841" width="15.140625" style="64" bestFit="1" customWidth="1"/>
    <col min="2842" max="2842" width="8" style="64" bestFit="1" customWidth="1"/>
    <col min="2843" max="3073" width="9.140625" style="64"/>
    <col min="3074" max="3074" width="17.28515625" style="64" bestFit="1" customWidth="1"/>
    <col min="3075" max="3075" width="9" style="64" bestFit="1" customWidth="1"/>
    <col min="3076" max="3076" width="6" style="64" bestFit="1" customWidth="1"/>
    <col min="3077" max="3077" width="9" style="64" bestFit="1" customWidth="1"/>
    <col min="3078" max="3078" width="6" style="64" bestFit="1" customWidth="1"/>
    <col min="3079" max="3079" width="15.140625" style="64" bestFit="1" customWidth="1"/>
    <col min="3080" max="3080" width="9" style="64" bestFit="1" customWidth="1"/>
    <col min="3081" max="3081" width="5" style="64" bestFit="1" customWidth="1"/>
    <col min="3082" max="3082" width="9" style="64" bestFit="1" customWidth="1"/>
    <col min="3083" max="3083" width="7" style="64" bestFit="1" customWidth="1"/>
    <col min="3084" max="3085" width="17.28515625" style="64" bestFit="1" customWidth="1"/>
    <col min="3086" max="3086" width="8" style="64" bestFit="1" customWidth="1"/>
    <col min="3087" max="3087" width="6.28515625" style="64" customWidth="1"/>
    <col min="3088" max="3088" width="6" style="64" bestFit="1" customWidth="1"/>
    <col min="3089" max="3089" width="3" style="64" customWidth="1"/>
    <col min="3090" max="3090" width="11" style="64" bestFit="1" customWidth="1"/>
    <col min="3091" max="3091" width="22.42578125" style="64" bestFit="1" customWidth="1"/>
    <col min="3092" max="3092" width="17.28515625" style="64" bestFit="1" customWidth="1"/>
    <col min="3093" max="3094" width="8" style="64" bestFit="1" customWidth="1"/>
    <col min="3095" max="3095" width="17.28515625" style="64" bestFit="1" customWidth="1"/>
    <col min="3096" max="3097" width="15.140625" style="64" bestFit="1" customWidth="1"/>
    <col min="3098" max="3098" width="8" style="64" bestFit="1" customWidth="1"/>
    <col min="3099" max="3329" width="9.140625" style="64"/>
    <col min="3330" max="3330" width="17.28515625" style="64" bestFit="1" customWidth="1"/>
    <col min="3331" max="3331" width="9" style="64" bestFit="1" customWidth="1"/>
    <col min="3332" max="3332" width="6" style="64" bestFit="1" customWidth="1"/>
    <col min="3333" max="3333" width="9" style="64" bestFit="1" customWidth="1"/>
    <col min="3334" max="3334" width="6" style="64" bestFit="1" customWidth="1"/>
    <col min="3335" max="3335" width="15.140625" style="64" bestFit="1" customWidth="1"/>
    <col min="3336" max="3336" width="9" style="64" bestFit="1" customWidth="1"/>
    <col min="3337" max="3337" width="5" style="64" bestFit="1" customWidth="1"/>
    <col min="3338" max="3338" width="9" style="64" bestFit="1" customWidth="1"/>
    <col min="3339" max="3339" width="7" style="64" bestFit="1" customWidth="1"/>
    <col min="3340" max="3341" width="17.28515625" style="64" bestFit="1" customWidth="1"/>
    <col min="3342" max="3342" width="8" style="64" bestFit="1" customWidth="1"/>
    <col min="3343" max="3343" width="6.28515625" style="64" customWidth="1"/>
    <col min="3344" max="3344" width="6" style="64" bestFit="1" customWidth="1"/>
    <col min="3345" max="3345" width="3" style="64" customWidth="1"/>
    <col min="3346" max="3346" width="11" style="64" bestFit="1" customWidth="1"/>
    <col min="3347" max="3347" width="22.42578125" style="64" bestFit="1" customWidth="1"/>
    <col min="3348" max="3348" width="17.28515625" style="64" bestFit="1" customWidth="1"/>
    <col min="3349" max="3350" width="8" style="64" bestFit="1" customWidth="1"/>
    <col min="3351" max="3351" width="17.28515625" style="64" bestFit="1" customWidth="1"/>
    <col min="3352" max="3353" width="15.140625" style="64" bestFit="1" customWidth="1"/>
    <col min="3354" max="3354" width="8" style="64" bestFit="1" customWidth="1"/>
    <col min="3355" max="3585" width="9.140625" style="64"/>
    <col min="3586" max="3586" width="17.28515625" style="64" bestFit="1" customWidth="1"/>
    <col min="3587" max="3587" width="9" style="64" bestFit="1" customWidth="1"/>
    <col min="3588" max="3588" width="6" style="64" bestFit="1" customWidth="1"/>
    <col min="3589" max="3589" width="9" style="64" bestFit="1" customWidth="1"/>
    <col min="3590" max="3590" width="6" style="64" bestFit="1" customWidth="1"/>
    <col min="3591" max="3591" width="15.140625" style="64" bestFit="1" customWidth="1"/>
    <col min="3592" max="3592" width="9" style="64" bestFit="1" customWidth="1"/>
    <col min="3593" max="3593" width="5" style="64" bestFit="1" customWidth="1"/>
    <col min="3594" max="3594" width="9" style="64" bestFit="1" customWidth="1"/>
    <col min="3595" max="3595" width="7" style="64" bestFit="1" customWidth="1"/>
    <col min="3596" max="3597" width="17.28515625" style="64" bestFit="1" customWidth="1"/>
    <col min="3598" max="3598" width="8" style="64" bestFit="1" customWidth="1"/>
    <col min="3599" max="3599" width="6.28515625" style="64" customWidth="1"/>
    <col min="3600" max="3600" width="6" style="64" bestFit="1" customWidth="1"/>
    <col min="3601" max="3601" width="3" style="64" customWidth="1"/>
    <col min="3602" max="3602" width="11" style="64" bestFit="1" customWidth="1"/>
    <col min="3603" max="3603" width="22.42578125" style="64" bestFit="1" customWidth="1"/>
    <col min="3604" max="3604" width="17.28515625" style="64" bestFit="1" customWidth="1"/>
    <col min="3605" max="3606" width="8" style="64" bestFit="1" customWidth="1"/>
    <col min="3607" max="3607" width="17.28515625" style="64" bestFit="1" customWidth="1"/>
    <col min="3608" max="3609" width="15.140625" style="64" bestFit="1" customWidth="1"/>
    <col min="3610" max="3610" width="8" style="64" bestFit="1" customWidth="1"/>
    <col min="3611" max="3841" width="9.140625" style="64"/>
    <col min="3842" max="3842" width="17.28515625" style="64" bestFit="1" customWidth="1"/>
    <col min="3843" max="3843" width="9" style="64" bestFit="1" customWidth="1"/>
    <col min="3844" max="3844" width="6" style="64" bestFit="1" customWidth="1"/>
    <col min="3845" max="3845" width="9" style="64" bestFit="1" customWidth="1"/>
    <col min="3846" max="3846" width="6" style="64" bestFit="1" customWidth="1"/>
    <col min="3847" max="3847" width="15.140625" style="64" bestFit="1" customWidth="1"/>
    <col min="3848" max="3848" width="9" style="64" bestFit="1" customWidth="1"/>
    <col min="3849" max="3849" width="5" style="64" bestFit="1" customWidth="1"/>
    <col min="3850" max="3850" width="9" style="64" bestFit="1" customWidth="1"/>
    <col min="3851" max="3851" width="7" style="64" bestFit="1" customWidth="1"/>
    <col min="3852" max="3853" width="17.28515625" style="64" bestFit="1" customWidth="1"/>
    <col min="3854" max="3854" width="8" style="64" bestFit="1" customWidth="1"/>
    <col min="3855" max="3855" width="6.28515625" style="64" customWidth="1"/>
    <col min="3856" max="3856" width="6" style="64" bestFit="1" customWidth="1"/>
    <col min="3857" max="3857" width="3" style="64" customWidth="1"/>
    <col min="3858" max="3858" width="11" style="64" bestFit="1" customWidth="1"/>
    <col min="3859" max="3859" width="22.42578125" style="64" bestFit="1" customWidth="1"/>
    <col min="3860" max="3860" width="17.28515625" style="64" bestFit="1" customWidth="1"/>
    <col min="3861" max="3862" width="8" style="64" bestFit="1" customWidth="1"/>
    <col min="3863" max="3863" width="17.28515625" style="64" bestFit="1" customWidth="1"/>
    <col min="3864" max="3865" width="15.140625" style="64" bestFit="1" customWidth="1"/>
    <col min="3866" max="3866" width="8" style="64" bestFit="1" customWidth="1"/>
    <col min="3867" max="4097" width="9.140625" style="64"/>
    <col min="4098" max="4098" width="17.28515625" style="64" bestFit="1" customWidth="1"/>
    <col min="4099" max="4099" width="9" style="64" bestFit="1" customWidth="1"/>
    <col min="4100" max="4100" width="6" style="64" bestFit="1" customWidth="1"/>
    <col min="4101" max="4101" width="9" style="64" bestFit="1" customWidth="1"/>
    <col min="4102" max="4102" width="6" style="64" bestFit="1" customWidth="1"/>
    <col min="4103" max="4103" width="15.140625" style="64" bestFit="1" customWidth="1"/>
    <col min="4104" max="4104" width="9" style="64" bestFit="1" customWidth="1"/>
    <col min="4105" max="4105" width="5" style="64" bestFit="1" customWidth="1"/>
    <col min="4106" max="4106" width="9" style="64" bestFit="1" customWidth="1"/>
    <col min="4107" max="4107" width="7" style="64" bestFit="1" customWidth="1"/>
    <col min="4108" max="4109" width="17.28515625" style="64" bestFit="1" customWidth="1"/>
    <col min="4110" max="4110" width="8" style="64" bestFit="1" customWidth="1"/>
    <col min="4111" max="4111" width="6.28515625" style="64" customWidth="1"/>
    <col min="4112" max="4112" width="6" style="64" bestFit="1" customWidth="1"/>
    <col min="4113" max="4113" width="3" style="64" customWidth="1"/>
    <col min="4114" max="4114" width="11" style="64" bestFit="1" customWidth="1"/>
    <col min="4115" max="4115" width="22.42578125" style="64" bestFit="1" customWidth="1"/>
    <col min="4116" max="4116" width="17.28515625" style="64" bestFit="1" customWidth="1"/>
    <col min="4117" max="4118" width="8" style="64" bestFit="1" customWidth="1"/>
    <col min="4119" max="4119" width="17.28515625" style="64" bestFit="1" customWidth="1"/>
    <col min="4120" max="4121" width="15.140625" style="64" bestFit="1" customWidth="1"/>
    <col min="4122" max="4122" width="8" style="64" bestFit="1" customWidth="1"/>
    <col min="4123" max="4353" width="9.140625" style="64"/>
    <col min="4354" max="4354" width="17.28515625" style="64" bestFit="1" customWidth="1"/>
    <col min="4355" max="4355" width="9" style="64" bestFit="1" customWidth="1"/>
    <col min="4356" max="4356" width="6" style="64" bestFit="1" customWidth="1"/>
    <col min="4357" max="4357" width="9" style="64" bestFit="1" customWidth="1"/>
    <col min="4358" max="4358" width="6" style="64" bestFit="1" customWidth="1"/>
    <col min="4359" max="4359" width="15.140625" style="64" bestFit="1" customWidth="1"/>
    <col min="4360" max="4360" width="9" style="64" bestFit="1" customWidth="1"/>
    <col min="4361" max="4361" width="5" style="64" bestFit="1" customWidth="1"/>
    <col min="4362" max="4362" width="9" style="64" bestFit="1" customWidth="1"/>
    <col min="4363" max="4363" width="7" style="64" bestFit="1" customWidth="1"/>
    <col min="4364" max="4365" width="17.28515625" style="64" bestFit="1" customWidth="1"/>
    <col min="4366" max="4366" width="8" style="64" bestFit="1" customWidth="1"/>
    <col min="4367" max="4367" width="6.28515625" style="64" customWidth="1"/>
    <col min="4368" max="4368" width="6" style="64" bestFit="1" customWidth="1"/>
    <col min="4369" max="4369" width="3" style="64" customWidth="1"/>
    <col min="4370" max="4370" width="11" style="64" bestFit="1" customWidth="1"/>
    <col min="4371" max="4371" width="22.42578125" style="64" bestFit="1" customWidth="1"/>
    <col min="4372" max="4372" width="17.28515625" style="64" bestFit="1" customWidth="1"/>
    <col min="4373" max="4374" width="8" style="64" bestFit="1" customWidth="1"/>
    <col min="4375" max="4375" width="17.28515625" style="64" bestFit="1" customWidth="1"/>
    <col min="4376" max="4377" width="15.140625" style="64" bestFit="1" customWidth="1"/>
    <col min="4378" max="4378" width="8" style="64" bestFit="1" customWidth="1"/>
    <col min="4379" max="4609" width="9.140625" style="64"/>
    <col min="4610" max="4610" width="17.28515625" style="64" bestFit="1" customWidth="1"/>
    <col min="4611" max="4611" width="9" style="64" bestFit="1" customWidth="1"/>
    <col min="4612" max="4612" width="6" style="64" bestFit="1" customWidth="1"/>
    <col min="4613" max="4613" width="9" style="64" bestFit="1" customWidth="1"/>
    <col min="4614" max="4614" width="6" style="64" bestFit="1" customWidth="1"/>
    <col min="4615" max="4615" width="15.140625" style="64" bestFit="1" customWidth="1"/>
    <col min="4616" max="4616" width="9" style="64" bestFit="1" customWidth="1"/>
    <col min="4617" max="4617" width="5" style="64" bestFit="1" customWidth="1"/>
    <col min="4618" max="4618" width="9" style="64" bestFit="1" customWidth="1"/>
    <col min="4619" max="4619" width="7" style="64" bestFit="1" customWidth="1"/>
    <col min="4620" max="4621" width="17.28515625" style="64" bestFit="1" customWidth="1"/>
    <col min="4622" max="4622" width="8" style="64" bestFit="1" customWidth="1"/>
    <col min="4623" max="4623" width="6.28515625" style="64" customWidth="1"/>
    <col min="4624" max="4624" width="6" style="64" bestFit="1" customWidth="1"/>
    <col min="4625" max="4625" width="3" style="64" customWidth="1"/>
    <col min="4626" max="4626" width="11" style="64" bestFit="1" customWidth="1"/>
    <col min="4627" max="4627" width="22.42578125" style="64" bestFit="1" customWidth="1"/>
    <col min="4628" max="4628" width="17.28515625" style="64" bestFit="1" customWidth="1"/>
    <col min="4629" max="4630" width="8" style="64" bestFit="1" customWidth="1"/>
    <col min="4631" max="4631" width="17.28515625" style="64" bestFit="1" customWidth="1"/>
    <col min="4632" max="4633" width="15.140625" style="64" bestFit="1" customWidth="1"/>
    <col min="4634" max="4634" width="8" style="64" bestFit="1" customWidth="1"/>
    <col min="4635" max="4865" width="9.140625" style="64"/>
    <col min="4866" max="4866" width="17.28515625" style="64" bestFit="1" customWidth="1"/>
    <col min="4867" max="4867" width="9" style="64" bestFit="1" customWidth="1"/>
    <col min="4868" max="4868" width="6" style="64" bestFit="1" customWidth="1"/>
    <col min="4869" max="4869" width="9" style="64" bestFit="1" customWidth="1"/>
    <col min="4870" max="4870" width="6" style="64" bestFit="1" customWidth="1"/>
    <col min="4871" max="4871" width="15.140625" style="64" bestFit="1" customWidth="1"/>
    <col min="4872" max="4872" width="9" style="64" bestFit="1" customWidth="1"/>
    <col min="4873" max="4873" width="5" style="64" bestFit="1" customWidth="1"/>
    <col min="4874" max="4874" width="9" style="64" bestFit="1" customWidth="1"/>
    <col min="4875" max="4875" width="7" style="64" bestFit="1" customWidth="1"/>
    <col min="4876" max="4877" width="17.28515625" style="64" bestFit="1" customWidth="1"/>
    <col min="4878" max="4878" width="8" style="64" bestFit="1" customWidth="1"/>
    <col min="4879" max="4879" width="6.28515625" style="64" customWidth="1"/>
    <col min="4880" max="4880" width="6" style="64" bestFit="1" customWidth="1"/>
    <col min="4881" max="4881" width="3" style="64" customWidth="1"/>
    <col min="4882" max="4882" width="11" style="64" bestFit="1" customWidth="1"/>
    <col min="4883" max="4883" width="22.42578125" style="64" bestFit="1" customWidth="1"/>
    <col min="4884" max="4884" width="17.28515625" style="64" bestFit="1" customWidth="1"/>
    <col min="4885" max="4886" width="8" style="64" bestFit="1" customWidth="1"/>
    <col min="4887" max="4887" width="17.28515625" style="64" bestFit="1" customWidth="1"/>
    <col min="4888" max="4889" width="15.140625" style="64" bestFit="1" customWidth="1"/>
    <col min="4890" max="4890" width="8" style="64" bestFit="1" customWidth="1"/>
    <col min="4891" max="5121" width="9.140625" style="64"/>
    <col min="5122" max="5122" width="17.28515625" style="64" bestFit="1" customWidth="1"/>
    <col min="5123" max="5123" width="9" style="64" bestFit="1" customWidth="1"/>
    <col min="5124" max="5124" width="6" style="64" bestFit="1" customWidth="1"/>
    <col min="5125" max="5125" width="9" style="64" bestFit="1" customWidth="1"/>
    <col min="5126" max="5126" width="6" style="64" bestFit="1" customWidth="1"/>
    <col min="5127" max="5127" width="15.140625" style="64" bestFit="1" customWidth="1"/>
    <col min="5128" max="5128" width="9" style="64" bestFit="1" customWidth="1"/>
    <col min="5129" max="5129" width="5" style="64" bestFit="1" customWidth="1"/>
    <col min="5130" max="5130" width="9" style="64" bestFit="1" customWidth="1"/>
    <col min="5131" max="5131" width="7" style="64" bestFit="1" customWidth="1"/>
    <col min="5132" max="5133" width="17.28515625" style="64" bestFit="1" customWidth="1"/>
    <col min="5134" max="5134" width="8" style="64" bestFit="1" customWidth="1"/>
    <col min="5135" max="5135" width="6.28515625" style="64" customWidth="1"/>
    <col min="5136" max="5136" width="6" style="64" bestFit="1" customWidth="1"/>
    <col min="5137" max="5137" width="3" style="64" customWidth="1"/>
    <col min="5138" max="5138" width="11" style="64" bestFit="1" customWidth="1"/>
    <col min="5139" max="5139" width="22.42578125" style="64" bestFit="1" customWidth="1"/>
    <col min="5140" max="5140" width="17.28515625" style="64" bestFit="1" customWidth="1"/>
    <col min="5141" max="5142" width="8" style="64" bestFit="1" customWidth="1"/>
    <col min="5143" max="5143" width="17.28515625" style="64" bestFit="1" customWidth="1"/>
    <col min="5144" max="5145" width="15.140625" style="64" bestFit="1" customWidth="1"/>
    <col min="5146" max="5146" width="8" style="64" bestFit="1" customWidth="1"/>
    <col min="5147" max="5377" width="9.140625" style="64"/>
    <col min="5378" max="5378" width="17.28515625" style="64" bestFit="1" customWidth="1"/>
    <col min="5379" max="5379" width="9" style="64" bestFit="1" customWidth="1"/>
    <col min="5380" max="5380" width="6" style="64" bestFit="1" customWidth="1"/>
    <col min="5381" max="5381" width="9" style="64" bestFit="1" customWidth="1"/>
    <col min="5382" max="5382" width="6" style="64" bestFit="1" customWidth="1"/>
    <col min="5383" max="5383" width="15.140625" style="64" bestFit="1" customWidth="1"/>
    <col min="5384" max="5384" width="9" style="64" bestFit="1" customWidth="1"/>
    <col min="5385" max="5385" width="5" style="64" bestFit="1" customWidth="1"/>
    <col min="5386" max="5386" width="9" style="64" bestFit="1" customWidth="1"/>
    <col min="5387" max="5387" width="7" style="64" bestFit="1" customWidth="1"/>
    <col min="5388" max="5389" width="17.28515625" style="64" bestFit="1" customWidth="1"/>
    <col min="5390" max="5390" width="8" style="64" bestFit="1" customWidth="1"/>
    <col min="5391" max="5391" width="6.28515625" style="64" customWidth="1"/>
    <col min="5392" max="5392" width="6" style="64" bestFit="1" customWidth="1"/>
    <col min="5393" max="5393" width="3" style="64" customWidth="1"/>
    <col min="5394" max="5394" width="11" style="64" bestFit="1" customWidth="1"/>
    <col min="5395" max="5395" width="22.42578125" style="64" bestFit="1" customWidth="1"/>
    <col min="5396" max="5396" width="17.28515625" style="64" bestFit="1" customWidth="1"/>
    <col min="5397" max="5398" width="8" style="64" bestFit="1" customWidth="1"/>
    <col min="5399" max="5399" width="17.28515625" style="64" bestFit="1" customWidth="1"/>
    <col min="5400" max="5401" width="15.140625" style="64" bestFit="1" customWidth="1"/>
    <col min="5402" max="5402" width="8" style="64" bestFit="1" customWidth="1"/>
    <col min="5403" max="5633" width="9.140625" style="64"/>
    <col min="5634" max="5634" width="17.28515625" style="64" bestFit="1" customWidth="1"/>
    <col min="5635" max="5635" width="9" style="64" bestFit="1" customWidth="1"/>
    <col min="5636" max="5636" width="6" style="64" bestFit="1" customWidth="1"/>
    <col min="5637" max="5637" width="9" style="64" bestFit="1" customWidth="1"/>
    <col min="5638" max="5638" width="6" style="64" bestFit="1" customWidth="1"/>
    <col min="5639" max="5639" width="15.140625" style="64" bestFit="1" customWidth="1"/>
    <col min="5640" max="5640" width="9" style="64" bestFit="1" customWidth="1"/>
    <col min="5641" max="5641" width="5" style="64" bestFit="1" customWidth="1"/>
    <col min="5642" max="5642" width="9" style="64" bestFit="1" customWidth="1"/>
    <col min="5643" max="5643" width="7" style="64" bestFit="1" customWidth="1"/>
    <col min="5644" max="5645" width="17.28515625" style="64" bestFit="1" customWidth="1"/>
    <col min="5646" max="5646" width="8" style="64" bestFit="1" customWidth="1"/>
    <col min="5647" max="5647" width="6.28515625" style="64" customWidth="1"/>
    <col min="5648" max="5648" width="6" style="64" bestFit="1" customWidth="1"/>
    <col min="5649" max="5649" width="3" style="64" customWidth="1"/>
    <col min="5650" max="5650" width="11" style="64" bestFit="1" customWidth="1"/>
    <col min="5651" max="5651" width="22.42578125" style="64" bestFit="1" customWidth="1"/>
    <col min="5652" max="5652" width="17.28515625" style="64" bestFit="1" customWidth="1"/>
    <col min="5653" max="5654" width="8" style="64" bestFit="1" customWidth="1"/>
    <col min="5655" max="5655" width="17.28515625" style="64" bestFit="1" customWidth="1"/>
    <col min="5656" max="5657" width="15.140625" style="64" bestFit="1" customWidth="1"/>
    <col min="5658" max="5658" width="8" style="64" bestFit="1" customWidth="1"/>
    <col min="5659" max="5889" width="9.140625" style="64"/>
    <col min="5890" max="5890" width="17.28515625" style="64" bestFit="1" customWidth="1"/>
    <col min="5891" max="5891" width="9" style="64" bestFit="1" customWidth="1"/>
    <col min="5892" max="5892" width="6" style="64" bestFit="1" customWidth="1"/>
    <col min="5893" max="5893" width="9" style="64" bestFit="1" customWidth="1"/>
    <col min="5894" max="5894" width="6" style="64" bestFit="1" customWidth="1"/>
    <col min="5895" max="5895" width="15.140625" style="64" bestFit="1" customWidth="1"/>
    <col min="5896" max="5896" width="9" style="64" bestFit="1" customWidth="1"/>
    <col min="5897" max="5897" width="5" style="64" bestFit="1" customWidth="1"/>
    <col min="5898" max="5898" width="9" style="64" bestFit="1" customWidth="1"/>
    <col min="5899" max="5899" width="7" style="64" bestFit="1" customWidth="1"/>
    <col min="5900" max="5901" width="17.28515625" style="64" bestFit="1" customWidth="1"/>
    <col min="5902" max="5902" width="8" style="64" bestFit="1" customWidth="1"/>
    <col min="5903" max="5903" width="6.28515625" style="64" customWidth="1"/>
    <col min="5904" max="5904" width="6" style="64" bestFit="1" customWidth="1"/>
    <col min="5905" max="5905" width="3" style="64" customWidth="1"/>
    <col min="5906" max="5906" width="11" style="64" bestFit="1" customWidth="1"/>
    <col min="5907" max="5907" width="22.42578125" style="64" bestFit="1" customWidth="1"/>
    <col min="5908" max="5908" width="17.28515625" style="64" bestFit="1" customWidth="1"/>
    <col min="5909" max="5910" width="8" style="64" bestFit="1" customWidth="1"/>
    <col min="5911" max="5911" width="17.28515625" style="64" bestFit="1" customWidth="1"/>
    <col min="5912" max="5913" width="15.140625" style="64" bestFit="1" customWidth="1"/>
    <col min="5914" max="5914" width="8" style="64" bestFit="1" customWidth="1"/>
    <col min="5915" max="6145" width="9.140625" style="64"/>
    <col min="6146" max="6146" width="17.28515625" style="64" bestFit="1" customWidth="1"/>
    <col min="6147" max="6147" width="9" style="64" bestFit="1" customWidth="1"/>
    <col min="6148" max="6148" width="6" style="64" bestFit="1" customWidth="1"/>
    <col min="6149" max="6149" width="9" style="64" bestFit="1" customWidth="1"/>
    <col min="6150" max="6150" width="6" style="64" bestFit="1" customWidth="1"/>
    <col min="6151" max="6151" width="15.140625" style="64" bestFit="1" customWidth="1"/>
    <col min="6152" max="6152" width="9" style="64" bestFit="1" customWidth="1"/>
    <col min="6153" max="6153" width="5" style="64" bestFit="1" customWidth="1"/>
    <col min="6154" max="6154" width="9" style="64" bestFit="1" customWidth="1"/>
    <col min="6155" max="6155" width="7" style="64" bestFit="1" customWidth="1"/>
    <col min="6156" max="6157" width="17.28515625" style="64" bestFit="1" customWidth="1"/>
    <col min="6158" max="6158" width="8" style="64" bestFit="1" customWidth="1"/>
    <col min="6159" max="6159" width="6.28515625" style="64" customWidth="1"/>
    <col min="6160" max="6160" width="6" style="64" bestFit="1" customWidth="1"/>
    <col min="6161" max="6161" width="3" style="64" customWidth="1"/>
    <col min="6162" max="6162" width="11" style="64" bestFit="1" customWidth="1"/>
    <col min="6163" max="6163" width="22.42578125" style="64" bestFit="1" customWidth="1"/>
    <col min="6164" max="6164" width="17.28515625" style="64" bestFit="1" customWidth="1"/>
    <col min="6165" max="6166" width="8" style="64" bestFit="1" customWidth="1"/>
    <col min="6167" max="6167" width="17.28515625" style="64" bestFit="1" customWidth="1"/>
    <col min="6168" max="6169" width="15.140625" style="64" bestFit="1" customWidth="1"/>
    <col min="6170" max="6170" width="8" style="64" bestFit="1" customWidth="1"/>
    <col min="6171" max="6401" width="9.140625" style="64"/>
    <col min="6402" max="6402" width="17.28515625" style="64" bestFit="1" customWidth="1"/>
    <col min="6403" max="6403" width="9" style="64" bestFit="1" customWidth="1"/>
    <col min="6404" max="6404" width="6" style="64" bestFit="1" customWidth="1"/>
    <col min="6405" max="6405" width="9" style="64" bestFit="1" customWidth="1"/>
    <col min="6406" max="6406" width="6" style="64" bestFit="1" customWidth="1"/>
    <col min="6407" max="6407" width="15.140625" style="64" bestFit="1" customWidth="1"/>
    <col min="6408" max="6408" width="9" style="64" bestFit="1" customWidth="1"/>
    <col min="6409" max="6409" width="5" style="64" bestFit="1" customWidth="1"/>
    <col min="6410" max="6410" width="9" style="64" bestFit="1" customWidth="1"/>
    <col min="6411" max="6411" width="7" style="64" bestFit="1" customWidth="1"/>
    <col min="6412" max="6413" width="17.28515625" style="64" bestFit="1" customWidth="1"/>
    <col min="6414" max="6414" width="8" style="64" bestFit="1" customWidth="1"/>
    <col min="6415" max="6415" width="6.28515625" style="64" customWidth="1"/>
    <col min="6416" max="6416" width="6" style="64" bestFit="1" customWidth="1"/>
    <col min="6417" max="6417" width="3" style="64" customWidth="1"/>
    <col min="6418" max="6418" width="11" style="64" bestFit="1" customWidth="1"/>
    <col min="6419" max="6419" width="22.42578125" style="64" bestFit="1" customWidth="1"/>
    <col min="6420" max="6420" width="17.28515625" style="64" bestFit="1" customWidth="1"/>
    <col min="6421" max="6422" width="8" style="64" bestFit="1" customWidth="1"/>
    <col min="6423" max="6423" width="17.28515625" style="64" bestFit="1" customWidth="1"/>
    <col min="6424" max="6425" width="15.140625" style="64" bestFit="1" customWidth="1"/>
    <col min="6426" max="6426" width="8" style="64" bestFit="1" customWidth="1"/>
    <col min="6427" max="6657" width="9.140625" style="64"/>
    <col min="6658" max="6658" width="17.28515625" style="64" bestFit="1" customWidth="1"/>
    <col min="6659" max="6659" width="9" style="64" bestFit="1" customWidth="1"/>
    <col min="6660" max="6660" width="6" style="64" bestFit="1" customWidth="1"/>
    <col min="6661" max="6661" width="9" style="64" bestFit="1" customWidth="1"/>
    <col min="6662" max="6662" width="6" style="64" bestFit="1" customWidth="1"/>
    <col min="6663" max="6663" width="15.140625" style="64" bestFit="1" customWidth="1"/>
    <col min="6664" max="6664" width="9" style="64" bestFit="1" customWidth="1"/>
    <col min="6665" max="6665" width="5" style="64" bestFit="1" customWidth="1"/>
    <col min="6666" max="6666" width="9" style="64" bestFit="1" customWidth="1"/>
    <col min="6667" max="6667" width="7" style="64" bestFit="1" customWidth="1"/>
    <col min="6668" max="6669" width="17.28515625" style="64" bestFit="1" customWidth="1"/>
    <col min="6670" max="6670" width="8" style="64" bestFit="1" customWidth="1"/>
    <col min="6671" max="6671" width="6.28515625" style="64" customWidth="1"/>
    <col min="6672" max="6672" width="6" style="64" bestFit="1" customWidth="1"/>
    <col min="6673" max="6673" width="3" style="64" customWidth="1"/>
    <col min="6674" max="6674" width="11" style="64" bestFit="1" customWidth="1"/>
    <col min="6675" max="6675" width="22.42578125" style="64" bestFit="1" customWidth="1"/>
    <col min="6676" max="6676" width="17.28515625" style="64" bestFit="1" customWidth="1"/>
    <col min="6677" max="6678" width="8" style="64" bestFit="1" customWidth="1"/>
    <col min="6679" max="6679" width="17.28515625" style="64" bestFit="1" customWidth="1"/>
    <col min="6680" max="6681" width="15.140625" style="64" bestFit="1" customWidth="1"/>
    <col min="6682" max="6682" width="8" style="64" bestFit="1" customWidth="1"/>
    <col min="6683" max="6913" width="9.140625" style="64"/>
    <col min="6914" max="6914" width="17.28515625" style="64" bestFit="1" customWidth="1"/>
    <col min="6915" max="6915" width="9" style="64" bestFit="1" customWidth="1"/>
    <col min="6916" max="6916" width="6" style="64" bestFit="1" customWidth="1"/>
    <col min="6917" max="6917" width="9" style="64" bestFit="1" customWidth="1"/>
    <col min="6918" max="6918" width="6" style="64" bestFit="1" customWidth="1"/>
    <col min="6919" max="6919" width="15.140625" style="64" bestFit="1" customWidth="1"/>
    <col min="6920" max="6920" width="9" style="64" bestFit="1" customWidth="1"/>
    <col min="6921" max="6921" width="5" style="64" bestFit="1" customWidth="1"/>
    <col min="6922" max="6922" width="9" style="64" bestFit="1" customWidth="1"/>
    <col min="6923" max="6923" width="7" style="64" bestFit="1" customWidth="1"/>
    <col min="6924" max="6925" width="17.28515625" style="64" bestFit="1" customWidth="1"/>
    <col min="6926" max="6926" width="8" style="64" bestFit="1" customWidth="1"/>
    <col min="6927" max="6927" width="6.28515625" style="64" customWidth="1"/>
    <col min="6928" max="6928" width="6" style="64" bestFit="1" customWidth="1"/>
    <col min="6929" max="6929" width="3" style="64" customWidth="1"/>
    <col min="6930" max="6930" width="11" style="64" bestFit="1" customWidth="1"/>
    <col min="6931" max="6931" width="22.42578125" style="64" bestFit="1" customWidth="1"/>
    <col min="6932" max="6932" width="17.28515625" style="64" bestFit="1" customWidth="1"/>
    <col min="6933" max="6934" width="8" style="64" bestFit="1" customWidth="1"/>
    <col min="6935" max="6935" width="17.28515625" style="64" bestFit="1" customWidth="1"/>
    <col min="6936" max="6937" width="15.140625" style="64" bestFit="1" customWidth="1"/>
    <col min="6938" max="6938" width="8" style="64" bestFit="1" customWidth="1"/>
    <col min="6939" max="7169" width="9.140625" style="64"/>
    <col min="7170" max="7170" width="17.28515625" style="64" bestFit="1" customWidth="1"/>
    <col min="7171" max="7171" width="9" style="64" bestFit="1" customWidth="1"/>
    <col min="7172" max="7172" width="6" style="64" bestFit="1" customWidth="1"/>
    <col min="7173" max="7173" width="9" style="64" bestFit="1" customWidth="1"/>
    <col min="7174" max="7174" width="6" style="64" bestFit="1" customWidth="1"/>
    <col min="7175" max="7175" width="15.140625" style="64" bestFit="1" customWidth="1"/>
    <col min="7176" max="7176" width="9" style="64" bestFit="1" customWidth="1"/>
    <col min="7177" max="7177" width="5" style="64" bestFit="1" customWidth="1"/>
    <col min="7178" max="7178" width="9" style="64" bestFit="1" customWidth="1"/>
    <col min="7179" max="7179" width="7" style="64" bestFit="1" customWidth="1"/>
    <col min="7180" max="7181" width="17.28515625" style="64" bestFit="1" customWidth="1"/>
    <col min="7182" max="7182" width="8" style="64" bestFit="1" customWidth="1"/>
    <col min="7183" max="7183" width="6.28515625" style="64" customWidth="1"/>
    <col min="7184" max="7184" width="6" style="64" bestFit="1" customWidth="1"/>
    <col min="7185" max="7185" width="3" style="64" customWidth="1"/>
    <col min="7186" max="7186" width="11" style="64" bestFit="1" customWidth="1"/>
    <col min="7187" max="7187" width="22.42578125" style="64" bestFit="1" customWidth="1"/>
    <col min="7188" max="7188" width="17.28515625" style="64" bestFit="1" customWidth="1"/>
    <col min="7189" max="7190" width="8" style="64" bestFit="1" customWidth="1"/>
    <col min="7191" max="7191" width="17.28515625" style="64" bestFit="1" customWidth="1"/>
    <col min="7192" max="7193" width="15.140625" style="64" bestFit="1" customWidth="1"/>
    <col min="7194" max="7194" width="8" style="64" bestFit="1" customWidth="1"/>
    <col min="7195" max="7425" width="9.140625" style="64"/>
    <col min="7426" max="7426" width="17.28515625" style="64" bestFit="1" customWidth="1"/>
    <col min="7427" max="7427" width="9" style="64" bestFit="1" customWidth="1"/>
    <col min="7428" max="7428" width="6" style="64" bestFit="1" customWidth="1"/>
    <col min="7429" max="7429" width="9" style="64" bestFit="1" customWidth="1"/>
    <col min="7430" max="7430" width="6" style="64" bestFit="1" customWidth="1"/>
    <col min="7431" max="7431" width="15.140625" style="64" bestFit="1" customWidth="1"/>
    <col min="7432" max="7432" width="9" style="64" bestFit="1" customWidth="1"/>
    <col min="7433" max="7433" width="5" style="64" bestFit="1" customWidth="1"/>
    <col min="7434" max="7434" width="9" style="64" bestFit="1" customWidth="1"/>
    <col min="7435" max="7435" width="7" style="64" bestFit="1" customWidth="1"/>
    <col min="7436" max="7437" width="17.28515625" style="64" bestFit="1" customWidth="1"/>
    <col min="7438" max="7438" width="8" style="64" bestFit="1" customWidth="1"/>
    <col min="7439" max="7439" width="6.28515625" style="64" customWidth="1"/>
    <col min="7440" max="7440" width="6" style="64" bestFit="1" customWidth="1"/>
    <col min="7441" max="7441" width="3" style="64" customWidth="1"/>
    <col min="7442" max="7442" width="11" style="64" bestFit="1" customWidth="1"/>
    <col min="7443" max="7443" width="22.42578125" style="64" bestFit="1" customWidth="1"/>
    <col min="7444" max="7444" width="17.28515625" style="64" bestFit="1" customWidth="1"/>
    <col min="7445" max="7446" width="8" style="64" bestFit="1" customWidth="1"/>
    <col min="7447" max="7447" width="17.28515625" style="64" bestFit="1" customWidth="1"/>
    <col min="7448" max="7449" width="15.140625" style="64" bestFit="1" customWidth="1"/>
    <col min="7450" max="7450" width="8" style="64" bestFit="1" customWidth="1"/>
    <col min="7451" max="7681" width="9.140625" style="64"/>
    <col min="7682" max="7682" width="17.28515625" style="64" bestFit="1" customWidth="1"/>
    <col min="7683" max="7683" width="9" style="64" bestFit="1" customWidth="1"/>
    <col min="7684" max="7684" width="6" style="64" bestFit="1" customWidth="1"/>
    <col min="7685" max="7685" width="9" style="64" bestFit="1" customWidth="1"/>
    <col min="7686" max="7686" width="6" style="64" bestFit="1" customWidth="1"/>
    <col min="7687" max="7687" width="15.140625" style="64" bestFit="1" customWidth="1"/>
    <col min="7688" max="7688" width="9" style="64" bestFit="1" customWidth="1"/>
    <col min="7689" max="7689" width="5" style="64" bestFit="1" customWidth="1"/>
    <col min="7690" max="7690" width="9" style="64" bestFit="1" customWidth="1"/>
    <col min="7691" max="7691" width="7" style="64" bestFit="1" customWidth="1"/>
    <col min="7692" max="7693" width="17.28515625" style="64" bestFit="1" customWidth="1"/>
    <col min="7694" max="7694" width="8" style="64" bestFit="1" customWidth="1"/>
    <col min="7695" max="7695" width="6.28515625" style="64" customWidth="1"/>
    <col min="7696" max="7696" width="6" style="64" bestFit="1" customWidth="1"/>
    <col min="7697" max="7697" width="3" style="64" customWidth="1"/>
    <col min="7698" max="7698" width="11" style="64" bestFit="1" customWidth="1"/>
    <col min="7699" max="7699" width="22.42578125" style="64" bestFit="1" customWidth="1"/>
    <col min="7700" max="7700" width="17.28515625" style="64" bestFit="1" customWidth="1"/>
    <col min="7701" max="7702" width="8" style="64" bestFit="1" customWidth="1"/>
    <col min="7703" max="7703" width="17.28515625" style="64" bestFit="1" customWidth="1"/>
    <col min="7704" max="7705" width="15.140625" style="64" bestFit="1" customWidth="1"/>
    <col min="7706" max="7706" width="8" style="64" bestFit="1" customWidth="1"/>
    <col min="7707" max="7937" width="9.140625" style="64"/>
    <col min="7938" max="7938" width="17.28515625" style="64" bestFit="1" customWidth="1"/>
    <col min="7939" max="7939" width="9" style="64" bestFit="1" customWidth="1"/>
    <col min="7940" max="7940" width="6" style="64" bestFit="1" customWidth="1"/>
    <col min="7941" max="7941" width="9" style="64" bestFit="1" customWidth="1"/>
    <col min="7942" max="7942" width="6" style="64" bestFit="1" customWidth="1"/>
    <col min="7943" max="7943" width="15.140625" style="64" bestFit="1" customWidth="1"/>
    <col min="7944" max="7944" width="9" style="64" bestFit="1" customWidth="1"/>
    <col min="7945" max="7945" width="5" style="64" bestFit="1" customWidth="1"/>
    <col min="7946" max="7946" width="9" style="64" bestFit="1" customWidth="1"/>
    <col min="7947" max="7947" width="7" style="64" bestFit="1" customWidth="1"/>
    <col min="7948" max="7949" width="17.28515625" style="64" bestFit="1" customWidth="1"/>
    <col min="7950" max="7950" width="8" style="64" bestFit="1" customWidth="1"/>
    <col min="7951" max="7951" width="6.28515625" style="64" customWidth="1"/>
    <col min="7952" max="7952" width="6" style="64" bestFit="1" customWidth="1"/>
    <col min="7953" max="7953" width="3" style="64" customWidth="1"/>
    <col min="7954" max="7954" width="11" style="64" bestFit="1" customWidth="1"/>
    <col min="7955" max="7955" width="22.42578125" style="64" bestFit="1" customWidth="1"/>
    <col min="7956" max="7956" width="17.28515625" style="64" bestFit="1" customWidth="1"/>
    <col min="7957" max="7958" width="8" style="64" bestFit="1" customWidth="1"/>
    <col min="7959" max="7959" width="17.28515625" style="64" bestFit="1" customWidth="1"/>
    <col min="7960" max="7961" width="15.140625" style="64" bestFit="1" customWidth="1"/>
    <col min="7962" max="7962" width="8" style="64" bestFit="1" customWidth="1"/>
    <col min="7963" max="8193" width="9.140625" style="64"/>
    <col min="8194" max="8194" width="17.28515625" style="64" bestFit="1" customWidth="1"/>
    <col min="8195" max="8195" width="9" style="64" bestFit="1" customWidth="1"/>
    <col min="8196" max="8196" width="6" style="64" bestFit="1" customWidth="1"/>
    <col min="8197" max="8197" width="9" style="64" bestFit="1" customWidth="1"/>
    <col min="8198" max="8198" width="6" style="64" bestFit="1" customWidth="1"/>
    <col min="8199" max="8199" width="15.140625" style="64" bestFit="1" customWidth="1"/>
    <col min="8200" max="8200" width="9" style="64" bestFit="1" customWidth="1"/>
    <col min="8201" max="8201" width="5" style="64" bestFit="1" customWidth="1"/>
    <col min="8202" max="8202" width="9" style="64" bestFit="1" customWidth="1"/>
    <col min="8203" max="8203" width="7" style="64" bestFit="1" customWidth="1"/>
    <col min="8204" max="8205" width="17.28515625" style="64" bestFit="1" customWidth="1"/>
    <col min="8206" max="8206" width="8" style="64" bestFit="1" customWidth="1"/>
    <col min="8207" max="8207" width="6.28515625" style="64" customWidth="1"/>
    <col min="8208" max="8208" width="6" style="64" bestFit="1" customWidth="1"/>
    <col min="8209" max="8209" width="3" style="64" customWidth="1"/>
    <col min="8210" max="8210" width="11" style="64" bestFit="1" customWidth="1"/>
    <col min="8211" max="8211" width="22.42578125" style="64" bestFit="1" customWidth="1"/>
    <col min="8212" max="8212" width="17.28515625" style="64" bestFit="1" customWidth="1"/>
    <col min="8213" max="8214" width="8" style="64" bestFit="1" customWidth="1"/>
    <col min="8215" max="8215" width="17.28515625" style="64" bestFit="1" customWidth="1"/>
    <col min="8216" max="8217" width="15.140625" style="64" bestFit="1" customWidth="1"/>
    <col min="8218" max="8218" width="8" style="64" bestFit="1" customWidth="1"/>
    <col min="8219" max="8449" width="9.140625" style="64"/>
    <col min="8450" max="8450" width="17.28515625" style="64" bestFit="1" customWidth="1"/>
    <col min="8451" max="8451" width="9" style="64" bestFit="1" customWidth="1"/>
    <col min="8452" max="8452" width="6" style="64" bestFit="1" customWidth="1"/>
    <col min="8453" max="8453" width="9" style="64" bestFit="1" customWidth="1"/>
    <col min="8454" max="8454" width="6" style="64" bestFit="1" customWidth="1"/>
    <col min="8455" max="8455" width="15.140625" style="64" bestFit="1" customWidth="1"/>
    <col min="8456" max="8456" width="9" style="64" bestFit="1" customWidth="1"/>
    <col min="8457" max="8457" width="5" style="64" bestFit="1" customWidth="1"/>
    <col min="8458" max="8458" width="9" style="64" bestFit="1" customWidth="1"/>
    <col min="8459" max="8459" width="7" style="64" bestFit="1" customWidth="1"/>
    <col min="8460" max="8461" width="17.28515625" style="64" bestFit="1" customWidth="1"/>
    <col min="8462" max="8462" width="8" style="64" bestFit="1" customWidth="1"/>
    <col min="8463" max="8463" width="6.28515625" style="64" customWidth="1"/>
    <col min="8464" max="8464" width="6" style="64" bestFit="1" customWidth="1"/>
    <col min="8465" max="8465" width="3" style="64" customWidth="1"/>
    <col min="8466" max="8466" width="11" style="64" bestFit="1" customWidth="1"/>
    <col min="8467" max="8467" width="22.42578125" style="64" bestFit="1" customWidth="1"/>
    <col min="8468" max="8468" width="17.28515625" style="64" bestFit="1" customWidth="1"/>
    <col min="8469" max="8470" width="8" style="64" bestFit="1" customWidth="1"/>
    <col min="8471" max="8471" width="17.28515625" style="64" bestFit="1" customWidth="1"/>
    <col min="8472" max="8473" width="15.140625" style="64" bestFit="1" customWidth="1"/>
    <col min="8474" max="8474" width="8" style="64" bestFit="1" customWidth="1"/>
    <col min="8475" max="8705" width="9.140625" style="64"/>
    <col min="8706" max="8706" width="17.28515625" style="64" bestFit="1" customWidth="1"/>
    <col min="8707" max="8707" width="9" style="64" bestFit="1" customWidth="1"/>
    <col min="8708" max="8708" width="6" style="64" bestFit="1" customWidth="1"/>
    <col min="8709" max="8709" width="9" style="64" bestFit="1" customWidth="1"/>
    <col min="8710" max="8710" width="6" style="64" bestFit="1" customWidth="1"/>
    <col min="8711" max="8711" width="15.140625" style="64" bestFit="1" customWidth="1"/>
    <col min="8712" max="8712" width="9" style="64" bestFit="1" customWidth="1"/>
    <col min="8713" max="8713" width="5" style="64" bestFit="1" customWidth="1"/>
    <col min="8714" max="8714" width="9" style="64" bestFit="1" customWidth="1"/>
    <col min="8715" max="8715" width="7" style="64" bestFit="1" customWidth="1"/>
    <col min="8716" max="8717" width="17.28515625" style="64" bestFit="1" customWidth="1"/>
    <col min="8718" max="8718" width="8" style="64" bestFit="1" customWidth="1"/>
    <col min="8719" max="8719" width="6.28515625" style="64" customWidth="1"/>
    <col min="8720" max="8720" width="6" style="64" bestFit="1" customWidth="1"/>
    <col min="8721" max="8721" width="3" style="64" customWidth="1"/>
    <col min="8722" max="8722" width="11" style="64" bestFit="1" customWidth="1"/>
    <col min="8723" max="8723" width="22.42578125" style="64" bestFit="1" customWidth="1"/>
    <col min="8724" max="8724" width="17.28515625" style="64" bestFit="1" customWidth="1"/>
    <col min="8725" max="8726" width="8" style="64" bestFit="1" customWidth="1"/>
    <col min="8727" max="8727" width="17.28515625" style="64" bestFit="1" customWidth="1"/>
    <col min="8728" max="8729" width="15.140625" style="64" bestFit="1" customWidth="1"/>
    <col min="8730" max="8730" width="8" style="64" bestFit="1" customWidth="1"/>
    <col min="8731" max="8961" width="9.140625" style="64"/>
    <col min="8962" max="8962" width="17.28515625" style="64" bestFit="1" customWidth="1"/>
    <col min="8963" max="8963" width="9" style="64" bestFit="1" customWidth="1"/>
    <col min="8964" max="8964" width="6" style="64" bestFit="1" customWidth="1"/>
    <col min="8965" max="8965" width="9" style="64" bestFit="1" customWidth="1"/>
    <col min="8966" max="8966" width="6" style="64" bestFit="1" customWidth="1"/>
    <col min="8967" max="8967" width="15.140625" style="64" bestFit="1" customWidth="1"/>
    <col min="8968" max="8968" width="9" style="64" bestFit="1" customWidth="1"/>
    <col min="8969" max="8969" width="5" style="64" bestFit="1" customWidth="1"/>
    <col min="8970" max="8970" width="9" style="64" bestFit="1" customWidth="1"/>
    <col min="8971" max="8971" width="7" style="64" bestFit="1" customWidth="1"/>
    <col min="8972" max="8973" width="17.28515625" style="64" bestFit="1" customWidth="1"/>
    <col min="8974" max="8974" width="8" style="64" bestFit="1" customWidth="1"/>
    <col min="8975" max="8975" width="6.28515625" style="64" customWidth="1"/>
    <col min="8976" max="8976" width="6" style="64" bestFit="1" customWidth="1"/>
    <col min="8977" max="8977" width="3" style="64" customWidth="1"/>
    <col min="8978" max="8978" width="11" style="64" bestFit="1" customWidth="1"/>
    <col min="8979" max="8979" width="22.42578125" style="64" bestFit="1" customWidth="1"/>
    <col min="8980" max="8980" width="17.28515625" style="64" bestFit="1" customWidth="1"/>
    <col min="8981" max="8982" width="8" style="64" bestFit="1" customWidth="1"/>
    <col min="8983" max="8983" width="17.28515625" style="64" bestFit="1" customWidth="1"/>
    <col min="8984" max="8985" width="15.140625" style="64" bestFit="1" customWidth="1"/>
    <col min="8986" max="8986" width="8" style="64" bestFit="1" customWidth="1"/>
    <col min="8987" max="9217" width="9.140625" style="64"/>
    <col min="9218" max="9218" width="17.28515625" style="64" bestFit="1" customWidth="1"/>
    <col min="9219" max="9219" width="9" style="64" bestFit="1" customWidth="1"/>
    <col min="9220" max="9220" width="6" style="64" bestFit="1" customWidth="1"/>
    <col min="9221" max="9221" width="9" style="64" bestFit="1" customWidth="1"/>
    <col min="9222" max="9222" width="6" style="64" bestFit="1" customWidth="1"/>
    <col min="9223" max="9223" width="15.140625" style="64" bestFit="1" customWidth="1"/>
    <col min="9224" max="9224" width="9" style="64" bestFit="1" customWidth="1"/>
    <col min="9225" max="9225" width="5" style="64" bestFit="1" customWidth="1"/>
    <col min="9226" max="9226" width="9" style="64" bestFit="1" customWidth="1"/>
    <col min="9227" max="9227" width="7" style="64" bestFit="1" customWidth="1"/>
    <col min="9228" max="9229" width="17.28515625" style="64" bestFit="1" customWidth="1"/>
    <col min="9230" max="9230" width="8" style="64" bestFit="1" customWidth="1"/>
    <col min="9231" max="9231" width="6.28515625" style="64" customWidth="1"/>
    <col min="9232" max="9232" width="6" style="64" bestFit="1" customWidth="1"/>
    <col min="9233" max="9233" width="3" style="64" customWidth="1"/>
    <col min="9234" max="9234" width="11" style="64" bestFit="1" customWidth="1"/>
    <col min="9235" max="9235" width="22.42578125" style="64" bestFit="1" customWidth="1"/>
    <col min="9236" max="9236" width="17.28515625" style="64" bestFit="1" customWidth="1"/>
    <col min="9237" max="9238" width="8" style="64" bestFit="1" customWidth="1"/>
    <col min="9239" max="9239" width="17.28515625" style="64" bestFit="1" customWidth="1"/>
    <col min="9240" max="9241" width="15.140625" style="64" bestFit="1" customWidth="1"/>
    <col min="9242" max="9242" width="8" style="64" bestFit="1" customWidth="1"/>
    <col min="9243" max="9473" width="9.140625" style="64"/>
    <col min="9474" max="9474" width="17.28515625" style="64" bestFit="1" customWidth="1"/>
    <col min="9475" max="9475" width="9" style="64" bestFit="1" customWidth="1"/>
    <col min="9476" max="9476" width="6" style="64" bestFit="1" customWidth="1"/>
    <col min="9477" max="9477" width="9" style="64" bestFit="1" customWidth="1"/>
    <col min="9478" max="9478" width="6" style="64" bestFit="1" customWidth="1"/>
    <col min="9479" max="9479" width="15.140625" style="64" bestFit="1" customWidth="1"/>
    <col min="9480" max="9480" width="9" style="64" bestFit="1" customWidth="1"/>
    <col min="9481" max="9481" width="5" style="64" bestFit="1" customWidth="1"/>
    <col min="9482" max="9482" width="9" style="64" bestFit="1" customWidth="1"/>
    <col min="9483" max="9483" width="7" style="64" bestFit="1" customWidth="1"/>
    <col min="9484" max="9485" width="17.28515625" style="64" bestFit="1" customWidth="1"/>
    <col min="9486" max="9486" width="8" style="64" bestFit="1" customWidth="1"/>
    <col min="9487" max="9487" width="6.28515625" style="64" customWidth="1"/>
    <col min="9488" max="9488" width="6" style="64" bestFit="1" customWidth="1"/>
    <col min="9489" max="9489" width="3" style="64" customWidth="1"/>
    <col min="9490" max="9490" width="11" style="64" bestFit="1" customWidth="1"/>
    <col min="9491" max="9491" width="22.42578125" style="64" bestFit="1" customWidth="1"/>
    <col min="9492" max="9492" width="17.28515625" style="64" bestFit="1" customWidth="1"/>
    <col min="9493" max="9494" width="8" style="64" bestFit="1" customWidth="1"/>
    <col min="9495" max="9495" width="17.28515625" style="64" bestFit="1" customWidth="1"/>
    <col min="9496" max="9497" width="15.140625" style="64" bestFit="1" customWidth="1"/>
    <col min="9498" max="9498" width="8" style="64" bestFit="1" customWidth="1"/>
    <col min="9499" max="9729" width="9.140625" style="64"/>
    <col min="9730" max="9730" width="17.28515625" style="64" bestFit="1" customWidth="1"/>
    <col min="9731" max="9731" width="9" style="64" bestFit="1" customWidth="1"/>
    <col min="9732" max="9732" width="6" style="64" bestFit="1" customWidth="1"/>
    <col min="9733" max="9733" width="9" style="64" bestFit="1" customWidth="1"/>
    <col min="9734" max="9734" width="6" style="64" bestFit="1" customWidth="1"/>
    <col min="9735" max="9735" width="15.140625" style="64" bestFit="1" customWidth="1"/>
    <col min="9736" max="9736" width="9" style="64" bestFit="1" customWidth="1"/>
    <col min="9737" max="9737" width="5" style="64" bestFit="1" customWidth="1"/>
    <col min="9738" max="9738" width="9" style="64" bestFit="1" customWidth="1"/>
    <col min="9739" max="9739" width="7" style="64" bestFit="1" customWidth="1"/>
    <col min="9740" max="9741" width="17.28515625" style="64" bestFit="1" customWidth="1"/>
    <col min="9742" max="9742" width="8" style="64" bestFit="1" customWidth="1"/>
    <col min="9743" max="9743" width="6.28515625" style="64" customWidth="1"/>
    <col min="9744" max="9744" width="6" style="64" bestFit="1" customWidth="1"/>
    <col min="9745" max="9745" width="3" style="64" customWidth="1"/>
    <col min="9746" max="9746" width="11" style="64" bestFit="1" customWidth="1"/>
    <col min="9747" max="9747" width="22.42578125" style="64" bestFit="1" customWidth="1"/>
    <col min="9748" max="9748" width="17.28515625" style="64" bestFit="1" customWidth="1"/>
    <col min="9749" max="9750" width="8" style="64" bestFit="1" customWidth="1"/>
    <col min="9751" max="9751" width="17.28515625" style="64" bestFit="1" customWidth="1"/>
    <col min="9752" max="9753" width="15.140625" style="64" bestFit="1" customWidth="1"/>
    <col min="9754" max="9754" width="8" style="64" bestFit="1" customWidth="1"/>
    <col min="9755" max="9985" width="9.140625" style="64"/>
    <col min="9986" max="9986" width="17.28515625" style="64" bestFit="1" customWidth="1"/>
    <col min="9987" max="9987" width="9" style="64" bestFit="1" customWidth="1"/>
    <col min="9988" max="9988" width="6" style="64" bestFit="1" customWidth="1"/>
    <col min="9989" max="9989" width="9" style="64" bestFit="1" customWidth="1"/>
    <col min="9990" max="9990" width="6" style="64" bestFit="1" customWidth="1"/>
    <col min="9991" max="9991" width="15.140625" style="64" bestFit="1" customWidth="1"/>
    <col min="9992" max="9992" width="9" style="64" bestFit="1" customWidth="1"/>
    <col min="9993" max="9993" width="5" style="64" bestFit="1" customWidth="1"/>
    <col min="9994" max="9994" width="9" style="64" bestFit="1" customWidth="1"/>
    <col min="9995" max="9995" width="7" style="64" bestFit="1" customWidth="1"/>
    <col min="9996" max="9997" width="17.28515625" style="64" bestFit="1" customWidth="1"/>
    <col min="9998" max="9998" width="8" style="64" bestFit="1" customWidth="1"/>
    <col min="9999" max="9999" width="6.28515625" style="64" customWidth="1"/>
    <col min="10000" max="10000" width="6" style="64" bestFit="1" customWidth="1"/>
    <col min="10001" max="10001" width="3" style="64" customWidth="1"/>
    <col min="10002" max="10002" width="11" style="64" bestFit="1" customWidth="1"/>
    <col min="10003" max="10003" width="22.42578125" style="64" bestFit="1" customWidth="1"/>
    <col min="10004" max="10004" width="17.28515625" style="64" bestFit="1" customWidth="1"/>
    <col min="10005" max="10006" width="8" style="64" bestFit="1" customWidth="1"/>
    <col min="10007" max="10007" width="17.28515625" style="64" bestFit="1" customWidth="1"/>
    <col min="10008" max="10009" width="15.140625" style="64" bestFit="1" customWidth="1"/>
    <col min="10010" max="10010" width="8" style="64" bestFit="1" customWidth="1"/>
    <col min="10011" max="10241" width="9.140625" style="64"/>
    <col min="10242" max="10242" width="17.28515625" style="64" bestFit="1" customWidth="1"/>
    <col min="10243" max="10243" width="9" style="64" bestFit="1" customWidth="1"/>
    <col min="10244" max="10244" width="6" style="64" bestFit="1" customWidth="1"/>
    <col min="10245" max="10245" width="9" style="64" bestFit="1" customWidth="1"/>
    <col min="10246" max="10246" width="6" style="64" bestFit="1" customWidth="1"/>
    <col min="10247" max="10247" width="15.140625" style="64" bestFit="1" customWidth="1"/>
    <col min="10248" max="10248" width="9" style="64" bestFit="1" customWidth="1"/>
    <col min="10249" max="10249" width="5" style="64" bestFit="1" customWidth="1"/>
    <col min="10250" max="10250" width="9" style="64" bestFit="1" customWidth="1"/>
    <col min="10251" max="10251" width="7" style="64" bestFit="1" customWidth="1"/>
    <col min="10252" max="10253" width="17.28515625" style="64" bestFit="1" customWidth="1"/>
    <col min="10254" max="10254" width="8" style="64" bestFit="1" customWidth="1"/>
    <col min="10255" max="10255" width="6.28515625" style="64" customWidth="1"/>
    <col min="10256" max="10256" width="6" style="64" bestFit="1" customWidth="1"/>
    <col min="10257" max="10257" width="3" style="64" customWidth="1"/>
    <col min="10258" max="10258" width="11" style="64" bestFit="1" customWidth="1"/>
    <col min="10259" max="10259" width="22.42578125" style="64" bestFit="1" customWidth="1"/>
    <col min="10260" max="10260" width="17.28515625" style="64" bestFit="1" customWidth="1"/>
    <col min="10261" max="10262" width="8" style="64" bestFit="1" customWidth="1"/>
    <col min="10263" max="10263" width="17.28515625" style="64" bestFit="1" customWidth="1"/>
    <col min="10264" max="10265" width="15.140625" style="64" bestFit="1" customWidth="1"/>
    <col min="10266" max="10266" width="8" style="64" bestFit="1" customWidth="1"/>
    <col min="10267" max="10497" width="9.140625" style="64"/>
    <col min="10498" max="10498" width="17.28515625" style="64" bestFit="1" customWidth="1"/>
    <col min="10499" max="10499" width="9" style="64" bestFit="1" customWidth="1"/>
    <col min="10500" max="10500" width="6" style="64" bestFit="1" customWidth="1"/>
    <col min="10501" max="10501" width="9" style="64" bestFit="1" customWidth="1"/>
    <col min="10502" max="10502" width="6" style="64" bestFit="1" customWidth="1"/>
    <col min="10503" max="10503" width="15.140625" style="64" bestFit="1" customWidth="1"/>
    <col min="10504" max="10504" width="9" style="64" bestFit="1" customWidth="1"/>
    <col min="10505" max="10505" width="5" style="64" bestFit="1" customWidth="1"/>
    <col min="10506" max="10506" width="9" style="64" bestFit="1" customWidth="1"/>
    <col min="10507" max="10507" width="7" style="64" bestFit="1" customWidth="1"/>
    <col min="10508" max="10509" width="17.28515625" style="64" bestFit="1" customWidth="1"/>
    <col min="10510" max="10510" width="8" style="64" bestFit="1" customWidth="1"/>
    <col min="10511" max="10511" width="6.28515625" style="64" customWidth="1"/>
    <col min="10512" max="10512" width="6" style="64" bestFit="1" customWidth="1"/>
    <col min="10513" max="10513" width="3" style="64" customWidth="1"/>
    <col min="10514" max="10514" width="11" style="64" bestFit="1" customWidth="1"/>
    <col min="10515" max="10515" width="22.42578125" style="64" bestFit="1" customWidth="1"/>
    <col min="10516" max="10516" width="17.28515625" style="64" bestFit="1" customWidth="1"/>
    <col min="10517" max="10518" width="8" style="64" bestFit="1" customWidth="1"/>
    <col min="10519" max="10519" width="17.28515625" style="64" bestFit="1" customWidth="1"/>
    <col min="10520" max="10521" width="15.140625" style="64" bestFit="1" customWidth="1"/>
    <col min="10522" max="10522" width="8" style="64" bestFit="1" customWidth="1"/>
    <col min="10523" max="10753" width="9.140625" style="64"/>
    <col min="10754" max="10754" width="17.28515625" style="64" bestFit="1" customWidth="1"/>
    <col min="10755" max="10755" width="9" style="64" bestFit="1" customWidth="1"/>
    <col min="10756" max="10756" width="6" style="64" bestFit="1" customWidth="1"/>
    <col min="10757" max="10757" width="9" style="64" bestFit="1" customWidth="1"/>
    <col min="10758" max="10758" width="6" style="64" bestFit="1" customWidth="1"/>
    <col min="10759" max="10759" width="15.140625" style="64" bestFit="1" customWidth="1"/>
    <col min="10760" max="10760" width="9" style="64" bestFit="1" customWidth="1"/>
    <col min="10761" max="10761" width="5" style="64" bestFit="1" customWidth="1"/>
    <col min="10762" max="10762" width="9" style="64" bestFit="1" customWidth="1"/>
    <col min="10763" max="10763" width="7" style="64" bestFit="1" customWidth="1"/>
    <col min="10764" max="10765" width="17.28515625" style="64" bestFit="1" customWidth="1"/>
    <col min="10766" max="10766" width="8" style="64" bestFit="1" customWidth="1"/>
    <col min="10767" max="10767" width="6.28515625" style="64" customWidth="1"/>
    <col min="10768" max="10768" width="6" style="64" bestFit="1" customWidth="1"/>
    <col min="10769" max="10769" width="3" style="64" customWidth="1"/>
    <col min="10770" max="10770" width="11" style="64" bestFit="1" customWidth="1"/>
    <col min="10771" max="10771" width="22.42578125" style="64" bestFit="1" customWidth="1"/>
    <col min="10772" max="10772" width="17.28515625" style="64" bestFit="1" customWidth="1"/>
    <col min="10773" max="10774" width="8" style="64" bestFit="1" customWidth="1"/>
    <col min="10775" max="10775" width="17.28515625" style="64" bestFit="1" customWidth="1"/>
    <col min="10776" max="10777" width="15.140625" style="64" bestFit="1" customWidth="1"/>
    <col min="10778" max="10778" width="8" style="64" bestFit="1" customWidth="1"/>
    <col min="10779" max="11009" width="9.140625" style="64"/>
    <col min="11010" max="11010" width="17.28515625" style="64" bestFit="1" customWidth="1"/>
    <col min="11011" max="11011" width="9" style="64" bestFit="1" customWidth="1"/>
    <col min="11012" max="11012" width="6" style="64" bestFit="1" customWidth="1"/>
    <col min="11013" max="11013" width="9" style="64" bestFit="1" customWidth="1"/>
    <col min="11014" max="11014" width="6" style="64" bestFit="1" customWidth="1"/>
    <col min="11015" max="11015" width="15.140625" style="64" bestFit="1" customWidth="1"/>
    <col min="11016" max="11016" width="9" style="64" bestFit="1" customWidth="1"/>
    <col min="11017" max="11017" width="5" style="64" bestFit="1" customWidth="1"/>
    <col min="11018" max="11018" width="9" style="64" bestFit="1" customWidth="1"/>
    <col min="11019" max="11019" width="7" style="64" bestFit="1" customWidth="1"/>
    <col min="11020" max="11021" width="17.28515625" style="64" bestFit="1" customWidth="1"/>
    <col min="11022" max="11022" width="8" style="64" bestFit="1" customWidth="1"/>
    <col min="11023" max="11023" width="6.28515625" style="64" customWidth="1"/>
    <col min="11024" max="11024" width="6" style="64" bestFit="1" customWidth="1"/>
    <col min="11025" max="11025" width="3" style="64" customWidth="1"/>
    <col min="11026" max="11026" width="11" style="64" bestFit="1" customWidth="1"/>
    <col min="11027" max="11027" width="22.42578125" style="64" bestFit="1" customWidth="1"/>
    <col min="11028" max="11028" width="17.28515625" style="64" bestFit="1" customWidth="1"/>
    <col min="11029" max="11030" width="8" style="64" bestFit="1" customWidth="1"/>
    <col min="11031" max="11031" width="17.28515625" style="64" bestFit="1" customWidth="1"/>
    <col min="11032" max="11033" width="15.140625" style="64" bestFit="1" customWidth="1"/>
    <col min="11034" max="11034" width="8" style="64" bestFit="1" customWidth="1"/>
    <col min="11035" max="11265" width="9.140625" style="64"/>
    <col min="11266" max="11266" width="17.28515625" style="64" bestFit="1" customWidth="1"/>
    <col min="11267" max="11267" width="9" style="64" bestFit="1" customWidth="1"/>
    <col min="11268" max="11268" width="6" style="64" bestFit="1" customWidth="1"/>
    <col min="11269" max="11269" width="9" style="64" bestFit="1" customWidth="1"/>
    <col min="11270" max="11270" width="6" style="64" bestFit="1" customWidth="1"/>
    <col min="11271" max="11271" width="15.140625" style="64" bestFit="1" customWidth="1"/>
    <col min="11272" max="11272" width="9" style="64" bestFit="1" customWidth="1"/>
    <col min="11273" max="11273" width="5" style="64" bestFit="1" customWidth="1"/>
    <col min="11274" max="11274" width="9" style="64" bestFit="1" customWidth="1"/>
    <col min="11275" max="11275" width="7" style="64" bestFit="1" customWidth="1"/>
    <col min="11276" max="11277" width="17.28515625" style="64" bestFit="1" customWidth="1"/>
    <col min="11278" max="11278" width="8" style="64" bestFit="1" customWidth="1"/>
    <col min="11279" max="11279" width="6.28515625" style="64" customWidth="1"/>
    <col min="11280" max="11280" width="6" style="64" bestFit="1" customWidth="1"/>
    <col min="11281" max="11281" width="3" style="64" customWidth="1"/>
    <col min="11282" max="11282" width="11" style="64" bestFit="1" customWidth="1"/>
    <col min="11283" max="11283" width="22.42578125" style="64" bestFit="1" customWidth="1"/>
    <col min="11284" max="11284" width="17.28515625" style="64" bestFit="1" customWidth="1"/>
    <col min="11285" max="11286" width="8" style="64" bestFit="1" customWidth="1"/>
    <col min="11287" max="11287" width="17.28515625" style="64" bestFit="1" customWidth="1"/>
    <col min="11288" max="11289" width="15.140625" style="64" bestFit="1" customWidth="1"/>
    <col min="11290" max="11290" width="8" style="64" bestFit="1" customWidth="1"/>
    <col min="11291" max="11521" width="9.140625" style="64"/>
    <col min="11522" max="11522" width="17.28515625" style="64" bestFit="1" customWidth="1"/>
    <col min="11523" max="11523" width="9" style="64" bestFit="1" customWidth="1"/>
    <col min="11524" max="11524" width="6" style="64" bestFit="1" customWidth="1"/>
    <col min="11525" max="11525" width="9" style="64" bestFit="1" customWidth="1"/>
    <col min="11526" max="11526" width="6" style="64" bestFit="1" customWidth="1"/>
    <col min="11527" max="11527" width="15.140625" style="64" bestFit="1" customWidth="1"/>
    <col min="11528" max="11528" width="9" style="64" bestFit="1" customWidth="1"/>
    <col min="11529" max="11529" width="5" style="64" bestFit="1" customWidth="1"/>
    <col min="11530" max="11530" width="9" style="64" bestFit="1" customWidth="1"/>
    <col min="11531" max="11531" width="7" style="64" bestFit="1" customWidth="1"/>
    <col min="11532" max="11533" width="17.28515625" style="64" bestFit="1" customWidth="1"/>
    <col min="11534" max="11534" width="8" style="64" bestFit="1" customWidth="1"/>
    <col min="11535" max="11535" width="6.28515625" style="64" customWidth="1"/>
    <col min="11536" max="11536" width="6" style="64" bestFit="1" customWidth="1"/>
    <col min="11537" max="11537" width="3" style="64" customWidth="1"/>
    <col min="11538" max="11538" width="11" style="64" bestFit="1" customWidth="1"/>
    <col min="11539" max="11539" width="22.42578125" style="64" bestFit="1" customWidth="1"/>
    <col min="11540" max="11540" width="17.28515625" style="64" bestFit="1" customWidth="1"/>
    <col min="11541" max="11542" width="8" style="64" bestFit="1" customWidth="1"/>
    <col min="11543" max="11543" width="17.28515625" style="64" bestFit="1" customWidth="1"/>
    <col min="11544" max="11545" width="15.140625" style="64" bestFit="1" customWidth="1"/>
    <col min="11546" max="11546" width="8" style="64" bestFit="1" customWidth="1"/>
    <col min="11547" max="11777" width="9.140625" style="64"/>
    <col min="11778" max="11778" width="17.28515625" style="64" bestFit="1" customWidth="1"/>
    <col min="11779" max="11779" width="9" style="64" bestFit="1" customWidth="1"/>
    <col min="11780" max="11780" width="6" style="64" bestFit="1" customWidth="1"/>
    <col min="11781" max="11781" width="9" style="64" bestFit="1" customWidth="1"/>
    <col min="11782" max="11782" width="6" style="64" bestFit="1" customWidth="1"/>
    <col min="11783" max="11783" width="15.140625" style="64" bestFit="1" customWidth="1"/>
    <col min="11784" max="11784" width="9" style="64" bestFit="1" customWidth="1"/>
    <col min="11785" max="11785" width="5" style="64" bestFit="1" customWidth="1"/>
    <col min="11786" max="11786" width="9" style="64" bestFit="1" customWidth="1"/>
    <col min="11787" max="11787" width="7" style="64" bestFit="1" customWidth="1"/>
    <col min="11788" max="11789" width="17.28515625" style="64" bestFit="1" customWidth="1"/>
    <col min="11790" max="11790" width="8" style="64" bestFit="1" customWidth="1"/>
    <col min="11791" max="11791" width="6.28515625" style="64" customWidth="1"/>
    <col min="11792" max="11792" width="6" style="64" bestFit="1" customWidth="1"/>
    <col min="11793" max="11793" width="3" style="64" customWidth="1"/>
    <col min="11794" max="11794" width="11" style="64" bestFit="1" customWidth="1"/>
    <col min="11795" max="11795" width="22.42578125" style="64" bestFit="1" customWidth="1"/>
    <col min="11796" max="11796" width="17.28515625" style="64" bestFit="1" customWidth="1"/>
    <col min="11797" max="11798" width="8" style="64" bestFit="1" customWidth="1"/>
    <col min="11799" max="11799" width="17.28515625" style="64" bestFit="1" customWidth="1"/>
    <col min="11800" max="11801" width="15.140625" style="64" bestFit="1" customWidth="1"/>
    <col min="11802" max="11802" width="8" style="64" bestFit="1" customWidth="1"/>
    <col min="11803" max="12033" width="9.140625" style="64"/>
    <col min="12034" max="12034" width="17.28515625" style="64" bestFit="1" customWidth="1"/>
    <col min="12035" max="12035" width="9" style="64" bestFit="1" customWidth="1"/>
    <col min="12036" max="12036" width="6" style="64" bestFit="1" customWidth="1"/>
    <col min="12037" max="12037" width="9" style="64" bestFit="1" customWidth="1"/>
    <col min="12038" max="12038" width="6" style="64" bestFit="1" customWidth="1"/>
    <col min="12039" max="12039" width="15.140625" style="64" bestFit="1" customWidth="1"/>
    <col min="12040" max="12040" width="9" style="64" bestFit="1" customWidth="1"/>
    <col min="12041" max="12041" width="5" style="64" bestFit="1" customWidth="1"/>
    <col min="12042" max="12042" width="9" style="64" bestFit="1" customWidth="1"/>
    <col min="12043" max="12043" width="7" style="64" bestFit="1" customWidth="1"/>
    <col min="12044" max="12045" width="17.28515625" style="64" bestFit="1" customWidth="1"/>
    <col min="12046" max="12046" width="8" style="64" bestFit="1" customWidth="1"/>
    <col min="12047" max="12047" width="6.28515625" style="64" customWidth="1"/>
    <col min="12048" max="12048" width="6" style="64" bestFit="1" customWidth="1"/>
    <col min="12049" max="12049" width="3" style="64" customWidth="1"/>
    <col min="12050" max="12050" width="11" style="64" bestFit="1" customWidth="1"/>
    <col min="12051" max="12051" width="22.42578125" style="64" bestFit="1" customWidth="1"/>
    <col min="12052" max="12052" width="17.28515625" style="64" bestFit="1" customWidth="1"/>
    <col min="12053" max="12054" width="8" style="64" bestFit="1" customWidth="1"/>
    <col min="12055" max="12055" width="17.28515625" style="64" bestFit="1" customWidth="1"/>
    <col min="12056" max="12057" width="15.140625" style="64" bestFit="1" customWidth="1"/>
    <col min="12058" max="12058" width="8" style="64" bestFit="1" customWidth="1"/>
    <col min="12059" max="12289" width="9.140625" style="64"/>
    <col min="12290" max="12290" width="17.28515625" style="64" bestFit="1" customWidth="1"/>
    <col min="12291" max="12291" width="9" style="64" bestFit="1" customWidth="1"/>
    <col min="12292" max="12292" width="6" style="64" bestFit="1" customWidth="1"/>
    <col min="12293" max="12293" width="9" style="64" bestFit="1" customWidth="1"/>
    <col min="12294" max="12294" width="6" style="64" bestFit="1" customWidth="1"/>
    <col min="12295" max="12295" width="15.140625" style="64" bestFit="1" customWidth="1"/>
    <col min="12296" max="12296" width="9" style="64" bestFit="1" customWidth="1"/>
    <col min="12297" max="12297" width="5" style="64" bestFit="1" customWidth="1"/>
    <col min="12298" max="12298" width="9" style="64" bestFit="1" customWidth="1"/>
    <col min="12299" max="12299" width="7" style="64" bestFit="1" customWidth="1"/>
    <col min="12300" max="12301" width="17.28515625" style="64" bestFit="1" customWidth="1"/>
    <col min="12302" max="12302" width="8" style="64" bestFit="1" customWidth="1"/>
    <col min="12303" max="12303" width="6.28515625" style="64" customWidth="1"/>
    <col min="12304" max="12304" width="6" style="64" bestFit="1" customWidth="1"/>
    <col min="12305" max="12305" width="3" style="64" customWidth="1"/>
    <col min="12306" max="12306" width="11" style="64" bestFit="1" customWidth="1"/>
    <col min="12307" max="12307" width="22.42578125" style="64" bestFit="1" customWidth="1"/>
    <col min="12308" max="12308" width="17.28515625" style="64" bestFit="1" customWidth="1"/>
    <col min="12309" max="12310" width="8" style="64" bestFit="1" customWidth="1"/>
    <col min="12311" max="12311" width="17.28515625" style="64" bestFit="1" customWidth="1"/>
    <col min="12312" max="12313" width="15.140625" style="64" bestFit="1" customWidth="1"/>
    <col min="12314" max="12314" width="8" style="64" bestFit="1" customWidth="1"/>
    <col min="12315" max="12545" width="9.140625" style="64"/>
    <col min="12546" max="12546" width="17.28515625" style="64" bestFit="1" customWidth="1"/>
    <col min="12547" max="12547" width="9" style="64" bestFit="1" customWidth="1"/>
    <col min="12548" max="12548" width="6" style="64" bestFit="1" customWidth="1"/>
    <col min="12549" max="12549" width="9" style="64" bestFit="1" customWidth="1"/>
    <col min="12550" max="12550" width="6" style="64" bestFit="1" customWidth="1"/>
    <col min="12551" max="12551" width="15.140625" style="64" bestFit="1" customWidth="1"/>
    <col min="12552" max="12552" width="9" style="64" bestFit="1" customWidth="1"/>
    <col min="12553" max="12553" width="5" style="64" bestFit="1" customWidth="1"/>
    <col min="12554" max="12554" width="9" style="64" bestFit="1" customWidth="1"/>
    <col min="12555" max="12555" width="7" style="64" bestFit="1" customWidth="1"/>
    <col min="12556" max="12557" width="17.28515625" style="64" bestFit="1" customWidth="1"/>
    <col min="12558" max="12558" width="8" style="64" bestFit="1" customWidth="1"/>
    <col min="12559" max="12559" width="6.28515625" style="64" customWidth="1"/>
    <col min="12560" max="12560" width="6" style="64" bestFit="1" customWidth="1"/>
    <col min="12561" max="12561" width="3" style="64" customWidth="1"/>
    <col min="12562" max="12562" width="11" style="64" bestFit="1" customWidth="1"/>
    <col min="12563" max="12563" width="22.42578125" style="64" bestFit="1" customWidth="1"/>
    <col min="12564" max="12564" width="17.28515625" style="64" bestFit="1" customWidth="1"/>
    <col min="12565" max="12566" width="8" style="64" bestFit="1" customWidth="1"/>
    <col min="12567" max="12567" width="17.28515625" style="64" bestFit="1" customWidth="1"/>
    <col min="12568" max="12569" width="15.140625" style="64" bestFit="1" customWidth="1"/>
    <col min="12570" max="12570" width="8" style="64" bestFit="1" customWidth="1"/>
    <col min="12571" max="12801" width="9.140625" style="64"/>
    <col min="12802" max="12802" width="17.28515625" style="64" bestFit="1" customWidth="1"/>
    <col min="12803" max="12803" width="9" style="64" bestFit="1" customWidth="1"/>
    <col min="12804" max="12804" width="6" style="64" bestFit="1" customWidth="1"/>
    <col min="12805" max="12805" width="9" style="64" bestFit="1" customWidth="1"/>
    <col min="12806" max="12806" width="6" style="64" bestFit="1" customWidth="1"/>
    <col min="12807" max="12807" width="15.140625" style="64" bestFit="1" customWidth="1"/>
    <col min="12808" max="12808" width="9" style="64" bestFit="1" customWidth="1"/>
    <col min="12809" max="12809" width="5" style="64" bestFit="1" customWidth="1"/>
    <col min="12810" max="12810" width="9" style="64" bestFit="1" customWidth="1"/>
    <col min="12811" max="12811" width="7" style="64" bestFit="1" customWidth="1"/>
    <col min="12812" max="12813" width="17.28515625" style="64" bestFit="1" customWidth="1"/>
    <col min="12814" max="12814" width="8" style="64" bestFit="1" customWidth="1"/>
    <col min="12815" max="12815" width="6.28515625" style="64" customWidth="1"/>
    <col min="12816" max="12816" width="6" style="64" bestFit="1" customWidth="1"/>
    <col min="12817" max="12817" width="3" style="64" customWidth="1"/>
    <col min="12818" max="12818" width="11" style="64" bestFit="1" customWidth="1"/>
    <col min="12819" max="12819" width="22.42578125" style="64" bestFit="1" customWidth="1"/>
    <col min="12820" max="12820" width="17.28515625" style="64" bestFit="1" customWidth="1"/>
    <col min="12821" max="12822" width="8" style="64" bestFit="1" customWidth="1"/>
    <col min="12823" max="12823" width="17.28515625" style="64" bestFit="1" customWidth="1"/>
    <col min="12824" max="12825" width="15.140625" style="64" bestFit="1" customWidth="1"/>
    <col min="12826" max="12826" width="8" style="64" bestFit="1" customWidth="1"/>
    <col min="12827" max="13057" width="9.140625" style="64"/>
    <col min="13058" max="13058" width="17.28515625" style="64" bestFit="1" customWidth="1"/>
    <col min="13059" max="13059" width="9" style="64" bestFit="1" customWidth="1"/>
    <col min="13060" max="13060" width="6" style="64" bestFit="1" customWidth="1"/>
    <col min="13061" max="13061" width="9" style="64" bestFit="1" customWidth="1"/>
    <col min="13062" max="13062" width="6" style="64" bestFit="1" customWidth="1"/>
    <col min="13063" max="13063" width="15.140625" style="64" bestFit="1" customWidth="1"/>
    <col min="13064" max="13064" width="9" style="64" bestFit="1" customWidth="1"/>
    <col min="13065" max="13065" width="5" style="64" bestFit="1" customWidth="1"/>
    <col min="13066" max="13066" width="9" style="64" bestFit="1" customWidth="1"/>
    <col min="13067" max="13067" width="7" style="64" bestFit="1" customWidth="1"/>
    <col min="13068" max="13069" width="17.28515625" style="64" bestFit="1" customWidth="1"/>
    <col min="13070" max="13070" width="8" style="64" bestFit="1" customWidth="1"/>
    <col min="13071" max="13071" width="6.28515625" style="64" customWidth="1"/>
    <col min="13072" max="13072" width="6" style="64" bestFit="1" customWidth="1"/>
    <col min="13073" max="13073" width="3" style="64" customWidth="1"/>
    <col min="13074" max="13074" width="11" style="64" bestFit="1" customWidth="1"/>
    <col min="13075" max="13075" width="22.42578125" style="64" bestFit="1" customWidth="1"/>
    <col min="13076" max="13076" width="17.28515625" style="64" bestFit="1" customWidth="1"/>
    <col min="13077" max="13078" width="8" style="64" bestFit="1" customWidth="1"/>
    <col min="13079" max="13079" width="17.28515625" style="64" bestFit="1" customWidth="1"/>
    <col min="13080" max="13081" width="15.140625" style="64" bestFit="1" customWidth="1"/>
    <col min="13082" max="13082" width="8" style="64" bestFit="1" customWidth="1"/>
    <col min="13083" max="13313" width="9.140625" style="64"/>
    <col min="13314" max="13314" width="17.28515625" style="64" bestFit="1" customWidth="1"/>
    <col min="13315" max="13315" width="9" style="64" bestFit="1" customWidth="1"/>
    <col min="13316" max="13316" width="6" style="64" bestFit="1" customWidth="1"/>
    <col min="13317" max="13317" width="9" style="64" bestFit="1" customWidth="1"/>
    <col min="13318" max="13318" width="6" style="64" bestFit="1" customWidth="1"/>
    <col min="13319" max="13319" width="15.140625" style="64" bestFit="1" customWidth="1"/>
    <col min="13320" max="13320" width="9" style="64" bestFit="1" customWidth="1"/>
    <col min="13321" max="13321" width="5" style="64" bestFit="1" customWidth="1"/>
    <col min="13322" max="13322" width="9" style="64" bestFit="1" customWidth="1"/>
    <col min="13323" max="13323" width="7" style="64" bestFit="1" customWidth="1"/>
    <col min="13324" max="13325" width="17.28515625" style="64" bestFit="1" customWidth="1"/>
    <col min="13326" max="13326" width="8" style="64" bestFit="1" customWidth="1"/>
    <col min="13327" max="13327" width="6.28515625" style="64" customWidth="1"/>
    <col min="13328" max="13328" width="6" style="64" bestFit="1" customWidth="1"/>
    <col min="13329" max="13329" width="3" style="64" customWidth="1"/>
    <col min="13330" max="13330" width="11" style="64" bestFit="1" customWidth="1"/>
    <col min="13331" max="13331" width="22.42578125" style="64" bestFit="1" customWidth="1"/>
    <col min="13332" max="13332" width="17.28515625" style="64" bestFit="1" customWidth="1"/>
    <col min="13333" max="13334" width="8" style="64" bestFit="1" customWidth="1"/>
    <col min="13335" max="13335" width="17.28515625" style="64" bestFit="1" customWidth="1"/>
    <col min="13336" max="13337" width="15.140625" style="64" bestFit="1" customWidth="1"/>
    <col min="13338" max="13338" width="8" style="64" bestFit="1" customWidth="1"/>
    <col min="13339" max="13569" width="9.140625" style="64"/>
    <col min="13570" max="13570" width="17.28515625" style="64" bestFit="1" customWidth="1"/>
    <col min="13571" max="13571" width="9" style="64" bestFit="1" customWidth="1"/>
    <col min="13572" max="13572" width="6" style="64" bestFit="1" customWidth="1"/>
    <col min="13573" max="13573" width="9" style="64" bestFit="1" customWidth="1"/>
    <col min="13574" max="13574" width="6" style="64" bestFit="1" customWidth="1"/>
    <col min="13575" max="13575" width="15.140625" style="64" bestFit="1" customWidth="1"/>
    <col min="13576" max="13576" width="9" style="64" bestFit="1" customWidth="1"/>
    <col min="13577" max="13577" width="5" style="64" bestFit="1" customWidth="1"/>
    <col min="13578" max="13578" width="9" style="64" bestFit="1" customWidth="1"/>
    <col min="13579" max="13579" width="7" style="64" bestFit="1" customWidth="1"/>
    <col min="13580" max="13581" width="17.28515625" style="64" bestFit="1" customWidth="1"/>
    <col min="13582" max="13582" width="8" style="64" bestFit="1" customWidth="1"/>
    <col min="13583" max="13583" width="6.28515625" style="64" customWidth="1"/>
    <col min="13584" max="13584" width="6" style="64" bestFit="1" customWidth="1"/>
    <col min="13585" max="13585" width="3" style="64" customWidth="1"/>
    <col min="13586" max="13586" width="11" style="64" bestFit="1" customWidth="1"/>
    <col min="13587" max="13587" width="22.42578125" style="64" bestFit="1" customWidth="1"/>
    <col min="13588" max="13588" width="17.28515625" style="64" bestFit="1" customWidth="1"/>
    <col min="13589" max="13590" width="8" style="64" bestFit="1" customWidth="1"/>
    <col min="13591" max="13591" width="17.28515625" style="64" bestFit="1" customWidth="1"/>
    <col min="13592" max="13593" width="15.140625" style="64" bestFit="1" customWidth="1"/>
    <col min="13594" max="13594" width="8" style="64" bestFit="1" customWidth="1"/>
    <col min="13595" max="13825" width="9.140625" style="64"/>
    <col min="13826" max="13826" width="17.28515625" style="64" bestFit="1" customWidth="1"/>
    <col min="13827" max="13827" width="9" style="64" bestFit="1" customWidth="1"/>
    <col min="13828" max="13828" width="6" style="64" bestFit="1" customWidth="1"/>
    <col min="13829" max="13829" width="9" style="64" bestFit="1" customWidth="1"/>
    <col min="13830" max="13830" width="6" style="64" bestFit="1" customWidth="1"/>
    <col min="13831" max="13831" width="15.140625" style="64" bestFit="1" customWidth="1"/>
    <col min="13832" max="13832" width="9" style="64" bestFit="1" customWidth="1"/>
    <col min="13833" max="13833" width="5" style="64" bestFit="1" customWidth="1"/>
    <col min="13834" max="13834" width="9" style="64" bestFit="1" customWidth="1"/>
    <col min="13835" max="13835" width="7" style="64" bestFit="1" customWidth="1"/>
    <col min="13836" max="13837" width="17.28515625" style="64" bestFit="1" customWidth="1"/>
    <col min="13838" max="13838" width="8" style="64" bestFit="1" customWidth="1"/>
    <col min="13839" max="13839" width="6.28515625" style="64" customWidth="1"/>
    <col min="13840" max="13840" width="6" style="64" bestFit="1" customWidth="1"/>
    <col min="13841" max="13841" width="3" style="64" customWidth="1"/>
    <col min="13842" max="13842" width="11" style="64" bestFit="1" customWidth="1"/>
    <col min="13843" max="13843" width="22.42578125" style="64" bestFit="1" customWidth="1"/>
    <col min="13844" max="13844" width="17.28515625" style="64" bestFit="1" customWidth="1"/>
    <col min="13845" max="13846" width="8" style="64" bestFit="1" customWidth="1"/>
    <col min="13847" max="13847" width="17.28515625" style="64" bestFit="1" customWidth="1"/>
    <col min="13848" max="13849" width="15.140625" style="64" bestFit="1" customWidth="1"/>
    <col min="13850" max="13850" width="8" style="64" bestFit="1" customWidth="1"/>
    <col min="13851" max="14081" width="9.140625" style="64"/>
    <col min="14082" max="14082" width="17.28515625" style="64" bestFit="1" customWidth="1"/>
    <col min="14083" max="14083" width="9" style="64" bestFit="1" customWidth="1"/>
    <col min="14084" max="14084" width="6" style="64" bestFit="1" customWidth="1"/>
    <col min="14085" max="14085" width="9" style="64" bestFit="1" customWidth="1"/>
    <col min="14086" max="14086" width="6" style="64" bestFit="1" customWidth="1"/>
    <col min="14087" max="14087" width="15.140625" style="64" bestFit="1" customWidth="1"/>
    <col min="14088" max="14088" width="9" style="64" bestFit="1" customWidth="1"/>
    <col min="14089" max="14089" width="5" style="64" bestFit="1" customWidth="1"/>
    <col min="14090" max="14090" width="9" style="64" bestFit="1" customWidth="1"/>
    <col min="14091" max="14091" width="7" style="64" bestFit="1" customWidth="1"/>
    <col min="14092" max="14093" width="17.28515625" style="64" bestFit="1" customWidth="1"/>
    <col min="14094" max="14094" width="8" style="64" bestFit="1" customWidth="1"/>
    <col min="14095" max="14095" width="6.28515625" style="64" customWidth="1"/>
    <col min="14096" max="14096" width="6" style="64" bestFit="1" customWidth="1"/>
    <col min="14097" max="14097" width="3" style="64" customWidth="1"/>
    <col min="14098" max="14098" width="11" style="64" bestFit="1" customWidth="1"/>
    <col min="14099" max="14099" width="22.42578125" style="64" bestFit="1" customWidth="1"/>
    <col min="14100" max="14100" width="17.28515625" style="64" bestFit="1" customWidth="1"/>
    <col min="14101" max="14102" width="8" style="64" bestFit="1" customWidth="1"/>
    <col min="14103" max="14103" width="17.28515625" style="64" bestFit="1" customWidth="1"/>
    <col min="14104" max="14105" width="15.140625" style="64" bestFit="1" customWidth="1"/>
    <col min="14106" max="14106" width="8" style="64" bestFit="1" customWidth="1"/>
    <col min="14107" max="14337" width="9.140625" style="64"/>
    <col min="14338" max="14338" width="17.28515625" style="64" bestFit="1" customWidth="1"/>
    <col min="14339" max="14339" width="9" style="64" bestFit="1" customWidth="1"/>
    <col min="14340" max="14340" width="6" style="64" bestFit="1" customWidth="1"/>
    <col min="14341" max="14341" width="9" style="64" bestFit="1" customWidth="1"/>
    <col min="14342" max="14342" width="6" style="64" bestFit="1" customWidth="1"/>
    <col min="14343" max="14343" width="15.140625" style="64" bestFit="1" customWidth="1"/>
    <col min="14344" max="14344" width="9" style="64" bestFit="1" customWidth="1"/>
    <col min="14345" max="14345" width="5" style="64" bestFit="1" customWidth="1"/>
    <col min="14346" max="14346" width="9" style="64" bestFit="1" customWidth="1"/>
    <col min="14347" max="14347" width="7" style="64" bestFit="1" customWidth="1"/>
    <col min="14348" max="14349" width="17.28515625" style="64" bestFit="1" customWidth="1"/>
    <col min="14350" max="14350" width="8" style="64" bestFit="1" customWidth="1"/>
    <col min="14351" max="14351" width="6.28515625" style="64" customWidth="1"/>
    <col min="14352" max="14352" width="6" style="64" bestFit="1" customWidth="1"/>
    <col min="14353" max="14353" width="3" style="64" customWidth="1"/>
    <col min="14354" max="14354" width="11" style="64" bestFit="1" customWidth="1"/>
    <col min="14355" max="14355" width="22.42578125" style="64" bestFit="1" customWidth="1"/>
    <col min="14356" max="14356" width="17.28515625" style="64" bestFit="1" customWidth="1"/>
    <col min="14357" max="14358" width="8" style="64" bestFit="1" customWidth="1"/>
    <col min="14359" max="14359" width="17.28515625" style="64" bestFit="1" customWidth="1"/>
    <col min="14360" max="14361" width="15.140625" style="64" bestFit="1" customWidth="1"/>
    <col min="14362" max="14362" width="8" style="64" bestFit="1" customWidth="1"/>
    <col min="14363" max="14593" width="9.140625" style="64"/>
    <col min="14594" max="14594" width="17.28515625" style="64" bestFit="1" customWidth="1"/>
    <col min="14595" max="14595" width="9" style="64" bestFit="1" customWidth="1"/>
    <col min="14596" max="14596" width="6" style="64" bestFit="1" customWidth="1"/>
    <col min="14597" max="14597" width="9" style="64" bestFit="1" customWidth="1"/>
    <col min="14598" max="14598" width="6" style="64" bestFit="1" customWidth="1"/>
    <col min="14599" max="14599" width="15.140625" style="64" bestFit="1" customWidth="1"/>
    <col min="14600" max="14600" width="9" style="64" bestFit="1" customWidth="1"/>
    <col min="14601" max="14601" width="5" style="64" bestFit="1" customWidth="1"/>
    <col min="14602" max="14602" width="9" style="64" bestFit="1" customWidth="1"/>
    <col min="14603" max="14603" width="7" style="64" bestFit="1" customWidth="1"/>
    <col min="14604" max="14605" width="17.28515625" style="64" bestFit="1" customWidth="1"/>
    <col min="14606" max="14606" width="8" style="64" bestFit="1" customWidth="1"/>
    <col min="14607" max="14607" width="6.28515625" style="64" customWidth="1"/>
    <col min="14608" max="14608" width="6" style="64" bestFit="1" customWidth="1"/>
    <col min="14609" max="14609" width="3" style="64" customWidth="1"/>
    <col min="14610" max="14610" width="11" style="64" bestFit="1" customWidth="1"/>
    <col min="14611" max="14611" width="22.42578125" style="64" bestFit="1" customWidth="1"/>
    <col min="14612" max="14612" width="17.28515625" style="64" bestFit="1" customWidth="1"/>
    <col min="14613" max="14614" width="8" style="64" bestFit="1" customWidth="1"/>
    <col min="14615" max="14615" width="17.28515625" style="64" bestFit="1" customWidth="1"/>
    <col min="14616" max="14617" width="15.140625" style="64" bestFit="1" customWidth="1"/>
    <col min="14618" max="14618" width="8" style="64" bestFit="1" customWidth="1"/>
    <col min="14619" max="14849" width="9.140625" style="64"/>
    <col min="14850" max="14850" width="17.28515625" style="64" bestFit="1" customWidth="1"/>
    <col min="14851" max="14851" width="9" style="64" bestFit="1" customWidth="1"/>
    <col min="14852" max="14852" width="6" style="64" bestFit="1" customWidth="1"/>
    <col min="14853" max="14853" width="9" style="64" bestFit="1" customWidth="1"/>
    <col min="14854" max="14854" width="6" style="64" bestFit="1" customWidth="1"/>
    <col min="14855" max="14855" width="15.140625" style="64" bestFit="1" customWidth="1"/>
    <col min="14856" max="14856" width="9" style="64" bestFit="1" customWidth="1"/>
    <col min="14857" max="14857" width="5" style="64" bestFit="1" customWidth="1"/>
    <col min="14858" max="14858" width="9" style="64" bestFit="1" customWidth="1"/>
    <col min="14859" max="14859" width="7" style="64" bestFit="1" customWidth="1"/>
    <col min="14860" max="14861" width="17.28515625" style="64" bestFit="1" customWidth="1"/>
    <col min="14862" max="14862" width="8" style="64" bestFit="1" customWidth="1"/>
    <col min="14863" max="14863" width="6.28515625" style="64" customWidth="1"/>
    <col min="14864" max="14864" width="6" style="64" bestFit="1" customWidth="1"/>
    <col min="14865" max="14865" width="3" style="64" customWidth="1"/>
    <col min="14866" max="14866" width="11" style="64" bestFit="1" customWidth="1"/>
    <col min="14867" max="14867" width="22.42578125" style="64" bestFit="1" customWidth="1"/>
    <col min="14868" max="14868" width="17.28515625" style="64" bestFit="1" customWidth="1"/>
    <col min="14869" max="14870" width="8" style="64" bestFit="1" customWidth="1"/>
    <col min="14871" max="14871" width="17.28515625" style="64" bestFit="1" customWidth="1"/>
    <col min="14872" max="14873" width="15.140625" style="64" bestFit="1" customWidth="1"/>
    <col min="14874" max="14874" width="8" style="64" bestFit="1" customWidth="1"/>
    <col min="14875" max="15105" width="9.140625" style="64"/>
    <col min="15106" max="15106" width="17.28515625" style="64" bestFit="1" customWidth="1"/>
    <col min="15107" max="15107" width="9" style="64" bestFit="1" customWidth="1"/>
    <col min="15108" max="15108" width="6" style="64" bestFit="1" customWidth="1"/>
    <col min="15109" max="15109" width="9" style="64" bestFit="1" customWidth="1"/>
    <col min="15110" max="15110" width="6" style="64" bestFit="1" customWidth="1"/>
    <col min="15111" max="15111" width="15.140625" style="64" bestFit="1" customWidth="1"/>
    <col min="15112" max="15112" width="9" style="64" bestFit="1" customWidth="1"/>
    <col min="15113" max="15113" width="5" style="64" bestFit="1" customWidth="1"/>
    <col min="15114" max="15114" width="9" style="64" bestFit="1" customWidth="1"/>
    <col min="15115" max="15115" width="7" style="64" bestFit="1" customWidth="1"/>
    <col min="15116" max="15117" width="17.28515625" style="64" bestFit="1" customWidth="1"/>
    <col min="15118" max="15118" width="8" style="64" bestFit="1" customWidth="1"/>
    <col min="15119" max="15119" width="6.28515625" style="64" customWidth="1"/>
    <col min="15120" max="15120" width="6" style="64" bestFit="1" customWidth="1"/>
    <col min="15121" max="15121" width="3" style="64" customWidth="1"/>
    <col min="15122" max="15122" width="11" style="64" bestFit="1" customWidth="1"/>
    <col min="15123" max="15123" width="22.42578125" style="64" bestFit="1" customWidth="1"/>
    <col min="15124" max="15124" width="17.28515625" style="64" bestFit="1" customWidth="1"/>
    <col min="15125" max="15126" width="8" style="64" bestFit="1" customWidth="1"/>
    <col min="15127" max="15127" width="17.28515625" style="64" bestFit="1" customWidth="1"/>
    <col min="15128" max="15129" width="15.140625" style="64" bestFit="1" customWidth="1"/>
    <col min="15130" max="15130" width="8" style="64" bestFit="1" customWidth="1"/>
    <col min="15131" max="15361" width="9.140625" style="64"/>
    <col min="15362" max="15362" width="17.28515625" style="64" bestFit="1" customWidth="1"/>
    <col min="15363" max="15363" width="9" style="64" bestFit="1" customWidth="1"/>
    <col min="15364" max="15364" width="6" style="64" bestFit="1" customWidth="1"/>
    <col min="15365" max="15365" width="9" style="64" bestFit="1" customWidth="1"/>
    <col min="15366" max="15366" width="6" style="64" bestFit="1" customWidth="1"/>
    <col min="15367" max="15367" width="15.140625" style="64" bestFit="1" customWidth="1"/>
    <col min="15368" max="15368" width="9" style="64" bestFit="1" customWidth="1"/>
    <col min="15369" max="15369" width="5" style="64" bestFit="1" customWidth="1"/>
    <col min="15370" max="15370" width="9" style="64" bestFit="1" customWidth="1"/>
    <col min="15371" max="15371" width="7" style="64" bestFit="1" customWidth="1"/>
    <col min="15372" max="15373" width="17.28515625" style="64" bestFit="1" customWidth="1"/>
    <col min="15374" max="15374" width="8" style="64" bestFit="1" customWidth="1"/>
    <col min="15375" max="15375" width="6.28515625" style="64" customWidth="1"/>
    <col min="15376" max="15376" width="6" style="64" bestFit="1" customWidth="1"/>
    <col min="15377" max="15377" width="3" style="64" customWidth="1"/>
    <col min="15378" max="15378" width="11" style="64" bestFit="1" customWidth="1"/>
    <col min="15379" max="15379" width="22.42578125" style="64" bestFit="1" customWidth="1"/>
    <col min="15380" max="15380" width="17.28515625" style="64" bestFit="1" customWidth="1"/>
    <col min="15381" max="15382" width="8" style="64" bestFit="1" customWidth="1"/>
    <col min="15383" max="15383" width="17.28515625" style="64" bestFit="1" customWidth="1"/>
    <col min="15384" max="15385" width="15.140625" style="64" bestFit="1" customWidth="1"/>
    <col min="15386" max="15386" width="8" style="64" bestFit="1" customWidth="1"/>
    <col min="15387" max="15617" width="9.140625" style="64"/>
    <col min="15618" max="15618" width="17.28515625" style="64" bestFit="1" customWidth="1"/>
    <col min="15619" max="15619" width="9" style="64" bestFit="1" customWidth="1"/>
    <col min="15620" max="15620" width="6" style="64" bestFit="1" customWidth="1"/>
    <col min="15621" max="15621" width="9" style="64" bestFit="1" customWidth="1"/>
    <col min="15622" max="15622" width="6" style="64" bestFit="1" customWidth="1"/>
    <col min="15623" max="15623" width="15.140625" style="64" bestFit="1" customWidth="1"/>
    <col min="15624" max="15624" width="9" style="64" bestFit="1" customWidth="1"/>
    <col min="15625" max="15625" width="5" style="64" bestFit="1" customWidth="1"/>
    <col min="15626" max="15626" width="9" style="64" bestFit="1" customWidth="1"/>
    <col min="15627" max="15627" width="7" style="64" bestFit="1" customWidth="1"/>
    <col min="15628" max="15629" width="17.28515625" style="64" bestFit="1" customWidth="1"/>
    <col min="15630" max="15630" width="8" style="64" bestFit="1" customWidth="1"/>
    <col min="15631" max="15631" width="6.28515625" style="64" customWidth="1"/>
    <col min="15632" max="15632" width="6" style="64" bestFit="1" customWidth="1"/>
    <col min="15633" max="15633" width="3" style="64" customWidth="1"/>
    <col min="15634" max="15634" width="11" style="64" bestFit="1" customWidth="1"/>
    <col min="15635" max="15635" width="22.42578125" style="64" bestFit="1" customWidth="1"/>
    <col min="15636" max="15636" width="17.28515625" style="64" bestFit="1" customWidth="1"/>
    <col min="15637" max="15638" width="8" style="64" bestFit="1" customWidth="1"/>
    <col min="15639" max="15639" width="17.28515625" style="64" bestFit="1" customWidth="1"/>
    <col min="15640" max="15641" width="15.140625" style="64" bestFit="1" customWidth="1"/>
    <col min="15642" max="15642" width="8" style="64" bestFit="1" customWidth="1"/>
    <col min="15643" max="15873" width="9.140625" style="64"/>
    <col min="15874" max="15874" width="17.28515625" style="64" bestFit="1" customWidth="1"/>
    <col min="15875" max="15875" width="9" style="64" bestFit="1" customWidth="1"/>
    <col min="15876" max="15876" width="6" style="64" bestFit="1" customWidth="1"/>
    <col min="15877" max="15877" width="9" style="64" bestFit="1" customWidth="1"/>
    <col min="15878" max="15878" width="6" style="64" bestFit="1" customWidth="1"/>
    <col min="15879" max="15879" width="15.140625" style="64" bestFit="1" customWidth="1"/>
    <col min="15880" max="15880" width="9" style="64" bestFit="1" customWidth="1"/>
    <col min="15881" max="15881" width="5" style="64" bestFit="1" customWidth="1"/>
    <col min="15882" max="15882" width="9" style="64" bestFit="1" customWidth="1"/>
    <col min="15883" max="15883" width="7" style="64" bestFit="1" customWidth="1"/>
    <col min="15884" max="15885" width="17.28515625" style="64" bestFit="1" customWidth="1"/>
    <col min="15886" max="15886" width="8" style="64" bestFit="1" customWidth="1"/>
    <col min="15887" max="15887" width="6.28515625" style="64" customWidth="1"/>
    <col min="15888" max="15888" width="6" style="64" bestFit="1" customWidth="1"/>
    <col min="15889" max="15889" width="3" style="64" customWidth="1"/>
    <col min="15890" max="15890" width="11" style="64" bestFit="1" customWidth="1"/>
    <col min="15891" max="15891" width="22.42578125" style="64" bestFit="1" customWidth="1"/>
    <col min="15892" max="15892" width="17.28515625" style="64" bestFit="1" customWidth="1"/>
    <col min="15893" max="15894" width="8" style="64" bestFit="1" customWidth="1"/>
    <col min="15895" max="15895" width="17.28515625" style="64" bestFit="1" customWidth="1"/>
    <col min="15896" max="15897" width="15.140625" style="64" bestFit="1" customWidth="1"/>
    <col min="15898" max="15898" width="8" style="64" bestFit="1" customWidth="1"/>
    <col min="15899" max="16129" width="9.140625" style="64"/>
    <col min="16130" max="16130" width="17.28515625" style="64" bestFit="1" customWidth="1"/>
    <col min="16131" max="16131" width="9" style="64" bestFit="1" customWidth="1"/>
    <col min="16132" max="16132" width="6" style="64" bestFit="1" customWidth="1"/>
    <col min="16133" max="16133" width="9" style="64" bestFit="1" customWidth="1"/>
    <col min="16134" max="16134" width="6" style="64" bestFit="1" customWidth="1"/>
    <col min="16135" max="16135" width="15.140625" style="64" bestFit="1" customWidth="1"/>
    <col min="16136" max="16136" width="9" style="64" bestFit="1" customWidth="1"/>
    <col min="16137" max="16137" width="5" style="64" bestFit="1" customWidth="1"/>
    <col min="16138" max="16138" width="9" style="64" bestFit="1" customWidth="1"/>
    <col min="16139" max="16139" width="7" style="64" bestFit="1" customWidth="1"/>
    <col min="16140" max="16141" width="17.28515625" style="64" bestFit="1" customWidth="1"/>
    <col min="16142" max="16142" width="8" style="64" bestFit="1" customWidth="1"/>
    <col min="16143" max="16143" width="6.28515625" style="64" customWidth="1"/>
    <col min="16144" max="16144" width="6" style="64" bestFit="1" customWidth="1"/>
    <col min="16145" max="16145" width="3" style="64" customWidth="1"/>
    <col min="16146" max="16146" width="11" style="64" bestFit="1" customWidth="1"/>
    <col min="16147" max="16147" width="22.42578125" style="64" bestFit="1" customWidth="1"/>
    <col min="16148" max="16148" width="17.28515625" style="64" bestFit="1" customWidth="1"/>
    <col min="16149" max="16150" width="8" style="64" bestFit="1" customWidth="1"/>
    <col min="16151" max="16151" width="17.28515625" style="64" bestFit="1" customWidth="1"/>
    <col min="16152" max="16153" width="15.140625" style="64" bestFit="1" customWidth="1"/>
    <col min="16154" max="16154" width="8" style="64" bestFit="1" customWidth="1"/>
    <col min="16155" max="16384" width="9.140625" style="64"/>
  </cols>
  <sheetData>
    <row r="1" spans="1:32" s="235" customFormat="1" ht="12" thickBot="1" x14ac:dyDescent="0.25">
      <c r="R1" s="236"/>
    </row>
    <row r="2" spans="1:32" x14ac:dyDescent="0.2">
      <c r="B2" s="233" t="s">
        <v>164</v>
      </c>
      <c r="C2" s="233" t="s">
        <v>162</v>
      </c>
      <c r="D2" s="234" t="s">
        <v>157</v>
      </c>
      <c r="E2" s="234" t="s">
        <v>158</v>
      </c>
      <c r="O2" s="211" t="s">
        <v>163</v>
      </c>
      <c r="P2" s="212" t="s">
        <v>155</v>
      </c>
      <c r="Q2" s="213" t="s">
        <v>62</v>
      </c>
      <c r="R2" s="225"/>
      <c r="T2" s="199"/>
      <c r="W2" s="200"/>
      <c r="X2" s="201"/>
    </row>
    <row r="3" spans="1:32" x14ac:dyDescent="0.2">
      <c r="B3" s="207" t="s">
        <v>125</v>
      </c>
      <c r="C3" s="207"/>
      <c r="D3" s="208" t="str">
        <f>_xll.qlEuribor(,IndexTenor,YieldCurve)</f>
        <v>obj_00613#0001</v>
      </c>
      <c r="E3" s="208" t="str">
        <f>_xll.qlEonia(,YieldCurve)</f>
        <v>obj_00612#0001</v>
      </c>
      <c r="O3" s="214" t="str">
        <f>RateHelpers!E14</f>
        <v>EUR_YC6MRH_1x7F</v>
      </c>
      <c r="P3" s="206">
        <f>_xll.qlRateHelperEarliestDate(O3,Trigger)</f>
        <v>41820</v>
      </c>
      <c r="Q3" s="215">
        <f>_xll.qlRateHelperQuoteValue(O3,_xll.ohTrigger(RecalcTrigger,Trigger))</f>
        <v>3.2799999999999995E-3</v>
      </c>
      <c r="R3" s="225"/>
      <c r="Y3" s="64" t="s">
        <v>174</v>
      </c>
      <c r="Z3" s="64" t="s">
        <v>175</v>
      </c>
      <c r="AA3" s="203" t="s">
        <v>176</v>
      </c>
      <c r="AB3" s="64" t="s">
        <v>177</v>
      </c>
      <c r="AC3" s="64" t="s">
        <v>178</v>
      </c>
      <c r="AD3" s="203" t="s">
        <v>179</v>
      </c>
    </row>
    <row r="4" spans="1:32" x14ac:dyDescent="0.2">
      <c r="B4" s="209" t="s">
        <v>156</v>
      </c>
      <c r="C4" s="209" t="s">
        <v>155</v>
      </c>
      <c r="D4" s="210" t="s">
        <v>160</v>
      </c>
      <c r="E4" s="210" t="s">
        <v>159</v>
      </c>
      <c r="O4" s="216" t="str">
        <f>RateHelpers!E15</f>
        <v>EUR_YC6MRH_2x8F</v>
      </c>
      <c r="P4" s="203">
        <f>_xll.qlRateHelperEarliestDate(O4,Trigger)</f>
        <v>41849</v>
      </c>
      <c r="Q4" s="217">
        <f>_xll.qlRateHelperQuoteValue(O4,_xll.ohTrigger(RecalcTrigger,Trigger))</f>
        <v>3.15E-3</v>
      </c>
      <c r="R4" s="225"/>
      <c r="W4" s="64" t="s">
        <v>172</v>
      </c>
      <c r="X4" s="64">
        <v>24</v>
      </c>
      <c r="Y4" s="203">
        <f>_xll.qlDateEndOfMonth(EDATE(_xll.qlIMMNextDate(_xll.qlSettingsEvaluationDate(Trigger)-1,TRUE),-3))</f>
        <v>41729</v>
      </c>
      <c r="Z4" s="203">
        <f>EDATE(Y$4,$X4)</f>
        <v>42460</v>
      </c>
      <c r="AA4" s="201">
        <v>3</v>
      </c>
      <c r="AB4" s="239">
        <v>2E-3</v>
      </c>
      <c r="AC4" s="188">
        <v>4.4999999999999997E-3</v>
      </c>
      <c r="AD4" s="188">
        <v>5.0000000000000001E-4</v>
      </c>
    </row>
    <row r="5" spans="1:32" x14ac:dyDescent="0.2">
      <c r="A5" s="64" t="s">
        <v>125</v>
      </c>
      <c r="B5" s="237">
        <f>_xll.qlSettingsEvaluationDate(Trigger)</f>
        <v>41786</v>
      </c>
      <c r="C5" s="237">
        <f>_xll.qlCalendarAdvance(Calendar,B5,NDays&amp;"D")</f>
        <v>41788</v>
      </c>
      <c r="D5" s="202">
        <f t="array" ref="D5:D3538">_xll.qlIndexFixing(IborIndex,B5:B3538,TRUE,RecalcTrigger)</f>
        <v>3.8825524408421133E-3</v>
      </c>
      <c r="E5" s="202">
        <f t="array" ref="E5:E3538">_xll.qlIndexFixing(OverNightIndex,C5:C3538,TRUE,RecalcTrigger)</f>
        <v>7.6200000000259394E-3</v>
      </c>
      <c r="O5" s="216" t="str">
        <f>RateHelpers!E16</f>
        <v>EUR_YC6MRH_3x9F</v>
      </c>
      <c r="P5" s="203">
        <f>_xll.qlRateHelperEarliestDate(O5,Trigger)</f>
        <v>41880</v>
      </c>
      <c r="Q5" s="217">
        <f>_xll.qlRateHelperQuoteValue(O5,_xll.ohTrigger(RecalcTrigger,Trigger))</f>
        <v>3.0200000000000005E-3</v>
      </c>
      <c r="W5" s="64" t="s">
        <v>172</v>
      </c>
      <c r="X5" s="64">
        <v>120</v>
      </c>
      <c r="Y5" s="203"/>
      <c r="Z5" s="203">
        <f>EDATE(Y$4,$X5)</f>
        <v>45382</v>
      </c>
      <c r="AA5" s="201">
        <v>1</v>
      </c>
      <c r="AB5" s="238">
        <v>0</v>
      </c>
      <c r="AC5" s="188">
        <v>3.5000000000000003E-2</v>
      </c>
      <c r="AD5" s="188">
        <v>5.0000000000000001E-3</v>
      </c>
    </row>
    <row r="6" spans="1:32" x14ac:dyDescent="0.2">
      <c r="A6" s="64" t="str">
        <f>A5</f>
        <v>1D</v>
      </c>
      <c r="B6" s="203">
        <f>_xll.qlCalendarAdvance(Calendar,B5,A6,"f",FALSE)</f>
        <v>41787</v>
      </c>
      <c r="C6" s="237">
        <f>_xll.qlCalendarAdvance(Calendar,B6,NDays&amp;"D")</f>
        <v>41789</v>
      </c>
      <c r="D6" s="202">
        <v>3.8619352703961451E-3</v>
      </c>
      <c r="E6" s="202">
        <v>7.0537627089439781E-3</v>
      </c>
      <c r="O6" s="216" t="str">
        <f>RateHelpers!E17</f>
        <v>EUR_YC6MRH_4x10F</v>
      </c>
      <c r="P6" s="203">
        <f>_xll.qlRateHelperEarliestDate(O6,Trigger)</f>
        <v>41911</v>
      </c>
      <c r="Q6" s="217">
        <f>_xll.qlRateHelperQuoteValue(O6,_xll.ohTrigger(RecalcTrigger,Trigger))</f>
        <v>2.9300000000000003E-3</v>
      </c>
      <c r="W6" s="64" t="s">
        <v>172</v>
      </c>
      <c r="X6" s="64">
        <f>60*12</f>
        <v>720</v>
      </c>
      <c r="Y6" s="203"/>
      <c r="Z6" s="203">
        <f>EDATE(Y$4,$X6)</f>
        <v>63644</v>
      </c>
      <c r="AA6" s="201">
        <v>5</v>
      </c>
      <c r="AB6" s="238">
        <v>0</v>
      </c>
      <c r="AC6" s="188">
        <v>3.5000000000000003E-2</v>
      </c>
      <c r="AD6" s="188">
        <v>5.0000000000000001E-3</v>
      </c>
    </row>
    <row r="7" spans="1:32" x14ac:dyDescent="0.2">
      <c r="A7" s="64" t="str">
        <f t="shared" ref="A7:A70" si="0">A6</f>
        <v>1D</v>
      </c>
      <c r="B7" s="203">
        <f>_xll.qlCalendarAdvance(Calendar,B6,A7,"f",FALSE)</f>
        <v>41788</v>
      </c>
      <c r="C7" s="237">
        <f>_xll.qlCalendarAdvance(Calendar,B7,NDays&amp;"D")</f>
        <v>41792</v>
      </c>
      <c r="D7" s="202">
        <v>3.762591618581898E-3</v>
      </c>
      <c r="E7" s="202">
        <v>6.5991672096465948E-3</v>
      </c>
      <c r="O7" s="216" t="str">
        <f>RateHelpers!E18</f>
        <v>EUR_YC6MRH_5x11F</v>
      </c>
      <c r="P7" s="203">
        <f>_xll.qlRateHelperEarliestDate(O7,Trigger)</f>
        <v>41941</v>
      </c>
      <c r="Q7" s="217">
        <f>_xll.qlRateHelperQuoteValue(O7,_xll.ohTrigger(RecalcTrigger,Trigger))</f>
        <v>2.9000000000000002E-3</v>
      </c>
      <c r="W7" s="64" t="s">
        <v>173</v>
      </c>
      <c r="X7" s="64">
        <v>18</v>
      </c>
      <c r="Y7" s="203"/>
      <c r="Z7" s="203">
        <f>EDATE(Y$4,$X7)</f>
        <v>42277</v>
      </c>
      <c r="AA7" s="64">
        <v>90</v>
      </c>
      <c r="AB7" s="238">
        <v>0</v>
      </c>
      <c r="AC7" s="242">
        <v>6.0000000000000001E-3</v>
      </c>
      <c r="AD7" s="242">
        <v>1E-3</v>
      </c>
    </row>
    <row r="8" spans="1:32" x14ac:dyDescent="0.2">
      <c r="A8" s="64" t="str">
        <f t="shared" si="0"/>
        <v>1D</v>
      </c>
      <c r="B8" s="203">
        <f>_xll.qlCalendarAdvance(Calendar,B7,A8,"f",FALSE)</f>
        <v>41789</v>
      </c>
      <c r="C8" s="237">
        <f>_xll.qlCalendarAdvance(Calendar,B8,NDays&amp;"D")</f>
        <v>41793</v>
      </c>
      <c r="D8" s="202">
        <v>3.7360392201340751E-3</v>
      </c>
      <c r="E8" s="202">
        <v>6.4618119800563534E-3</v>
      </c>
      <c r="O8" s="216" t="str">
        <f>RateHelpers!E19</f>
        <v>EUR_YC6MRH_6x12F</v>
      </c>
      <c r="P8" s="203">
        <f>_xll.qlRateHelperEarliestDate(O8,Trigger)</f>
        <v>41971</v>
      </c>
      <c r="Q8" s="217">
        <f>_xll.qlRateHelperQuoteValue(O8,_xll.ohTrigger(RecalcTrigger,Trigger))</f>
        <v>2.8900000000000002E-3</v>
      </c>
      <c r="AB8" s="238"/>
    </row>
    <row r="9" spans="1:32" x14ac:dyDescent="0.2">
      <c r="A9" s="64" t="str">
        <f t="shared" si="0"/>
        <v>1D</v>
      </c>
      <c r="B9" s="203">
        <f>_xll.qlCalendarAdvance(Calendar,B8,A9,"f",FALSE)</f>
        <v>41792</v>
      </c>
      <c r="C9" s="237">
        <f>_xll.qlCalendarAdvance(Calendar,B9,NDays&amp;"D")</f>
        <v>41794</v>
      </c>
      <c r="D9" s="202">
        <v>3.7103343107802362E-3</v>
      </c>
      <c r="E9" s="202">
        <v>6.3783807143202864E-3</v>
      </c>
      <c r="O9" s="216" t="str">
        <f>RateHelpers!E20</f>
        <v>EUR_YC6MRH_7x13F</v>
      </c>
      <c r="P9" s="203">
        <f>_xll.qlRateHelperEarliestDate(O9,Trigger)</f>
        <v>42002</v>
      </c>
      <c r="Q9" s="217">
        <f>_xll.qlRateHelperQuoteValue(O9,_xll.ohTrigger(RecalcTrigger,Trigger))</f>
        <v>2.9200000000000003E-3</v>
      </c>
      <c r="AF9" s="205"/>
    </row>
    <row r="10" spans="1:32" x14ac:dyDescent="0.2">
      <c r="A10" s="64" t="str">
        <f t="shared" si="0"/>
        <v>1D</v>
      </c>
      <c r="B10" s="203">
        <f>_xll.qlCalendarAdvance(Calendar,B9,A10,"f",FALSE)</f>
        <v>41793</v>
      </c>
      <c r="C10" s="237">
        <f>_xll.qlCalendarAdvance(Calendar,B10,NDays&amp;"D")</f>
        <v>41795</v>
      </c>
      <c r="D10" s="202">
        <v>3.685194534659722E-3</v>
      </c>
      <c r="E10" s="202">
        <v>6.3354477735177994E-3</v>
      </c>
      <c r="O10" s="216" t="str">
        <f>RateHelpers!E21</f>
        <v>EUR_YC6MRH_8x14F</v>
      </c>
      <c r="P10" s="203">
        <f>_xll.qlRateHelperEarliestDate(O10,Trigger)</f>
        <v>42033</v>
      </c>
      <c r="Q10" s="217">
        <f>_xll.qlRateHelperQuoteValue(O10,_xll.ohTrigger(RecalcTrigger,Trigger))</f>
        <v>2.9300000000000003E-3</v>
      </c>
    </row>
    <row r="11" spans="1:32" x14ac:dyDescent="0.2">
      <c r="A11" s="64" t="str">
        <f t="shared" si="0"/>
        <v>1D</v>
      </c>
      <c r="B11" s="203">
        <f>_xll.qlCalendarAdvance(Calendar,B10,A11,"f",FALSE)</f>
        <v>41794</v>
      </c>
      <c r="C11" s="237">
        <f>_xll.qlCalendarAdvance(Calendar,B11,NDays&amp;"D")</f>
        <v>41796</v>
      </c>
      <c r="D11" s="202">
        <v>3.6408363837411579E-3</v>
      </c>
      <c r="E11" s="202">
        <v>6.1877738203719446E-3</v>
      </c>
      <c r="O11" s="216" t="str">
        <f>RateHelpers!E22</f>
        <v>EUR_YC6MRH_9x15F</v>
      </c>
      <c r="P11" s="203">
        <f>_xll.qlRateHelperEarliestDate(O11,Trigger)</f>
        <v>42062</v>
      </c>
      <c r="Q11" s="217">
        <f>_xll.qlRateHelperQuoteValue(O11,_xll.ohTrigger(RecalcTrigger,Trigger))</f>
        <v>2.9900000000000005E-3</v>
      </c>
    </row>
    <row r="12" spans="1:32" x14ac:dyDescent="0.2">
      <c r="A12" s="64" t="str">
        <f t="shared" si="0"/>
        <v>1D</v>
      </c>
      <c r="B12" s="203">
        <f>_xll.qlCalendarAdvance(Calendar,B11,A12,"f",FALSE)</f>
        <v>41795</v>
      </c>
      <c r="C12" s="237">
        <f>_xll.qlCalendarAdvance(Calendar,B12,NDays&amp;"D")</f>
        <v>41799</v>
      </c>
      <c r="D12" s="202">
        <v>3.589343934461402E-3</v>
      </c>
      <c r="E12" s="202">
        <v>5.9511216401997302E-3</v>
      </c>
      <c r="O12" s="216" t="str">
        <f>RateHelpers!E23</f>
        <v>EUR_YC6MRH_10x16F</v>
      </c>
      <c r="P12" s="203">
        <f>_xll.qlRateHelperEarliestDate(O12,Trigger)</f>
        <v>42093</v>
      </c>
      <c r="Q12" s="217">
        <f>_xll.qlRateHelperQuoteValue(O12,_xll.ohTrigger(RecalcTrigger,Trigger))</f>
        <v>3.0600000000000007E-3</v>
      </c>
    </row>
    <row r="13" spans="1:32" x14ac:dyDescent="0.2">
      <c r="A13" s="64" t="str">
        <f t="shared" si="0"/>
        <v>1D</v>
      </c>
      <c r="B13" s="203">
        <f>_xll.qlCalendarAdvance(Calendar,B12,A13,"f",FALSE)</f>
        <v>41796</v>
      </c>
      <c r="C13" s="237">
        <f>_xll.qlCalendarAdvance(Calendar,B13,NDays&amp;"D")</f>
        <v>41800</v>
      </c>
      <c r="D13" s="202">
        <v>3.567278170357189E-3</v>
      </c>
      <c r="E13" s="202">
        <v>5.7884660181883874E-3</v>
      </c>
      <c r="O13" s="216" t="str">
        <f>RateHelpers!E24</f>
        <v>EUR_YC6MRH_11x17F</v>
      </c>
      <c r="P13" s="203">
        <f>_xll.qlRateHelperEarliestDate(O13,Trigger)</f>
        <v>42123</v>
      </c>
      <c r="Q13" s="217">
        <f>_xll.qlRateHelperQuoteValue(O13,_xll.ohTrigger(RecalcTrigger,Trigger))</f>
        <v>3.15E-3</v>
      </c>
    </row>
    <row r="14" spans="1:32" x14ac:dyDescent="0.2">
      <c r="A14" s="64" t="str">
        <f t="shared" si="0"/>
        <v>1D</v>
      </c>
      <c r="B14" s="203">
        <f>_xll.qlCalendarAdvance(Calendar,B13,A14,"f",FALSE)</f>
        <v>41799</v>
      </c>
      <c r="C14" s="237">
        <f>_xll.qlCalendarAdvance(Calendar,B14,NDays&amp;"D")</f>
        <v>41801</v>
      </c>
      <c r="D14" s="202">
        <v>3.5462884415623564E-3</v>
      </c>
      <c r="E14" s="202">
        <v>5.5991808242694674E-3</v>
      </c>
      <c r="O14" s="216" t="str">
        <f>RateHelpers!E25</f>
        <v>EUR_YC6MRH_12x18F</v>
      </c>
      <c r="P14" s="203">
        <f>_xll.qlRateHelperEarliestDate(O14,Trigger)</f>
        <v>42153</v>
      </c>
      <c r="Q14" s="217">
        <f>_xll.qlRateHelperQuoteValue(O14,_xll.ohTrigger(RecalcTrigger,Trigger))</f>
        <v>3.2299999999999994E-3</v>
      </c>
    </row>
    <row r="15" spans="1:32" x14ac:dyDescent="0.2">
      <c r="A15" s="64" t="str">
        <f t="shared" si="0"/>
        <v>1D</v>
      </c>
      <c r="B15" s="203">
        <f>_xll.qlCalendarAdvance(Calendar,B14,A15,"f",FALSE)</f>
        <v>41800</v>
      </c>
      <c r="C15" s="237">
        <f>_xll.qlCalendarAdvance(Calendar,B15,NDays&amp;"D")</f>
        <v>41802</v>
      </c>
      <c r="D15" s="202">
        <v>3.5265333787186407E-3</v>
      </c>
      <c r="E15" s="202">
        <v>5.3936750585048543E-3</v>
      </c>
      <c r="O15" s="216" t="str">
        <f>RateHelpers!E26</f>
        <v>EUR_YC6MRH_13x19F</v>
      </c>
      <c r="P15" s="203">
        <f>_xll.qlRateHelperEarliestDate(O15,Trigger)</f>
        <v>42184</v>
      </c>
      <c r="Q15" s="217">
        <f>_xll.qlRateHelperQuoteValue(O15,_xll.ohTrigger(RecalcTrigger,Trigger))</f>
        <v>3.3199999999999996E-3</v>
      </c>
    </row>
    <row r="16" spans="1:32" x14ac:dyDescent="0.2">
      <c r="A16" s="64" t="str">
        <f t="shared" si="0"/>
        <v>1D</v>
      </c>
      <c r="B16" s="203">
        <f>_xll.qlCalendarAdvance(Calendar,B15,A16,"f",FALSE)</f>
        <v>41801</v>
      </c>
      <c r="C16" s="237">
        <f>_xll.qlCalendarAdvance(Calendar,B16,NDays&amp;"D")</f>
        <v>41803</v>
      </c>
      <c r="D16" s="202">
        <v>3.4928412470990717E-3</v>
      </c>
      <c r="E16" s="202">
        <v>5.0813313220832157E-3</v>
      </c>
      <c r="O16" s="216" t="str">
        <f>RateHelpers!E27</f>
        <v>EUR_YC6MRH_14x20F</v>
      </c>
      <c r="P16" s="203">
        <f>_xll.qlRateHelperEarliestDate(O16,Trigger)</f>
        <v>42214</v>
      </c>
      <c r="Q16" s="217">
        <f>_xll.qlRateHelperQuoteValue(O16,_xll.ohTrigger(RecalcTrigger,Trigger))</f>
        <v>3.4699999999999996E-3</v>
      </c>
      <c r="W16" s="204"/>
      <c r="X16" s="204"/>
    </row>
    <row r="17" spans="1:24" x14ac:dyDescent="0.2">
      <c r="A17" s="64" t="str">
        <f t="shared" si="0"/>
        <v>1D</v>
      </c>
      <c r="B17" s="203">
        <f>_xll.qlCalendarAdvance(Calendar,B16,A17,"f",FALSE)</f>
        <v>41802</v>
      </c>
      <c r="C17" s="237">
        <f>_xll.qlCalendarAdvance(Calendar,B17,NDays&amp;"D")</f>
        <v>41806</v>
      </c>
      <c r="D17" s="202">
        <v>3.4593856330838368E-3</v>
      </c>
      <c r="E17" s="202">
        <v>4.8882579676057247E-3</v>
      </c>
      <c r="O17" s="216" t="str">
        <f>RateHelpers!E28</f>
        <v>EUR_YC6MRH_15x21F</v>
      </c>
      <c r="P17" s="203">
        <f>_xll.qlRateHelperEarliestDate(O17,Trigger)</f>
        <v>42247</v>
      </c>
      <c r="Q17" s="217">
        <f>_xll.qlRateHelperQuoteValue(O17,_xll.ohTrigger(RecalcTrigger,Trigger))</f>
        <v>3.5999999999999999E-3</v>
      </c>
      <c r="W17" s="204"/>
      <c r="X17" s="204"/>
    </row>
    <row r="18" spans="1:24" x14ac:dyDescent="0.2">
      <c r="A18" s="64" t="str">
        <f t="shared" si="0"/>
        <v>1D</v>
      </c>
      <c r="B18" s="203">
        <f>_xll.qlCalendarAdvance(Calendar,B17,A18,"f",FALSE)</f>
        <v>41803</v>
      </c>
      <c r="C18" s="237">
        <f>_xll.qlCalendarAdvance(Calendar,B18,NDays&amp;"D")</f>
        <v>41807</v>
      </c>
      <c r="D18" s="202">
        <v>3.4447075927059468E-3</v>
      </c>
      <c r="E18" s="202">
        <v>4.851463963841951E-3</v>
      </c>
      <c r="O18" s="216" t="str">
        <f>RateHelpers!E29</f>
        <v>EUR_YC6MRH_16x22F</v>
      </c>
      <c r="P18" s="203">
        <f>_xll.qlRateHelperEarliestDate(O18,Trigger)</f>
        <v>42276</v>
      </c>
      <c r="Q18" s="217">
        <f>_xll.qlRateHelperQuoteValue(O18,_xll.ohTrigger(RecalcTrigger,Trigger))</f>
        <v>3.7399999999999998E-3</v>
      </c>
      <c r="W18" s="204"/>
      <c r="X18" s="204"/>
    </row>
    <row r="19" spans="1:24" x14ac:dyDescent="0.2">
      <c r="A19" s="64" t="str">
        <f t="shared" si="0"/>
        <v>1D</v>
      </c>
      <c r="B19" s="203">
        <f>_xll.qlCalendarAdvance(Calendar,B18,A19,"f",FALSE)</f>
        <v>41806</v>
      </c>
      <c r="C19" s="237">
        <f>_xll.qlCalendarAdvance(Calendar,B19,NDays&amp;"D")</f>
        <v>41808</v>
      </c>
      <c r="D19" s="202">
        <v>3.4305066512951661E-3</v>
      </c>
      <c r="E19" s="202">
        <v>4.8504940297888766E-3</v>
      </c>
      <c r="O19" s="216" t="str">
        <f>RateHelpers!E30</f>
        <v>EUR_YC6MRH_17x23F</v>
      </c>
      <c r="P19" s="203">
        <f>_xll.qlRateHelperEarliestDate(O19,Trigger)</f>
        <v>42306</v>
      </c>
      <c r="Q19" s="217">
        <f>_xll.qlRateHelperQuoteValue(O19,_xll.ohTrigger(RecalcTrigger,Trigger))</f>
        <v>3.9300000000000003E-3</v>
      </c>
      <c r="W19" s="204"/>
      <c r="X19" s="204"/>
    </row>
    <row r="20" spans="1:24" ht="12" thickBot="1" x14ac:dyDescent="0.25">
      <c r="A20" s="64" t="str">
        <f t="shared" si="0"/>
        <v>1D</v>
      </c>
      <c r="B20" s="203">
        <f>_xll.qlCalendarAdvance(Calendar,B19,A20,"f",FALSE)</f>
        <v>41807</v>
      </c>
      <c r="C20" s="237">
        <f>_xll.qlCalendarAdvance(Calendar,B20,NDays&amp;"D")</f>
        <v>41809</v>
      </c>
      <c r="D20" s="202">
        <v>3.4165995897766106E-3</v>
      </c>
      <c r="E20" s="202">
        <v>4.8784587430539261E-3</v>
      </c>
      <c r="O20" s="218" t="str">
        <f>RateHelpers!E31</f>
        <v>EUR_YC6MRH_18x24F</v>
      </c>
      <c r="P20" s="219">
        <f>_xll.qlRateHelperEarliestDate(O20,Trigger)</f>
        <v>42338</v>
      </c>
      <c r="Q20" s="220">
        <f>_xll.qlRateHelperQuoteValue(O20,_xll.ohTrigger(RecalcTrigger,Trigger))</f>
        <v>4.1099999999999999E-3</v>
      </c>
      <c r="W20" s="204"/>
      <c r="X20" s="204"/>
    </row>
    <row r="21" spans="1:24" ht="12" thickBot="1" x14ac:dyDescent="0.25">
      <c r="A21" s="64" t="str">
        <f t="shared" si="0"/>
        <v>1D</v>
      </c>
      <c r="B21" s="203">
        <f>_xll.qlCalendarAdvance(Calendar,B20,A21,"f",FALSE)</f>
        <v>41808</v>
      </c>
      <c r="C21" s="237">
        <f>_xll.qlCalendarAdvance(Calendar,B21,NDays&amp;"D")</f>
        <v>41810</v>
      </c>
      <c r="D21" s="202">
        <v>3.3926100826588263E-3</v>
      </c>
      <c r="E21" s="202">
        <v>4.9298596575919618E-3</v>
      </c>
      <c r="W21" s="204"/>
      <c r="X21" s="204"/>
    </row>
    <row r="22" spans="1:24" x14ac:dyDescent="0.2">
      <c r="A22" s="64" t="str">
        <f t="shared" si="0"/>
        <v>1D</v>
      </c>
      <c r="B22" s="203">
        <f>_xll.qlCalendarAdvance(Calendar,B21,A22,"f",FALSE)</f>
        <v>41809</v>
      </c>
      <c r="C22" s="237">
        <f>_xll.qlCalendarAdvance(Calendar,B22,NDays&amp;"D")</f>
        <v>41813</v>
      </c>
      <c r="D22" s="202">
        <v>3.3626594461545279E-3</v>
      </c>
      <c r="E22" s="202">
        <v>4.9627506883975769E-3</v>
      </c>
      <c r="O22" s="211" t="s">
        <v>165</v>
      </c>
      <c r="P22" s="212" t="s">
        <v>155</v>
      </c>
      <c r="Q22" s="228" t="s">
        <v>62</v>
      </c>
      <c r="R22" s="226" t="s">
        <v>167</v>
      </c>
      <c r="S22" s="212" t="s">
        <v>166</v>
      </c>
      <c r="T22" s="212"/>
      <c r="U22" s="228" t="s">
        <v>169</v>
      </c>
      <c r="W22" s="204"/>
      <c r="X22" s="204"/>
    </row>
    <row r="23" spans="1:24" x14ac:dyDescent="0.2">
      <c r="A23" s="64" t="str">
        <f t="shared" si="0"/>
        <v>1D</v>
      </c>
      <c r="B23" s="203">
        <f>_xll.qlCalendarAdvance(Calendar,B22,A23,"f",FALSE)</f>
        <v>41810</v>
      </c>
      <c r="C23" s="237">
        <f>_xll.qlCalendarAdvance(Calendar,B23,NDays&amp;"D")</f>
        <v>41814</v>
      </c>
      <c r="D23" s="202">
        <v>3.3497740163817308E-3</v>
      </c>
      <c r="E23" s="202">
        <v>4.9700425217746869E-3</v>
      </c>
      <c r="O23" s="221" t="str">
        <f>RateHelpers!E92</f>
        <v>EUR_YC6MRH_AB6E1Y</v>
      </c>
      <c r="P23" s="203">
        <f>_xll.qlRateHelperLatestDate(O23,Trigger)</f>
        <v>42153</v>
      </c>
      <c r="Q23" s="240">
        <f>_xll.qlRateHelperQuoteValue(O23,_xll.ohTrigger(RecalcTrigger,Trigger))</f>
        <v>3.5199999999999997E-3</v>
      </c>
      <c r="R23" s="224" t="s">
        <v>168</v>
      </c>
      <c r="S23" s="64" t="str">
        <f>_xll.qlEuriborSwap(,"IsdaFixA",Monitor!R23,YCInstance,Discounting,,_xll.ohTrigger(Trigger,RecalcTrigger))</f>
        <v>obj_005e7#0001</v>
      </c>
      <c r="T23" s="229">
        <f>_xll.qlIndexFixing(S23,$B$5,TRUE,Trigger)</f>
        <v>3.4338941747698568E-3</v>
      </c>
      <c r="U23" s="230">
        <f>T23-Q23</f>
        <v>-8.610582523014285E-5</v>
      </c>
      <c r="W23" s="204"/>
      <c r="X23" s="204"/>
    </row>
    <row r="24" spans="1:24" ht="2.25" customHeight="1" x14ac:dyDescent="0.2">
      <c r="A24" s="64" t="str">
        <f t="shared" si="0"/>
        <v>1D</v>
      </c>
      <c r="B24" s="203">
        <f>_xll.qlCalendarAdvance(Calendar,B23,A24,"f",FALSE)</f>
        <v>41813</v>
      </c>
      <c r="C24" s="237">
        <f>_xll.qlCalendarAdvance(Calendar,B24,NDays&amp;"D")</f>
        <v>41815</v>
      </c>
      <c r="D24" s="202">
        <v>3.3269906456359585E-3</v>
      </c>
      <c r="E24" s="202">
        <v>4.971821892745254E-3</v>
      </c>
      <c r="O24" s="221" t="str">
        <f>RateHelpers!E93</f>
        <v>EUR_YC6MRH_AB6E15M</v>
      </c>
      <c r="P24" s="203">
        <f>_xll.qlRateHelperLatestDate(O24,Trigger)</f>
        <v>42247</v>
      </c>
      <c r="Q24" s="240">
        <f>_xll.qlRateHelperQuoteValue(O24,_xll.ohTrigger(RecalcTrigger,Trigger))</f>
        <v>3.0999999999999999E-3</v>
      </c>
      <c r="R24" s="223" t="s">
        <v>35</v>
      </c>
      <c r="S24" s="64" t="str">
        <f>_xll.qlEuriborSwap(,"IsdaFixA",Monitor!R24,YCInstance,Discounting,,_xll.ohTrigger(Trigger,RecalcTrigger))</f>
        <v>obj_005ea#0001</v>
      </c>
      <c r="T24" s="229">
        <f>_xll.qlIndexFixing(S24,$B$5,TRUE,Trigger)</f>
        <v>3.4141128032699431E-3</v>
      </c>
      <c r="U24" s="230">
        <f t="shared" ref="U24:U59" si="1">T24-Q24</f>
        <v>3.1411280326994325E-4</v>
      </c>
      <c r="V24" s="204"/>
      <c r="W24" s="204"/>
      <c r="X24" s="204"/>
    </row>
    <row r="25" spans="1:24" hidden="1" x14ac:dyDescent="0.2">
      <c r="A25" s="64" t="str">
        <f t="shared" si="0"/>
        <v>1D</v>
      </c>
      <c r="B25" s="203">
        <f>_xll.qlCalendarAdvance(Calendar,B24,A25,"f",FALSE)</f>
        <v>41814</v>
      </c>
      <c r="C25" s="237">
        <f>_xll.qlCalendarAdvance(Calendar,B25,NDays&amp;"D")</f>
        <v>41816</v>
      </c>
      <c r="D25" s="202">
        <v>3.3181016418591261E-3</v>
      </c>
      <c r="E25" s="202">
        <v>4.9680888014691504E-3</v>
      </c>
      <c r="O25" s="221" t="str">
        <f>RateHelpers!E94</f>
        <v>EUR_YC6MRH_AB6E18M</v>
      </c>
      <c r="P25" s="203">
        <f>_xll.qlRateHelperLatestDate(O25,Trigger)</f>
        <v>42338</v>
      </c>
      <c r="Q25" s="240">
        <f>_xll.qlRateHelperQuoteValue(O25,_xll.ohTrigger(RecalcTrigger,Trigger))</f>
        <v>3.4499999999999999E-3</v>
      </c>
      <c r="R25" s="223" t="s">
        <v>34</v>
      </c>
      <c r="S25" s="64" t="str">
        <f>_xll.qlEuriborSwap(,"IsdaFixA",Monitor!R25,YCInstance,Discounting,,_xll.ohTrigger(Trigger,RecalcTrigger))</f>
        <v>obj_005cf#0001</v>
      </c>
      <c r="T25" s="229">
        <f>_xll.qlIndexFixing(S25,$B$5,TRUE,Trigger)</f>
        <v>3.3904322714980095E-3</v>
      </c>
      <c r="U25" s="230">
        <f t="shared" si="1"/>
        <v>-5.9567728501990456E-5</v>
      </c>
      <c r="V25" s="204"/>
      <c r="W25" s="204"/>
      <c r="X25" s="204"/>
    </row>
    <row r="26" spans="1:24" x14ac:dyDescent="0.2">
      <c r="A26" s="64" t="str">
        <f t="shared" si="0"/>
        <v>1D</v>
      </c>
      <c r="B26" s="203">
        <f>_xll.qlCalendarAdvance(Calendar,B25,A26,"f",FALSE)</f>
        <v>41815</v>
      </c>
      <c r="C26" s="237">
        <f>_xll.qlCalendarAdvance(Calendar,B26,NDays&amp;"D")</f>
        <v>41817</v>
      </c>
      <c r="D26" s="202">
        <v>3.3091371254391965E-3</v>
      </c>
      <c r="E26" s="202">
        <v>4.9423155952066367E-3</v>
      </c>
      <c r="O26" s="221" t="str">
        <f>RateHelpers!E95</f>
        <v>EUR_YC6MRH_AB6E21M</v>
      </c>
      <c r="P26" s="203">
        <f>_xll.qlRateHelperLatestDate(O26,Trigger)</f>
        <v>42429</v>
      </c>
      <c r="Q26" s="240">
        <f>_xll.qlRateHelperQuoteValue(O26,_xll.ohTrigger(RecalcTrigger,Trigger))</f>
        <v>3.2599999999999994E-3</v>
      </c>
      <c r="R26" s="223" t="s">
        <v>33</v>
      </c>
      <c r="S26" s="64" t="str">
        <f>_xll.qlEuriborSwap(,"IsdaFixA",Monitor!R26,YCInstance,Discounting,,_xll.ohTrigger(Trigger,RecalcTrigger))</f>
        <v>obj_005e9#0001</v>
      </c>
      <c r="T26" s="229">
        <f>_xll.qlIndexFixing(S26,$B$5,TRUE,Trigger)</f>
        <v>3.4897994569300221E-3</v>
      </c>
      <c r="U26" s="230">
        <f t="shared" si="1"/>
        <v>2.2979945693002261E-4</v>
      </c>
      <c r="V26" s="204"/>
      <c r="W26" s="204"/>
      <c r="X26" s="204"/>
    </row>
    <row r="27" spans="1:24" x14ac:dyDescent="0.2">
      <c r="A27" s="64" t="str">
        <f t="shared" si="0"/>
        <v>1D</v>
      </c>
      <c r="B27" s="203">
        <f>_xll.qlCalendarAdvance(Calendar,B26,A27,"f",FALSE)</f>
        <v>41816</v>
      </c>
      <c r="C27" s="237">
        <f>_xll.qlCalendarAdvance(Calendar,B27,NDays&amp;"D")</f>
        <v>41820</v>
      </c>
      <c r="D27" s="202">
        <v>3.2800000000011566E-3</v>
      </c>
      <c r="E27" s="202">
        <v>4.8990148910377229E-3</v>
      </c>
      <c r="O27" s="221" t="str">
        <f>RateHelpers!E96</f>
        <v>EUR_YC6MRH_AB6E2Y</v>
      </c>
      <c r="P27" s="203">
        <f>_xll.qlRateHelperLatestDate(O27,Trigger)</f>
        <v>42520</v>
      </c>
      <c r="Q27" s="240">
        <f>_xll.qlRateHelperQuoteValue(O27,_xll.ohTrigger(RecalcTrigger,Trigger))</f>
        <v>3.63E-3</v>
      </c>
      <c r="R27" s="223" t="s">
        <v>32</v>
      </c>
      <c r="S27" s="64" t="str">
        <f>_xll.qlEuriborSwap(,"IsdaFixA",Monitor!R27,YCInstance,Discounting,,_xll.ohTrigger(Trigger,RecalcTrigger))</f>
        <v>obj_005df#0001</v>
      </c>
      <c r="T27" s="229">
        <f>_xll.qlIndexFixing(S27,$B$5,TRUE,Trigger)</f>
        <v>3.5829467235992717E-3</v>
      </c>
      <c r="U27" s="230">
        <f t="shared" si="1"/>
        <v>-4.7053276400728285E-5</v>
      </c>
      <c r="V27" s="204"/>
      <c r="W27" s="204"/>
      <c r="X27" s="204"/>
    </row>
    <row r="28" spans="1:24" x14ac:dyDescent="0.2">
      <c r="A28" s="64" t="str">
        <f t="shared" si="0"/>
        <v>1D</v>
      </c>
      <c r="B28" s="203">
        <f>_xll.qlCalendarAdvance(Calendar,B27,A28,"f",FALSE)</f>
        <v>41817</v>
      </c>
      <c r="C28" s="237">
        <f>_xll.qlCalendarAdvance(Calendar,B28,NDays&amp;"D")</f>
        <v>41821</v>
      </c>
      <c r="D28" s="202">
        <v>3.2709129973088166E-3</v>
      </c>
      <c r="E28" s="202">
        <v>4.8736179215502773E-3</v>
      </c>
      <c r="O28" s="221" t="str">
        <f>RateHelpers!E97</f>
        <v>EUR_YC6MRH_AB6E3Y</v>
      </c>
      <c r="P28" s="203">
        <f>_xll.qlRateHelperLatestDate(O28,Trigger)</f>
        <v>42884</v>
      </c>
      <c r="Q28" s="240">
        <f>_xll.qlRateHelperQuoteValue(O28,_xll.ohTrigger(RecalcTrigger,Trigger))</f>
        <v>4.5999999999999999E-3</v>
      </c>
      <c r="R28" s="223" t="s">
        <v>31</v>
      </c>
      <c r="S28" s="64" t="str">
        <f>_xll.qlEuriborSwap(,"IsdaFixA",Monitor!R28,YCInstance,Discounting,,_xll.ohTrigger(Trigger,RecalcTrigger))</f>
        <v>obj_005d3#0001</v>
      </c>
      <c r="T28" s="229">
        <f>_xll.qlIndexFixing(S28,$B$5,TRUE,Trigger)</f>
        <v>4.5999999999998958E-3</v>
      </c>
      <c r="U28" s="230">
        <f t="shared" si="1"/>
        <v>-1.0408340855860843E-16</v>
      </c>
      <c r="V28" s="204"/>
      <c r="W28" s="204"/>
      <c r="X28" s="204"/>
    </row>
    <row r="29" spans="1:24" x14ac:dyDescent="0.2">
      <c r="A29" s="64" t="str">
        <f t="shared" si="0"/>
        <v>1D</v>
      </c>
      <c r="B29" s="203">
        <f>_xll.qlCalendarAdvance(Calendar,B28,A29,"f",FALSE)</f>
        <v>41820</v>
      </c>
      <c r="C29" s="237">
        <f>_xll.qlCalendarAdvance(Calendar,B29,NDays&amp;"D")</f>
        <v>41822</v>
      </c>
      <c r="D29" s="202">
        <v>3.2621584819208351E-3</v>
      </c>
      <c r="E29" s="202">
        <v>4.8486069191611136E-3</v>
      </c>
      <c r="O29" s="221" t="str">
        <f>RateHelpers!E98</f>
        <v>EUR_YC6MRH_AB6E4Y</v>
      </c>
      <c r="P29" s="203">
        <f>_xll.qlRateHelperLatestDate(O29,Trigger)</f>
        <v>43249</v>
      </c>
      <c r="Q29" s="240">
        <f>_xll.qlRateHelperQuoteValue(O29,_xll.ohTrigger(RecalcTrigger,Trigger))</f>
        <v>6.1500000000000001E-3</v>
      </c>
      <c r="R29" s="223" t="s">
        <v>30</v>
      </c>
      <c r="S29" s="64" t="str">
        <f>_xll.qlEuriborSwap(,"IsdaFixA",Monitor!R29,YCInstance,Discounting,,_xll.ohTrigger(Trigger,RecalcTrigger))</f>
        <v>obj_005e5#0001</v>
      </c>
      <c r="T29" s="229">
        <f>_xll.qlIndexFixing(S29,$B$5,TRUE,Trigger)</f>
        <v>6.1499999999816597E-3</v>
      </c>
      <c r="U29" s="230">
        <f t="shared" si="1"/>
        <v>-1.8340363949764793E-14</v>
      </c>
      <c r="V29" s="204"/>
      <c r="W29" s="204"/>
      <c r="X29" s="204"/>
    </row>
    <row r="30" spans="1:24" x14ac:dyDescent="0.2">
      <c r="A30" s="64" t="str">
        <f t="shared" si="0"/>
        <v>1D</v>
      </c>
      <c r="B30" s="203">
        <f>_xll.qlCalendarAdvance(Calendar,B29,A30,"f",FALSE)</f>
        <v>41821</v>
      </c>
      <c r="C30" s="237">
        <f>_xll.qlCalendarAdvance(Calendar,B30,NDays&amp;"D")</f>
        <v>41823</v>
      </c>
      <c r="D30" s="202">
        <v>3.2563956254829944E-3</v>
      </c>
      <c r="E30" s="202">
        <v>4.8239818837103599E-3</v>
      </c>
      <c r="O30" s="221" t="str">
        <f>RateHelpers!E99</f>
        <v>EUR_YC6MRH_AB6E5Y</v>
      </c>
      <c r="P30" s="203">
        <f>_xll.qlRateHelperLatestDate(O30,Trigger)</f>
        <v>43614</v>
      </c>
      <c r="Q30" s="240">
        <f>_xll.qlRateHelperQuoteValue(O30,_xll.ohTrigger(RecalcTrigger,Trigger))</f>
        <v>7.9400000000000009E-3</v>
      </c>
      <c r="R30" s="223" t="s">
        <v>29</v>
      </c>
      <c r="S30" s="64" t="str">
        <f>_xll.qlEuriborSwap(,"IsdaFixA",Monitor!R30,YCInstance,Discounting,,_xll.ohTrigger(Trigger,RecalcTrigger))</f>
        <v>obj_005dc#0001</v>
      </c>
      <c r="T30" s="229">
        <f>_xll.qlIndexFixing(S30,$B$5,TRUE,Trigger)</f>
        <v>7.9399999999756193E-3</v>
      </c>
      <c r="U30" s="230">
        <f t="shared" si="1"/>
        <v>-2.4381538454854024E-14</v>
      </c>
      <c r="V30" s="204"/>
      <c r="W30" s="204"/>
      <c r="X30" s="204"/>
    </row>
    <row r="31" spans="1:24" x14ac:dyDescent="0.2">
      <c r="A31" s="64" t="str">
        <f t="shared" si="0"/>
        <v>1D</v>
      </c>
      <c r="B31" s="203">
        <f>_xll.qlCalendarAdvance(Calendar,B30,A31,"f",FALSE)</f>
        <v>41822</v>
      </c>
      <c r="C31" s="237">
        <f>_xll.qlCalendarAdvance(Calendar,B31,NDays&amp;"D")</f>
        <v>41824</v>
      </c>
      <c r="D31" s="202">
        <v>3.2478786648384261E-3</v>
      </c>
      <c r="E31" s="202">
        <v>4.7760817305597669E-3</v>
      </c>
      <c r="O31" s="221" t="str">
        <f>RateHelpers!E100</f>
        <v>EUR_YC6MRH_AB6E6Y</v>
      </c>
      <c r="P31" s="203">
        <f>_xll.qlRateHelperLatestDate(O31,Trigger)</f>
        <v>43980</v>
      </c>
      <c r="Q31" s="240">
        <f>_xll.qlRateHelperQuoteValue(O31,_xll.ohTrigger(RecalcTrigger,Trigger))</f>
        <v>9.7900000000000001E-3</v>
      </c>
      <c r="R31" s="223" t="s">
        <v>28</v>
      </c>
      <c r="S31" s="64" t="str">
        <f>_xll.qlEuriborSwap(,"IsdaFixA",Monitor!R31,YCInstance,Discounting,,_xll.ohTrigger(Trigger,RecalcTrigger))</f>
        <v>obj_005d0#0001</v>
      </c>
      <c r="T31" s="229">
        <f>_xll.qlIndexFixing(S31,$B$5,TRUE,Trigger)</f>
        <v>9.789999999940624E-3</v>
      </c>
      <c r="U31" s="230">
        <f t="shared" si="1"/>
        <v>-5.9376115135734153E-14</v>
      </c>
      <c r="V31" s="204"/>
      <c r="W31" s="204"/>
      <c r="X31" s="204"/>
    </row>
    <row r="32" spans="1:24" x14ac:dyDescent="0.2">
      <c r="A32" s="64" t="str">
        <f t="shared" si="0"/>
        <v>1D</v>
      </c>
      <c r="B32" s="203">
        <f>_xll.qlCalendarAdvance(Calendar,B31,A32,"f",FALSE)</f>
        <v>41823</v>
      </c>
      <c r="C32" s="237">
        <f>_xll.qlCalendarAdvance(Calendar,B32,NDays&amp;"D")</f>
        <v>41827</v>
      </c>
      <c r="D32" s="202">
        <v>3.2266008002222193E-3</v>
      </c>
      <c r="E32" s="202">
        <v>4.729341409452914E-3</v>
      </c>
      <c r="O32" s="221" t="str">
        <f>RateHelpers!E101</f>
        <v>EUR_YC6MRH_AB6E7Y</v>
      </c>
      <c r="P32" s="203">
        <f>_xll.qlRateHelperLatestDate(O32,Trigger)</f>
        <v>44347</v>
      </c>
      <c r="Q32" s="240">
        <f>_xll.qlRateHelperQuoteValue(O32,_xll.ohTrigger(RecalcTrigger,Trigger))</f>
        <v>1.1599999999999999E-2</v>
      </c>
      <c r="R32" s="223" t="s">
        <v>27</v>
      </c>
      <c r="S32" s="64" t="str">
        <f>_xll.qlEuriborSwap(,"IsdaFixA",Monitor!R32,YCInstance,Discounting,,_xll.ohTrigger(Trigger,RecalcTrigger))</f>
        <v>obj_005da#0001</v>
      </c>
      <c r="T32" s="229">
        <f>_xll.qlIndexFixing(S32,$B$5,TRUE,Trigger)</f>
        <v>1.1600000000007287E-2</v>
      </c>
      <c r="U32" s="230">
        <f t="shared" si="1"/>
        <v>7.2875733225785666E-15</v>
      </c>
      <c r="V32" s="204"/>
    </row>
    <row r="33" spans="1:24" x14ac:dyDescent="0.2">
      <c r="A33" s="64" t="str">
        <f t="shared" si="0"/>
        <v>1D</v>
      </c>
      <c r="B33" s="203">
        <f>_xll.qlCalendarAdvance(Calendar,B32,A33,"f",FALSE)</f>
        <v>41824</v>
      </c>
      <c r="C33" s="237">
        <f>_xll.qlCalendarAdvance(Calendar,B33,NDays&amp;"D")</f>
        <v>41828</v>
      </c>
      <c r="D33" s="202">
        <v>3.2208347181747359E-3</v>
      </c>
      <c r="E33" s="202">
        <v>4.7066462074951687E-3</v>
      </c>
      <c r="O33" s="221" t="str">
        <f>RateHelpers!E102</f>
        <v>EUR_YC6MRH_AB6E8Y</v>
      </c>
      <c r="P33" s="203">
        <f>_xll.qlRateHelperLatestDate(O33,Trigger)</f>
        <v>44711</v>
      </c>
      <c r="Q33" s="240">
        <f>_xll.qlRateHelperQuoteValue(O33,_xll.ohTrigger(RecalcTrigger,Trigger))</f>
        <v>1.329E-2</v>
      </c>
      <c r="R33" s="223" t="s">
        <v>26</v>
      </c>
      <c r="S33" s="64" t="str">
        <f>_xll.qlEuriborSwap(,"IsdaFixA",Monitor!R33,YCInstance,Discounting,,_xll.ohTrigger(Trigger,RecalcTrigger))</f>
        <v>obj_005cb#0001</v>
      </c>
      <c r="T33" s="229">
        <f>_xll.qlIndexFixing(S33,$B$5,TRUE,Trigger)</f>
        <v>1.3290000000059038E-2</v>
      </c>
      <c r="U33" s="230">
        <f t="shared" si="1"/>
        <v>5.9037844057918676E-14</v>
      </c>
      <c r="V33" s="204"/>
    </row>
    <row r="34" spans="1:24" x14ac:dyDescent="0.2">
      <c r="A34" s="64" t="str">
        <f t="shared" si="0"/>
        <v>1D</v>
      </c>
      <c r="B34" s="203">
        <f>_xll.qlCalendarAdvance(Calendar,B33,A34,"f",FALSE)</f>
        <v>41827</v>
      </c>
      <c r="C34" s="237">
        <f>_xll.qlCalendarAdvance(Calendar,B34,NDays&amp;"D")</f>
        <v>41829</v>
      </c>
      <c r="D34" s="202">
        <v>3.2154572429643966E-3</v>
      </c>
      <c r="E34" s="202">
        <v>4.6843369719962169E-3</v>
      </c>
      <c r="O34" s="221" t="str">
        <f>RateHelpers!E103</f>
        <v>EUR_YC6MRH_AB6E9Y</v>
      </c>
      <c r="P34" s="203">
        <f>_xll.qlRateHelperLatestDate(O34,Trigger)</f>
        <v>45075</v>
      </c>
      <c r="Q34" s="240">
        <f>_xll.qlRateHelperQuoteValue(O34,_xll.ohTrigger(RecalcTrigger,Trigger))</f>
        <v>1.482E-2</v>
      </c>
      <c r="R34" s="223" t="s">
        <v>25</v>
      </c>
      <c r="S34" s="64" t="str">
        <f>_xll.qlEuriborSwap(,"IsdaFixA",Monitor!R34,YCInstance,Discounting,,_xll.ohTrigger(Trigger,RecalcTrigger))</f>
        <v>obj_005e8#0001</v>
      </c>
      <c r="T34" s="229">
        <f>_xll.qlIndexFixing(S34,$B$5,TRUE,Trigger)</f>
        <v>1.4820000000117536E-2</v>
      </c>
      <c r="U34" s="230">
        <f t="shared" si="1"/>
        <v>1.1753618911480856E-13</v>
      </c>
      <c r="V34" s="204"/>
      <c r="W34" s="204"/>
      <c r="X34" s="204"/>
    </row>
    <row r="35" spans="1:24" x14ac:dyDescent="0.2">
      <c r="A35" s="64" t="str">
        <f t="shared" si="0"/>
        <v>1D</v>
      </c>
      <c r="B35" s="203">
        <f>_xll.qlCalendarAdvance(Calendar,B34,A35,"f",FALSE)</f>
        <v>41828</v>
      </c>
      <c r="C35" s="237">
        <f>_xll.qlCalendarAdvance(Calendar,B35,NDays&amp;"D")</f>
        <v>41830</v>
      </c>
      <c r="D35" s="202">
        <v>3.2170760528976174E-3</v>
      </c>
      <c r="E35" s="202">
        <v>4.6624137028761226E-3</v>
      </c>
      <c r="O35" s="221" t="str">
        <f>RateHelpers!E104</f>
        <v>EUR_YC6MRH_AB6E10Y</v>
      </c>
      <c r="P35" s="203">
        <f>_xll.qlRateHelperLatestDate(O35,Trigger)</f>
        <v>45441</v>
      </c>
      <c r="Q35" s="240">
        <f>_xll.qlRateHelperQuoteValue(O35,_xll.ohTrigger(RecalcTrigger,Trigger))</f>
        <v>1.617E-2</v>
      </c>
      <c r="R35" s="223" t="s">
        <v>24</v>
      </c>
      <c r="S35" s="64" t="str">
        <f>_xll.qlEuriborSwap(,"IsdaFixA",Monitor!R35,YCInstance,Discounting,,_xll.ohTrigger(Trigger,RecalcTrigger))</f>
        <v>obj_005ce#0001</v>
      </c>
      <c r="T35" s="229">
        <f>_xll.qlIndexFixing(S35,$B$5,TRUE,Trigger)</f>
        <v>1.6170000000169216E-2</v>
      </c>
      <c r="U35" s="230">
        <f t="shared" si="1"/>
        <v>1.6921533618763362E-13</v>
      </c>
      <c r="V35" s="204"/>
    </row>
    <row r="36" spans="1:24" x14ac:dyDescent="0.2">
      <c r="A36" s="64" t="str">
        <f t="shared" si="0"/>
        <v>1D</v>
      </c>
      <c r="B36" s="203">
        <f>_xll.qlCalendarAdvance(Calendar,B35,A36,"f",FALSE)</f>
        <v>41829</v>
      </c>
      <c r="C36" s="237">
        <f>_xll.qlCalendarAdvance(Calendar,B36,NDays&amp;"D")</f>
        <v>41831</v>
      </c>
      <c r="D36" s="202">
        <v>3.2092218538407814E-3</v>
      </c>
      <c r="E36" s="202">
        <v>4.6199130050883497E-3</v>
      </c>
      <c r="O36" s="221" t="str">
        <f>RateHelpers!E105</f>
        <v>EUR_YC6MRH_AB6E11Y</v>
      </c>
      <c r="P36" s="203">
        <f>_xll.qlRateHelperLatestDate(O36,Trigger)</f>
        <v>45806</v>
      </c>
      <c r="Q36" s="240">
        <f>_xll.qlRateHelperQuoteValue(O36,_xll.ohTrigger(RecalcTrigger,Trigger))</f>
        <v>1.736E-2</v>
      </c>
      <c r="R36" s="223" t="s">
        <v>23</v>
      </c>
      <c r="S36" s="64" t="str">
        <f>_xll.qlEuriborSwap(,"IsdaFixA",Monitor!R36,YCInstance,Discounting,,_xll.ohTrigger(Trigger,RecalcTrigger))</f>
        <v>obj_005d8#0001</v>
      </c>
      <c r="T36" s="229">
        <f>_xll.qlIndexFixing(S36,$B$5,TRUE,Trigger)</f>
        <v>1.736000000019472E-2</v>
      </c>
      <c r="U36" s="230">
        <f t="shared" si="1"/>
        <v>1.9471924073144464E-13</v>
      </c>
      <c r="V36" s="204"/>
    </row>
    <row r="37" spans="1:24" x14ac:dyDescent="0.2">
      <c r="A37" s="64" t="str">
        <f t="shared" si="0"/>
        <v>1D</v>
      </c>
      <c r="B37" s="203">
        <f>_xll.qlCalendarAdvance(Calendar,B36,A37,"f",FALSE)</f>
        <v>41830</v>
      </c>
      <c r="C37" s="237">
        <f>_xll.qlCalendarAdvance(Calendar,B37,NDays&amp;"D")</f>
        <v>41834</v>
      </c>
      <c r="D37" s="202">
        <v>3.1935008558963531E-3</v>
      </c>
      <c r="E37" s="202">
        <v>4.578580289145151E-3</v>
      </c>
      <c r="O37" s="221" t="str">
        <f>RateHelpers!E106</f>
        <v>EUR_YC6MRH_AB6E12Y</v>
      </c>
      <c r="P37" s="203">
        <f>_xll.qlRateHelperLatestDate(O37,Trigger)</f>
        <v>46171</v>
      </c>
      <c r="Q37" s="240">
        <f>_xll.qlRateHelperQuoteValue(O37,_xll.ohTrigger(RecalcTrigger,Trigger))</f>
        <v>1.84E-2</v>
      </c>
      <c r="R37" s="223" t="s">
        <v>22</v>
      </c>
      <c r="S37" s="64" t="str">
        <f>_xll.qlEuriborSwap(,"IsdaFixA",Monitor!R37,YCInstance,Discounting,,_xll.ohTrigger(Trigger,RecalcTrigger))</f>
        <v>obj_005db#0001</v>
      </c>
      <c r="T37" s="229">
        <f>_xll.qlIndexFixing(S37,$B$5,TRUE,Trigger)</f>
        <v>1.8400000000234815E-2</v>
      </c>
      <c r="U37" s="230">
        <f t="shared" si="1"/>
        <v>2.3481563915517256E-13</v>
      </c>
      <c r="V37" s="204"/>
    </row>
    <row r="38" spans="1:24" x14ac:dyDescent="0.2">
      <c r="A38" s="64" t="str">
        <f t="shared" si="0"/>
        <v>1D</v>
      </c>
      <c r="B38" s="203">
        <f>_xll.qlCalendarAdvance(Calendar,B37,A38,"f",FALSE)</f>
        <v>41831</v>
      </c>
      <c r="C38" s="237">
        <f>_xll.qlCalendarAdvance(Calendar,B38,NDays&amp;"D")</f>
        <v>41835</v>
      </c>
      <c r="D38" s="202">
        <v>3.1899161592311965E-3</v>
      </c>
      <c r="E38" s="202">
        <v>4.5585868510400473E-3</v>
      </c>
      <c r="O38" s="221" t="str">
        <f>RateHelpers!E107</f>
        <v>EUR_YC6MRH_AB6E13Y</v>
      </c>
      <c r="P38" s="203">
        <f>_xll.qlRateHelperLatestDate(O38,Trigger)</f>
        <v>46538</v>
      </c>
      <c r="Q38" s="240">
        <f>_xll.qlRateHelperQuoteValue(O38,_xll.ohTrigger(RecalcTrigger,Trigger))</f>
        <v>1.9299999999999998E-2</v>
      </c>
      <c r="R38" s="223" t="s">
        <v>21</v>
      </c>
      <c r="S38" s="64" t="str">
        <f>_xll.qlEuriborSwap(,"IsdaFixA",Monitor!R38,YCInstance,Discounting,,_xll.ohTrigger(Trigger,RecalcTrigger))</f>
        <v>obj_005d2#0001</v>
      </c>
      <c r="T38" s="229">
        <f>_xll.qlIndexFixing(S38,$B$5,TRUE,Trigger)</f>
        <v>1.9300000000235743E-2</v>
      </c>
      <c r="U38" s="230">
        <f t="shared" si="1"/>
        <v>2.3574545093829613E-13</v>
      </c>
      <c r="V38" s="204"/>
    </row>
    <row r="39" spans="1:24" x14ac:dyDescent="0.2">
      <c r="A39" s="64" t="str">
        <f t="shared" si="0"/>
        <v>1D</v>
      </c>
      <c r="B39" s="203">
        <f>_xll.qlCalendarAdvance(Calendar,B38,A39,"f",FALSE)</f>
        <v>41834</v>
      </c>
      <c r="C39" s="237">
        <f>_xll.qlCalendarAdvance(Calendar,B39,NDays&amp;"D")</f>
        <v>41836</v>
      </c>
      <c r="D39" s="202">
        <v>3.1865404520265601E-3</v>
      </c>
      <c r="E39" s="202">
        <v>4.5389793789141208E-3</v>
      </c>
      <c r="O39" s="221" t="str">
        <f>RateHelpers!E108</f>
        <v>EUR_YC6MRH_AB6E14Y</v>
      </c>
      <c r="P39" s="203">
        <f>_xll.qlRateHelperLatestDate(O39,Trigger)</f>
        <v>46902</v>
      </c>
      <c r="Q39" s="240">
        <f>_xll.qlRateHelperQuoteValue(O39,_xll.ohTrigger(RecalcTrigger,Trigger))</f>
        <v>2.0070000000000001E-2</v>
      </c>
      <c r="R39" s="223" t="s">
        <v>20</v>
      </c>
      <c r="S39" s="64" t="str">
        <f>_xll.qlEuriborSwap(,"IsdaFixA",Monitor!R39,YCInstance,Discounting,,_xll.ohTrigger(Trigger,RecalcTrigger))</f>
        <v>obj_005cd#0001</v>
      </c>
      <c r="T39" s="229">
        <f>_xll.qlIndexFixing(S39,$B$5,TRUE,Trigger)</f>
        <v>2.007000000023472E-2</v>
      </c>
      <c r="U39" s="230">
        <f t="shared" si="1"/>
        <v>2.3471849464051786E-13</v>
      </c>
      <c r="V39" s="204"/>
    </row>
    <row r="40" spans="1:24" x14ac:dyDescent="0.2">
      <c r="A40" s="64" t="str">
        <f t="shared" si="0"/>
        <v>1D</v>
      </c>
      <c r="B40" s="203">
        <f>_xll.qlCalendarAdvance(Calendar,B39,A40,"f",FALSE)</f>
        <v>41835</v>
      </c>
      <c r="C40" s="237">
        <f>_xll.qlCalendarAdvance(Calendar,B40,NDays&amp;"D")</f>
        <v>41837</v>
      </c>
      <c r="D40" s="202">
        <v>3.1918223250334658E-3</v>
      </c>
      <c r="E40" s="202">
        <v>4.5197578726874355E-3</v>
      </c>
      <c r="O40" s="221" t="str">
        <f>RateHelpers!E109</f>
        <v>EUR_YC6MRH_AB6E15Y</v>
      </c>
      <c r="P40" s="203">
        <f>_xll.qlRateHelperLatestDate(O40,Trigger)</f>
        <v>47267</v>
      </c>
      <c r="Q40" s="240">
        <f>_xll.qlRateHelperQuoteValue(O40,_xll.ohTrigger(RecalcTrigger,Trigger))</f>
        <v>2.0710000000000003E-2</v>
      </c>
      <c r="R40" s="223" t="s">
        <v>19</v>
      </c>
      <c r="S40" s="64" t="str">
        <f>_xll.qlEuriborSwap(,"IsdaFixA",Monitor!R40,YCInstance,Discounting,,_xll.ohTrigger(Trigger,RecalcTrigger))</f>
        <v>obj_005d1#0001</v>
      </c>
      <c r="T40" s="229">
        <f>_xll.qlIndexFixing(S40,$B$5,TRUE,Trigger)</f>
        <v>2.0710000000224774E-2</v>
      </c>
      <c r="U40" s="230">
        <f t="shared" si="1"/>
        <v>2.2477159022926685E-13</v>
      </c>
    </row>
    <row r="41" spans="1:24" x14ac:dyDescent="0.2">
      <c r="A41" s="64" t="str">
        <f t="shared" si="0"/>
        <v>1D</v>
      </c>
      <c r="B41" s="203">
        <f>_xll.qlCalendarAdvance(Calendar,B40,A41,"f",FALSE)</f>
        <v>41836</v>
      </c>
      <c r="C41" s="237">
        <f>_xll.qlCalendarAdvance(Calendar,B41,NDays&amp;"D")</f>
        <v>41838</v>
      </c>
      <c r="D41" s="202">
        <v>3.1846043127112993E-3</v>
      </c>
      <c r="E41" s="202">
        <v>4.482657229036846E-3</v>
      </c>
      <c r="O41" s="221" t="str">
        <f>RateHelpers!E110</f>
        <v>EUR_YC6MRH_AB6E16Y</v>
      </c>
      <c r="P41" s="203">
        <f>_xll.qlRateHelperLatestDate(O41,Trigger)</f>
        <v>47632</v>
      </c>
      <c r="Q41" s="240">
        <f>_xll.qlRateHelperQuoteValue(O41,_xll.ohTrigger(RecalcTrigger,Trigger))</f>
        <v>2.1230000000000002E-2</v>
      </c>
      <c r="R41" s="223" t="s">
        <v>18</v>
      </c>
      <c r="S41" s="64" t="str">
        <f>_xll.qlEuriborSwap(,"IsdaFixA",Monitor!R41,YCInstance,Discounting,,_xll.ohTrigger(Trigger,RecalcTrigger))</f>
        <v>obj_005e6#0001</v>
      </c>
      <c r="T41" s="229">
        <f>_xll.qlIndexFixing(S41,$B$5,TRUE,Trigger)</f>
        <v>2.123000000019723E-2</v>
      </c>
      <c r="U41" s="230">
        <f t="shared" si="1"/>
        <v>1.9722765087770711E-13</v>
      </c>
    </row>
    <row r="42" spans="1:24" x14ac:dyDescent="0.2">
      <c r="A42" s="64" t="str">
        <f t="shared" si="0"/>
        <v>1D</v>
      </c>
      <c r="B42" s="203">
        <f>_xll.qlCalendarAdvance(Calendar,B41,A42,"f",FALSE)</f>
        <v>41837</v>
      </c>
      <c r="C42" s="237">
        <f>_xll.qlCalendarAdvance(Calendar,B42,NDays&amp;"D")</f>
        <v>41841</v>
      </c>
      <c r="D42" s="202">
        <v>3.1718987226428529E-3</v>
      </c>
      <c r="E42" s="202">
        <v>4.4467315062135526E-3</v>
      </c>
      <c r="O42" s="221" t="str">
        <f>RateHelpers!E111</f>
        <v>EUR_YC6MRH_AB6E17Y</v>
      </c>
      <c r="P42" s="203">
        <f>_xll.qlRateHelperLatestDate(O42,Trigger)</f>
        <v>47997</v>
      </c>
      <c r="Q42" s="240">
        <f>_xll.qlRateHelperQuoteValue(O42,_xll.ohTrigger(RecalcTrigger,Trigger))</f>
        <v>2.1640000000000003E-2</v>
      </c>
      <c r="R42" s="227" t="s">
        <v>17</v>
      </c>
      <c r="S42" s="64" t="str">
        <f>_xll.qlEuriborSwap(,"IsdaFixA",Monitor!R42,YCInstance,Discounting,,_xll.ohTrigger(Trigger,RecalcTrigger))</f>
        <v>obj_005e4#0001</v>
      </c>
      <c r="T42" s="229">
        <f>_xll.qlIndexFixing(S42,$B$5,TRUE,Trigger)</f>
        <v>2.1640000000180508E-2</v>
      </c>
      <c r="U42" s="230">
        <f t="shared" si="1"/>
        <v>1.8050491656929069E-13</v>
      </c>
      <c r="V42" s="204"/>
    </row>
    <row r="43" spans="1:24" x14ac:dyDescent="0.2">
      <c r="A43" s="64" t="str">
        <f t="shared" si="0"/>
        <v>1D</v>
      </c>
      <c r="B43" s="203">
        <f>_xll.qlCalendarAdvance(Calendar,B42,A43,"f",FALSE)</f>
        <v>41838</v>
      </c>
      <c r="C43" s="237">
        <f>_xll.qlCalendarAdvance(Calendar,B43,NDays&amp;"D")</f>
        <v>41842</v>
      </c>
      <c r="D43" s="202">
        <v>3.1692381337301906E-3</v>
      </c>
      <c r="E43" s="202">
        <v>4.4294398288435843E-3</v>
      </c>
      <c r="O43" s="221" t="str">
        <f>RateHelpers!E112</f>
        <v>EUR_YC6MRH_AB6E18Y</v>
      </c>
      <c r="P43" s="203">
        <f>_xll.qlRateHelperLatestDate(O43,Trigger)</f>
        <v>48365</v>
      </c>
      <c r="Q43" s="240">
        <f>_xll.qlRateHelperQuoteValue(O43,_xll.ohTrigger(RecalcTrigger,Trigger))</f>
        <v>2.198E-2</v>
      </c>
      <c r="R43" s="227" t="s">
        <v>16</v>
      </c>
      <c r="S43" s="64" t="str">
        <f>_xll.qlEuriborSwap(,"IsdaFixA",Monitor!R43,YCInstance,Discounting,,_xll.ohTrigger(Trigger,RecalcTrigger))</f>
        <v>obj_005c6#0001</v>
      </c>
      <c r="T43" s="229">
        <f>_xll.qlIndexFixing(S43,$B$5,TRUE,Trigger)</f>
        <v>2.1980000000158581E-2</v>
      </c>
      <c r="U43" s="230">
        <f t="shared" si="1"/>
        <v>1.585814812798958E-13</v>
      </c>
    </row>
    <row r="44" spans="1:24" x14ac:dyDescent="0.2">
      <c r="A44" s="64" t="str">
        <f t="shared" si="0"/>
        <v>1D</v>
      </c>
      <c r="B44" s="203">
        <f>_xll.qlCalendarAdvance(Calendar,B43,A44,"f",FALSE)</f>
        <v>41841</v>
      </c>
      <c r="C44" s="237">
        <f>_xll.qlCalendarAdvance(Calendar,B44,NDays&amp;"D")</f>
        <v>41843</v>
      </c>
      <c r="D44" s="202">
        <v>3.1666069297824244E-3</v>
      </c>
      <c r="E44" s="202">
        <v>4.4125341170531129E-3</v>
      </c>
      <c r="O44" s="221" t="str">
        <f>RateHelpers!E113</f>
        <v>EUR_YC6MRH_AB6E19Y</v>
      </c>
      <c r="P44" s="203">
        <f>_xll.qlRateHelperLatestDate(O44,Trigger)</f>
        <v>48729</v>
      </c>
      <c r="Q44" s="240">
        <f>_xll.qlRateHelperQuoteValue(O44,_xll.ohTrigger(RecalcTrigger,Trigger))</f>
        <v>2.223E-2</v>
      </c>
      <c r="R44" s="227" t="s">
        <v>15</v>
      </c>
      <c r="S44" s="64" t="str">
        <f>_xll.qlEuriborSwap(,"IsdaFixA",Monitor!R44,YCInstance,Discounting,,_xll.ohTrigger(Trigger,RecalcTrigger))</f>
        <v>obj_005d9#0001</v>
      </c>
      <c r="T44" s="229">
        <f>_xll.qlIndexFixing(S44,$B$5,TRUE,Trigger)</f>
        <v>2.2230000000139135E-2</v>
      </c>
      <c r="U44" s="230">
        <f t="shared" si="1"/>
        <v>1.3913523111419579E-13</v>
      </c>
    </row>
    <row r="45" spans="1:24" x14ac:dyDescent="0.2">
      <c r="A45" s="64" t="str">
        <f t="shared" si="0"/>
        <v>1D</v>
      </c>
      <c r="B45" s="203">
        <f>_xll.qlCalendarAdvance(Calendar,B44,A45,"f",FALSE)</f>
        <v>41842</v>
      </c>
      <c r="C45" s="237">
        <f>_xll.qlCalendarAdvance(Calendar,B45,NDays&amp;"D")</f>
        <v>41844</v>
      </c>
      <c r="D45" s="202">
        <v>3.1719279512115906E-3</v>
      </c>
      <c r="E45" s="202">
        <v>4.3960143707622024E-3</v>
      </c>
      <c r="O45" s="221" t="str">
        <f>RateHelpers!E114</f>
        <v>EUR_YC6MRH_AB6E20Y</v>
      </c>
      <c r="P45" s="203">
        <f>_xll.qlRateHelperLatestDate(O45,Trigger)</f>
        <v>49093</v>
      </c>
      <c r="Q45" s="240">
        <f>_xll.qlRateHelperQuoteValue(O45,_xll.ohTrigger(RecalcTrigger,Trigger))</f>
        <v>2.2439999999999998E-2</v>
      </c>
      <c r="R45" s="227" t="s">
        <v>14</v>
      </c>
      <c r="S45" s="64" t="str">
        <f>_xll.qlEuriborSwap(,"IsdaFixA",Monitor!R45,YCInstance,Discounting,,_xll.ohTrigger(Trigger,RecalcTrigger))</f>
        <v>obj_005ca#0001</v>
      </c>
      <c r="T45" s="229">
        <f>_xll.qlIndexFixing(S45,$B$5,TRUE,Trigger)</f>
        <v>2.2440000000127507E-2</v>
      </c>
      <c r="U45" s="230">
        <f t="shared" si="1"/>
        <v>1.2750911437819923E-13</v>
      </c>
    </row>
    <row r="46" spans="1:24" x14ac:dyDescent="0.2">
      <c r="A46" s="64" t="str">
        <f t="shared" si="0"/>
        <v>1D</v>
      </c>
      <c r="B46" s="203">
        <f>_xll.qlCalendarAdvance(Calendar,B45,A46,"f",FALSE)</f>
        <v>41843</v>
      </c>
      <c r="C46" s="237">
        <f>_xll.qlCalendarAdvance(Calendar,B46,NDays&amp;"D")</f>
        <v>41845</v>
      </c>
      <c r="D46" s="202">
        <v>3.1652726162406577E-3</v>
      </c>
      <c r="E46" s="202">
        <v>4.3643143374971771E-3</v>
      </c>
      <c r="O46" s="221" t="str">
        <f>RateHelpers!E115</f>
        <v>EUR_YC6MRH_AB6E21Y</v>
      </c>
      <c r="P46" s="203">
        <f>_xll.qlRateHelperLatestDate(O46,Trigger)</f>
        <v>49458</v>
      </c>
      <c r="Q46" s="240">
        <f>_xll.qlRateHelperQuoteValue(O46,_xll.ohTrigger(RecalcTrigger,Trigger))</f>
        <v>2.2610000000000002E-2</v>
      </c>
      <c r="R46" s="227" t="s">
        <v>13</v>
      </c>
      <c r="S46" s="64" t="str">
        <f>_xll.qlEuriborSwap(,"IsdaFixA",Monitor!R46,YCInstance,Discounting,,_xll.ohTrigger(Trigger,RecalcTrigger))</f>
        <v>obj_005c9#0001</v>
      </c>
      <c r="T46" s="229">
        <f>_xll.qlIndexFixing(S46,$B$5,TRUE,Trigger)</f>
        <v>2.2610000000117359E-2</v>
      </c>
      <c r="U46" s="230">
        <f t="shared" si="1"/>
        <v>1.1735751259678295E-13</v>
      </c>
    </row>
    <row r="47" spans="1:24" x14ac:dyDescent="0.2">
      <c r="A47" s="64" t="str">
        <f t="shared" si="0"/>
        <v>1D</v>
      </c>
      <c r="B47" s="203">
        <f>_xll.qlCalendarAdvance(Calendar,B46,A47,"f",FALSE)</f>
        <v>41844</v>
      </c>
      <c r="C47" s="237">
        <f>_xll.qlCalendarAdvance(Calendar,B47,NDays&amp;"D")</f>
        <v>41848</v>
      </c>
      <c r="D47" s="202">
        <v>3.1529936892840792E-3</v>
      </c>
      <c r="E47" s="202">
        <v>4.3337950400346159E-3</v>
      </c>
      <c r="O47" s="221" t="str">
        <f>RateHelpers!E116</f>
        <v>EUR_YC6MRH_AB6E22Y</v>
      </c>
      <c r="P47" s="203">
        <f>_xll.qlRateHelperLatestDate(O47,Trigger)</f>
        <v>49824</v>
      </c>
      <c r="Q47" s="240">
        <f>_xll.qlRateHelperQuoteValue(O47,_xll.ohTrigger(RecalcTrigger,Trigger))</f>
        <v>2.2749999999999999E-2</v>
      </c>
      <c r="R47" s="223" t="s">
        <v>12</v>
      </c>
      <c r="S47" s="64" t="str">
        <f>_xll.qlEuriborSwap(,"IsdaFixA",Monitor!R47,YCInstance,Discounting,,_xll.ohTrigger(Trigger,RecalcTrigger))</f>
        <v>obj_005e2#0001</v>
      </c>
      <c r="T47" s="229">
        <f>_xll.qlIndexFixing(S47,$B$5,TRUE,Trigger)</f>
        <v>2.2750000000096849E-2</v>
      </c>
      <c r="U47" s="230">
        <f t="shared" si="1"/>
        <v>9.684961166378514E-14</v>
      </c>
    </row>
    <row r="48" spans="1:24" x14ac:dyDescent="0.2">
      <c r="A48" s="64" t="str">
        <f t="shared" si="0"/>
        <v>1D</v>
      </c>
      <c r="B48" s="203">
        <f>_xll.qlCalendarAdvance(Calendar,B47,A48,"f",FALSE)</f>
        <v>41845</v>
      </c>
      <c r="C48" s="237">
        <f>_xll.qlCalendarAdvance(Calendar,B48,NDays&amp;"D")</f>
        <v>41849</v>
      </c>
      <c r="D48" s="202">
        <v>3.1499999999997836E-3</v>
      </c>
      <c r="E48" s="202">
        <v>4.3191281056476072E-3</v>
      </c>
      <c r="O48" s="221" t="str">
        <f>RateHelpers!E117</f>
        <v>EUR_YC6MRH_AB6E23Y</v>
      </c>
      <c r="P48" s="203">
        <f>_xll.qlRateHelperLatestDate(O48,Trigger)</f>
        <v>50189</v>
      </c>
      <c r="Q48" s="240">
        <f>_xll.qlRateHelperQuoteValue(O48,_xll.ohTrigger(RecalcTrigger,Trigger))</f>
        <v>2.2860000000000002E-2</v>
      </c>
      <c r="R48" s="223" t="s">
        <v>11</v>
      </c>
      <c r="S48" s="64" t="str">
        <f>_xll.qlEuriborSwap(,"IsdaFixA",Monitor!R48,YCInstance,Discounting,,_xll.ohTrigger(Trigger,RecalcTrigger))</f>
        <v>obj_005c8#0001</v>
      </c>
      <c r="T48" s="229">
        <f>_xll.qlIndexFixing(S48,$B$5,TRUE,Trigger)</f>
        <v>2.2860000000093611E-2</v>
      </c>
      <c r="U48" s="230">
        <f t="shared" si="1"/>
        <v>9.3609148210660464E-14</v>
      </c>
    </row>
    <row r="49" spans="1:21" x14ac:dyDescent="0.2">
      <c r="A49" s="64" t="str">
        <f t="shared" si="0"/>
        <v>1D</v>
      </c>
      <c r="B49" s="203">
        <f>_xll.qlCalendarAdvance(Calendar,B48,A49,"f",FALSE)</f>
        <v>41848</v>
      </c>
      <c r="C49" s="237">
        <f>_xll.qlCalendarAdvance(Calendar,B49,NDays&amp;"D")</f>
        <v>41850</v>
      </c>
      <c r="D49" s="202">
        <v>3.1468616528002764E-3</v>
      </c>
      <c r="E49" s="202">
        <v>4.3044620617482821E-3</v>
      </c>
      <c r="O49" s="221" t="str">
        <f>RateHelpers!E118</f>
        <v>EUR_YC6MRH_AB6E24Y</v>
      </c>
      <c r="P49" s="203">
        <f>_xll.qlRateHelperLatestDate(O49,Trigger)</f>
        <v>50556</v>
      </c>
      <c r="Q49" s="240">
        <f>_xll.qlRateHelperQuoteValue(O49,_xll.ohTrigger(RecalcTrigger,Trigger))</f>
        <v>2.2949999999999998E-2</v>
      </c>
      <c r="R49" s="223" t="s">
        <v>10</v>
      </c>
      <c r="S49" s="64" t="str">
        <f>_xll.qlEuriborSwap(,"IsdaFixA",Monitor!R49,YCInstance,Discounting,,_xll.ohTrigger(Trigger,RecalcTrigger))</f>
        <v>obj_005d5#0001</v>
      </c>
      <c r="T49" s="229">
        <f>_xll.qlIndexFixing(S49,$B$5,TRUE,Trigger)</f>
        <v>2.2950000000075008E-2</v>
      </c>
      <c r="U49" s="230">
        <f t="shared" si="1"/>
        <v>7.5009443101237139E-14</v>
      </c>
    </row>
    <row r="50" spans="1:21" x14ac:dyDescent="0.2">
      <c r="A50" s="64" t="str">
        <f t="shared" si="0"/>
        <v>1D</v>
      </c>
      <c r="B50" s="203">
        <f>_xll.qlCalendarAdvance(Calendar,B49,A50,"f",FALSE)</f>
        <v>41849</v>
      </c>
      <c r="C50" s="237">
        <f>_xll.qlCalendarAdvance(Calendar,B50,NDays&amp;"D")</f>
        <v>41851</v>
      </c>
      <c r="D50" s="202">
        <v>3.1404984170714592E-3</v>
      </c>
      <c r="E50" s="202">
        <v>4.2897198933022906E-3</v>
      </c>
      <c r="O50" s="221" t="str">
        <f>RateHelpers!E119</f>
        <v>EUR_YC6MRH_AB6E25Y</v>
      </c>
      <c r="P50" s="203">
        <f>_xll.qlRateHelperLatestDate(O50,Trigger)</f>
        <v>50920</v>
      </c>
      <c r="Q50" s="240">
        <f>_xll.qlRateHelperQuoteValue(O50,_xll.ohTrigger(RecalcTrigger,Trigger))</f>
        <v>2.3010000000000003E-2</v>
      </c>
      <c r="R50" s="223" t="s">
        <v>9</v>
      </c>
      <c r="S50" s="64" t="str">
        <f>_xll.qlEuriborSwap(,"IsdaFixA",Monitor!R50,YCInstance,Discounting,,_xll.ohTrigger(Trigger,RecalcTrigger))</f>
        <v>obj_005e1#0001</v>
      </c>
      <c r="T50" s="229">
        <f>_xll.qlIndexFixing(S50,$B$5,TRUE,Trigger)</f>
        <v>2.3010000000064663E-2</v>
      </c>
      <c r="U50" s="230">
        <f t="shared" si="1"/>
        <v>6.4660082843559508E-14</v>
      </c>
    </row>
    <row r="51" spans="1:21" x14ac:dyDescent="0.2">
      <c r="A51" s="64" t="str">
        <f t="shared" si="0"/>
        <v>1D</v>
      </c>
      <c r="B51" s="203">
        <f>_xll.qlCalendarAdvance(Calendar,B50,A51,"f",FALSE)</f>
        <v>41850</v>
      </c>
      <c r="C51" s="237">
        <f>_xll.qlCalendarAdvance(Calendar,B51,NDays&amp;"D")</f>
        <v>41852</v>
      </c>
      <c r="D51" s="202">
        <v>3.1428119309527798E-3</v>
      </c>
      <c r="E51" s="202">
        <v>4.2600322174646266E-3</v>
      </c>
      <c r="O51" s="221" t="str">
        <f>RateHelpers!E120</f>
        <v>EUR_YC6MRH_AB6E26Y</v>
      </c>
      <c r="P51" s="203">
        <f>_xll.qlRateHelperLatestDate(O51,Trigger)</f>
        <v>51285</v>
      </c>
      <c r="Q51" s="240">
        <f>_xll.qlRateHelperQuoteValue(O51,_xll.ohTrigger(RecalcTrigger,Trigger))</f>
        <v>2.3060000000000001E-2</v>
      </c>
      <c r="R51" s="223" t="s">
        <v>8</v>
      </c>
      <c r="S51" s="64" t="str">
        <f>_xll.qlEuriborSwap(,"IsdaFixA",Monitor!R51,YCInstance,Discounting,,_xll.ohTrigger(Trigger,RecalcTrigger))</f>
        <v>obj_005e3#0001</v>
      </c>
      <c r="T51" s="229">
        <f>_xll.qlIndexFixing(S51,$B$5,TRUE,Trigger)</f>
        <v>2.306000000005938E-2</v>
      </c>
      <c r="U51" s="230">
        <f t="shared" si="1"/>
        <v>5.9379584582686107E-14</v>
      </c>
    </row>
    <row r="52" spans="1:21" x14ac:dyDescent="0.2">
      <c r="A52" s="64" t="str">
        <f t="shared" si="0"/>
        <v>1D</v>
      </c>
      <c r="B52" s="203">
        <f>_xll.qlCalendarAdvance(Calendar,B51,A52,"f",FALSE)</f>
        <v>41851</v>
      </c>
      <c r="C52" s="237">
        <f>_xll.qlCalendarAdvance(Calendar,B52,NDays&amp;"D")</f>
        <v>41855</v>
      </c>
      <c r="D52" s="202">
        <v>3.1291851303949032E-3</v>
      </c>
      <c r="E52" s="202">
        <v>4.2299899741315983E-3</v>
      </c>
      <c r="O52" s="221" t="str">
        <f>RateHelpers!E121</f>
        <v>EUR_YC6MRH_AB6E27Y</v>
      </c>
      <c r="P52" s="203">
        <f>_xll.qlRateHelperLatestDate(O52,Trigger)</f>
        <v>51650</v>
      </c>
      <c r="Q52" s="240">
        <f>_xll.qlRateHelperQuoteValue(O52,_xll.ohTrigger(RecalcTrigger,Trigger))</f>
        <v>2.308E-2</v>
      </c>
      <c r="R52" s="223" t="s">
        <v>7</v>
      </c>
      <c r="S52" s="64" t="str">
        <f>_xll.qlEuriborSwap(,"IsdaFixA",Monitor!R52,YCInstance,Discounting,,_xll.ohTrigger(Trigger,RecalcTrigger))</f>
        <v>obj_005d4#0001</v>
      </c>
      <c r="T52" s="229">
        <f>_xll.qlIndexFixing(S52,$B$5,TRUE,Trigger)</f>
        <v>2.3080000000047281E-2</v>
      </c>
      <c r="U52" s="230">
        <f t="shared" si="1"/>
        <v>4.7281623061223854E-14</v>
      </c>
    </row>
    <row r="53" spans="1:21" x14ac:dyDescent="0.2">
      <c r="A53" s="64" t="str">
        <f t="shared" si="0"/>
        <v>1D</v>
      </c>
      <c r="B53" s="203">
        <f>_xll.qlCalendarAdvance(Calendar,B52,A53,"f",FALSE)</f>
        <v>41852</v>
      </c>
      <c r="C53" s="237">
        <f>_xll.qlCalendarAdvance(Calendar,B53,NDays&amp;"D")</f>
        <v>41856</v>
      </c>
      <c r="D53" s="202">
        <v>3.1253065470204307E-3</v>
      </c>
      <c r="E53" s="202">
        <v>4.2148671831121476E-3</v>
      </c>
      <c r="O53" s="221" t="str">
        <f>RateHelpers!E122</f>
        <v>EUR_YC6MRH_AB6E28Y</v>
      </c>
      <c r="P53" s="203">
        <f>_xll.qlRateHelperLatestDate(O53,Trigger)</f>
        <v>52015</v>
      </c>
      <c r="Q53" s="240">
        <f>_xll.qlRateHelperQuoteValue(O53,_xll.ohTrigger(RecalcTrigger,Trigger))</f>
        <v>2.3099999999999999E-2</v>
      </c>
      <c r="R53" s="223" t="s">
        <v>6</v>
      </c>
      <c r="S53" s="64" t="str">
        <f>_xll.qlEuriborSwap(,"IsdaFixA",Monitor!R53,YCInstance,Discounting,,_xll.ohTrigger(Trigger,RecalcTrigger))</f>
        <v>obj_005de#0001</v>
      </c>
      <c r="T53" s="229">
        <f>_xll.qlIndexFixing(S53,$B$5,TRUE,Trigger)</f>
        <v>2.310000000004642E-2</v>
      </c>
      <c r="U53" s="230">
        <f t="shared" si="1"/>
        <v>4.6421200217139358E-14</v>
      </c>
    </row>
    <row r="54" spans="1:21" x14ac:dyDescent="0.2">
      <c r="A54" s="64" t="str">
        <f t="shared" si="0"/>
        <v>1D</v>
      </c>
      <c r="B54" s="203">
        <f>_xll.qlCalendarAdvance(Calendar,B53,A54,"f",FALSE)</f>
        <v>41855</v>
      </c>
      <c r="C54" s="237">
        <f>_xll.qlCalendarAdvance(Calendar,B54,NDays&amp;"D")</f>
        <v>41857</v>
      </c>
      <c r="D54" s="202">
        <v>3.1213314299753359E-3</v>
      </c>
      <c r="E54" s="202">
        <v>4.1996682676259667E-3</v>
      </c>
      <c r="O54" s="221" t="str">
        <f>RateHelpers!E123</f>
        <v>EUR_YC6MRH_AB6E29Y</v>
      </c>
      <c r="P54" s="203">
        <f>_xll.qlRateHelperLatestDate(O54,Trigger)</f>
        <v>52380</v>
      </c>
      <c r="Q54" s="240">
        <f>_xll.qlRateHelperQuoteValue(O54,_xll.ohTrigger(RecalcTrigger,Trigger))</f>
        <v>2.3119999999999998E-2</v>
      </c>
      <c r="R54" s="223" t="s">
        <v>5</v>
      </c>
      <c r="S54" s="64" t="str">
        <f>_xll.qlEuriborSwap(,"IsdaFixA",Monitor!R54,YCInstance,Discounting,,_xll.ohTrigger(Trigger,RecalcTrigger))</f>
        <v>obj_005cc#0001</v>
      </c>
      <c r="T54" s="229">
        <f>_xll.qlIndexFixing(S54,$B$5,TRUE,Trigger)</f>
        <v>2.3119999999959753E-2</v>
      </c>
      <c r="U54" s="230">
        <f t="shared" si="1"/>
        <v>-4.0245584642661925E-14</v>
      </c>
    </row>
    <row r="55" spans="1:21" x14ac:dyDescent="0.2">
      <c r="A55" s="64" t="str">
        <f t="shared" si="0"/>
        <v>1D</v>
      </c>
      <c r="B55" s="203">
        <f>_xll.qlCalendarAdvance(Calendar,B54,A55,"f",FALSE)</f>
        <v>41856</v>
      </c>
      <c r="C55" s="237">
        <f>_xll.qlCalendarAdvance(Calendar,B55,NDays&amp;"D")</f>
        <v>41858</v>
      </c>
      <c r="D55" s="202">
        <v>3.120457054485768E-3</v>
      </c>
      <c r="E55" s="202">
        <v>4.1843932275931195E-3</v>
      </c>
      <c r="O55" s="221" t="str">
        <f>RateHelpers!E124</f>
        <v>EUR_YC6MRH_AB6E30Y</v>
      </c>
      <c r="P55" s="203">
        <f>_xll.qlRateHelperLatestDate(O55,Trigger)</f>
        <v>52747</v>
      </c>
      <c r="Q55" s="240">
        <f>_xll.qlRateHelperQuoteValue(O55,_xll.ohTrigger(RecalcTrigger,Trigger))</f>
        <v>2.3130000000000001E-2</v>
      </c>
      <c r="R55" s="223" t="s">
        <v>4</v>
      </c>
      <c r="S55" s="64" t="str">
        <f>_xll.qlEuriborSwap(,"IsdaFixA",Monitor!R55,YCInstance,Discounting,,_xll.ohTrigger(Trigger,RecalcTrigger))</f>
        <v>obj_005e0#0001</v>
      </c>
      <c r="T55" s="229">
        <f>_xll.qlIndexFixing(S55,$B$5,TRUE,Trigger)</f>
        <v>2.3130000000041933E-2</v>
      </c>
      <c r="U55" s="230">
        <f t="shared" si="1"/>
        <v>4.1931735861311381E-14</v>
      </c>
    </row>
    <row r="56" spans="1:21" x14ac:dyDescent="0.2">
      <c r="A56" s="64" t="str">
        <f t="shared" si="0"/>
        <v>1D</v>
      </c>
      <c r="B56" s="203">
        <f>_xll.qlCalendarAdvance(Calendar,B55,A56,"f",FALSE)</f>
        <v>41857</v>
      </c>
      <c r="C56" s="237">
        <f>_xll.qlCalendarAdvance(Calendar,B56,NDays&amp;"D")</f>
        <v>41859</v>
      </c>
      <c r="D56" s="202">
        <v>3.1146698453577175E-3</v>
      </c>
      <c r="E56" s="202">
        <v>4.1536373224371204E-3</v>
      </c>
      <c r="O56" s="221" t="str">
        <f>RateHelpers!E125</f>
        <v>EUR_YC6MRH_AB6E35Y</v>
      </c>
      <c r="P56" s="203">
        <f>_xll.qlRateHelperLatestDate(O56,Trigger)</f>
        <v>54574</v>
      </c>
      <c r="Q56" s="240">
        <f>_xll.qlRateHelperQuoteValue(O56,_xll.ohTrigger(RecalcTrigger,Trigger))</f>
        <v>2.3230000000000001E-2</v>
      </c>
      <c r="R56" s="223" t="s">
        <v>3</v>
      </c>
      <c r="S56" s="64" t="str">
        <f>_xll.qlEuriborSwap(,"IsdaFixA",Monitor!R56,YCInstance,Discounting,,_xll.ohTrigger(Trigger,RecalcTrigger))</f>
        <v>obj_005d7#0001</v>
      </c>
      <c r="T56" s="229">
        <f>_xll.qlIndexFixing(S56,$B$5,TRUE,Trigger)</f>
        <v>2.3230000000027659E-2</v>
      </c>
      <c r="U56" s="230">
        <f t="shared" si="1"/>
        <v>2.7658431100974212E-14</v>
      </c>
    </row>
    <row r="57" spans="1:21" x14ac:dyDescent="0.2">
      <c r="A57" s="64" t="str">
        <f t="shared" si="0"/>
        <v>1D</v>
      </c>
      <c r="B57" s="203">
        <f>_xll.qlCalendarAdvance(Calendar,B56,A57,"f",FALSE)</f>
        <v>41858</v>
      </c>
      <c r="C57" s="237">
        <f>_xll.qlCalendarAdvance(Calendar,B57,NDays&amp;"D")</f>
        <v>41862</v>
      </c>
      <c r="D57" s="202">
        <v>3.1002762241881957E-3</v>
      </c>
      <c r="E57" s="202">
        <v>4.1225318229543007E-3</v>
      </c>
      <c r="O57" s="221" t="str">
        <f>RateHelpers!E126</f>
        <v>EUR_YC6MRH_AB6E40Y</v>
      </c>
      <c r="P57" s="203">
        <f>_xll.qlRateHelperLatestDate(O57,Trigger)</f>
        <v>56398</v>
      </c>
      <c r="Q57" s="240">
        <f>_xll.qlRateHelperQuoteValue(O57,_xll.ohTrigger(RecalcTrigger,Trigger))</f>
        <v>2.334E-2</v>
      </c>
      <c r="R57" s="223" t="s">
        <v>2</v>
      </c>
      <c r="S57" s="64" t="str">
        <f>_xll.qlEuriborSwap(,"IsdaFixA",Monitor!R57,YCInstance,Discounting,,_xll.ohTrigger(Trigger,RecalcTrigger))</f>
        <v>obj_005dd#0001</v>
      </c>
      <c r="T57" s="229">
        <f>_xll.qlIndexFixing(S57,$B$5,TRUE,Trigger)</f>
        <v>2.3339999999992346E-2</v>
      </c>
      <c r="U57" s="230">
        <f t="shared" si="1"/>
        <v>-7.6535999760096729E-15</v>
      </c>
    </row>
    <row r="58" spans="1:21" x14ac:dyDescent="0.2">
      <c r="A58" s="64" t="str">
        <f t="shared" si="0"/>
        <v>1D</v>
      </c>
      <c r="B58" s="203">
        <f>_xll.qlCalendarAdvance(Calendar,B57,A58,"f",FALSE)</f>
        <v>41859</v>
      </c>
      <c r="C58" s="237">
        <f>_xll.qlCalendarAdvance(Calendar,B58,NDays&amp;"D")</f>
        <v>41863</v>
      </c>
      <c r="D58" s="202">
        <v>3.0958829350370277E-3</v>
      </c>
      <c r="E58" s="202">
        <v>4.1068761608276105E-3</v>
      </c>
      <c r="O58" s="221" t="str">
        <f>RateHelpers!E127</f>
        <v>EUR_YC6MRH_AB6E50Y</v>
      </c>
      <c r="P58" s="203">
        <f>_xll.qlRateHelperLatestDate(O58,Trigger)</f>
        <v>60051</v>
      </c>
      <c r="Q58" s="240">
        <f>_xll.qlRateHelperQuoteValue(O58,_xll.ohTrigger(RecalcTrigger,Trigger))</f>
        <v>2.3359999999999999E-2</v>
      </c>
      <c r="R58" s="223" t="s">
        <v>1</v>
      </c>
      <c r="S58" s="64" t="str">
        <f>_xll.qlEuriborSwap(,"IsdaFixA",Monitor!R58,YCInstance,Discounting,,_xll.ohTrigger(Trigger,RecalcTrigger))</f>
        <v>obj_005c7#0001</v>
      </c>
      <c r="T58" s="229">
        <f>_xll.qlIndexFixing(S58,$B$5,TRUE,Trigger)</f>
        <v>2.3360000000004703E-2</v>
      </c>
      <c r="U58" s="230">
        <f t="shared" si="1"/>
        <v>4.7045700668491008E-15</v>
      </c>
    </row>
    <row r="59" spans="1:21" ht="12" thickBot="1" x14ac:dyDescent="0.25">
      <c r="A59" s="64" t="str">
        <f t="shared" si="0"/>
        <v>1D</v>
      </c>
      <c r="B59" s="203">
        <f>_xll.qlCalendarAdvance(Calendar,B58,A59,"f",FALSE)</f>
        <v>41862</v>
      </c>
      <c r="C59" s="237">
        <f>_xll.qlCalendarAdvance(Calendar,B59,NDays&amp;"D")</f>
        <v>41864</v>
      </c>
      <c r="D59" s="202">
        <v>3.0914467883105452E-3</v>
      </c>
      <c r="E59" s="202">
        <v>4.0911443740743181E-3</v>
      </c>
      <c r="O59" s="222" t="str">
        <f>RateHelpers!E128</f>
        <v>EUR_YC6MRH_AB6E60Y</v>
      </c>
      <c r="P59" s="219">
        <f>_xll.qlRateHelperLatestDate(O59,Trigger)</f>
        <v>63703</v>
      </c>
      <c r="Q59" s="241">
        <f>_xll.qlRateHelperQuoteValue(O59,_xll.ohTrigger(RecalcTrigger,Trigger))</f>
        <v>2.349E-2</v>
      </c>
      <c r="R59" s="223" t="s">
        <v>0</v>
      </c>
      <c r="S59" s="64" t="str">
        <f>_xll.qlEuriborSwap(,"IsdaFixA",Monitor!R59,YCInstance,Discounting,,_xll.ohTrigger(Trigger,RecalcTrigger))</f>
        <v>obj_005d6#0001</v>
      </c>
      <c r="T59" s="231">
        <f>_xll.qlIndexFixing(S59,$B$5,TRUE,Trigger)</f>
        <v>2.3489999999999973E-2</v>
      </c>
      <c r="U59" s="232">
        <f t="shared" si="1"/>
        <v>-2.7755575615628914E-17</v>
      </c>
    </row>
    <row r="60" spans="1:21" x14ac:dyDescent="0.2">
      <c r="A60" s="64" t="str">
        <f t="shared" si="0"/>
        <v>1D</v>
      </c>
      <c r="B60" s="203">
        <f>_xll.qlCalendarAdvance(Calendar,B59,A60,"f",FALSE)</f>
        <v>41863</v>
      </c>
      <c r="C60" s="237">
        <f>_xll.qlCalendarAdvance(Calendar,B60,NDays&amp;"D")</f>
        <v>41865</v>
      </c>
      <c r="D60" s="202">
        <v>3.0886660339402372E-3</v>
      </c>
      <c r="E60" s="202">
        <v>4.0753364630941036E-3</v>
      </c>
      <c r="U60" s="204"/>
    </row>
    <row r="61" spans="1:21" x14ac:dyDescent="0.2">
      <c r="A61" s="64" t="str">
        <f t="shared" si="0"/>
        <v>1D</v>
      </c>
      <c r="B61" s="203">
        <f>_xll.qlCalendarAdvance(Calendar,B60,A61,"f",FALSE)</f>
        <v>41864</v>
      </c>
      <c r="C61" s="237">
        <f>_xll.qlCalendarAdvance(Calendar,B61,NDays&amp;"D")</f>
        <v>41866</v>
      </c>
      <c r="D61" s="202">
        <v>3.0832977761696334E-3</v>
      </c>
      <c r="E61" s="202">
        <v>4.0435123085291735E-3</v>
      </c>
      <c r="U61" s="204"/>
    </row>
    <row r="62" spans="1:21" x14ac:dyDescent="0.2">
      <c r="A62" s="64" t="str">
        <f t="shared" si="0"/>
        <v>1D</v>
      </c>
      <c r="B62" s="203">
        <f>_xll.qlCalendarAdvance(Calendar,B61,A62,"f",FALSE)</f>
        <v>41865</v>
      </c>
      <c r="C62" s="237">
        <f>_xll.qlCalendarAdvance(Calendar,B62,NDays&amp;"D")</f>
        <v>41869</v>
      </c>
      <c r="D62" s="202">
        <v>3.0688915604755273E-3</v>
      </c>
      <c r="E62" s="202">
        <v>4.0113435749855597E-3</v>
      </c>
      <c r="U62" s="204"/>
    </row>
    <row r="63" spans="1:21" x14ac:dyDescent="0.2">
      <c r="A63" s="64" t="str">
        <f t="shared" si="0"/>
        <v>1D</v>
      </c>
      <c r="B63" s="203">
        <f>_xll.qlCalendarAdvance(Calendar,B62,A63,"f",FALSE)</f>
        <v>41866</v>
      </c>
      <c r="C63" s="237">
        <f>_xll.qlCalendarAdvance(Calendar,B63,NDays&amp;"D")</f>
        <v>41870</v>
      </c>
      <c r="D63" s="202">
        <v>3.0643592889808995E-3</v>
      </c>
      <c r="E63" s="202">
        <v>3.9951550419914383E-3</v>
      </c>
      <c r="U63" s="204"/>
    </row>
    <row r="64" spans="1:21" x14ac:dyDescent="0.2">
      <c r="A64" s="64" t="str">
        <f t="shared" si="0"/>
        <v>1D</v>
      </c>
      <c r="B64" s="203">
        <f>_xll.qlCalendarAdvance(Calendar,B63,A64,"f",FALSE)</f>
        <v>41869</v>
      </c>
      <c r="C64" s="237">
        <f>_xll.qlCalendarAdvance(Calendar,B64,NDays&amp;"D")</f>
        <v>41871</v>
      </c>
      <c r="D64" s="202">
        <v>3.0598378328188141E-3</v>
      </c>
      <c r="E64" s="202">
        <v>3.9788903846904589E-3</v>
      </c>
      <c r="U64" s="204"/>
    </row>
    <row r="65" spans="1:21" x14ac:dyDescent="0.2">
      <c r="A65" s="64" t="str">
        <f t="shared" si="0"/>
        <v>1D</v>
      </c>
      <c r="B65" s="203">
        <f>_xll.qlCalendarAdvance(Calendar,B64,A65,"f",FALSE)</f>
        <v>41870</v>
      </c>
      <c r="C65" s="237">
        <f>_xll.qlCalendarAdvance(Calendar,B65,NDays&amp;"D")</f>
        <v>41872</v>
      </c>
      <c r="D65" s="202">
        <v>3.0562441148290582E-3</v>
      </c>
      <c r="E65" s="202">
        <v>3.9625496030826213E-3</v>
      </c>
      <c r="U65" s="204"/>
    </row>
    <row r="66" spans="1:21" x14ac:dyDescent="0.2">
      <c r="A66" s="64" t="str">
        <f t="shared" si="0"/>
        <v>1D</v>
      </c>
      <c r="B66" s="203">
        <f>_xll.qlCalendarAdvance(Calendar,B65,A66,"f",FALSE)</f>
        <v>41871</v>
      </c>
      <c r="C66" s="237">
        <f>_xll.qlCalendarAdvance(Calendar,B66,NDays&amp;"D")</f>
        <v>41873</v>
      </c>
      <c r="D66" s="202">
        <v>3.0513115802061697E-3</v>
      </c>
      <c r="E66" s="202">
        <v>3.9296571860791829E-3</v>
      </c>
      <c r="U66" s="204"/>
    </row>
    <row r="67" spans="1:21" x14ac:dyDescent="0.2">
      <c r="A67" s="64" t="str">
        <f t="shared" si="0"/>
        <v>1D</v>
      </c>
      <c r="B67" s="203">
        <f>_xll.qlCalendarAdvance(Calendar,B66,A67,"f",FALSE)</f>
        <v>41872</v>
      </c>
      <c r="C67" s="237">
        <f>_xll.qlCalendarAdvance(Calendar,B67,NDays&amp;"D")</f>
        <v>41876</v>
      </c>
      <c r="D67" s="202">
        <v>3.0376611342473824E-3</v>
      </c>
      <c r="E67" s="202">
        <v>3.8964252334228178E-3</v>
      </c>
      <c r="U67" s="204"/>
    </row>
    <row r="68" spans="1:21" x14ac:dyDescent="0.2">
      <c r="A68" s="64" t="str">
        <f t="shared" si="0"/>
        <v>1D</v>
      </c>
      <c r="B68" s="203">
        <f>_xll.qlCalendarAdvance(Calendar,B67,A68,"f",FALSE)</f>
        <v>41873</v>
      </c>
      <c r="C68" s="237">
        <f>_xll.qlCalendarAdvance(Calendar,B68,NDays&amp;"D")</f>
        <v>41877</v>
      </c>
      <c r="D68" s="202">
        <v>3.0333655804729628E-3</v>
      </c>
      <c r="E68" s="202">
        <v>3.8797038302806897E-3</v>
      </c>
      <c r="U68" s="204"/>
    </row>
    <row r="69" spans="1:21" x14ac:dyDescent="0.2">
      <c r="A69" s="64" t="str">
        <f t="shared" si="0"/>
        <v>1D</v>
      </c>
      <c r="B69" s="203">
        <f>_xll.qlCalendarAdvance(Calendar,B68,A69,"f",FALSE)</f>
        <v>41876</v>
      </c>
      <c r="C69" s="237">
        <f>_xll.qlCalendarAdvance(Calendar,B69,NDays&amp;"D")</f>
        <v>41878</v>
      </c>
      <c r="D69" s="202">
        <v>3.0291345115368816E-3</v>
      </c>
      <c r="E69" s="202">
        <v>3.8629063028317034E-3</v>
      </c>
      <c r="U69" s="204"/>
    </row>
    <row r="70" spans="1:21" x14ac:dyDescent="0.2">
      <c r="A70" s="64" t="str">
        <f t="shared" si="0"/>
        <v>1D</v>
      </c>
      <c r="B70" s="203">
        <f>_xll.qlCalendarAdvance(Calendar,B69,A70,"f",FALSE)</f>
        <v>41877</v>
      </c>
      <c r="C70" s="237">
        <f>_xll.qlCalendarAdvance(Calendar,B70,NDays&amp;"D")</f>
        <v>41879</v>
      </c>
      <c r="D70" s="202">
        <v>3.0245459272588413E-3</v>
      </c>
      <c r="E70" s="202">
        <v>3.8460326511557952E-3</v>
      </c>
      <c r="U70" s="204"/>
    </row>
    <row r="71" spans="1:21" x14ac:dyDescent="0.2">
      <c r="A71" s="64" t="str">
        <f t="shared" ref="A71:A134" si="2">A70</f>
        <v>1D</v>
      </c>
      <c r="B71" s="203">
        <f>_xll.qlCalendarAdvance(Calendar,B70,A71,"f",FALSE)</f>
        <v>41878</v>
      </c>
      <c r="C71" s="237">
        <f>_xll.qlCalendarAdvance(Calendar,B71,NDays&amp;"D")</f>
        <v>41880</v>
      </c>
      <c r="D71" s="202">
        <v>3.0200000000001961E-3</v>
      </c>
      <c r="E71" s="202">
        <v>3.8129935666209036E-3</v>
      </c>
      <c r="U71" s="204"/>
    </row>
    <row r="72" spans="1:21" x14ac:dyDescent="0.2">
      <c r="A72" s="64" t="str">
        <f t="shared" si="2"/>
        <v>1D</v>
      </c>
      <c r="B72" s="203">
        <f>_xll.qlCalendarAdvance(Calendar,B71,A72,"f",FALSE)</f>
        <v>41879</v>
      </c>
      <c r="C72" s="237">
        <f>_xll.qlCalendarAdvance(Calendar,B72,NDays&amp;"D")</f>
        <v>41883</v>
      </c>
      <c r="D72" s="202">
        <v>3.0081625230648202E-3</v>
      </c>
      <c r="E72" s="202">
        <v>3.7815655253581326E-3</v>
      </c>
      <c r="U72" s="204"/>
    </row>
    <row r="73" spans="1:21" x14ac:dyDescent="0.2">
      <c r="A73" s="64" t="str">
        <f t="shared" si="2"/>
        <v>1D</v>
      </c>
      <c r="B73" s="203">
        <f>_xll.qlCalendarAdvance(Calendar,B72,A73,"f",FALSE)</f>
        <v>41880</v>
      </c>
      <c r="C73" s="237">
        <f>_xll.qlCalendarAdvance(Calendar,B73,NDays&amp;"D")</f>
        <v>41884</v>
      </c>
      <c r="D73" s="202">
        <v>3.0038580247290798E-3</v>
      </c>
      <c r="E73" s="202">
        <v>3.7667688023912405E-3</v>
      </c>
      <c r="U73" s="204"/>
    </row>
    <row r="74" spans="1:21" x14ac:dyDescent="0.2">
      <c r="A74" s="64" t="str">
        <f t="shared" si="2"/>
        <v>1D</v>
      </c>
      <c r="B74" s="203">
        <f>_xll.qlCalendarAdvance(Calendar,B73,A74,"f",FALSE)</f>
        <v>41883</v>
      </c>
      <c r="C74" s="237">
        <f>_xll.qlCalendarAdvance(Calendar,B74,NDays&amp;"D")</f>
        <v>41885</v>
      </c>
      <c r="D74" s="202">
        <v>3.0001209726407455E-3</v>
      </c>
      <c r="E74" s="202">
        <v>3.7525103426183648E-3</v>
      </c>
      <c r="U74" s="204"/>
    </row>
    <row r="75" spans="1:21" x14ac:dyDescent="0.2">
      <c r="A75" s="64" t="str">
        <f t="shared" si="2"/>
        <v>1D</v>
      </c>
      <c r="B75" s="203">
        <f>_xll.qlCalendarAdvance(Calendar,B74,A75,"f",FALSE)</f>
        <v>41884</v>
      </c>
      <c r="C75" s="237">
        <f>_xll.qlCalendarAdvance(Calendar,B75,NDays&amp;"D")</f>
        <v>41886</v>
      </c>
      <c r="D75" s="202">
        <v>2.9964553740086017E-3</v>
      </c>
      <c r="E75" s="202">
        <v>3.7387901459595696E-3</v>
      </c>
      <c r="U75" s="204"/>
    </row>
    <row r="76" spans="1:21" x14ac:dyDescent="0.2">
      <c r="A76" s="64" t="str">
        <f t="shared" si="2"/>
        <v>1D</v>
      </c>
      <c r="B76" s="203">
        <f>_xll.qlCalendarAdvance(Calendar,B75,A76,"f",FALSE)</f>
        <v>41885</v>
      </c>
      <c r="C76" s="237">
        <f>_xll.qlCalendarAdvance(Calendar,B76,NDays&amp;"D")</f>
        <v>41887</v>
      </c>
      <c r="D76" s="202">
        <v>2.9928612901754027E-3</v>
      </c>
      <c r="E76" s="202">
        <v>3.7131822606539799E-3</v>
      </c>
      <c r="U76" s="204"/>
    </row>
    <row r="77" spans="1:21" x14ac:dyDescent="0.2">
      <c r="A77" s="64" t="str">
        <f t="shared" si="2"/>
        <v>1D</v>
      </c>
      <c r="B77" s="203">
        <f>_xll.qlCalendarAdvance(Calendar,B76,A77,"f",FALSE)</f>
        <v>41886</v>
      </c>
      <c r="C77" s="237">
        <f>_xll.qlCalendarAdvance(Calendar,B77,NDays&amp;"D")</f>
        <v>41890</v>
      </c>
      <c r="D77" s="202">
        <v>2.9831332901543882E-3</v>
      </c>
      <c r="E77" s="202">
        <v>3.6892919879871755E-3</v>
      </c>
      <c r="U77" s="204"/>
    </row>
    <row r="78" spans="1:21" x14ac:dyDescent="0.2">
      <c r="A78" s="64" t="str">
        <f t="shared" si="2"/>
        <v>1D</v>
      </c>
      <c r="B78" s="203">
        <f>_xll.qlCalendarAdvance(Calendar,B77,A78,"f",FALSE)</f>
        <v>41887</v>
      </c>
      <c r="C78" s="237">
        <f>_xll.qlCalendarAdvance(Calendar,B78,NDays&amp;"D")</f>
        <v>41891</v>
      </c>
      <c r="D78" s="202">
        <v>2.9792013299300337E-3</v>
      </c>
      <c r="E78" s="202">
        <v>3.6782631056198056E-3</v>
      </c>
      <c r="U78" s="204"/>
    </row>
    <row r="79" spans="1:21" x14ac:dyDescent="0.2">
      <c r="A79" s="64" t="str">
        <f t="shared" si="2"/>
        <v>1D</v>
      </c>
      <c r="B79" s="203">
        <f>_xll.qlCalendarAdvance(Calendar,B78,A79,"f",FALSE)</f>
        <v>41890</v>
      </c>
      <c r="C79" s="237">
        <f>_xll.qlCalendarAdvance(Calendar,B79,NDays&amp;"D")</f>
        <v>41892</v>
      </c>
      <c r="D79" s="202">
        <v>2.9759657404797432E-3</v>
      </c>
      <c r="E79" s="202">
        <v>3.6677724858069638E-3</v>
      </c>
      <c r="U79" s="204"/>
    </row>
    <row r="80" spans="1:21" x14ac:dyDescent="0.2">
      <c r="A80" s="64" t="str">
        <f t="shared" si="2"/>
        <v>1D</v>
      </c>
      <c r="B80" s="203">
        <f>_xll.qlCalendarAdvance(Calendar,B79,A80,"f",FALSE)</f>
        <v>41891</v>
      </c>
      <c r="C80" s="237">
        <f>_xll.qlCalendarAdvance(Calendar,B80,NDays&amp;"D")</f>
        <v>41893</v>
      </c>
      <c r="D80" s="202">
        <v>2.9728020340359612E-3</v>
      </c>
      <c r="E80" s="202">
        <v>3.6578201287085221E-3</v>
      </c>
      <c r="U80" s="204"/>
    </row>
    <row r="81" spans="1:21" x14ac:dyDescent="0.2">
      <c r="A81" s="64" t="str">
        <f t="shared" si="2"/>
        <v>1D</v>
      </c>
      <c r="B81" s="203">
        <f>_xll.qlCalendarAdvance(Calendar,B80,A81,"f",FALSE)</f>
        <v>41892</v>
      </c>
      <c r="C81" s="237">
        <f>_xll.qlCalendarAdvance(Calendar,B81,NDays&amp;"D")</f>
        <v>41894</v>
      </c>
      <c r="D81" s="202">
        <v>2.969710271991347E-3</v>
      </c>
      <c r="E81" s="202">
        <v>3.6397464217508002E-3</v>
      </c>
      <c r="U81" s="204"/>
    </row>
    <row r="82" spans="1:21" x14ac:dyDescent="0.2">
      <c r="A82" s="64" t="str">
        <f t="shared" si="2"/>
        <v>1D</v>
      </c>
      <c r="B82" s="203">
        <f>_xll.qlCalendarAdvance(Calendar,B81,A82,"f",FALSE)</f>
        <v>41893</v>
      </c>
      <c r="C82" s="237">
        <f>_xll.qlCalendarAdvance(Calendar,B82,NDays&amp;"D")</f>
        <v>41897</v>
      </c>
      <c r="D82" s="202">
        <v>2.961749161420695E-3</v>
      </c>
      <c r="E82" s="202">
        <v>3.623393325939972E-3</v>
      </c>
      <c r="U82" s="204"/>
    </row>
    <row r="83" spans="1:21" x14ac:dyDescent="0.2">
      <c r="A83" s="64" t="str">
        <f t="shared" si="2"/>
        <v>1D</v>
      </c>
      <c r="B83" s="203">
        <f>_xll.qlCalendarAdvance(Calendar,B82,A83,"f",FALSE)</f>
        <v>41894</v>
      </c>
      <c r="C83" s="237">
        <f>_xll.qlCalendarAdvance(Calendar,B83,NDays&amp;"D")</f>
        <v>41898</v>
      </c>
      <c r="D83" s="202">
        <v>2.9580638959408297E-3</v>
      </c>
      <c r="E83" s="202">
        <v>3.6161322814542984E-3</v>
      </c>
      <c r="U83" s="204"/>
    </row>
    <row r="84" spans="1:21" x14ac:dyDescent="0.2">
      <c r="A84" s="64" t="str">
        <f t="shared" si="2"/>
        <v>1D</v>
      </c>
      <c r="B84" s="203">
        <f>_xll.qlCalendarAdvance(Calendar,B83,A84,"f",FALSE)</f>
        <v>41897</v>
      </c>
      <c r="C84" s="237">
        <f>_xll.qlCalendarAdvance(Calendar,B84,NDays&amp;"D")</f>
        <v>41899</v>
      </c>
      <c r="D84" s="202">
        <v>2.9553327770583996E-3</v>
      </c>
      <c r="E84" s="202">
        <v>3.6094094994432169E-3</v>
      </c>
      <c r="U84" s="204"/>
    </row>
    <row r="85" spans="1:21" x14ac:dyDescent="0.2">
      <c r="A85" s="64" t="str">
        <f t="shared" si="2"/>
        <v>1D</v>
      </c>
      <c r="B85" s="203">
        <f>_xll.qlCalendarAdvance(Calendar,B84,A85,"f",FALSE)</f>
        <v>41898</v>
      </c>
      <c r="C85" s="237">
        <f>_xll.qlCalendarAdvance(Calendar,B85,NDays&amp;"D")</f>
        <v>41900</v>
      </c>
      <c r="D85" s="202">
        <v>2.952673971093171E-3</v>
      </c>
      <c r="E85" s="202">
        <v>3.6032249797468552E-3</v>
      </c>
      <c r="U85" s="204"/>
    </row>
    <row r="86" spans="1:21" x14ac:dyDescent="0.2">
      <c r="A86" s="64" t="str">
        <f t="shared" si="2"/>
        <v>1D</v>
      </c>
      <c r="B86" s="203">
        <f>_xll.qlCalendarAdvance(Calendar,B85,A86,"f",FALSE)</f>
        <v>41899</v>
      </c>
      <c r="C86" s="237">
        <f>_xll.qlCalendarAdvance(Calendar,B86,NDays&amp;"D")</f>
        <v>41901</v>
      </c>
      <c r="D86" s="202">
        <v>2.9500875394921238E-3</v>
      </c>
      <c r="E86" s="202">
        <v>3.5926860015234041E-3</v>
      </c>
      <c r="U86" s="204"/>
    </row>
    <row r="87" spans="1:21" x14ac:dyDescent="0.2">
      <c r="A87" s="64" t="str">
        <f t="shared" si="2"/>
        <v>1D</v>
      </c>
      <c r="B87" s="203">
        <f>_xll.qlCalendarAdvance(Calendar,B86,A87,"f",FALSE)</f>
        <v>41900</v>
      </c>
      <c r="C87" s="237">
        <f>_xll.qlCalendarAdvance(Calendar,B87,NDays&amp;"D")</f>
        <v>41904</v>
      </c>
      <c r="D87" s="202">
        <v>2.9440310778621266E-3</v>
      </c>
      <c r="E87" s="202">
        <v>3.5838695245082874E-3</v>
      </c>
      <c r="U87" s="204"/>
    </row>
    <row r="88" spans="1:21" x14ac:dyDescent="0.2">
      <c r="A88" s="64" t="str">
        <f t="shared" si="2"/>
        <v>1D</v>
      </c>
      <c r="B88" s="203">
        <f>_xll.qlCalendarAdvance(Calendar,B87,A88,"f",FALSE)</f>
        <v>41901</v>
      </c>
      <c r="C88" s="237">
        <f>_xll.qlCalendarAdvance(Calendar,B88,NDays&amp;"D")</f>
        <v>41905</v>
      </c>
      <c r="D88" s="202">
        <v>2.9404667859051826E-3</v>
      </c>
      <c r="E88" s="202">
        <v>3.5803763163855251E-3</v>
      </c>
      <c r="U88" s="204"/>
    </row>
    <row r="89" spans="1:21" x14ac:dyDescent="0.2">
      <c r="A89" s="64" t="str">
        <f t="shared" si="2"/>
        <v>1D</v>
      </c>
      <c r="B89" s="203">
        <f>_xll.qlCalendarAdvance(Calendar,B88,A89,"f",FALSE)</f>
        <v>41904</v>
      </c>
      <c r="C89" s="237">
        <f>_xll.qlCalendarAdvance(Calendar,B89,NDays&amp;"D")</f>
        <v>41906</v>
      </c>
      <c r="D89" s="202">
        <v>2.938243148076176E-3</v>
      </c>
      <c r="E89" s="202">
        <v>3.5774213705774827E-3</v>
      </c>
      <c r="U89" s="204"/>
    </row>
    <row r="90" spans="1:21" x14ac:dyDescent="0.2">
      <c r="A90" s="64" t="str">
        <f t="shared" si="2"/>
        <v>1D</v>
      </c>
      <c r="B90" s="203">
        <f>_xll.qlCalendarAdvance(Calendar,B89,A90,"f",FALSE)</f>
        <v>41905</v>
      </c>
      <c r="C90" s="237">
        <f>_xll.qlCalendarAdvance(Calendar,B90,NDays&amp;"D")</f>
        <v>41907</v>
      </c>
      <c r="D90" s="202">
        <v>2.9360922534451537E-3</v>
      </c>
      <c r="E90" s="202">
        <v>3.575004687004224E-3</v>
      </c>
      <c r="U90" s="204"/>
    </row>
    <row r="91" spans="1:21" x14ac:dyDescent="0.2">
      <c r="A91" s="64" t="str">
        <f t="shared" si="2"/>
        <v>1D</v>
      </c>
      <c r="B91" s="203">
        <f>_xll.qlCalendarAdvance(Calendar,B90,A91,"f",FALSE)</f>
        <v>41906</v>
      </c>
      <c r="C91" s="237">
        <f>_xll.qlCalendarAdvance(Calendar,B91,NDays&amp;"D")</f>
        <v>41908</v>
      </c>
      <c r="D91" s="202">
        <v>2.9340141635125342E-3</v>
      </c>
      <c r="E91" s="202">
        <v>3.5720009689299559E-3</v>
      </c>
      <c r="U91" s="204"/>
    </row>
    <row r="92" spans="1:21" x14ac:dyDescent="0.2">
      <c r="A92" s="64" t="str">
        <f t="shared" si="2"/>
        <v>1D</v>
      </c>
      <c r="B92" s="203">
        <f>_xll.qlCalendarAdvance(Calendar,B91,A92,"f",FALSE)</f>
        <v>41907</v>
      </c>
      <c r="C92" s="237">
        <f>_xll.qlCalendarAdvance(Calendar,B92,NDays&amp;"D")</f>
        <v>41911</v>
      </c>
      <c r="D92" s="202">
        <v>2.929999999999914E-3</v>
      </c>
      <c r="E92" s="202">
        <v>3.5702710623919387E-3</v>
      </c>
      <c r="U92" s="204"/>
    </row>
    <row r="93" spans="1:21" x14ac:dyDescent="0.2">
      <c r="A93" s="64" t="str">
        <f t="shared" si="2"/>
        <v>1D</v>
      </c>
      <c r="B93" s="203">
        <f>_xll.qlCalendarAdvance(Calendar,B92,A93,"f",FALSE)</f>
        <v>41908</v>
      </c>
      <c r="C93" s="237">
        <f>_xll.qlCalendarAdvance(Calendar,B93,NDays&amp;"D")</f>
        <v>41912</v>
      </c>
      <c r="D93" s="202">
        <v>2.928297314339317E-3</v>
      </c>
      <c r="E93" s="202">
        <v>3.5678486143098098E-3</v>
      </c>
      <c r="U93" s="204"/>
    </row>
    <row r="94" spans="1:21" x14ac:dyDescent="0.2">
      <c r="A94" s="64" t="str">
        <f t="shared" si="2"/>
        <v>1D</v>
      </c>
      <c r="B94" s="203">
        <f>_xll.qlCalendarAdvance(Calendar,B93,A94,"f",FALSE)</f>
        <v>41911</v>
      </c>
      <c r="C94" s="237">
        <f>_xll.qlCalendarAdvance(Calendar,B94,NDays&amp;"D")</f>
        <v>41913</v>
      </c>
      <c r="D94" s="202">
        <v>2.9266676683172331E-3</v>
      </c>
      <c r="E94" s="202">
        <v>3.5632673528596115E-3</v>
      </c>
      <c r="U94" s="204"/>
    </row>
    <row r="95" spans="1:21" x14ac:dyDescent="0.2">
      <c r="A95" s="64" t="str">
        <f t="shared" si="2"/>
        <v>1D</v>
      </c>
      <c r="B95" s="203">
        <f>_xll.qlCalendarAdvance(Calendar,B94,A95,"f",FALSE)</f>
        <v>41912</v>
      </c>
      <c r="C95" s="237">
        <f>_xll.qlCalendarAdvance(Calendar,B95,NDays&amp;"D")</f>
        <v>41914</v>
      </c>
      <c r="D95" s="202">
        <v>2.9251084284362865E-3</v>
      </c>
      <c r="E95" s="202">
        <v>3.5565272781212798E-3</v>
      </c>
      <c r="U95" s="204"/>
    </row>
    <row r="96" spans="1:21" x14ac:dyDescent="0.2">
      <c r="A96" s="64" t="str">
        <f t="shared" si="2"/>
        <v>1D</v>
      </c>
      <c r="B96" s="203">
        <f>_xll.qlCalendarAdvance(Calendar,B95,A96,"f",FALSE)</f>
        <v>41913</v>
      </c>
      <c r="C96" s="237">
        <f>_xll.qlCalendarAdvance(Calendar,B96,NDays&amp;"D")</f>
        <v>41915</v>
      </c>
      <c r="D96" s="202">
        <v>2.9315205622726377E-3</v>
      </c>
      <c r="E96" s="202">
        <v>3.5358858134504345E-3</v>
      </c>
      <c r="U96" s="204"/>
    </row>
    <row r="97" spans="1:21" x14ac:dyDescent="0.2">
      <c r="A97" s="64" t="str">
        <f t="shared" si="2"/>
        <v>1D</v>
      </c>
      <c r="B97" s="203">
        <f>_xll.qlCalendarAdvance(Calendar,B96,A97,"f",FALSE)</f>
        <v>41914</v>
      </c>
      <c r="C97" s="237">
        <f>_xll.qlCalendarAdvance(Calendar,B97,NDays&amp;"D")</f>
        <v>41918</v>
      </c>
      <c r="D97" s="202">
        <v>2.9215268503263443E-3</v>
      </c>
      <c r="E97" s="202">
        <v>3.5079788492442532E-3</v>
      </c>
      <c r="U97" s="204"/>
    </row>
    <row r="98" spans="1:21" x14ac:dyDescent="0.2">
      <c r="A98" s="64" t="str">
        <f t="shared" si="2"/>
        <v>1D</v>
      </c>
      <c r="B98" s="203">
        <f>_xll.qlCalendarAdvance(Calendar,B97,A98,"f",FALSE)</f>
        <v>41915</v>
      </c>
      <c r="C98" s="237">
        <f>_xll.qlCalendarAdvance(Calendar,B98,NDays&amp;"D")</f>
        <v>41919</v>
      </c>
      <c r="D98" s="202">
        <v>2.918276149787514E-3</v>
      </c>
      <c r="E98" s="202">
        <v>3.4904447106232084E-3</v>
      </c>
      <c r="U98" s="204"/>
    </row>
    <row r="99" spans="1:21" x14ac:dyDescent="0.2">
      <c r="A99" s="64" t="str">
        <f t="shared" si="2"/>
        <v>1D</v>
      </c>
      <c r="B99" s="203">
        <f>_xll.qlCalendarAdvance(Calendar,B98,A99,"f",FALSE)</f>
        <v>41918</v>
      </c>
      <c r="C99" s="237">
        <f>_xll.qlCalendarAdvance(Calendar,B99,NDays&amp;"D")</f>
        <v>41920</v>
      </c>
      <c r="D99" s="202">
        <v>2.9170840441306877E-3</v>
      </c>
      <c r="E99" s="202">
        <v>3.4707517601528792E-3</v>
      </c>
      <c r="U99" s="204"/>
    </row>
    <row r="100" spans="1:21" x14ac:dyDescent="0.2">
      <c r="A100" s="64" t="str">
        <f t="shared" si="2"/>
        <v>1D</v>
      </c>
      <c r="B100" s="203">
        <f>_xll.qlCalendarAdvance(Calendar,B99,A100,"f",FALSE)</f>
        <v>41919</v>
      </c>
      <c r="C100" s="237">
        <f>_xll.qlCalendarAdvance(Calendar,B100,NDays&amp;"D")</f>
        <v>41921</v>
      </c>
      <c r="D100" s="202">
        <v>2.9159439105282143E-3</v>
      </c>
      <c r="E100" s="202">
        <v>3.4488999979132018E-3</v>
      </c>
      <c r="U100" s="204"/>
    </row>
    <row r="101" spans="1:21" x14ac:dyDescent="0.2">
      <c r="A101" s="64" t="str">
        <f t="shared" si="2"/>
        <v>1D</v>
      </c>
      <c r="B101" s="203">
        <f>_xll.qlCalendarAdvance(Calendar,B100,A101,"f",FALSE)</f>
        <v>41920</v>
      </c>
      <c r="C101" s="237">
        <f>_xll.qlCalendarAdvance(Calendar,B101,NDays&amp;"D")</f>
        <v>41922</v>
      </c>
      <c r="D101" s="202">
        <v>2.9148531155872488E-3</v>
      </c>
      <c r="E101" s="202">
        <v>3.3980325096116815E-3</v>
      </c>
      <c r="U101" s="204"/>
    </row>
    <row r="102" spans="1:21" x14ac:dyDescent="0.2">
      <c r="A102" s="64" t="str">
        <f t="shared" si="2"/>
        <v>1D</v>
      </c>
      <c r="B102" s="203">
        <f>_xll.qlCalendarAdvance(Calendar,B101,A102,"f",FALSE)</f>
        <v>41921</v>
      </c>
      <c r="C102" s="237">
        <f>_xll.qlCalendarAdvance(Calendar,B102,NDays&amp;"D")</f>
        <v>41925</v>
      </c>
      <c r="D102" s="202">
        <v>2.911850428936279E-3</v>
      </c>
      <c r="E102" s="202">
        <v>3.3399048413329524E-3</v>
      </c>
      <c r="U102" s="204"/>
    </row>
    <row r="103" spans="1:21" x14ac:dyDescent="0.2">
      <c r="A103" s="64" t="str">
        <f t="shared" si="2"/>
        <v>1D</v>
      </c>
      <c r="B103" s="203">
        <f>_xll.qlCalendarAdvance(Calendar,B102,A103,"f",FALSE)</f>
        <v>41922</v>
      </c>
      <c r="C103" s="237">
        <f>_xll.qlCalendarAdvance(Calendar,B103,NDays&amp;"D")</f>
        <v>41926</v>
      </c>
      <c r="D103" s="202">
        <v>2.9109306548868274E-3</v>
      </c>
      <c r="E103" s="202">
        <v>3.3072590277605229E-3</v>
      </c>
      <c r="U103" s="204"/>
    </row>
    <row r="104" spans="1:21" x14ac:dyDescent="0.2">
      <c r="A104" s="64" t="str">
        <f t="shared" si="2"/>
        <v>1D</v>
      </c>
      <c r="B104" s="203">
        <f>_xll.qlCalendarAdvance(Calendar,B103,A104,"f",FALSE)</f>
        <v>41925</v>
      </c>
      <c r="C104" s="237">
        <f>_xll.qlCalendarAdvance(Calendar,B104,NDays&amp;"D")</f>
        <v>41927</v>
      </c>
      <c r="D104" s="202">
        <v>2.9100470526629112E-3</v>
      </c>
      <c r="E104" s="202">
        <v>3.2724544053763793E-3</v>
      </c>
      <c r="U104" s="204"/>
    </row>
    <row r="105" spans="1:21" x14ac:dyDescent="0.2">
      <c r="A105" s="64" t="str">
        <f t="shared" si="2"/>
        <v>1D</v>
      </c>
      <c r="B105" s="203">
        <f>_xll.qlCalendarAdvance(Calendar,B104,A105,"f",FALSE)</f>
        <v>41926</v>
      </c>
      <c r="C105" s="237">
        <f>_xll.qlCalendarAdvance(Calendar,B105,NDays&amp;"D")</f>
        <v>41928</v>
      </c>
      <c r="D105" s="202">
        <v>2.9091969889195588E-3</v>
      </c>
      <c r="E105" s="202">
        <v>3.2354909750598182E-3</v>
      </c>
      <c r="U105" s="204"/>
    </row>
    <row r="106" spans="1:21" x14ac:dyDescent="0.2">
      <c r="A106" s="64" t="str">
        <f t="shared" si="2"/>
        <v>1D</v>
      </c>
      <c r="B106" s="203">
        <f>_xll.qlCalendarAdvance(Calendar,B105,A106,"f",FALSE)</f>
        <v>41927</v>
      </c>
      <c r="C106" s="237">
        <f>_xll.qlCalendarAdvance(Calendar,B106,NDays&amp;"D")</f>
        <v>41929</v>
      </c>
      <c r="D106" s="202">
        <v>2.9083778303179491E-3</v>
      </c>
      <c r="E106" s="202">
        <v>3.1543957282487156E-3</v>
      </c>
      <c r="U106" s="204"/>
    </row>
    <row r="107" spans="1:21" x14ac:dyDescent="0.2">
      <c r="A107" s="64" t="str">
        <f t="shared" si="2"/>
        <v>1D</v>
      </c>
      <c r="B107" s="203">
        <f>_xll.qlCalendarAdvance(Calendar,B106,A107,"f",FALSE)</f>
        <v>41928</v>
      </c>
      <c r="C107" s="237">
        <f>_xll.qlCalendarAdvance(Calendar,B107,NDays&amp;"D")</f>
        <v>41932</v>
      </c>
      <c r="D107" s="202">
        <v>2.906079452066274E-3</v>
      </c>
      <c r="E107" s="202">
        <v>3.0660491868594875E-3</v>
      </c>
      <c r="U107" s="204"/>
    </row>
    <row r="108" spans="1:21" x14ac:dyDescent="0.2">
      <c r="A108" s="64" t="str">
        <f t="shared" si="2"/>
        <v>1D</v>
      </c>
      <c r="B108" s="203">
        <f>_xll.qlCalendarAdvance(Calendar,B107,A108,"f",FALSE)</f>
        <v>41929</v>
      </c>
      <c r="C108" s="237">
        <f>_xll.qlCalendarAdvance(Calendar,B108,NDays&amp;"D")</f>
        <v>41933</v>
      </c>
      <c r="D108" s="202">
        <v>2.9053575807598069E-3</v>
      </c>
      <c r="E108" s="202">
        <v>3.018291726952782E-3</v>
      </c>
      <c r="U108" s="204"/>
    </row>
    <row r="109" spans="1:21" x14ac:dyDescent="0.2">
      <c r="A109" s="64" t="str">
        <f t="shared" si="2"/>
        <v>1D</v>
      </c>
      <c r="B109" s="203">
        <f>_xll.qlCalendarAdvance(Calendar,B108,A109,"f",FALSE)</f>
        <v>41932</v>
      </c>
      <c r="C109" s="237">
        <f>_xll.qlCalendarAdvance(Calendar,B109,NDays&amp;"D")</f>
        <v>41934</v>
      </c>
      <c r="D109" s="202">
        <v>2.9046534479839846E-3</v>
      </c>
      <c r="E109" s="202">
        <v>2.9683754635101423E-3</v>
      </c>
      <c r="U109" s="204"/>
    </row>
    <row r="110" spans="1:21" x14ac:dyDescent="0.2">
      <c r="A110" s="64" t="str">
        <f t="shared" si="2"/>
        <v>1D</v>
      </c>
      <c r="B110" s="203">
        <f>_xll.qlCalendarAdvance(Calendar,B109,A110,"f",FALSE)</f>
        <v>41933</v>
      </c>
      <c r="C110" s="237">
        <f>_xll.qlCalendarAdvance(Calendar,B110,NDays&amp;"D")</f>
        <v>41935</v>
      </c>
      <c r="D110" s="202">
        <v>2.9039644204307295E-3</v>
      </c>
      <c r="E110" s="202">
        <v>2.9163003976506729E-3</v>
      </c>
      <c r="U110" s="204"/>
    </row>
    <row r="111" spans="1:21" x14ac:dyDescent="0.2">
      <c r="A111" s="64" t="str">
        <f t="shared" si="2"/>
        <v>1D</v>
      </c>
      <c r="B111" s="203">
        <f>_xll.qlCalendarAdvance(Calendar,B110,A111,"f",FALSE)</f>
        <v>41934</v>
      </c>
      <c r="C111" s="237">
        <f>_xll.qlCalendarAdvance(Calendar,B111,NDays&amp;"D")</f>
        <v>41936</v>
      </c>
      <c r="D111" s="202">
        <v>2.903287864795039E-3</v>
      </c>
      <c r="E111" s="202">
        <v>2.804976113672808E-3</v>
      </c>
      <c r="U111" s="204"/>
    </row>
    <row r="112" spans="1:21" x14ac:dyDescent="0.2">
      <c r="A112" s="64" t="str">
        <f t="shared" si="2"/>
        <v>1D</v>
      </c>
      <c r="B112" s="203">
        <f>_xll.qlCalendarAdvance(Calendar,B111,A112,"f",FALSE)</f>
        <v>41935</v>
      </c>
      <c r="C112" s="237">
        <f>_xll.qlCalendarAdvance(Calendar,B112,NDays&amp;"D")</f>
        <v>41939</v>
      </c>
      <c r="D112" s="202">
        <v>2.901306696410528E-3</v>
      </c>
      <c r="E112" s="202">
        <v>2.6864121271508168E-3</v>
      </c>
      <c r="U112" s="204"/>
    </row>
    <row r="113" spans="1:21" x14ac:dyDescent="0.2">
      <c r="A113" s="64" t="str">
        <f t="shared" si="2"/>
        <v>1D</v>
      </c>
      <c r="B113" s="203">
        <f>_xll.qlCalendarAdvance(Calendar,B112,A113,"f",FALSE)</f>
        <v>41936</v>
      </c>
      <c r="C113" s="237">
        <f>_xll.qlCalendarAdvance(Calendar,B113,NDays&amp;"D")</f>
        <v>41940</v>
      </c>
      <c r="D113" s="202">
        <v>2.900653695479398E-3</v>
      </c>
      <c r="E113" s="202">
        <v>2.6235430630361378E-3</v>
      </c>
      <c r="U113" s="204"/>
    </row>
    <row r="114" spans="1:21" x14ac:dyDescent="0.2">
      <c r="A114" s="64" t="str">
        <f t="shared" si="2"/>
        <v>1D</v>
      </c>
      <c r="B114" s="203">
        <f>_xll.qlCalendarAdvance(Calendar,B113,A114,"f",FALSE)</f>
        <v>41939</v>
      </c>
      <c r="C114" s="237">
        <f>_xll.qlCalendarAdvance(Calendar,B114,NDays&amp;"D")</f>
        <v>41941</v>
      </c>
      <c r="D114" s="202">
        <v>2.9000000000001126E-3</v>
      </c>
      <c r="E114" s="202">
        <v>2.5592674251839753E-3</v>
      </c>
      <c r="U114" s="204"/>
    </row>
    <row r="115" spans="1:21" x14ac:dyDescent="0.2">
      <c r="A115" s="64" t="str">
        <f t="shared" si="2"/>
        <v>1D</v>
      </c>
      <c r="B115" s="203">
        <f>_xll.qlCalendarAdvance(Calendar,B114,A115,"f",FALSE)</f>
        <v>41940</v>
      </c>
      <c r="C115" s="237">
        <f>_xll.qlCalendarAdvance(Calendar,B115,NDays&amp;"D")</f>
        <v>41942</v>
      </c>
      <c r="D115" s="202">
        <v>2.8993438283564988E-3</v>
      </c>
      <c r="E115" s="202">
        <v>2.4965941037713435E-3</v>
      </c>
      <c r="U115" s="204"/>
    </row>
    <row r="116" spans="1:21" x14ac:dyDescent="0.2">
      <c r="A116" s="64" t="str">
        <f t="shared" si="2"/>
        <v>1D</v>
      </c>
      <c r="B116" s="203">
        <f>_xll.qlCalendarAdvance(Calendar,B115,A116,"f",FALSE)</f>
        <v>41941</v>
      </c>
      <c r="C116" s="237">
        <f>_xll.qlCalendarAdvance(Calendar,B116,NDays&amp;"D")</f>
        <v>41943</v>
      </c>
      <c r="D116" s="202">
        <v>2.9015488427630025E-3</v>
      </c>
      <c r="E116" s="202">
        <v>2.3791116387883449E-3</v>
      </c>
      <c r="U116" s="204"/>
    </row>
    <row r="117" spans="1:21" x14ac:dyDescent="0.2">
      <c r="A117" s="64" t="str">
        <f t="shared" si="2"/>
        <v>1D</v>
      </c>
      <c r="B117" s="203">
        <f>_xll.qlCalendarAdvance(Calendar,B116,A117,"f",FALSE)</f>
        <v>41942</v>
      </c>
      <c r="C117" s="237">
        <f>_xll.qlCalendarAdvance(Calendar,B117,NDays&amp;"D")</f>
        <v>41946</v>
      </c>
      <c r="D117" s="202">
        <v>2.8967353977364281E-3</v>
      </c>
      <c r="E117" s="202">
        <v>2.2694461870553795E-3</v>
      </c>
      <c r="U117" s="204"/>
    </row>
    <row r="118" spans="1:21" x14ac:dyDescent="0.2">
      <c r="A118" s="64" t="str">
        <f t="shared" si="2"/>
        <v>1D</v>
      </c>
      <c r="B118" s="203">
        <f>_xll.qlCalendarAdvance(Calendar,B117,A118,"f",FALSE)</f>
        <v>41943</v>
      </c>
      <c r="C118" s="237">
        <f>_xll.qlCalendarAdvance(Calendar,B118,NDays&amp;"D")</f>
        <v>41947</v>
      </c>
      <c r="D118" s="202">
        <v>2.9001828011808307E-3</v>
      </c>
      <c r="E118" s="202">
        <v>2.2185455444745372E-3</v>
      </c>
      <c r="U118" s="204"/>
    </row>
    <row r="119" spans="1:21" x14ac:dyDescent="0.2">
      <c r="A119" s="64" t="str">
        <f t="shared" si="2"/>
        <v>1D</v>
      </c>
      <c r="B119" s="203">
        <f>_xll.qlCalendarAdvance(Calendar,B118,A119,"f",FALSE)</f>
        <v>41946</v>
      </c>
      <c r="C119" s="237">
        <f>_xll.qlCalendarAdvance(Calendar,B119,NDays&amp;"D")</f>
        <v>41948</v>
      </c>
      <c r="D119" s="202">
        <v>2.8998252603993188E-3</v>
      </c>
      <c r="E119" s="202">
        <v>2.1699994344626106E-3</v>
      </c>
      <c r="U119" s="204"/>
    </row>
    <row r="120" spans="1:21" x14ac:dyDescent="0.2">
      <c r="A120" s="64" t="str">
        <f t="shared" si="2"/>
        <v>1D</v>
      </c>
      <c r="B120" s="203">
        <f>_xll.qlCalendarAdvance(Calendar,B119,A120,"f",FALSE)</f>
        <v>41947</v>
      </c>
      <c r="C120" s="237">
        <f>_xll.qlCalendarAdvance(Calendar,B120,NDays&amp;"D")</f>
        <v>41949</v>
      </c>
      <c r="D120" s="202">
        <v>2.8994662882231353E-3</v>
      </c>
      <c r="E120" s="202">
        <v>2.1238078559804308E-3</v>
      </c>
      <c r="U120" s="204"/>
    </row>
    <row r="121" spans="1:21" x14ac:dyDescent="0.2">
      <c r="A121" s="64" t="str">
        <f t="shared" si="2"/>
        <v>1D</v>
      </c>
      <c r="B121" s="203">
        <f>_xll.qlCalendarAdvance(Calendar,B120,A121,"f",FALSE)</f>
        <v>41948</v>
      </c>
      <c r="C121" s="237">
        <f>_xll.qlCalendarAdvance(Calendar,B121,NDays&amp;"D")</f>
        <v>41950</v>
      </c>
      <c r="D121" s="202">
        <v>2.8991083750305713E-3</v>
      </c>
      <c r="E121" s="202">
        <v>2.0392846836791989E-3</v>
      </c>
      <c r="U121" s="204"/>
    </row>
    <row r="122" spans="1:21" x14ac:dyDescent="0.2">
      <c r="A122" s="64" t="str">
        <f t="shared" si="2"/>
        <v>1D</v>
      </c>
      <c r="B122" s="203">
        <f>_xll.qlCalendarAdvance(Calendar,B121,A122,"f",FALSE)</f>
        <v>41949</v>
      </c>
      <c r="C122" s="237">
        <f>_xll.qlCalendarAdvance(Calendar,B122,NDays&amp;"D")</f>
        <v>41953</v>
      </c>
      <c r="D122" s="202">
        <v>2.8926146418170808E-3</v>
      </c>
      <c r="E122" s="202">
        <v>1.9625868409622882E-3</v>
      </c>
      <c r="U122" s="204"/>
    </row>
    <row r="123" spans="1:21" x14ac:dyDescent="0.2">
      <c r="A123" s="64" t="str">
        <f t="shared" si="2"/>
        <v>1D</v>
      </c>
      <c r="B123" s="203">
        <f>_xll.qlCalendarAdvance(Calendar,B122,A123,"f",FALSE)</f>
        <v>41950</v>
      </c>
      <c r="C123" s="237">
        <f>_xll.qlCalendarAdvance(Calendar,B123,NDays&amp;"D")</f>
        <v>41954</v>
      </c>
      <c r="D123" s="202">
        <v>2.8977371195691264E-3</v>
      </c>
      <c r="E123" s="202">
        <v>1.9281679079785619E-3</v>
      </c>
      <c r="U123" s="204"/>
    </row>
    <row r="124" spans="1:21" x14ac:dyDescent="0.2">
      <c r="A124" s="64" t="str">
        <f t="shared" si="2"/>
        <v>1D</v>
      </c>
      <c r="B124" s="203">
        <f>_xll.qlCalendarAdvance(Calendar,B123,A124,"f",FALSE)</f>
        <v>41953</v>
      </c>
      <c r="C124" s="237">
        <f>_xll.qlCalendarAdvance(Calendar,B124,NDays&amp;"D")</f>
        <v>41955</v>
      </c>
      <c r="D124" s="202">
        <v>2.8974218568864262E-3</v>
      </c>
      <c r="E124" s="202">
        <v>1.896103501808355E-3</v>
      </c>
      <c r="U124" s="204"/>
    </row>
    <row r="125" spans="1:21" x14ac:dyDescent="0.2">
      <c r="A125" s="64" t="str">
        <f t="shared" si="2"/>
        <v>1D</v>
      </c>
      <c r="B125" s="203">
        <f>_xll.qlCalendarAdvance(Calendar,B124,A125,"f",FALSE)</f>
        <v>41954</v>
      </c>
      <c r="C125" s="237">
        <f>_xll.qlCalendarAdvance(Calendar,B125,NDays&amp;"D")</f>
        <v>41956</v>
      </c>
      <c r="D125" s="202">
        <v>2.8971225954142485E-3</v>
      </c>
      <c r="E125" s="202">
        <v>1.866393621812179E-3</v>
      </c>
      <c r="U125" s="204"/>
    </row>
    <row r="126" spans="1:21" x14ac:dyDescent="0.2">
      <c r="A126" s="64" t="str">
        <f t="shared" si="2"/>
        <v>1D</v>
      </c>
      <c r="B126" s="203">
        <f>_xll.qlCalendarAdvance(Calendar,B125,A126,"f",FALSE)</f>
        <v>41955</v>
      </c>
      <c r="C126" s="237">
        <f>_xll.qlCalendarAdvance(Calendar,B126,NDays&amp;"D")</f>
        <v>41957</v>
      </c>
      <c r="D126" s="202">
        <v>2.896841825518518E-3</v>
      </c>
      <c r="E126" s="202">
        <v>1.8148314283106259E-3</v>
      </c>
      <c r="U126" s="204"/>
    </row>
    <row r="127" spans="1:21" x14ac:dyDescent="0.2">
      <c r="A127" s="64" t="str">
        <f t="shared" si="2"/>
        <v>1D</v>
      </c>
      <c r="B127" s="203">
        <f>_xll.qlCalendarAdvance(Calendar,B126,A127,"f",FALSE)</f>
        <v>41956</v>
      </c>
      <c r="C127" s="237">
        <f>_xll.qlCalendarAdvance(Calendar,B127,NDays&amp;"D")</f>
        <v>41960</v>
      </c>
      <c r="D127" s="202">
        <v>2.8897871208788152E-3</v>
      </c>
      <c r="E127" s="202">
        <v>1.771099353575778E-3</v>
      </c>
      <c r="U127" s="204"/>
    </row>
    <row r="128" spans="1:21" x14ac:dyDescent="0.2">
      <c r="A128" s="64" t="str">
        <f t="shared" si="2"/>
        <v>1D</v>
      </c>
      <c r="B128" s="203">
        <f>_xll.qlCalendarAdvance(Calendar,B127,A128,"f",FALSE)</f>
        <v>41957</v>
      </c>
      <c r="C128" s="237">
        <f>_xll.qlCalendarAdvance(Calendar,B128,NDays&amp;"D")</f>
        <v>41961</v>
      </c>
      <c r="D128" s="202">
        <v>2.8959534689969135E-3</v>
      </c>
      <c r="E128" s="202">
        <v>1.7531620970157036E-3</v>
      </c>
      <c r="U128" s="204"/>
    </row>
    <row r="129" spans="1:21" x14ac:dyDescent="0.2">
      <c r="A129" s="64" t="str">
        <f t="shared" si="2"/>
        <v>1D</v>
      </c>
      <c r="B129" s="203">
        <f>_xll.qlCalendarAdvance(Calendar,B128,A129,"f",FALSE)</f>
        <v>41960</v>
      </c>
      <c r="C129" s="237">
        <f>_xll.qlCalendarAdvance(Calendar,B129,NDays&amp;"D")</f>
        <v>41962</v>
      </c>
      <c r="D129" s="202">
        <v>2.8958025124537364E-3</v>
      </c>
      <c r="E129" s="202">
        <v>1.7375793639118342E-3</v>
      </c>
      <c r="U129" s="204"/>
    </row>
    <row r="130" spans="1:21" x14ac:dyDescent="0.2">
      <c r="A130" s="64" t="str">
        <f t="shared" si="2"/>
        <v>1D</v>
      </c>
      <c r="B130" s="203">
        <f>_xll.qlCalendarAdvance(Calendar,B129,A130,"f",FALSE)</f>
        <v>41961</v>
      </c>
      <c r="C130" s="237">
        <f>_xll.qlCalendarAdvance(Calendar,B130,NDays&amp;"D")</f>
        <v>41963</v>
      </c>
      <c r="D130" s="202">
        <v>2.8956849896746039E-3</v>
      </c>
      <c r="E130" s="202">
        <v>1.7243511539444256E-3</v>
      </c>
      <c r="U130" s="204"/>
    </row>
    <row r="131" spans="1:21" x14ac:dyDescent="0.2">
      <c r="A131" s="64" t="str">
        <f t="shared" si="2"/>
        <v>1D</v>
      </c>
      <c r="B131" s="203">
        <f>_xll.qlCalendarAdvance(Calendar,B130,A131,"f",FALSE)</f>
        <v>41962</v>
      </c>
      <c r="C131" s="237">
        <f>_xll.qlCalendarAdvance(Calendar,B131,NDays&amp;"D")</f>
        <v>41964</v>
      </c>
      <c r="D131" s="202">
        <v>2.8956033910258819E-3</v>
      </c>
      <c r="E131" s="202">
        <v>1.7057512252804941E-3</v>
      </c>
      <c r="U131" s="204"/>
    </row>
    <row r="132" spans="1:21" x14ac:dyDescent="0.2">
      <c r="A132" s="64" t="str">
        <f t="shared" si="2"/>
        <v>1D</v>
      </c>
      <c r="B132" s="203">
        <f>_xll.qlCalendarAdvance(Calendar,B131,A132,"f",FALSE)</f>
        <v>41963</v>
      </c>
      <c r="C132" s="237">
        <f>_xll.qlCalendarAdvance(Calendar,B132,NDays&amp;"D")</f>
        <v>41967</v>
      </c>
      <c r="D132" s="202">
        <v>2.8891023374198669E-3</v>
      </c>
      <c r="E132" s="202">
        <v>1.6949835408031078E-3</v>
      </c>
      <c r="U132" s="204"/>
    </row>
    <row r="133" spans="1:21" x14ac:dyDescent="0.2">
      <c r="A133" s="64" t="str">
        <f t="shared" si="2"/>
        <v>1D</v>
      </c>
      <c r="B133" s="203">
        <f>_xll.qlCalendarAdvance(Calendar,B132,A133,"f",FALSE)</f>
        <v>41964</v>
      </c>
      <c r="C133" s="237">
        <f>_xll.qlCalendarAdvance(Calendar,B133,NDays&amp;"D")</f>
        <v>41968</v>
      </c>
      <c r="D133" s="202">
        <v>2.8956860451145382E-3</v>
      </c>
      <c r="E133" s="202">
        <v>1.693527943560369E-3</v>
      </c>
      <c r="U133" s="204"/>
    </row>
    <row r="134" spans="1:21" x14ac:dyDescent="0.2">
      <c r="A134" s="64" t="str">
        <f t="shared" si="2"/>
        <v>1D</v>
      </c>
      <c r="B134" s="203">
        <f>_xll.qlCalendarAdvance(Calendar,B133,A134,"f",FALSE)</f>
        <v>41967</v>
      </c>
      <c r="C134" s="237">
        <f>_xll.qlCalendarAdvance(Calendar,B134,NDays&amp;"D")</f>
        <v>41969</v>
      </c>
      <c r="D134" s="202">
        <v>2.89582142267475E-3</v>
      </c>
      <c r="E134" s="202">
        <v>1.6944268684149222E-3</v>
      </c>
      <c r="U134" s="204"/>
    </row>
    <row r="135" spans="1:21" x14ac:dyDescent="0.2">
      <c r="A135" s="64" t="str">
        <f t="shared" ref="A135:A198" si="3">A134</f>
        <v>1D</v>
      </c>
      <c r="B135" s="203">
        <f>_xll.qlCalendarAdvance(Calendar,B134,A135,"f",FALSE)</f>
        <v>41968</v>
      </c>
      <c r="C135" s="237">
        <f>_xll.qlCalendarAdvance(Calendar,B135,NDays&amp;"D")</f>
        <v>41970</v>
      </c>
      <c r="D135" s="202">
        <v>2.8960076666094993E-3</v>
      </c>
      <c r="E135" s="202">
        <v>1.6976803156865117E-3</v>
      </c>
      <c r="U135" s="204"/>
    </row>
    <row r="136" spans="1:21" x14ac:dyDescent="0.2">
      <c r="A136" s="64" t="str">
        <f t="shared" si="3"/>
        <v>1D</v>
      </c>
      <c r="B136" s="203">
        <f>_xll.qlCalendarAdvance(Calendar,B135,A136,"f",FALSE)</f>
        <v>41969</v>
      </c>
      <c r="C136" s="237">
        <f>_xll.qlCalendarAdvance(Calendar,B136,NDays&amp;"D")</f>
        <v>41971</v>
      </c>
      <c r="D136" s="202">
        <v>2.8900000014091616E-3</v>
      </c>
      <c r="E136" s="202">
        <v>1.7120437599871252E-3</v>
      </c>
      <c r="U136" s="204"/>
    </row>
    <row r="137" spans="1:21" x14ac:dyDescent="0.2">
      <c r="A137" s="64" t="str">
        <f t="shared" si="3"/>
        <v>1D</v>
      </c>
      <c r="B137" s="203">
        <f>_xll.qlCalendarAdvance(Calendar,B136,A137,"f",FALSE)</f>
        <v>41970</v>
      </c>
      <c r="C137" s="237">
        <f>_xll.qlCalendarAdvance(Calendar,B137,NDays&amp;"D")</f>
        <v>41974</v>
      </c>
      <c r="D137" s="202">
        <v>2.8913848270268566E-3</v>
      </c>
      <c r="E137" s="202">
        <v>1.7342393294228486E-3</v>
      </c>
      <c r="U137" s="204"/>
    </row>
    <row r="138" spans="1:21" x14ac:dyDescent="0.2">
      <c r="A138" s="64" t="str">
        <f t="shared" si="3"/>
        <v>1D</v>
      </c>
      <c r="B138" s="203">
        <f>_xll.qlCalendarAdvance(Calendar,B137,A138,"f",FALSE)</f>
        <v>41971</v>
      </c>
      <c r="C138" s="237">
        <f>_xll.qlCalendarAdvance(Calendar,B138,NDays&amp;"D")</f>
        <v>41975</v>
      </c>
      <c r="D138" s="202">
        <v>2.8919740438134271E-3</v>
      </c>
      <c r="E138" s="202">
        <v>1.7492653899786603E-3</v>
      </c>
      <c r="U138" s="204"/>
    </row>
    <row r="139" spans="1:21" x14ac:dyDescent="0.2">
      <c r="A139" s="64" t="str">
        <f t="shared" si="3"/>
        <v>1D</v>
      </c>
      <c r="B139" s="203">
        <f>_xll.qlCalendarAdvance(Calendar,B138,A139,"f",FALSE)</f>
        <v>41974</v>
      </c>
      <c r="C139" s="237">
        <f>_xll.qlCalendarAdvance(Calendar,B139,NDays&amp;"D")</f>
        <v>41976</v>
      </c>
      <c r="D139" s="202">
        <v>2.892621944050185E-3</v>
      </c>
      <c r="E139" s="202">
        <v>1.766645973910741E-3</v>
      </c>
      <c r="U139" s="204"/>
    </row>
    <row r="140" spans="1:21" x14ac:dyDescent="0.2">
      <c r="A140" s="64" t="str">
        <f t="shared" si="3"/>
        <v>1D</v>
      </c>
      <c r="B140" s="203">
        <f>_xll.qlCalendarAdvance(Calendar,B139,A140,"f",FALSE)</f>
        <v>41975</v>
      </c>
      <c r="C140" s="237">
        <f>_xll.qlCalendarAdvance(Calendar,B140,NDays&amp;"D")</f>
        <v>41977</v>
      </c>
      <c r="D140" s="202">
        <v>2.8933254553363346E-3</v>
      </c>
      <c r="E140" s="202">
        <v>1.7863810814588987E-3</v>
      </c>
      <c r="U140" s="204"/>
    </row>
    <row r="141" spans="1:21" x14ac:dyDescent="0.2">
      <c r="A141" s="64" t="str">
        <f t="shared" si="3"/>
        <v>1D</v>
      </c>
      <c r="B141" s="203">
        <f>_xll.qlCalendarAdvance(Calendar,B140,A141,"f",FALSE)</f>
        <v>41976</v>
      </c>
      <c r="C141" s="237">
        <f>_xll.qlCalendarAdvance(Calendar,B141,NDays&amp;"D")</f>
        <v>41978</v>
      </c>
      <c r="D141" s="202">
        <v>2.8940815052702022E-3</v>
      </c>
      <c r="E141" s="202">
        <v>1.8337090505760045E-3</v>
      </c>
      <c r="U141" s="204"/>
    </row>
    <row r="142" spans="1:21" x14ac:dyDescent="0.2">
      <c r="A142" s="64" t="str">
        <f t="shared" si="3"/>
        <v>1D</v>
      </c>
      <c r="B142" s="203">
        <f>_xll.qlCalendarAdvance(Calendar,B141,A142,"f",FALSE)</f>
        <v>41977</v>
      </c>
      <c r="C142" s="237">
        <f>_xll.qlCalendarAdvance(Calendar,B142,NDays&amp;"D")</f>
        <v>41981</v>
      </c>
      <c r="D142" s="202">
        <v>2.8966341629422542E-3</v>
      </c>
      <c r="E142" s="202">
        <v>1.8888667572447559E-3</v>
      </c>
      <c r="U142" s="204"/>
    </row>
    <row r="143" spans="1:21" x14ac:dyDescent="0.2">
      <c r="A143" s="64" t="str">
        <f t="shared" si="3"/>
        <v>1D</v>
      </c>
      <c r="B143" s="203">
        <f>_xll.qlCalendarAdvance(Calendar,B142,A143,"f",FALSE)</f>
        <v>41978</v>
      </c>
      <c r="C143" s="237">
        <f>_xll.qlCalendarAdvance(Calendar,B143,NDays&amp;"D")</f>
        <v>41982</v>
      </c>
      <c r="D143" s="202">
        <v>2.8975696434410335E-3</v>
      </c>
      <c r="E143" s="202">
        <v>1.9203744901474806E-3</v>
      </c>
      <c r="U143" s="204"/>
    </row>
    <row r="144" spans="1:21" x14ac:dyDescent="0.2">
      <c r="A144" s="64" t="str">
        <f t="shared" si="3"/>
        <v>1D</v>
      </c>
      <c r="B144" s="203">
        <f>_xll.qlCalendarAdvance(Calendar,B143,A144,"f",FALSE)</f>
        <v>41981</v>
      </c>
      <c r="C144" s="237">
        <f>_xll.qlCalendarAdvance(Calendar,B144,NDays&amp;"D")</f>
        <v>41983</v>
      </c>
      <c r="D144" s="202">
        <v>2.8985423005629114E-3</v>
      </c>
      <c r="E144" s="202">
        <v>1.9542367496239166E-3</v>
      </c>
      <c r="U144" s="204"/>
    </row>
    <row r="145" spans="1:21" x14ac:dyDescent="0.2">
      <c r="A145" s="64" t="str">
        <f t="shared" si="3"/>
        <v>1D</v>
      </c>
      <c r="B145" s="203">
        <f>_xll.qlCalendarAdvance(Calendar,B144,A145,"f",FALSE)</f>
        <v>41982</v>
      </c>
      <c r="C145" s="237">
        <f>_xll.qlCalendarAdvance(Calendar,B145,NDays&amp;"D")</f>
        <v>41984</v>
      </c>
      <c r="D145" s="202">
        <v>2.8995490618947948E-3</v>
      </c>
      <c r="E145" s="202">
        <v>1.9904535365533604E-3</v>
      </c>
      <c r="U145" s="204"/>
    </row>
    <row r="146" spans="1:21" x14ac:dyDescent="0.2">
      <c r="A146" s="64" t="str">
        <f t="shared" si="3"/>
        <v>1D</v>
      </c>
      <c r="B146" s="203">
        <f>_xll.qlCalendarAdvance(Calendar,B145,A146,"f",FALSE)</f>
        <v>41983</v>
      </c>
      <c r="C146" s="237">
        <f>_xll.qlCalendarAdvance(Calendar,B146,NDays&amp;"D")</f>
        <v>41985</v>
      </c>
      <c r="D146" s="202">
        <v>2.9005868550174415E-3</v>
      </c>
      <c r="E146" s="202">
        <v>2.0707474479664256E-3</v>
      </c>
      <c r="U146" s="204"/>
    </row>
    <row r="147" spans="1:21" x14ac:dyDescent="0.2">
      <c r="A147" s="64" t="str">
        <f t="shared" si="3"/>
        <v>1D</v>
      </c>
      <c r="B147" s="203">
        <f>_xll.qlCalendarAdvance(Calendar,B146,A147,"f",FALSE)</f>
        <v>41984</v>
      </c>
      <c r="C147" s="237">
        <f>_xll.qlCalendarAdvance(Calendar,B147,NDays&amp;"D")</f>
        <v>41988</v>
      </c>
      <c r="D147" s="202">
        <v>2.9038557008751733E-3</v>
      </c>
      <c r="E147" s="202">
        <v>2.1588659728699611E-3</v>
      </c>
      <c r="U147" s="204"/>
    </row>
    <row r="148" spans="1:21" x14ac:dyDescent="0.2">
      <c r="A148" s="64" t="str">
        <f t="shared" si="3"/>
        <v>1D</v>
      </c>
      <c r="B148" s="203">
        <f>_xll.qlCalendarAdvance(Calendar,B147,A148,"f",FALSE)</f>
        <v>41985</v>
      </c>
      <c r="C148" s="237">
        <f>_xll.qlCalendarAdvance(Calendar,B148,NDays&amp;"D")</f>
        <v>41989</v>
      </c>
      <c r="D148" s="202">
        <v>2.9049868968762187E-3</v>
      </c>
      <c r="E148" s="202">
        <v>2.2068554083354286E-3</v>
      </c>
      <c r="U148" s="204"/>
    </row>
    <row r="149" spans="1:21" x14ac:dyDescent="0.2">
      <c r="A149" s="64" t="str">
        <f t="shared" si="3"/>
        <v>1D</v>
      </c>
      <c r="B149" s="203">
        <f>_xll.qlCalendarAdvance(Calendar,B148,A149,"f",FALSE)</f>
        <v>41988</v>
      </c>
      <c r="C149" s="237">
        <f>_xll.qlCalendarAdvance(Calendar,B149,NDays&amp;"D")</f>
        <v>41990</v>
      </c>
      <c r="D149" s="202">
        <v>2.9061337624958338E-3</v>
      </c>
      <c r="E149" s="202">
        <v>2.2571993760500675E-3</v>
      </c>
      <c r="U149" s="204"/>
    </row>
    <row r="150" spans="1:21" x14ac:dyDescent="0.2">
      <c r="A150" s="64" t="str">
        <f t="shared" si="3"/>
        <v>1D</v>
      </c>
      <c r="B150" s="203">
        <f>_xll.qlCalendarAdvance(Calendar,B149,A150,"f",FALSE)</f>
        <v>41989</v>
      </c>
      <c r="C150" s="237">
        <f>_xll.qlCalendarAdvance(Calendar,B150,NDays&amp;"D")</f>
        <v>41991</v>
      </c>
      <c r="D150" s="202">
        <v>2.9072932252800793E-3</v>
      </c>
      <c r="E150" s="202">
        <v>2.3098978771329826E-3</v>
      </c>
      <c r="U150" s="204"/>
    </row>
    <row r="151" spans="1:21" x14ac:dyDescent="0.2">
      <c r="A151" s="64" t="str">
        <f t="shared" si="3"/>
        <v>1D</v>
      </c>
      <c r="B151" s="203">
        <f>_xll.qlCalendarAdvance(Calendar,B150,A151,"f",FALSE)</f>
        <v>41990</v>
      </c>
      <c r="C151" s="237">
        <f>_xll.qlCalendarAdvance(Calendar,B151,NDays&amp;"D")</f>
        <v>41992</v>
      </c>
      <c r="D151" s="202">
        <v>2.9084622127693053E-3</v>
      </c>
      <c r="E151" s="202">
        <v>2.4231596358514906E-3</v>
      </c>
      <c r="U151" s="204"/>
    </row>
    <row r="152" spans="1:21" x14ac:dyDescent="0.2">
      <c r="A152" s="64" t="str">
        <f t="shared" si="3"/>
        <v>1D</v>
      </c>
      <c r="B152" s="203">
        <f>_xll.qlCalendarAdvance(Calendar,B151,A152,"f",FALSE)</f>
        <v>41991</v>
      </c>
      <c r="C152" s="237">
        <f>_xll.qlCalendarAdvance(Calendar,B152,NDays&amp;"D")</f>
        <v>41995</v>
      </c>
      <c r="D152" s="202">
        <v>2.9119955987544233E-3</v>
      </c>
      <c r="E152" s="202">
        <v>2.5442372360107157E-3</v>
      </c>
      <c r="U152" s="204"/>
    </row>
    <row r="153" spans="1:21" x14ac:dyDescent="0.2">
      <c r="A153" s="64" t="str">
        <f t="shared" si="3"/>
        <v>1D</v>
      </c>
      <c r="B153" s="203">
        <f>_xll.qlCalendarAdvance(Calendar,B152,A153,"f",FALSE)</f>
        <v>41992</v>
      </c>
      <c r="C153" s="237">
        <f>_xll.qlCalendarAdvance(Calendar,B153,NDays&amp;"D")</f>
        <v>41996</v>
      </c>
      <c r="D153" s="202">
        <v>2.9131719603159912E-3</v>
      </c>
      <c r="E153" s="202">
        <v>2.6087084200820954E-3</v>
      </c>
      <c r="U153" s="204"/>
    </row>
    <row r="154" spans="1:21" x14ac:dyDescent="0.2">
      <c r="A154" s="64" t="str">
        <f t="shared" si="3"/>
        <v>1D</v>
      </c>
      <c r="B154" s="203">
        <f>_xll.qlCalendarAdvance(Calendar,B153,A154,"f",FALSE)</f>
        <v>41995</v>
      </c>
      <c r="C154" s="237">
        <f>_xll.qlCalendarAdvance(Calendar,B154,NDays&amp;"D")</f>
        <v>41997</v>
      </c>
      <c r="D154" s="202">
        <v>2.9143424841718557E-3</v>
      </c>
      <c r="E154" s="202">
        <v>2.8186478852862962E-3</v>
      </c>
      <c r="U154" s="204"/>
    </row>
    <row r="155" spans="1:21" x14ac:dyDescent="0.2">
      <c r="A155" s="64" t="str">
        <f t="shared" si="3"/>
        <v>1D</v>
      </c>
      <c r="B155" s="203">
        <f>_xll.qlCalendarAdvance(Calendar,B154,A155,"f",FALSE)</f>
        <v>41996</v>
      </c>
      <c r="C155" s="237">
        <f>_xll.qlCalendarAdvance(Calendar,B155,NDays&amp;"D")</f>
        <v>42002</v>
      </c>
      <c r="D155" s="202">
        <v>2.9200000000021761E-3</v>
      </c>
      <c r="E155" s="202">
        <v>3.0449809170107756E-3</v>
      </c>
      <c r="U155" s="204"/>
    </row>
    <row r="156" spans="1:21" x14ac:dyDescent="0.2">
      <c r="A156" s="64" t="str">
        <f t="shared" si="3"/>
        <v>1D</v>
      </c>
      <c r="B156" s="203">
        <f>_xll.qlCalendarAdvance(Calendar,B155,A156,"f",FALSE)</f>
        <v>41997</v>
      </c>
      <c r="C156" s="237">
        <f>_xll.qlCalendarAdvance(Calendar,B156,NDays&amp;"D")</f>
        <v>42003</v>
      </c>
      <c r="D156" s="202">
        <v>2.9210662504545026E-3</v>
      </c>
      <c r="E156" s="202">
        <v>3.1259339117983842E-3</v>
      </c>
      <c r="U156" s="204"/>
    </row>
    <row r="157" spans="1:21" x14ac:dyDescent="0.2">
      <c r="A157" s="64" t="str">
        <f t="shared" si="3"/>
        <v>1D</v>
      </c>
      <c r="B157" s="203">
        <f>_xll.qlCalendarAdvance(Calendar,B156,A157,"f",FALSE)</f>
        <v>42002</v>
      </c>
      <c r="C157" s="237">
        <f>_xll.qlCalendarAdvance(Calendar,B157,NDays&amp;"D")</f>
        <v>42004</v>
      </c>
      <c r="D157" s="202">
        <v>2.9199090309147036E-3</v>
      </c>
      <c r="E157" s="202">
        <v>3.2476325633146175E-3</v>
      </c>
      <c r="U157" s="204"/>
    </row>
    <row r="158" spans="1:21" x14ac:dyDescent="0.2">
      <c r="A158" s="64" t="str">
        <f t="shared" si="3"/>
        <v>1D</v>
      </c>
      <c r="B158" s="203">
        <f>_xll.qlCalendarAdvance(Calendar,B157,A158,"f",FALSE)</f>
        <v>42003</v>
      </c>
      <c r="C158" s="237">
        <f>_xll.qlCalendarAdvance(Calendar,B158,NDays&amp;"D")</f>
        <v>42006</v>
      </c>
      <c r="D158" s="202">
        <v>2.9209681038077336E-3</v>
      </c>
      <c r="E158" s="202">
        <v>3.4306766876124328E-3</v>
      </c>
      <c r="U158" s="204"/>
    </row>
    <row r="159" spans="1:21" x14ac:dyDescent="0.2">
      <c r="A159" s="64" t="str">
        <f t="shared" si="3"/>
        <v>1D</v>
      </c>
      <c r="B159" s="203">
        <f>_xll.qlCalendarAdvance(Calendar,B158,A159,"f",FALSE)</f>
        <v>42004</v>
      </c>
      <c r="C159" s="237">
        <f>_xll.qlCalendarAdvance(Calendar,B159,NDays&amp;"D")</f>
        <v>42009</v>
      </c>
      <c r="D159" s="202">
        <v>2.9259605659954831E-3</v>
      </c>
      <c r="E159" s="202">
        <v>3.5597555104427414E-3</v>
      </c>
      <c r="U159" s="204"/>
    </row>
    <row r="160" spans="1:21" x14ac:dyDescent="0.2">
      <c r="A160" s="64" t="str">
        <f t="shared" si="3"/>
        <v>1D</v>
      </c>
      <c r="B160" s="203">
        <f>_xll.qlCalendarAdvance(Calendar,B159,A160,"f",FALSE)</f>
        <v>42006</v>
      </c>
      <c r="C160" s="237">
        <f>_xll.qlCalendarAdvance(Calendar,B160,NDays&amp;"D")</f>
        <v>42010</v>
      </c>
      <c r="D160" s="202">
        <v>2.922430038866932E-3</v>
      </c>
      <c r="E160" s="202">
        <v>3.6170990278971971E-3</v>
      </c>
      <c r="U160" s="204"/>
    </row>
    <row r="161" spans="1:21" x14ac:dyDescent="0.2">
      <c r="A161" s="64" t="str">
        <f t="shared" si="3"/>
        <v>1D</v>
      </c>
      <c r="B161" s="203">
        <f>_xll.qlCalendarAdvance(Calendar,B160,A161,"f",FALSE)</f>
        <v>42009</v>
      </c>
      <c r="C161" s="237">
        <f>_xll.qlCalendarAdvance(Calendar,B161,NDays&amp;"D")</f>
        <v>42011</v>
      </c>
      <c r="D161" s="202">
        <v>2.9226901859690244E-3</v>
      </c>
      <c r="E161" s="202">
        <v>3.6701151993501213E-3</v>
      </c>
      <c r="U161" s="204"/>
    </row>
    <row r="162" spans="1:21" x14ac:dyDescent="0.2">
      <c r="A162" s="64" t="str">
        <f t="shared" si="3"/>
        <v>1D</v>
      </c>
      <c r="B162" s="203">
        <f>_xll.qlCalendarAdvance(Calendar,B161,A162,"f",FALSE)</f>
        <v>42010</v>
      </c>
      <c r="C162" s="237">
        <f>_xll.qlCalendarAdvance(Calendar,B162,NDays&amp;"D")</f>
        <v>42012</v>
      </c>
      <c r="D162" s="202">
        <v>2.9229189551997657E-3</v>
      </c>
      <c r="E162" s="202">
        <v>3.7188040228031127E-3</v>
      </c>
      <c r="U162" s="204"/>
    </row>
    <row r="163" spans="1:21" x14ac:dyDescent="0.2">
      <c r="A163" s="64" t="str">
        <f t="shared" si="3"/>
        <v>1D</v>
      </c>
      <c r="B163" s="203">
        <f>_xll.qlCalendarAdvance(Calendar,B162,A163,"f",FALSE)</f>
        <v>42011</v>
      </c>
      <c r="C163" s="237">
        <f>_xll.qlCalendarAdvance(Calendar,B163,NDays&amp;"D")</f>
        <v>42013</v>
      </c>
      <c r="D163" s="202">
        <v>2.923121724964943E-3</v>
      </c>
      <c r="E163" s="202">
        <v>3.8017973150417106E-3</v>
      </c>
      <c r="U163" s="204"/>
    </row>
    <row r="164" spans="1:21" x14ac:dyDescent="0.2">
      <c r="A164" s="64" t="str">
        <f t="shared" si="3"/>
        <v>1D</v>
      </c>
      <c r="B164" s="203">
        <f>_xll.qlCalendarAdvance(Calendar,B163,A164,"f",FALSE)</f>
        <v>42012</v>
      </c>
      <c r="C164" s="237">
        <f>_xll.qlCalendarAdvance(Calendar,B164,NDays&amp;"D")</f>
        <v>42016</v>
      </c>
      <c r="D164" s="202">
        <v>2.9290122171013607E-3</v>
      </c>
      <c r="E164" s="202">
        <v>3.8702858041617105E-3</v>
      </c>
      <c r="U164" s="204"/>
    </row>
    <row r="165" spans="1:21" x14ac:dyDescent="0.2">
      <c r="A165" s="64" t="str">
        <f t="shared" si="3"/>
        <v>1D</v>
      </c>
      <c r="B165" s="203">
        <f>_xll.qlCalendarAdvance(Calendar,B164,A165,"f",FALSE)</f>
        <v>42013</v>
      </c>
      <c r="C165" s="237">
        <f>_xll.qlCalendarAdvance(Calendar,B165,NDays&amp;"D")</f>
        <v>42017</v>
      </c>
      <c r="D165" s="202">
        <v>2.9237803775829141E-3</v>
      </c>
      <c r="E165" s="202">
        <v>3.8973378645934531E-3</v>
      </c>
      <c r="U165" s="204"/>
    </row>
    <row r="166" spans="1:21" x14ac:dyDescent="0.2">
      <c r="A166" s="64" t="str">
        <f t="shared" si="3"/>
        <v>1D</v>
      </c>
      <c r="B166" s="203">
        <f>_xll.qlCalendarAdvance(Calendar,B165,A166,"f",FALSE)</f>
        <v>42016</v>
      </c>
      <c r="C166" s="237">
        <f>_xll.qlCalendarAdvance(Calendar,B166,NDays&amp;"D")</f>
        <v>42018</v>
      </c>
      <c r="D166" s="202">
        <v>2.9239338261989379E-3</v>
      </c>
      <c r="E166" s="202">
        <v>3.9200625687918489E-3</v>
      </c>
      <c r="U166" s="204"/>
    </row>
    <row r="167" spans="1:21" x14ac:dyDescent="0.2">
      <c r="A167" s="64" t="str">
        <f t="shared" si="3"/>
        <v>1D</v>
      </c>
      <c r="B167" s="203">
        <f>_xll.qlCalendarAdvance(Calendar,B166,A167,"f",FALSE)</f>
        <v>42017</v>
      </c>
      <c r="C167" s="237">
        <f>_xll.qlCalendarAdvance(Calendar,B167,NDays&amp;"D")</f>
        <v>42019</v>
      </c>
      <c r="D167" s="202">
        <v>2.9240935458353496E-3</v>
      </c>
      <c r="E167" s="202">
        <v>3.9384599161174094E-3</v>
      </c>
      <c r="U167" s="204"/>
    </row>
    <row r="168" spans="1:21" x14ac:dyDescent="0.2">
      <c r="A168" s="64" t="str">
        <f t="shared" si="3"/>
        <v>1D</v>
      </c>
      <c r="B168" s="203">
        <f>_xll.qlCalendarAdvance(Calendar,B167,A168,"f",FALSE)</f>
        <v>42018</v>
      </c>
      <c r="C168" s="237">
        <f>_xll.qlCalendarAdvance(Calendar,B168,NDays&amp;"D")</f>
        <v>42020</v>
      </c>
      <c r="D168" s="202">
        <v>2.924264914912952E-3</v>
      </c>
      <c r="E168" s="202">
        <v>3.9608736626828289E-3</v>
      </c>
      <c r="U168" s="204"/>
    </row>
    <row r="169" spans="1:21" x14ac:dyDescent="0.2">
      <c r="A169" s="64" t="str">
        <f t="shared" si="3"/>
        <v>1D</v>
      </c>
      <c r="B169" s="203">
        <f>_xll.qlCalendarAdvance(Calendar,B168,A169,"f",FALSE)</f>
        <v>42019</v>
      </c>
      <c r="C169" s="237">
        <f>_xll.qlCalendarAdvance(Calendar,B169,NDays&amp;"D")</f>
        <v>42023</v>
      </c>
      <c r="D169" s="202">
        <v>2.9309405980784595E-3</v>
      </c>
      <c r="E169" s="202">
        <v>3.9687757243811461E-3</v>
      </c>
      <c r="U169" s="204"/>
    </row>
    <row r="170" spans="1:21" x14ac:dyDescent="0.2">
      <c r="A170" s="64" t="str">
        <f t="shared" si="3"/>
        <v>1D</v>
      </c>
      <c r="B170" s="203">
        <f>_xll.qlCalendarAdvance(Calendar,B169,A170,"f",FALSE)</f>
        <v>42020</v>
      </c>
      <c r="C170" s="237">
        <f>_xll.qlCalendarAdvance(Calendar,B170,NDays&amp;"D")</f>
        <v>42024</v>
      </c>
      <c r="D170" s="202">
        <v>2.9251744541268416E-3</v>
      </c>
      <c r="E170" s="202">
        <v>3.965536279908477E-3</v>
      </c>
      <c r="U170" s="204"/>
    </row>
    <row r="171" spans="1:21" x14ac:dyDescent="0.2">
      <c r="A171" s="64" t="str">
        <f t="shared" si="3"/>
        <v>1D</v>
      </c>
      <c r="B171" s="203">
        <f>_xll.qlCalendarAdvance(Calendar,B170,A171,"f",FALSE)</f>
        <v>42023</v>
      </c>
      <c r="C171" s="237">
        <f>_xll.qlCalendarAdvance(Calendar,B171,NDays&amp;"D")</f>
        <v>42025</v>
      </c>
      <c r="D171" s="202">
        <v>2.9254847468076729E-3</v>
      </c>
      <c r="E171" s="202">
        <v>3.9579694768043794E-3</v>
      </c>
      <c r="U171" s="204"/>
    </row>
    <row r="172" spans="1:21" x14ac:dyDescent="0.2">
      <c r="A172" s="64" t="str">
        <f t="shared" si="3"/>
        <v>1D</v>
      </c>
      <c r="B172" s="203">
        <f>_xll.qlCalendarAdvance(Calendar,B171,A172,"f",FALSE)</f>
        <v>42024</v>
      </c>
      <c r="C172" s="237">
        <f>_xll.qlCalendarAdvance(Calendar,B172,NDays&amp;"D")</f>
        <v>42026</v>
      </c>
      <c r="D172" s="202">
        <v>2.9258389595141318E-3</v>
      </c>
      <c r="E172" s="202">
        <v>3.9460753153885975E-3</v>
      </c>
      <c r="U172" s="204"/>
    </row>
    <row r="173" spans="1:21" x14ac:dyDescent="0.2">
      <c r="A173" s="64" t="str">
        <f t="shared" si="3"/>
        <v>1D</v>
      </c>
      <c r="B173" s="203">
        <f>_xll.qlCalendarAdvance(Calendar,B172,A173,"f",FALSE)</f>
        <v>42025</v>
      </c>
      <c r="C173" s="237">
        <f>_xll.qlCalendarAdvance(Calendar,B173,NDays&amp;"D")</f>
        <v>42027</v>
      </c>
      <c r="D173" s="202">
        <v>2.9262424706952852E-3</v>
      </c>
      <c r="E173" s="202">
        <v>3.9079048872903144E-3</v>
      </c>
      <c r="U173" s="204"/>
    </row>
    <row r="174" spans="1:21" x14ac:dyDescent="0.2">
      <c r="A174" s="64" t="str">
        <f t="shared" si="3"/>
        <v>1D</v>
      </c>
      <c r="B174" s="203">
        <f>_xll.qlCalendarAdvance(Calendar,B173,A174,"f",FALSE)</f>
        <v>42026</v>
      </c>
      <c r="C174" s="237">
        <f>_xll.qlCalendarAdvance(Calendar,B174,NDays&amp;"D")</f>
        <v>42030</v>
      </c>
      <c r="D174" s="202">
        <v>2.9335803898596705E-3</v>
      </c>
      <c r="E174" s="202">
        <v>3.8552250970003143E-3</v>
      </c>
      <c r="U174" s="204"/>
    </row>
    <row r="175" spans="1:21" x14ac:dyDescent="0.2">
      <c r="A175" s="64" t="str">
        <f t="shared" si="3"/>
        <v>1D</v>
      </c>
      <c r="B175" s="203">
        <f>_xll.qlCalendarAdvance(Calendar,B174,A175,"f",FALSE)</f>
        <v>42027</v>
      </c>
      <c r="C175" s="237">
        <f>_xll.qlCalendarAdvance(Calendar,B175,NDays&amp;"D")</f>
        <v>42031</v>
      </c>
      <c r="D175" s="202">
        <v>2.9284570694259821E-3</v>
      </c>
      <c r="E175" s="202">
        <v>3.8216941533786297E-3</v>
      </c>
      <c r="U175" s="204"/>
    </row>
    <row r="176" spans="1:21" x14ac:dyDescent="0.2">
      <c r="A176" s="64" t="str">
        <f t="shared" si="3"/>
        <v>1D</v>
      </c>
      <c r="B176" s="203">
        <f>_xll.qlCalendarAdvance(Calendar,B175,A176,"f",FALSE)</f>
        <v>42030</v>
      </c>
      <c r="C176" s="237">
        <f>_xll.qlCalendarAdvance(Calendar,B176,NDays&amp;"D")</f>
        <v>42032</v>
      </c>
      <c r="D176" s="202">
        <v>2.9291877500231146E-3</v>
      </c>
      <c r="E176" s="202">
        <v>3.7838358563213603E-3</v>
      </c>
      <c r="U176" s="204"/>
    </row>
    <row r="177" spans="1:21" x14ac:dyDescent="0.2">
      <c r="A177" s="64" t="str">
        <f t="shared" si="3"/>
        <v>1D</v>
      </c>
      <c r="B177" s="203">
        <f>_xll.qlCalendarAdvance(Calendar,B176,A177,"f",FALSE)</f>
        <v>42031</v>
      </c>
      <c r="C177" s="237">
        <f>_xll.qlCalendarAdvance(Calendar,B177,NDays&amp;"D")</f>
        <v>42033</v>
      </c>
      <c r="D177" s="202">
        <v>2.930000000000006E-3</v>
      </c>
      <c r="E177" s="202">
        <v>3.7425935135804167E-3</v>
      </c>
      <c r="U177" s="204"/>
    </row>
    <row r="178" spans="1:21" x14ac:dyDescent="0.2">
      <c r="A178" s="64" t="str">
        <f t="shared" si="3"/>
        <v>1D</v>
      </c>
      <c r="B178" s="203">
        <f>_xll.qlCalendarAdvance(Calendar,B177,A178,"f",FALSE)</f>
        <v>42032</v>
      </c>
      <c r="C178" s="237">
        <f>_xll.qlCalendarAdvance(Calendar,B178,NDays&amp;"D")</f>
        <v>42034</v>
      </c>
      <c r="D178" s="202">
        <v>2.9361395261322362E-3</v>
      </c>
      <c r="E178" s="202">
        <v>3.6627011018808275E-3</v>
      </c>
      <c r="U178" s="204"/>
    </row>
    <row r="179" spans="1:21" x14ac:dyDescent="0.2">
      <c r="A179" s="64" t="str">
        <f t="shared" si="3"/>
        <v>1D</v>
      </c>
      <c r="B179" s="203">
        <f>_xll.qlCalendarAdvance(Calendar,B178,A179,"f",FALSE)</f>
        <v>42033</v>
      </c>
      <c r="C179" s="237">
        <f>_xll.qlCalendarAdvance(Calendar,B179,NDays&amp;"D")</f>
        <v>42037</v>
      </c>
      <c r="D179" s="202">
        <v>2.9389091480618375E-3</v>
      </c>
      <c r="E179" s="202">
        <v>3.5871757859329279E-3</v>
      </c>
      <c r="U179" s="204"/>
    </row>
    <row r="180" spans="1:21" x14ac:dyDescent="0.2">
      <c r="A180" s="64" t="str">
        <f t="shared" si="3"/>
        <v>1D</v>
      </c>
      <c r="B180" s="203">
        <f>_xll.qlCalendarAdvance(Calendar,B179,A180,"f",FALSE)</f>
        <v>42034</v>
      </c>
      <c r="C180" s="237">
        <f>_xll.qlCalendarAdvance(Calendar,B180,NDays&amp;"D")</f>
        <v>42038</v>
      </c>
      <c r="D180" s="202">
        <v>2.9352983160078135E-3</v>
      </c>
      <c r="E180" s="202">
        <v>3.5516525691647871E-3</v>
      </c>
      <c r="U180" s="204"/>
    </row>
    <row r="181" spans="1:21" x14ac:dyDescent="0.2">
      <c r="A181" s="64" t="str">
        <f t="shared" si="3"/>
        <v>1D</v>
      </c>
      <c r="B181" s="203">
        <f>_xll.qlCalendarAdvance(Calendar,B180,A181,"f",FALSE)</f>
        <v>42037</v>
      </c>
      <c r="C181" s="237">
        <f>_xll.qlCalendarAdvance(Calendar,B181,NDays&amp;"D")</f>
        <v>42039</v>
      </c>
      <c r="D181" s="202">
        <v>2.936585732969801E-3</v>
      </c>
      <c r="E181" s="202">
        <v>3.5174618377187272E-3</v>
      </c>
      <c r="U181" s="204"/>
    </row>
    <row r="182" spans="1:21" x14ac:dyDescent="0.2">
      <c r="A182" s="64" t="str">
        <f t="shared" si="3"/>
        <v>1D</v>
      </c>
      <c r="B182" s="203">
        <f>_xll.qlCalendarAdvance(Calendar,B181,A182,"f",FALSE)</f>
        <v>42038</v>
      </c>
      <c r="C182" s="237">
        <f>_xll.qlCalendarAdvance(Calendar,B182,NDays&amp;"D")</f>
        <v>42040</v>
      </c>
      <c r="D182" s="202">
        <v>2.9379420487773119E-3</v>
      </c>
      <c r="E182" s="202">
        <v>3.4846035910351958E-3</v>
      </c>
      <c r="U182" s="204"/>
    </row>
    <row r="183" spans="1:21" x14ac:dyDescent="0.2">
      <c r="A183" s="64" t="str">
        <f t="shared" si="3"/>
        <v>1D</v>
      </c>
      <c r="B183" s="203">
        <f>_xll.qlCalendarAdvance(Calendar,B182,A183,"f",FALSE)</f>
        <v>42039</v>
      </c>
      <c r="C183" s="237">
        <f>_xll.qlCalendarAdvance(Calendar,B183,NDays&amp;"D")</f>
        <v>42041</v>
      </c>
      <c r="D183" s="202">
        <v>2.9393642552554221E-3</v>
      </c>
      <c r="E183" s="202">
        <v>3.4233612647849299E-3</v>
      </c>
      <c r="U183" s="204"/>
    </row>
    <row r="184" spans="1:21" x14ac:dyDescent="0.2">
      <c r="A184" s="64" t="str">
        <f t="shared" si="3"/>
        <v>1D</v>
      </c>
      <c r="B184" s="203">
        <f>_xll.qlCalendarAdvance(Calendar,B183,A184,"f",FALSE)</f>
        <v>42040</v>
      </c>
      <c r="C184" s="237">
        <f>_xll.qlCalendarAdvance(Calendar,B184,NDays&amp;"D")</f>
        <v>42044</v>
      </c>
      <c r="D184" s="202">
        <v>2.9479915464350015E-3</v>
      </c>
      <c r="E184" s="202">
        <v>3.3664954461709584E-3</v>
      </c>
      <c r="U184" s="204"/>
    </row>
    <row r="185" spans="1:21" x14ac:dyDescent="0.2">
      <c r="A185" s="64" t="str">
        <f t="shared" si="3"/>
        <v>1D</v>
      </c>
      <c r="B185" s="203">
        <f>_xll.qlCalendarAdvance(Calendar,B184,A185,"f",FALSE)</f>
        <v>42041</v>
      </c>
      <c r="C185" s="237">
        <f>_xll.qlCalendarAdvance(Calendar,B185,NDays&amp;"D")</f>
        <v>42045</v>
      </c>
      <c r="D185" s="202">
        <v>2.9456518242949861E-3</v>
      </c>
      <c r="E185" s="202">
        <v>3.3402996186637779E-3</v>
      </c>
      <c r="U185" s="204"/>
    </row>
    <row r="186" spans="1:21" x14ac:dyDescent="0.2">
      <c r="A186" s="64" t="str">
        <f t="shared" si="3"/>
        <v>1D</v>
      </c>
      <c r="B186" s="203">
        <f>_xll.qlCalendarAdvance(Calendar,B185,A186,"f",FALSE)</f>
        <v>42044</v>
      </c>
      <c r="C186" s="237">
        <f>_xll.qlCalendarAdvance(Calendar,B186,NDays&amp;"D")</f>
        <v>42046</v>
      </c>
      <c r="D186" s="202">
        <v>2.9473583614072719E-3</v>
      </c>
      <c r="E186" s="202">
        <v>3.3154362741605325E-3</v>
      </c>
      <c r="U186" s="204"/>
    </row>
    <row r="187" spans="1:21" x14ac:dyDescent="0.2">
      <c r="A187" s="64" t="str">
        <f t="shared" si="3"/>
        <v>1D</v>
      </c>
      <c r="B187" s="203">
        <f>_xll.qlCalendarAdvance(Calendar,B186,A187,"f",FALSE)</f>
        <v>42045</v>
      </c>
      <c r="C187" s="237">
        <f>_xll.qlCalendarAdvance(Calendar,B187,NDays&amp;"D")</f>
        <v>42047</v>
      </c>
      <c r="D187" s="202">
        <v>2.9491127400699474E-3</v>
      </c>
      <c r="E187" s="202">
        <v>3.2919054123414782E-3</v>
      </c>
      <c r="U187" s="204"/>
    </row>
    <row r="188" spans="1:21" x14ac:dyDescent="0.2">
      <c r="A188" s="64" t="str">
        <f t="shared" si="3"/>
        <v>1D</v>
      </c>
      <c r="B188" s="203">
        <f>_xll.qlCalendarAdvance(Calendar,B187,A188,"f",FALSE)</f>
        <v>42046</v>
      </c>
      <c r="C188" s="237">
        <f>_xll.qlCalendarAdvance(Calendar,B188,NDays&amp;"D")</f>
        <v>42048</v>
      </c>
      <c r="D188" s="202">
        <v>2.9509119520767318E-3</v>
      </c>
      <c r="E188" s="202">
        <v>3.2493146230727632E-3</v>
      </c>
      <c r="U188" s="204"/>
    </row>
    <row r="189" spans="1:21" x14ac:dyDescent="0.2">
      <c r="A189" s="64" t="str">
        <f t="shared" si="3"/>
        <v>1D</v>
      </c>
      <c r="B189" s="203">
        <f>_xll.qlCalendarAdvance(Calendar,B188,A189,"f",FALSE)</f>
        <v>42047</v>
      </c>
      <c r="C189" s="237">
        <f>_xll.qlCalendarAdvance(Calendar,B189,NDays&amp;"D")</f>
        <v>42051</v>
      </c>
      <c r="D189" s="202">
        <v>2.959911179190546E-3</v>
      </c>
      <c r="E189" s="202">
        <v>3.2111067859919018E-3</v>
      </c>
      <c r="U189" s="204"/>
    </row>
    <row r="190" spans="1:21" x14ac:dyDescent="0.2">
      <c r="A190" s="64" t="str">
        <f t="shared" si="3"/>
        <v>1D</v>
      </c>
      <c r="B190" s="203">
        <f>_xll.qlCalendarAdvance(Calendar,B189,A190,"f",FALSE)</f>
        <v>42048</v>
      </c>
      <c r="C190" s="237">
        <f>_xll.qlCalendarAdvance(Calendar,B190,NDays&amp;"D")</f>
        <v>42052</v>
      </c>
      <c r="D190" s="202">
        <v>2.9584969691318396E-3</v>
      </c>
      <c r="E190" s="202">
        <v>3.1942383336769353E-3</v>
      </c>
      <c r="U190" s="204"/>
    </row>
    <row r="191" spans="1:21" x14ac:dyDescent="0.2">
      <c r="A191" s="64" t="str">
        <f t="shared" si="3"/>
        <v>1D</v>
      </c>
      <c r="B191" s="203">
        <f>_xll.qlCalendarAdvance(Calendar,B190,A191,"f",FALSE)</f>
        <v>42051</v>
      </c>
      <c r="C191" s="237">
        <f>_xll.qlCalendarAdvance(Calendar,B191,NDays&amp;"D")</f>
        <v>42053</v>
      </c>
      <c r="D191" s="202">
        <v>2.9604752244695035E-3</v>
      </c>
      <c r="E191" s="202">
        <v>3.1787023625273747E-3</v>
      </c>
      <c r="U191" s="204"/>
    </row>
    <row r="192" spans="1:21" x14ac:dyDescent="0.2">
      <c r="A192" s="64" t="str">
        <f t="shared" si="3"/>
        <v>1D</v>
      </c>
      <c r="B192" s="203">
        <f>_xll.qlCalendarAdvance(Calendar,B191,A192,"f",FALSE)</f>
        <v>42052</v>
      </c>
      <c r="C192" s="237">
        <f>_xll.qlCalendarAdvance(Calendar,B192,NDays&amp;"D")</f>
        <v>42054</v>
      </c>
      <c r="D192" s="202">
        <v>2.9624802637289883E-3</v>
      </c>
      <c r="E192" s="202">
        <v>3.164498872623156E-3</v>
      </c>
      <c r="U192" s="204"/>
    </row>
    <row r="193" spans="1:21" x14ac:dyDescent="0.2">
      <c r="A193" s="64" t="str">
        <f t="shared" si="3"/>
        <v>1D</v>
      </c>
      <c r="B193" s="203">
        <f>_xll.qlCalendarAdvance(Calendar,B192,A193,"f",FALSE)</f>
        <v>42053</v>
      </c>
      <c r="C193" s="237">
        <f>_xll.qlCalendarAdvance(Calendar,B193,NDays&amp;"D")</f>
        <v>42055</v>
      </c>
      <c r="D193" s="202">
        <v>2.964509078637326E-3</v>
      </c>
      <c r="E193" s="202">
        <v>3.1405608926515782E-3</v>
      </c>
      <c r="U193" s="204"/>
    </row>
    <row r="194" spans="1:21" x14ac:dyDescent="0.2">
      <c r="A194" s="64" t="str">
        <f t="shared" si="3"/>
        <v>1D</v>
      </c>
      <c r="B194" s="203">
        <f>_xll.qlCalendarAdvance(Calendar,B193,A194,"f",FALSE)</f>
        <v>42054</v>
      </c>
      <c r="C194" s="237">
        <f>_xll.qlCalendarAdvance(Calendar,B194,NDays&amp;"D")</f>
        <v>42058</v>
      </c>
      <c r="D194" s="202">
        <v>2.9736418884476058E-3</v>
      </c>
      <c r="E194" s="202">
        <v>3.1210097209033449E-3</v>
      </c>
      <c r="U194" s="204"/>
    </row>
    <row r="195" spans="1:21" x14ac:dyDescent="0.2">
      <c r="A195" s="64" t="str">
        <f t="shared" si="3"/>
        <v>1D</v>
      </c>
      <c r="B195" s="203">
        <f>_xll.qlCalendarAdvance(Calendar,B194,A195,"f",FALSE)</f>
        <v>42055</v>
      </c>
      <c r="C195" s="237">
        <f>_xll.qlCalendarAdvance(Calendar,B195,NDays&amp;"D")</f>
        <v>42059</v>
      </c>
      <c r="D195" s="202">
        <v>2.9728019289063548E-3</v>
      </c>
      <c r="E195" s="202">
        <v>3.1134686344280738E-3</v>
      </c>
      <c r="U195" s="204"/>
    </row>
    <row r="196" spans="1:21" x14ac:dyDescent="0.2">
      <c r="A196" s="64" t="str">
        <f t="shared" si="3"/>
        <v>1D</v>
      </c>
      <c r="B196" s="203">
        <f>_xll.qlCalendarAdvance(Calendar,B195,A196,"f",FALSE)</f>
        <v>42058</v>
      </c>
      <c r="C196" s="237">
        <f>_xll.qlCalendarAdvance(Calendar,B196,NDays&amp;"D")</f>
        <v>42060</v>
      </c>
      <c r="D196" s="202">
        <v>2.9749044975634362E-3</v>
      </c>
      <c r="E196" s="202">
        <v>3.1072600283188478E-3</v>
      </c>
      <c r="U196" s="204"/>
    </row>
    <row r="197" spans="1:21" x14ac:dyDescent="0.2">
      <c r="A197" s="64" t="str">
        <f t="shared" si="3"/>
        <v>1D</v>
      </c>
      <c r="B197" s="203">
        <f>_xll.qlCalendarAdvance(Calendar,B196,A197,"f",FALSE)</f>
        <v>42059</v>
      </c>
      <c r="C197" s="237">
        <f>_xll.qlCalendarAdvance(Calendar,B197,NDays&amp;"D")</f>
        <v>42061</v>
      </c>
      <c r="D197" s="202">
        <v>2.9770127919860143E-3</v>
      </c>
      <c r="E197" s="202">
        <v>3.1023839025756672E-3</v>
      </c>
      <c r="U197" s="204"/>
    </row>
    <row r="198" spans="1:21" x14ac:dyDescent="0.2">
      <c r="A198" s="64" t="str">
        <f t="shared" si="3"/>
        <v>1D</v>
      </c>
      <c r="B198" s="203">
        <f>_xll.qlCalendarAdvance(Calendar,B197,A198,"f",FALSE)</f>
        <v>42060</v>
      </c>
      <c r="C198" s="237">
        <f>_xll.qlCalendarAdvance(Calendar,B198,NDays&amp;"D")</f>
        <v>42062</v>
      </c>
      <c r="D198" s="202">
        <v>2.9900000000002524E-3</v>
      </c>
      <c r="E198" s="202">
        <v>3.0959252842688301E-3</v>
      </c>
      <c r="U198" s="204"/>
    </row>
    <row r="199" spans="1:21" x14ac:dyDescent="0.2">
      <c r="A199" s="64" t="str">
        <f t="shared" ref="A199:A262" si="4">A198</f>
        <v>1D</v>
      </c>
      <c r="B199" s="203">
        <f>_xll.qlCalendarAdvance(Calendar,B198,A199,"f",FALSE)</f>
        <v>42061</v>
      </c>
      <c r="C199" s="237">
        <f>_xll.qlCalendarAdvance(Calendar,B199,NDays&amp;"D")</f>
        <v>42065</v>
      </c>
      <c r="D199" s="202">
        <v>2.9935137662004761E-3</v>
      </c>
      <c r="E199" s="202">
        <v>3.0913753256456289E-3</v>
      </c>
      <c r="U199" s="204"/>
    </row>
    <row r="200" spans="1:21" x14ac:dyDescent="0.2">
      <c r="A200" s="64" t="str">
        <f t="shared" si="4"/>
        <v>1D</v>
      </c>
      <c r="B200" s="203">
        <f>_xll.qlCalendarAdvance(Calendar,B199,A200,"f",FALSE)</f>
        <v>42062</v>
      </c>
      <c r="C200" s="237">
        <f>_xll.qlCalendarAdvance(Calendar,B200,NDays&amp;"D")</f>
        <v>42066</v>
      </c>
      <c r="D200" s="202">
        <v>2.9956013431852316E-3</v>
      </c>
      <c r="E200" s="202">
        <v>3.090029356869195E-3</v>
      </c>
      <c r="U200" s="204"/>
    </row>
    <row r="201" spans="1:21" x14ac:dyDescent="0.2">
      <c r="A201" s="64" t="str">
        <f t="shared" si="4"/>
        <v>1D</v>
      </c>
      <c r="B201" s="203">
        <f>_xll.qlCalendarAdvance(Calendar,B200,A201,"f",FALSE)</f>
        <v>42065</v>
      </c>
      <c r="C201" s="237">
        <f>_xll.qlCalendarAdvance(Calendar,B201,NDays&amp;"D")</f>
        <v>42067</v>
      </c>
      <c r="D201" s="202">
        <v>2.9977047085970746E-3</v>
      </c>
      <c r="E201" s="202">
        <v>3.0892328073228725E-3</v>
      </c>
      <c r="U201" s="204"/>
    </row>
    <row r="202" spans="1:21" x14ac:dyDescent="0.2">
      <c r="A202" s="64" t="str">
        <f t="shared" si="4"/>
        <v>1D</v>
      </c>
      <c r="B202" s="203">
        <f>_xll.qlCalendarAdvance(Calendar,B201,A202,"f",FALSE)</f>
        <v>42066</v>
      </c>
      <c r="C202" s="237">
        <f>_xll.qlCalendarAdvance(Calendar,B202,NDays&amp;"D")</f>
        <v>42068</v>
      </c>
      <c r="D202" s="202">
        <v>3.0050811905228455E-3</v>
      </c>
      <c r="E202" s="202">
        <v>3.0889856770066615E-3</v>
      </c>
      <c r="U202" s="204"/>
    </row>
    <row r="203" spans="1:21" x14ac:dyDescent="0.2">
      <c r="A203" s="64" t="str">
        <f t="shared" si="4"/>
        <v>1D</v>
      </c>
      <c r="B203" s="203">
        <f>_xll.qlCalendarAdvance(Calendar,B202,A203,"f",FALSE)</f>
        <v>42067</v>
      </c>
      <c r="C203" s="237">
        <f>_xll.qlCalendarAdvance(Calendar,B203,NDays&amp;"D")</f>
        <v>42069</v>
      </c>
      <c r="D203" s="202">
        <v>3.0046018717245445E-3</v>
      </c>
      <c r="E203" s="202">
        <v>3.0903493415213035E-3</v>
      </c>
      <c r="U203" s="204"/>
    </row>
    <row r="204" spans="1:21" x14ac:dyDescent="0.2">
      <c r="A204" s="64" t="str">
        <f t="shared" si="4"/>
        <v>1D</v>
      </c>
      <c r="B204" s="203">
        <f>_xll.qlCalendarAdvance(Calendar,B203,A204,"f",FALSE)</f>
        <v>42068</v>
      </c>
      <c r="C204" s="237">
        <f>_xll.qlCalendarAdvance(Calendar,B204,NDays&amp;"D")</f>
        <v>42072</v>
      </c>
      <c r="D204" s="202">
        <v>3.008480434634198E-3</v>
      </c>
      <c r="E204" s="202">
        <v>3.0934913471636349E-3</v>
      </c>
      <c r="U204" s="204"/>
    </row>
    <row r="205" spans="1:21" x14ac:dyDescent="0.2">
      <c r="A205" s="64" t="str">
        <f t="shared" si="4"/>
        <v>1D</v>
      </c>
      <c r="B205" s="203">
        <f>_xll.qlCalendarAdvance(Calendar,B204,A205,"f",FALSE)</f>
        <v>42069</v>
      </c>
      <c r="C205" s="237">
        <f>_xll.qlCalendarAdvance(Calendar,B205,NDays&amp;"D")</f>
        <v>42073</v>
      </c>
      <c r="D205" s="202">
        <v>3.0106917741973996E-3</v>
      </c>
      <c r="E205" s="202">
        <v>3.0959913125983007E-3</v>
      </c>
      <c r="U205" s="204"/>
    </row>
    <row r="206" spans="1:21" x14ac:dyDescent="0.2">
      <c r="A206" s="64" t="str">
        <f t="shared" si="4"/>
        <v>1D</v>
      </c>
      <c r="B206" s="203">
        <f>_xll.qlCalendarAdvance(Calendar,B205,A206,"f",FALSE)</f>
        <v>42072</v>
      </c>
      <c r="C206" s="237">
        <f>_xll.qlCalendarAdvance(Calendar,B206,NDays&amp;"D")</f>
        <v>42074</v>
      </c>
      <c r="D206" s="202">
        <v>3.0129233167481453E-3</v>
      </c>
      <c r="E206" s="202">
        <v>3.099040697263078E-3</v>
      </c>
      <c r="U206" s="204"/>
    </row>
    <row r="207" spans="1:21" x14ac:dyDescent="0.2">
      <c r="A207" s="64" t="str">
        <f t="shared" si="4"/>
        <v>1D</v>
      </c>
      <c r="B207" s="203">
        <f>_xll.qlCalendarAdvance(Calendar,B206,A207,"f",FALSE)</f>
        <v>42073</v>
      </c>
      <c r="C207" s="237">
        <f>_xll.qlCalendarAdvance(Calendar,B207,NDays&amp;"D")</f>
        <v>42075</v>
      </c>
      <c r="D207" s="202">
        <v>3.0207107748674513E-3</v>
      </c>
      <c r="E207" s="202">
        <v>3.1026395011579666E-3</v>
      </c>
      <c r="U207" s="204"/>
    </row>
    <row r="208" spans="1:21" x14ac:dyDescent="0.2">
      <c r="A208" s="64" t="str">
        <f t="shared" si="4"/>
        <v>1D</v>
      </c>
      <c r="B208" s="203">
        <f>_xll.qlCalendarAdvance(Calendar,B207,A208,"f",FALSE)</f>
        <v>42074</v>
      </c>
      <c r="C208" s="237">
        <f>_xll.qlCalendarAdvance(Calendar,B208,NDays&amp;"D")</f>
        <v>42076</v>
      </c>
      <c r="D208" s="202">
        <v>3.0202418871046336E-3</v>
      </c>
      <c r="E208" s="202">
        <v>3.1116954022802901E-3</v>
      </c>
      <c r="U208" s="204"/>
    </row>
    <row r="209" spans="1:21" x14ac:dyDescent="0.2">
      <c r="A209" s="64" t="str">
        <f t="shared" si="4"/>
        <v>1D</v>
      </c>
      <c r="B209" s="203">
        <f>_xll.qlCalendarAdvance(Calendar,B208,A209,"f",FALSE)</f>
        <v>42075</v>
      </c>
      <c r="C209" s="237">
        <f>_xll.qlCalendarAdvance(Calendar,B209,NDays&amp;"D")</f>
        <v>42079</v>
      </c>
      <c r="D209" s="202">
        <v>3.0244061477146607E-3</v>
      </c>
      <c r="E209" s="202">
        <v>3.1225289092784436E-3</v>
      </c>
      <c r="U209" s="204"/>
    </row>
    <row r="210" spans="1:21" x14ac:dyDescent="0.2">
      <c r="A210" s="64" t="str">
        <f t="shared" si="4"/>
        <v>1D</v>
      </c>
      <c r="B210" s="203">
        <f>_xll.qlCalendarAdvance(Calendar,B209,A210,"f",FALSE)</f>
        <v>42076</v>
      </c>
      <c r="C210" s="237">
        <f>_xll.qlCalendarAdvance(Calendar,B210,NDays&amp;"D")</f>
        <v>42080</v>
      </c>
      <c r="D210" s="202">
        <v>3.0267721522817103E-3</v>
      </c>
      <c r="E210" s="202">
        <v>3.1288748095636976E-3</v>
      </c>
      <c r="U210" s="204"/>
    </row>
    <row r="211" spans="1:21" x14ac:dyDescent="0.2">
      <c r="A211" s="64" t="str">
        <f t="shared" si="4"/>
        <v>1D</v>
      </c>
      <c r="B211" s="203">
        <f>_xll.qlCalendarAdvance(Calendar,B210,A211,"f",FALSE)</f>
        <v>42079</v>
      </c>
      <c r="C211" s="237">
        <f>_xll.qlCalendarAdvance(Calendar,B211,NDays&amp;"D")</f>
        <v>42081</v>
      </c>
      <c r="D211" s="202">
        <v>3.0291627745679278E-3</v>
      </c>
      <c r="E211" s="202">
        <v>3.135770129158999E-3</v>
      </c>
      <c r="U211" s="204"/>
    </row>
    <row r="212" spans="1:21" x14ac:dyDescent="0.2">
      <c r="A212" s="64" t="str">
        <f t="shared" si="4"/>
        <v>1D</v>
      </c>
      <c r="B212" s="203">
        <f>_xll.qlCalendarAdvance(Calendar,B211,A212,"f",FALSE)</f>
        <v>42080</v>
      </c>
      <c r="C212" s="237">
        <f>_xll.qlCalendarAdvance(Calendar,B212,NDays&amp;"D")</f>
        <v>42082</v>
      </c>
      <c r="D212" s="202">
        <v>3.0377318965112096E-3</v>
      </c>
      <c r="E212" s="202">
        <v>3.143214868144284E-3</v>
      </c>
      <c r="U212" s="204"/>
    </row>
    <row r="213" spans="1:21" x14ac:dyDescent="0.2">
      <c r="A213" s="64" t="str">
        <f t="shared" si="4"/>
        <v>1D</v>
      </c>
      <c r="B213" s="203">
        <f>_xll.qlCalendarAdvance(Calendar,B212,A213,"f",FALSE)</f>
        <v>42081</v>
      </c>
      <c r="C213" s="237">
        <f>_xll.qlCalendarAdvance(Calendar,B213,NDays&amp;"D")</f>
        <v>42083</v>
      </c>
      <c r="D213" s="202">
        <v>3.0371352005956367E-3</v>
      </c>
      <c r="E213" s="202">
        <v>3.1599634809076349E-3</v>
      </c>
      <c r="U213" s="204"/>
    </row>
    <row r="214" spans="1:21" x14ac:dyDescent="0.2">
      <c r="A214" s="64" t="str">
        <f t="shared" si="4"/>
        <v>1D</v>
      </c>
      <c r="B214" s="203">
        <f>_xll.qlCalendarAdvance(Calendar,B213,A214,"f",FALSE)</f>
        <v>42082</v>
      </c>
      <c r="C214" s="237">
        <f>_xll.qlCalendarAdvance(Calendar,B214,NDays&amp;"D")</f>
        <v>42086</v>
      </c>
      <c r="D214" s="202">
        <v>3.0415072261301837E-3</v>
      </c>
      <c r="E214" s="202">
        <v>3.1784880187046838E-3</v>
      </c>
      <c r="U214" s="204"/>
    </row>
    <row r="215" spans="1:21" x14ac:dyDescent="0.2">
      <c r="A215" s="64" t="str">
        <f t="shared" si="4"/>
        <v>1D</v>
      </c>
      <c r="B215" s="203">
        <f>_xll.qlCalendarAdvance(Calendar,B214,A215,"f",FALSE)</f>
        <v>42083</v>
      </c>
      <c r="C215" s="237">
        <f>_xll.qlCalendarAdvance(Calendar,B215,NDays&amp;"D")</f>
        <v>42087</v>
      </c>
      <c r="D215" s="202">
        <v>3.0440587993959016E-3</v>
      </c>
      <c r="E215" s="202">
        <v>3.1886798551195028E-3</v>
      </c>
      <c r="U215" s="204"/>
    </row>
    <row r="216" spans="1:21" x14ac:dyDescent="0.2">
      <c r="A216" s="64" t="str">
        <f t="shared" si="4"/>
        <v>1D</v>
      </c>
      <c r="B216" s="203">
        <f>_xll.qlCalendarAdvance(Calendar,B215,A216,"f",FALSE)</f>
        <v>42086</v>
      </c>
      <c r="C216" s="237">
        <f>_xll.qlCalendarAdvance(Calendar,B216,NDays&amp;"D")</f>
        <v>42088</v>
      </c>
      <c r="D216" s="202">
        <v>3.046639405308341E-3</v>
      </c>
      <c r="E216" s="202">
        <v>3.1994211111641135E-3</v>
      </c>
      <c r="U216" s="204"/>
    </row>
    <row r="217" spans="1:21" x14ac:dyDescent="0.2">
      <c r="A217" s="64" t="str">
        <f t="shared" si="4"/>
        <v>1D</v>
      </c>
      <c r="B217" s="203">
        <f>_xll.qlCalendarAdvance(Calendar,B216,A217,"f",FALSE)</f>
        <v>42087</v>
      </c>
      <c r="C217" s="237">
        <f>_xll.qlCalendarAdvance(Calendar,B217,NDays&amp;"D")</f>
        <v>42089</v>
      </c>
      <c r="D217" s="202">
        <v>3.0563585688860428E-3</v>
      </c>
      <c r="E217" s="202">
        <v>3.2107117869983881E-3</v>
      </c>
      <c r="U217" s="204"/>
    </row>
    <row r="218" spans="1:21" x14ac:dyDescent="0.2">
      <c r="A218" s="64" t="str">
        <f t="shared" si="4"/>
        <v>1D</v>
      </c>
      <c r="B218" s="203">
        <f>_xll.qlCalendarAdvance(Calendar,B217,A218,"f",FALSE)</f>
        <v>42088</v>
      </c>
      <c r="C218" s="237">
        <f>_xll.qlCalendarAdvance(Calendar,B218,NDays&amp;"D")</f>
        <v>42090</v>
      </c>
      <c r="D218" s="202">
        <v>3.0554969762769725E-3</v>
      </c>
      <c r="E218" s="202">
        <v>3.2351536098840228E-3</v>
      </c>
      <c r="U218" s="204"/>
    </row>
    <row r="219" spans="1:21" x14ac:dyDescent="0.2">
      <c r="A219" s="64" t="str">
        <f t="shared" si="4"/>
        <v>1D</v>
      </c>
      <c r="B219" s="203">
        <f>_xll.qlCalendarAdvance(Calendar,B218,A219,"f",FALSE)</f>
        <v>42089</v>
      </c>
      <c r="C219" s="237">
        <f>_xll.qlCalendarAdvance(Calendar,B219,NDays&amp;"D")</f>
        <v>42093</v>
      </c>
      <c r="D219" s="202">
        <v>3.0599999999998025E-3</v>
      </c>
      <c r="E219" s="202">
        <v>3.2608375558940139E-3</v>
      </c>
      <c r="U219" s="204"/>
    </row>
    <row r="220" spans="1:21" x14ac:dyDescent="0.2">
      <c r="A220" s="64" t="str">
        <f t="shared" si="4"/>
        <v>1D</v>
      </c>
      <c r="B220" s="203">
        <f>_xll.qlCalendarAdvance(Calendar,B219,A220,"f",FALSE)</f>
        <v>42090</v>
      </c>
      <c r="C220" s="237">
        <f>_xll.qlCalendarAdvance(Calendar,B220,NDays&amp;"D")</f>
        <v>42094</v>
      </c>
      <c r="D220" s="202">
        <v>3.0588748200893112E-3</v>
      </c>
      <c r="E220" s="202">
        <v>3.271688539285833E-3</v>
      </c>
      <c r="U220" s="204"/>
    </row>
    <row r="221" spans="1:21" x14ac:dyDescent="0.2">
      <c r="A221" s="64" t="str">
        <f t="shared" si="4"/>
        <v>1D</v>
      </c>
      <c r="B221" s="203">
        <f>_xll.qlCalendarAdvance(Calendar,B220,A221,"f",FALSE)</f>
        <v>42093</v>
      </c>
      <c r="C221" s="237">
        <f>_xll.qlCalendarAdvance(Calendar,B221,NDays&amp;"D")</f>
        <v>42095</v>
      </c>
      <c r="D221" s="202">
        <v>3.0615981836746653E-3</v>
      </c>
      <c r="E221" s="202">
        <v>3.2799021508367332E-3</v>
      </c>
      <c r="U221" s="204"/>
    </row>
    <row r="222" spans="1:21" x14ac:dyDescent="0.2">
      <c r="A222" s="64" t="str">
        <f t="shared" si="4"/>
        <v>1D</v>
      </c>
      <c r="B222" s="203">
        <f>_xll.qlCalendarAdvance(Calendar,B221,A222,"f",FALSE)</f>
        <v>42094</v>
      </c>
      <c r="C222" s="237">
        <f>_xll.qlCalendarAdvance(Calendar,B222,NDays&amp;"D")</f>
        <v>42096</v>
      </c>
      <c r="D222" s="202">
        <v>3.0643672263803968E-3</v>
      </c>
      <c r="E222" s="202">
        <v>3.2861413721363419E-3</v>
      </c>
      <c r="U222" s="204"/>
    </row>
    <row r="223" spans="1:21" x14ac:dyDescent="0.2">
      <c r="A223" s="64" t="str">
        <f t="shared" si="4"/>
        <v>1D</v>
      </c>
      <c r="B223" s="203">
        <f>_xll.qlCalendarAdvance(Calendar,B222,A223,"f",FALSE)</f>
        <v>42095</v>
      </c>
      <c r="C223" s="237">
        <f>_xll.qlCalendarAdvance(Calendar,B223,NDays&amp;"D")</f>
        <v>42101</v>
      </c>
      <c r="D223" s="202">
        <v>3.0788363440623127E-3</v>
      </c>
      <c r="E223" s="202">
        <v>3.2737990058873123E-3</v>
      </c>
      <c r="U223" s="204"/>
    </row>
    <row r="224" spans="1:21" x14ac:dyDescent="0.2">
      <c r="A224" s="64" t="str">
        <f t="shared" si="4"/>
        <v>1D</v>
      </c>
      <c r="B224" s="203">
        <f>_xll.qlCalendarAdvance(Calendar,B223,A224,"f",FALSE)</f>
        <v>42096</v>
      </c>
      <c r="C224" s="237">
        <f>_xll.qlCalendarAdvance(Calendar,B224,NDays&amp;"D")</f>
        <v>42102</v>
      </c>
      <c r="D224" s="202">
        <v>3.081842691791326E-3</v>
      </c>
      <c r="E224" s="202">
        <v>3.2635510128731227E-3</v>
      </c>
      <c r="U224" s="204"/>
    </row>
    <row r="225" spans="1:21" x14ac:dyDescent="0.2">
      <c r="A225" s="64" t="str">
        <f t="shared" si="4"/>
        <v>1D</v>
      </c>
      <c r="B225" s="203">
        <f>_xll.qlCalendarAdvance(Calendar,B224,A225,"f",FALSE)</f>
        <v>42101</v>
      </c>
      <c r="C225" s="237">
        <f>_xll.qlCalendarAdvance(Calendar,B225,NDays&amp;"D")</f>
        <v>42103</v>
      </c>
      <c r="D225" s="202">
        <v>3.0848824620008605E-3</v>
      </c>
      <c r="E225" s="202">
        <v>3.2506656481778862E-3</v>
      </c>
      <c r="U225" s="204"/>
    </row>
    <row r="226" spans="1:21" x14ac:dyDescent="0.2">
      <c r="A226" s="64" t="str">
        <f t="shared" si="4"/>
        <v>1D</v>
      </c>
      <c r="B226" s="203">
        <f>_xll.qlCalendarAdvance(Calendar,B225,A226,"f",FALSE)</f>
        <v>42102</v>
      </c>
      <c r="C226" s="237">
        <f>_xll.qlCalendarAdvance(Calendar,B226,NDays&amp;"D")</f>
        <v>42104</v>
      </c>
      <c r="D226" s="202">
        <v>3.095665519146841E-3</v>
      </c>
      <c r="E226" s="202">
        <v>3.2161324128132662E-3</v>
      </c>
      <c r="U226" s="204"/>
    </row>
    <row r="227" spans="1:21" x14ac:dyDescent="0.2">
      <c r="A227" s="64" t="str">
        <f t="shared" si="4"/>
        <v>1D</v>
      </c>
      <c r="B227" s="203">
        <f>_xll.qlCalendarAdvance(Calendar,B226,A227,"f",FALSE)</f>
        <v>42103</v>
      </c>
      <c r="C227" s="237">
        <f>_xll.qlCalendarAdvance(Calendar,B227,NDays&amp;"D")</f>
        <v>42107</v>
      </c>
      <c r="D227" s="202">
        <v>3.0973407478512393E-3</v>
      </c>
      <c r="E227" s="202">
        <v>3.172750479620845E-3</v>
      </c>
      <c r="U227" s="204"/>
    </row>
    <row r="228" spans="1:21" x14ac:dyDescent="0.2">
      <c r="A228" s="64" t="str">
        <f t="shared" si="4"/>
        <v>1D</v>
      </c>
      <c r="B228" s="203">
        <f>_xll.qlCalendarAdvance(Calendar,B227,A228,"f",FALSE)</f>
        <v>42104</v>
      </c>
      <c r="C228" s="237">
        <f>_xll.qlCalendarAdvance(Calendar,B228,NDays&amp;"D")</f>
        <v>42108</v>
      </c>
      <c r="D228" s="202">
        <v>3.1005213655365331E-3</v>
      </c>
      <c r="E228" s="202">
        <v>3.1466782621958345E-3</v>
      </c>
      <c r="U228" s="204"/>
    </row>
    <row r="229" spans="1:21" x14ac:dyDescent="0.2">
      <c r="A229" s="64" t="str">
        <f t="shared" si="4"/>
        <v>1D</v>
      </c>
      <c r="B229" s="203">
        <f>_xll.qlCalendarAdvance(Calendar,B228,A229,"f",FALSE)</f>
        <v>42107</v>
      </c>
      <c r="C229" s="237">
        <f>_xll.qlCalendarAdvance(Calendar,B229,NDays&amp;"D")</f>
        <v>42109</v>
      </c>
      <c r="D229" s="202">
        <v>3.1037248996630298E-3</v>
      </c>
      <c r="E229" s="202">
        <v>3.117968675727667E-3</v>
      </c>
      <c r="U229" s="204"/>
    </row>
    <row r="230" spans="1:21" x14ac:dyDescent="0.2">
      <c r="A230" s="64" t="str">
        <f t="shared" si="4"/>
        <v>1D</v>
      </c>
      <c r="B230" s="203">
        <f>_xll.qlCalendarAdvance(Calendar,B229,A230,"f",FALSE)</f>
        <v>42108</v>
      </c>
      <c r="C230" s="237">
        <f>_xll.qlCalendarAdvance(Calendar,B230,NDays&amp;"D")</f>
        <v>42110</v>
      </c>
      <c r="D230" s="202">
        <v>3.1069495991881409E-3</v>
      </c>
      <c r="E230" s="202">
        <v>3.086621720695959E-3</v>
      </c>
      <c r="U230" s="204"/>
    </row>
    <row r="231" spans="1:21" x14ac:dyDescent="0.2">
      <c r="A231" s="64" t="str">
        <f t="shared" si="4"/>
        <v>1D</v>
      </c>
      <c r="B231" s="203">
        <f>_xll.qlCalendarAdvance(Calendar,B230,A231,"f",FALSE)</f>
        <v>42109</v>
      </c>
      <c r="C231" s="237">
        <f>_xll.qlCalendarAdvance(Calendar,B231,NDays&amp;"D")</f>
        <v>42111</v>
      </c>
      <c r="D231" s="202">
        <v>3.1158944075123144E-3</v>
      </c>
      <c r="E231" s="202">
        <v>3.0151618377782796E-3</v>
      </c>
      <c r="U231" s="204"/>
    </row>
    <row r="232" spans="1:21" x14ac:dyDescent="0.2">
      <c r="A232" s="64" t="str">
        <f t="shared" si="4"/>
        <v>1D</v>
      </c>
      <c r="B232" s="203">
        <f>_xll.qlCalendarAdvance(Calendar,B231,A232,"f",FALSE)</f>
        <v>42110</v>
      </c>
      <c r="C232" s="237">
        <f>_xll.qlCalendarAdvance(Calendar,B232,NDays&amp;"D")</f>
        <v>42114</v>
      </c>
      <c r="D232" s="202">
        <v>3.1200250300616925E-3</v>
      </c>
      <c r="E232" s="202">
        <v>2.9348602309209326E-3</v>
      </c>
      <c r="U232" s="204"/>
    </row>
    <row r="233" spans="1:21" x14ac:dyDescent="0.2">
      <c r="A233" s="64" t="str">
        <f t="shared" si="4"/>
        <v>1D</v>
      </c>
      <c r="B233" s="203">
        <f>_xll.qlCalendarAdvance(Calendar,B232,A233,"f",FALSE)</f>
        <v>42111</v>
      </c>
      <c r="C233" s="237">
        <f>_xll.qlCalendarAdvance(Calendar,B233,NDays&amp;"D")</f>
        <v>42115</v>
      </c>
      <c r="D233" s="202">
        <v>3.1233292905710527E-3</v>
      </c>
      <c r="E233" s="202">
        <v>2.8903264452218025E-3</v>
      </c>
      <c r="U233" s="204"/>
    </row>
    <row r="234" spans="1:21" x14ac:dyDescent="0.2">
      <c r="A234" s="64" t="str">
        <f t="shared" si="4"/>
        <v>1D</v>
      </c>
      <c r="B234" s="203">
        <f>_xll.qlCalendarAdvance(Calendar,B233,A234,"f",FALSE)</f>
        <v>42114</v>
      </c>
      <c r="C234" s="237">
        <f>_xll.qlCalendarAdvance(Calendar,B234,NDays&amp;"D")</f>
        <v>42116</v>
      </c>
      <c r="D234" s="202">
        <v>3.1266442099950379E-3</v>
      </c>
      <c r="E234" s="202">
        <v>2.8431552960750395E-3</v>
      </c>
      <c r="U234" s="204"/>
    </row>
    <row r="235" spans="1:21" x14ac:dyDescent="0.2">
      <c r="A235" s="64" t="str">
        <f t="shared" si="4"/>
        <v>1D</v>
      </c>
      <c r="B235" s="203">
        <f>_xll.qlCalendarAdvance(Calendar,B234,A235,"f",FALSE)</f>
        <v>42115</v>
      </c>
      <c r="C235" s="237">
        <f>_xll.qlCalendarAdvance(Calendar,B235,NDays&amp;"D")</f>
        <v>42117</v>
      </c>
      <c r="D235" s="202">
        <v>3.1299680372146171E-3</v>
      </c>
      <c r="E235" s="202">
        <v>2.7933467845198123E-3</v>
      </c>
      <c r="U235" s="204"/>
    </row>
    <row r="236" spans="1:21" x14ac:dyDescent="0.2">
      <c r="A236" s="64" t="str">
        <f t="shared" si="4"/>
        <v>1D</v>
      </c>
      <c r="B236" s="203">
        <f>_xll.qlCalendarAdvance(Calendar,B235,A236,"f",FALSE)</f>
        <v>42116</v>
      </c>
      <c r="C236" s="237">
        <f>_xll.qlCalendarAdvance(Calendar,B236,NDays&amp;"D")</f>
        <v>42118</v>
      </c>
      <c r="D236" s="202">
        <v>3.1354103193584506E-3</v>
      </c>
      <c r="E236" s="202">
        <v>2.6849585808008669E-3</v>
      </c>
      <c r="U236" s="204"/>
    </row>
    <row r="237" spans="1:21" x14ac:dyDescent="0.2">
      <c r="A237" s="64" t="str">
        <f t="shared" si="4"/>
        <v>1D</v>
      </c>
      <c r="B237" s="203">
        <f>_xll.qlCalendarAdvance(Calendar,B236,A237,"f",FALSE)</f>
        <v>42117</v>
      </c>
      <c r="C237" s="237">
        <f>_xll.qlCalendarAdvance(Calendar,B237,NDays&amp;"D")</f>
        <v>42121</v>
      </c>
      <c r="D237" s="202">
        <v>3.1433174012222686E-3</v>
      </c>
      <c r="E237" s="202">
        <v>2.567739136996039E-3</v>
      </c>
      <c r="U237" s="204"/>
    </row>
    <row r="238" spans="1:21" x14ac:dyDescent="0.2">
      <c r="A238" s="64" t="str">
        <f t="shared" si="4"/>
        <v>1D</v>
      </c>
      <c r="B238" s="203">
        <f>_xll.qlCalendarAdvance(Calendar,B237,A238,"f",FALSE)</f>
        <v>42118</v>
      </c>
      <c r="C238" s="237">
        <f>_xll.qlCalendarAdvance(Calendar,B238,NDays&amp;"D")</f>
        <v>42122</v>
      </c>
      <c r="D238" s="202">
        <v>3.1466595001988511E-3</v>
      </c>
      <c r="E238" s="202">
        <v>2.5047438309844239E-3</v>
      </c>
      <c r="U238" s="204"/>
    </row>
    <row r="239" spans="1:21" x14ac:dyDescent="0.2">
      <c r="A239" s="64" t="str">
        <f t="shared" si="4"/>
        <v>1D</v>
      </c>
      <c r="B239" s="203">
        <f>_xll.qlCalendarAdvance(Calendar,B238,A239,"f",FALSE)</f>
        <v>42121</v>
      </c>
      <c r="C239" s="237">
        <f>_xll.qlCalendarAdvance(Calendar,B239,NDays&amp;"D")</f>
        <v>42123</v>
      </c>
      <c r="D239" s="202">
        <v>3.1499999999999974E-3</v>
      </c>
      <c r="E239" s="202">
        <v>2.4400181697536993E-3</v>
      </c>
      <c r="U239" s="204"/>
    </row>
    <row r="240" spans="1:21" x14ac:dyDescent="0.2">
      <c r="A240" s="64" t="str">
        <f t="shared" si="4"/>
        <v>1D</v>
      </c>
      <c r="B240" s="203">
        <f>_xll.qlCalendarAdvance(Calendar,B239,A240,"f",FALSE)</f>
        <v>42122</v>
      </c>
      <c r="C240" s="237">
        <f>_xll.qlCalendarAdvance(Calendar,B240,NDays&amp;"D")</f>
        <v>42124</v>
      </c>
      <c r="D240" s="202">
        <v>3.1533371548824844E-3</v>
      </c>
      <c r="E240" s="202">
        <v>2.2899815740262675E-3</v>
      </c>
      <c r="U240" s="204"/>
    </row>
    <row r="241" spans="1:21" x14ac:dyDescent="0.2">
      <c r="A241" s="64" t="str">
        <f t="shared" si="4"/>
        <v>1D</v>
      </c>
      <c r="B241" s="203">
        <f>_xll.qlCalendarAdvance(Calendar,B240,A241,"f",FALSE)</f>
        <v>42123</v>
      </c>
      <c r="C241" s="237">
        <f>_xll.qlCalendarAdvance(Calendar,B241,NDays&amp;"D")</f>
        <v>42128</v>
      </c>
      <c r="D241" s="202">
        <v>3.164409716034957E-3</v>
      </c>
      <c r="E241" s="202">
        <v>2.153924491166137E-3</v>
      </c>
      <c r="U241" s="204"/>
    </row>
    <row r="242" spans="1:21" x14ac:dyDescent="0.2">
      <c r="A242" s="64" t="str">
        <f t="shared" si="4"/>
        <v>1D</v>
      </c>
      <c r="B242" s="203">
        <f>_xll.qlCalendarAdvance(Calendar,B241,A242,"f",FALSE)</f>
        <v>42124</v>
      </c>
      <c r="C242" s="237">
        <f>_xll.qlCalendarAdvance(Calendar,B242,NDays&amp;"D")</f>
        <v>42129</v>
      </c>
      <c r="D242" s="202">
        <v>3.1674071974202339E-3</v>
      </c>
      <c r="E242" s="202">
        <v>2.1051196715404785E-3</v>
      </c>
      <c r="U242" s="204"/>
    </row>
    <row r="243" spans="1:21" x14ac:dyDescent="0.2">
      <c r="A243" s="64" t="str">
        <f t="shared" si="4"/>
        <v>1D</v>
      </c>
      <c r="B243" s="203">
        <f>_xll.qlCalendarAdvance(Calendar,B242,A243,"f",FALSE)</f>
        <v>42128</v>
      </c>
      <c r="C243" s="237">
        <f>_xll.qlCalendarAdvance(Calendar,B243,NDays&amp;"D")</f>
        <v>42130</v>
      </c>
      <c r="D243" s="202">
        <v>3.1704046488029887E-3</v>
      </c>
      <c r="E243" s="202">
        <v>2.0591194877184194E-3</v>
      </c>
      <c r="U243" s="204"/>
    </row>
    <row r="244" spans="1:21" x14ac:dyDescent="0.2">
      <c r="A244" s="64" t="str">
        <f t="shared" si="4"/>
        <v>1D</v>
      </c>
      <c r="B244" s="203">
        <f>_xll.qlCalendarAdvance(Calendar,B243,A244,"f",FALSE)</f>
        <v>42129</v>
      </c>
      <c r="C244" s="237">
        <f>_xll.qlCalendarAdvance(Calendar,B244,NDays&amp;"D")</f>
        <v>42131</v>
      </c>
      <c r="D244" s="202">
        <v>3.1666872303134828E-3</v>
      </c>
      <c r="E244" s="202">
        <v>2.0159239388206629E-3</v>
      </c>
      <c r="U244" s="204"/>
    </row>
    <row r="245" spans="1:21" x14ac:dyDescent="0.2">
      <c r="A245" s="64" t="str">
        <f t="shared" si="4"/>
        <v>1D</v>
      </c>
      <c r="B245" s="203">
        <f>_xll.qlCalendarAdvance(Calendar,B244,A245,"f",FALSE)</f>
        <v>42130</v>
      </c>
      <c r="C245" s="237">
        <f>_xll.qlCalendarAdvance(Calendar,B245,NDays&amp;"D")</f>
        <v>42132</v>
      </c>
      <c r="D245" s="202">
        <v>3.1728898049172265E-3</v>
      </c>
      <c r="E245" s="202">
        <v>1.938892059811792E-3</v>
      </c>
      <c r="U245" s="204"/>
    </row>
    <row r="246" spans="1:21" x14ac:dyDescent="0.2">
      <c r="A246" s="64" t="str">
        <f t="shared" si="4"/>
        <v>1D</v>
      </c>
      <c r="B246" s="203">
        <f>_xll.qlCalendarAdvance(Calendar,B245,A246,"f",FALSE)</f>
        <v>42131</v>
      </c>
      <c r="C246" s="237">
        <f>_xll.qlCalendarAdvance(Calendar,B246,NDays&amp;"D")</f>
        <v>42135</v>
      </c>
      <c r="D246" s="202">
        <v>3.1853316357820663E-3</v>
      </c>
      <c r="E246" s="202">
        <v>1.8711880716892892E-3</v>
      </c>
      <c r="U246" s="204"/>
    </row>
    <row r="247" spans="1:21" x14ac:dyDescent="0.2">
      <c r="A247" s="64" t="str">
        <f t="shared" si="4"/>
        <v>1D</v>
      </c>
      <c r="B247" s="203">
        <f>_xll.qlCalendarAdvance(Calendar,B246,A247,"f",FALSE)</f>
        <v>42132</v>
      </c>
      <c r="C247" s="237">
        <f>_xll.qlCalendarAdvance(Calendar,B247,NDays&amp;"D")</f>
        <v>42136</v>
      </c>
      <c r="D247" s="202">
        <v>3.1882930150638625E-3</v>
      </c>
      <c r="E247" s="202">
        <v>1.8420156829446199E-3</v>
      </c>
      <c r="U247" s="204"/>
    </row>
    <row r="248" spans="1:21" x14ac:dyDescent="0.2">
      <c r="A248" s="64" t="str">
        <f t="shared" si="4"/>
        <v>1D</v>
      </c>
      <c r="B248" s="203">
        <f>_xll.qlCalendarAdvance(Calendar,B247,A248,"f",FALSE)</f>
        <v>42135</v>
      </c>
      <c r="C248" s="237">
        <f>_xll.qlCalendarAdvance(Calendar,B248,NDays&amp;"D")</f>
        <v>42137</v>
      </c>
      <c r="D248" s="202">
        <v>3.1912424002173596E-3</v>
      </c>
      <c r="E248" s="202">
        <v>1.8156479238484735E-3</v>
      </c>
      <c r="U248" s="204"/>
    </row>
    <row r="249" spans="1:21" x14ac:dyDescent="0.2">
      <c r="A249" s="64" t="str">
        <f t="shared" si="4"/>
        <v>1D</v>
      </c>
      <c r="B249" s="203">
        <f>_xll.qlCalendarAdvance(Calendar,B248,A249,"f",FALSE)</f>
        <v>42136</v>
      </c>
      <c r="C249" s="237">
        <f>_xll.qlCalendarAdvance(Calendar,B249,NDays&amp;"D")</f>
        <v>42138</v>
      </c>
      <c r="D249" s="202">
        <v>3.1847823863683268E-3</v>
      </c>
      <c r="E249" s="202">
        <v>1.7920847938412976E-3</v>
      </c>
      <c r="U249" s="204"/>
    </row>
    <row r="250" spans="1:21" x14ac:dyDescent="0.2">
      <c r="A250" s="64" t="str">
        <f t="shared" si="4"/>
        <v>1D</v>
      </c>
      <c r="B250" s="203">
        <f>_xll.qlCalendarAdvance(Calendar,B249,A250,"f",FALSE)</f>
        <v>42137</v>
      </c>
      <c r="C250" s="237">
        <f>_xll.qlCalendarAdvance(Calendar,B250,NDays&amp;"D")</f>
        <v>42139</v>
      </c>
      <c r="D250" s="202">
        <v>3.1922945901782392E-3</v>
      </c>
      <c r="E250" s="202">
        <v>1.7543158436605921E-3</v>
      </c>
      <c r="U250" s="204"/>
    </row>
    <row r="251" spans="1:21" x14ac:dyDescent="0.2">
      <c r="A251" s="64" t="str">
        <f t="shared" si="4"/>
        <v>1D</v>
      </c>
      <c r="B251" s="203">
        <f>_xll.qlCalendarAdvance(Calendar,B250,A251,"f",FALSE)</f>
        <v>42138</v>
      </c>
      <c r="C251" s="237">
        <f>_xll.qlCalendarAdvance(Calendar,B251,NDays&amp;"D")</f>
        <v>42142</v>
      </c>
      <c r="D251" s="202">
        <v>3.2057495916489828E-3</v>
      </c>
      <c r="E251" s="202">
        <v>1.725878555030036E-3</v>
      </c>
      <c r="U251" s="204"/>
    </row>
    <row r="252" spans="1:21" x14ac:dyDescent="0.2">
      <c r="A252" s="64" t="str">
        <f t="shared" si="4"/>
        <v>1D</v>
      </c>
      <c r="B252" s="203">
        <f>_xll.qlCalendarAdvance(Calendar,B251,A252,"f",FALSE)</f>
        <v>42139</v>
      </c>
      <c r="C252" s="237">
        <f>_xll.qlCalendarAdvance(Calendar,B252,NDays&amp;"D")</f>
        <v>42143</v>
      </c>
      <c r="D252" s="202">
        <v>3.2085911184493617E-3</v>
      </c>
      <c r="E252" s="202">
        <v>1.7163385636731476E-3</v>
      </c>
      <c r="U252" s="204"/>
    </row>
    <row r="253" spans="1:21" x14ac:dyDescent="0.2">
      <c r="A253" s="64" t="str">
        <f t="shared" si="4"/>
        <v>1D</v>
      </c>
      <c r="B253" s="203">
        <f>_xll.qlCalendarAdvance(Calendar,B252,A253,"f",FALSE)</f>
        <v>42142</v>
      </c>
      <c r="C253" s="237">
        <f>_xll.qlCalendarAdvance(Calendar,B253,NDays&amp;"D")</f>
        <v>42144</v>
      </c>
      <c r="D253" s="202">
        <v>3.2114086865034485E-3</v>
      </c>
      <c r="E253" s="202">
        <v>1.7096031991670202E-3</v>
      </c>
      <c r="U253" s="204"/>
    </row>
    <row r="254" spans="1:21" x14ac:dyDescent="0.2">
      <c r="A254" s="64" t="str">
        <f t="shared" si="4"/>
        <v>1D</v>
      </c>
      <c r="B254" s="203">
        <f>_xll.qlCalendarAdvance(Calendar,B253,A254,"f",FALSE)</f>
        <v>42143</v>
      </c>
      <c r="C254" s="237">
        <f>_xll.qlCalendarAdvance(Calendar,B254,NDays&amp;"D")</f>
        <v>42145</v>
      </c>
      <c r="D254" s="202">
        <v>3.2034448344391139E-3</v>
      </c>
      <c r="E254" s="202">
        <v>1.7056724611919094E-3</v>
      </c>
      <c r="U254" s="204"/>
    </row>
    <row r="255" spans="1:21" x14ac:dyDescent="0.2">
      <c r="A255" s="64" t="str">
        <f t="shared" si="4"/>
        <v>1D</v>
      </c>
      <c r="B255" s="203">
        <f>_xll.qlCalendarAdvance(Calendar,B254,A255,"f",FALSE)</f>
        <v>42144</v>
      </c>
      <c r="C255" s="237">
        <f>_xll.qlCalendarAdvance(Calendar,B255,NDays&amp;"D")</f>
        <v>42146</v>
      </c>
      <c r="D255" s="202">
        <v>3.2115256851801039E-3</v>
      </c>
      <c r="E255" s="202">
        <v>1.7071678359226183E-3</v>
      </c>
      <c r="U255" s="204"/>
    </row>
    <row r="256" spans="1:21" x14ac:dyDescent="0.2">
      <c r="A256" s="64" t="str">
        <f t="shared" si="4"/>
        <v>1D</v>
      </c>
      <c r="B256" s="203">
        <f>_xll.qlCalendarAdvance(Calendar,B255,A256,"f",FALSE)</f>
        <v>42145</v>
      </c>
      <c r="C256" s="237">
        <f>_xll.qlCalendarAdvance(Calendar,B256,NDays&amp;"D")</f>
        <v>42149</v>
      </c>
      <c r="D256" s="202">
        <v>3.2250773208856217E-3</v>
      </c>
      <c r="E256" s="202">
        <v>1.7179957748414409E-3</v>
      </c>
      <c r="U256" s="204"/>
    </row>
    <row r="257" spans="1:21" x14ac:dyDescent="0.2">
      <c r="A257" s="64" t="str">
        <f t="shared" si="4"/>
        <v>1D</v>
      </c>
      <c r="B257" s="203">
        <f>_xll.qlCalendarAdvance(Calendar,B256,A257,"f",FALSE)</f>
        <v>42146</v>
      </c>
      <c r="C257" s="237">
        <f>_xll.qlCalendarAdvance(Calendar,B257,NDays&amp;"D")</f>
        <v>42150</v>
      </c>
      <c r="D257" s="202">
        <v>3.2277152415266762E-3</v>
      </c>
      <c r="E257" s="202">
        <v>1.7280881699210937E-3</v>
      </c>
      <c r="U257" s="204"/>
    </row>
    <row r="258" spans="1:21" x14ac:dyDescent="0.2">
      <c r="A258" s="64" t="str">
        <f t="shared" si="4"/>
        <v>1D</v>
      </c>
      <c r="B258" s="203">
        <f>_xll.qlCalendarAdvance(Calendar,B257,A258,"f",FALSE)</f>
        <v>42149</v>
      </c>
      <c r="C258" s="237">
        <f>_xll.qlCalendarAdvance(Calendar,B258,NDays&amp;"D")</f>
        <v>42151</v>
      </c>
      <c r="D258" s="202">
        <v>3.230317238366406E-3</v>
      </c>
      <c r="E258" s="202">
        <v>1.7409851921712516E-3</v>
      </c>
      <c r="U258" s="204"/>
    </row>
    <row r="259" spans="1:21" x14ac:dyDescent="0.2">
      <c r="A259" s="64" t="str">
        <f t="shared" si="4"/>
        <v>1D</v>
      </c>
      <c r="B259" s="203">
        <f>_xll.qlCalendarAdvance(Calendar,B258,A259,"f",FALSE)</f>
        <v>42150</v>
      </c>
      <c r="C259" s="237">
        <f>_xll.qlCalendarAdvance(Calendar,B259,NDays&amp;"D")</f>
        <v>42152</v>
      </c>
      <c r="D259" s="202">
        <v>3.2220946381606779E-3</v>
      </c>
      <c r="E259" s="202">
        <v>1.7566868417517867E-3</v>
      </c>
      <c r="U259" s="204"/>
    </row>
    <row r="260" spans="1:21" x14ac:dyDescent="0.2">
      <c r="A260" s="64" t="str">
        <f t="shared" si="4"/>
        <v>1D</v>
      </c>
      <c r="B260" s="203">
        <f>_xll.qlCalendarAdvance(Calendar,B259,A260,"f",FALSE)</f>
        <v>42151</v>
      </c>
      <c r="C260" s="237">
        <f>_xll.qlCalendarAdvance(Calendar,B260,NDays&amp;"D")</f>
        <v>42153</v>
      </c>
      <c r="D260" s="202">
        <v>3.2300000000000965E-3</v>
      </c>
      <c r="E260" s="202">
        <v>1.7959351427343506E-3</v>
      </c>
      <c r="U260" s="204"/>
    </row>
    <row r="261" spans="1:21" x14ac:dyDescent="0.2">
      <c r="A261" s="64" t="str">
        <f t="shared" si="4"/>
        <v>1D</v>
      </c>
      <c r="B261" s="203">
        <f>_xll.qlCalendarAdvance(Calendar,B260,A261,"f",FALSE)</f>
        <v>42152</v>
      </c>
      <c r="C261" s="237">
        <f>_xll.qlCalendarAdvance(Calendar,B261,NDays&amp;"D")</f>
        <v>42156</v>
      </c>
      <c r="D261" s="202">
        <v>3.248098620899492E-3</v>
      </c>
      <c r="E261" s="202">
        <v>1.8413207743339655E-3</v>
      </c>
      <c r="U261" s="204"/>
    </row>
    <row r="262" spans="1:21" x14ac:dyDescent="0.2">
      <c r="A262" s="64" t="str">
        <f t="shared" si="4"/>
        <v>1D</v>
      </c>
      <c r="B262" s="203">
        <f>_xll.qlCalendarAdvance(Calendar,B261,A262,"f",FALSE)</f>
        <v>42153</v>
      </c>
      <c r="C262" s="237">
        <f>_xll.qlCalendarAdvance(Calendar,B262,NDays&amp;"D")</f>
        <v>42157</v>
      </c>
      <c r="D262" s="202">
        <v>3.2503980500768314E-3</v>
      </c>
      <c r="E262" s="202">
        <v>1.8670116547170323E-3</v>
      </c>
      <c r="U262" s="204"/>
    </row>
    <row r="263" spans="1:21" x14ac:dyDescent="0.2">
      <c r="A263" s="64" t="str">
        <f t="shared" ref="A263:A326" si="5">A262</f>
        <v>1D</v>
      </c>
      <c r="B263" s="203">
        <f>_xll.qlCalendarAdvance(Calendar,B262,A263,"f",FALSE)</f>
        <v>42156</v>
      </c>
      <c r="C263" s="237">
        <f>_xll.qlCalendarAdvance(Calendar,B263,NDays&amp;"D")</f>
        <v>42158</v>
      </c>
      <c r="D263" s="202">
        <v>3.2526627714673621E-3</v>
      </c>
      <c r="E263" s="202">
        <v>1.8944986868874025E-3</v>
      </c>
      <c r="U263" s="204"/>
    </row>
    <row r="264" spans="1:21" x14ac:dyDescent="0.2">
      <c r="A264" s="64" t="str">
        <f t="shared" si="5"/>
        <v>1D</v>
      </c>
      <c r="B264" s="203">
        <f>_xll.qlCalendarAdvance(Calendar,B263,A264,"f",FALSE)</f>
        <v>42157</v>
      </c>
      <c r="C264" s="237">
        <f>_xll.qlCalendarAdvance(Calendar,B264,NDays&amp;"D")</f>
        <v>42159</v>
      </c>
      <c r="D264" s="202">
        <v>3.254899084305879E-3</v>
      </c>
      <c r="E264" s="202">
        <v>1.9237818710848842E-3</v>
      </c>
      <c r="U264" s="204"/>
    </row>
    <row r="265" spans="1:21" x14ac:dyDescent="0.2">
      <c r="A265" s="64" t="str">
        <f t="shared" si="5"/>
        <v>1D</v>
      </c>
      <c r="B265" s="203">
        <f>_xll.qlCalendarAdvance(Calendar,B264,A265,"f",FALSE)</f>
        <v>42158</v>
      </c>
      <c r="C265" s="237">
        <f>_xll.qlCalendarAdvance(Calendar,B265,NDays&amp;"D")</f>
        <v>42160</v>
      </c>
      <c r="D265" s="202">
        <v>3.2475878299155787E-3</v>
      </c>
      <c r="E265" s="202">
        <v>1.9883463962511172E-3</v>
      </c>
      <c r="U265" s="204"/>
    </row>
    <row r="266" spans="1:21" x14ac:dyDescent="0.2">
      <c r="A266" s="64" t="str">
        <f t="shared" si="5"/>
        <v>1D</v>
      </c>
      <c r="B266" s="203">
        <f>_xll.qlCalendarAdvance(Calendar,B265,A266,"f",FALSE)</f>
        <v>42159</v>
      </c>
      <c r="C266" s="237">
        <f>_xll.qlCalendarAdvance(Calendar,B266,NDays&amp;"D")</f>
        <v>42163</v>
      </c>
      <c r="D266" s="202">
        <v>3.263686235878375E-3</v>
      </c>
      <c r="E266" s="202">
        <v>2.0588761379780607E-3</v>
      </c>
      <c r="U266" s="204"/>
    </row>
    <row r="267" spans="1:21" x14ac:dyDescent="0.2">
      <c r="A267" s="64" t="str">
        <f t="shared" si="5"/>
        <v>1D</v>
      </c>
      <c r="B267" s="203">
        <f>_xll.qlCalendarAdvance(Calendar,B266,A267,"f",FALSE)</f>
        <v>42160</v>
      </c>
      <c r="C267" s="237">
        <f>_xll.qlCalendarAdvance(Calendar,B267,NDays&amp;"D")</f>
        <v>42164</v>
      </c>
      <c r="D267" s="202">
        <v>3.2658749955113658E-3</v>
      </c>
      <c r="E267" s="202">
        <v>2.0971400898250891E-3</v>
      </c>
      <c r="U267" s="204"/>
    </row>
    <row r="268" spans="1:21" x14ac:dyDescent="0.2">
      <c r="A268" s="64" t="str">
        <f t="shared" si="5"/>
        <v>1D</v>
      </c>
      <c r="B268" s="203">
        <f>_xll.qlCalendarAdvance(Calendar,B267,A268,"f",FALSE)</f>
        <v>42163</v>
      </c>
      <c r="C268" s="237">
        <f>_xll.qlCalendarAdvance(Calendar,B268,NDays&amp;"D")</f>
        <v>42165</v>
      </c>
      <c r="D268" s="202">
        <v>3.2680731426122087E-3</v>
      </c>
      <c r="E268" s="202">
        <v>2.1372001967367993E-3</v>
      </c>
      <c r="U268" s="204"/>
    </row>
    <row r="269" spans="1:21" x14ac:dyDescent="0.2">
      <c r="A269" s="64" t="str">
        <f t="shared" si="5"/>
        <v>1D</v>
      </c>
      <c r="B269" s="203">
        <f>_xll.qlCalendarAdvance(Calendar,B268,A269,"f",FALSE)</f>
        <v>42164</v>
      </c>
      <c r="C269" s="237">
        <f>_xll.qlCalendarAdvance(Calendar,B269,NDays&amp;"D")</f>
        <v>42166</v>
      </c>
      <c r="D269" s="202">
        <v>3.2702869766170683E-3</v>
      </c>
      <c r="E269" s="202">
        <v>2.1790564593526796E-3</v>
      </c>
      <c r="U269" s="204"/>
    </row>
    <row r="270" spans="1:21" x14ac:dyDescent="0.2">
      <c r="A270" s="64" t="str">
        <f t="shared" si="5"/>
        <v>1D</v>
      </c>
      <c r="B270" s="203">
        <f>_xll.qlCalendarAdvance(Calendar,B269,A270,"f",FALSE)</f>
        <v>42165</v>
      </c>
      <c r="C270" s="237">
        <f>_xll.qlCalendarAdvance(Calendar,B270,NDays&amp;"D")</f>
        <v>42167</v>
      </c>
      <c r="D270" s="202">
        <v>3.2659731099128134E-3</v>
      </c>
      <c r="E270" s="202">
        <v>2.2687704695734112E-3</v>
      </c>
      <c r="U270" s="204"/>
    </row>
    <row r="271" spans="1:21" x14ac:dyDescent="0.2">
      <c r="A271" s="64" t="str">
        <f t="shared" si="5"/>
        <v>1D</v>
      </c>
      <c r="B271" s="203">
        <f>_xll.qlCalendarAdvance(Calendar,B270,A271,"f",FALSE)</f>
        <v>42166</v>
      </c>
      <c r="C271" s="237">
        <f>_xll.qlCalendarAdvance(Calendar,B271,NDays&amp;"D")</f>
        <v>42170</v>
      </c>
      <c r="D271" s="202">
        <v>3.2794251713967448E-3</v>
      </c>
      <c r="E271" s="202">
        <v>2.3644430801272875E-3</v>
      </c>
      <c r="U271" s="204"/>
    </row>
    <row r="272" spans="1:21" x14ac:dyDescent="0.2">
      <c r="A272" s="64" t="str">
        <f t="shared" si="5"/>
        <v>1D</v>
      </c>
      <c r="B272" s="203">
        <f>_xll.qlCalendarAdvance(Calendar,B271,A272,"f",FALSE)</f>
        <v>42167</v>
      </c>
      <c r="C272" s="237">
        <f>_xll.qlCalendarAdvance(Calendar,B272,NDays&amp;"D")</f>
        <v>42171</v>
      </c>
      <c r="D272" s="202">
        <v>3.2818119324775413E-3</v>
      </c>
      <c r="E272" s="202">
        <v>2.4152801313359618E-3</v>
      </c>
      <c r="U272" s="204"/>
    </row>
    <row r="273" spans="1:21" x14ac:dyDescent="0.2">
      <c r="A273" s="64" t="str">
        <f t="shared" si="5"/>
        <v>1D</v>
      </c>
      <c r="B273" s="203">
        <f>_xll.qlCalendarAdvance(Calendar,B272,A273,"f",FALSE)</f>
        <v>42170</v>
      </c>
      <c r="C273" s="237">
        <f>_xll.qlCalendarAdvance(Calendar,B273,NDays&amp;"D")</f>
        <v>42172</v>
      </c>
      <c r="D273" s="202">
        <v>3.2842521777039749E-3</v>
      </c>
      <c r="E273" s="202">
        <v>2.4679133424854172E-3</v>
      </c>
      <c r="U273" s="204"/>
    </row>
    <row r="274" spans="1:21" x14ac:dyDescent="0.2">
      <c r="A274" s="64" t="str">
        <f t="shared" si="5"/>
        <v>1D</v>
      </c>
      <c r="B274" s="203">
        <f>_xll.qlCalendarAdvance(Calendar,B273,A274,"f",FALSE)</f>
        <v>42171</v>
      </c>
      <c r="C274" s="237">
        <f>_xll.qlCalendarAdvance(Calendar,B274,NDays&amp;"D")</f>
        <v>42173</v>
      </c>
      <c r="D274" s="202">
        <v>3.286752206730614E-3</v>
      </c>
      <c r="E274" s="202">
        <v>2.5223427142151422E-3</v>
      </c>
      <c r="U274" s="204"/>
    </row>
    <row r="275" spans="1:21" x14ac:dyDescent="0.2">
      <c r="A275" s="64" t="str">
        <f t="shared" si="5"/>
        <v>1D</v>
      </c>
      <c r="B275" s="203">
        <f>_xll.qlCalendarAdvance(Calendar,B274,A275,"f",FALSE)</f>
        <v>42172</v>
      </c>
      <c r="C275" s="237">
        <f>_xll.qlCalendarAdvance(Calendar,B275,NDays&amp;"D")</f>
        <v>42174</v>
      </c>
      <c r="D275" s="202">
        <v>3.2872932555085953E-3</v>
      </c>
      <c r="E275" s="202">
        <v>2.6372079797809533E-3</v>
      </c>
      <c r="U275" s="204"/>
    </row>
    <row r="276" spans="1:21" x14ac:dyDescent="0.2">
      <c r="A276" s="64" t="str">
        <f t="shared" si="5"/>
        <v>1D</v>
      </c>
      <c r="B276" s="203">
        <f>_xll.qlCalendarAdvance(Calendar,B275,A276,"f",FALSE)</f>
        <v>42173</v>
      </c>
      <c r="C276" s="237">
        <f>_xll.qlCalendarAdvance(Calendar,B276,NDays&amp;"D")</f>
        <v>42177</v>
      </c>
      <c r="D276" s="202">
        <v>3.2974761552886332E-3</v>
      </c>
      <c r="E276" s="202">
        <v>2.758021824842416E-3</v>
      </c>
      <c r="U276" s="204"/>
    </row>
    <row r="277" spans="1:21" x14ac:dyDescent="0.2">
      <c r="A277" s="64" t="str">
        <f t="shared" si="5"/>
        <v>1D</v>
      </c>
      <c r="B277" s="203">
        <f>_xll.qlCalendarAdvance(Calendar,B276,A277,"f",FALSE)</f>
        <v>42174</v>
      </c>
      <c r="C277" s="237">
        <f>_xll.qlCalendarAdvance(Calendar,B277,NDays&amp;"D")</f>
        <v>42178</v>
      </c>
      <c r="D277" s="202">
        <v>3.3003695995186379E-3</v>
      </c>
      <c r="E277" s="202">
        <v>2.8214320126629389E-3</v>
      </c>
      <c r="U277" s="204"/>
    </row>
    <row r="278" spans="1:21" x14ac:dyDescent="0.2">
      <c r="A278" s="64" t="str">
        <f t="shared" si="5"/>
        <v>1D</v>
      </c>
      <c r="B278" s="203">
        <f>_xll.qlCalendarAdvance(Calendar,B277,A278,"f",FALSE)</f>
        <v>42177</v>
      </c>
      <c r="C278" s="237">
        <f>_xll.qlCalendarAdvance(Calendar,B278,NDays&amp;"D")</f>
        <v>42179</v>
      </c>
      <c r="D278" s="202">
        <v>3.3033606263372091E-3</v>
      </c>
      <c r="E278" s="202">
        <v>2.8866383665793194E-3</v>
      </c>
      <c r="U278" s="204"/>
    </row>
    <row r="279" spans="1:21" x14ac:dyDescent="0.2">
      <c r="A279" s="64" t="str">
        <f t="shared" si="5"/>
        <v>1D</v>
      </c>
      <c r="B279" s="203">
        <f>_xll.qlCalendarAdvance(Calendar,B278,A279,"f",FALSE)</f>
        <v>42178</v>
      </c>
      <c r="C279" s="237">
        <f>_xll.qlCalendarAdvance(Calendar,B279,NDays&amp;"D")</f>
        <v>42180</v>
      </c>
      <c r="D279" s="202">
        <v>3.3117771007983689E-3</v>
      </c>
      <c r="E279" s="202">
        <v>2.9536408873909181E-3</v>
      </c>
      <c r="U279" s="204"/>
    </row>
    <row r="280" spans="1:21" x14ac:dyDescent="0.2">
      <c r="A280" s="64" t="str">
        <f t="shared" si="5"/>
        <v>1D</v>
      </c>
      <c r="B280" s="203">
        <f>_xll.qlCalendarAdvance(Calendar,B279,A280,"f",FALSE)</f>
        <v>42179</v>
      </c>
      <c r="C280" s="237">
        <f>_xll.qlCalendarAdvance(Calendar,B280,NDays&amp;"D")</f>
        <v>42181</v>
      </c>
      <c r="D280" s="202">
        <v>3.3136857848952094E-3</v>
      </c>
      <c r="E280" s="202">
        <v>3.0936597374786601E-3</v>
      </c>
      <c r="U280" s="204"/>
    </row>
    <row r="281" spans="1:21" x14ac:dyDescent="0.2">
      <c r="A281" s="64" t="str">
        <f t="shared" si="5"/>
        <v>1D</v>
      </c>
      <c r="B281" s="203">
        <f>_xll.qlCalendarAdvance(Calendar,B280,A281,"f",FALSE)</f>
        <v>42180</v>
      </c>
      <c r="C281" s="237">
        <f>_xll.qlCalendarAdvance(Calendar,B281,NDays&amp;"D")</f>
        <v>42184</v>
      </c>
      <c r="D281" s="202">
        <v>3.3200000000001718E-3</v>
      </c>
      <c r="E281" s="202">
        <v>3.2387540883593857E-3</v>
      </c>
      <c r="U281" s="204"/>
    </row>
    <row r="282" spans="1:21" x14ac:dyDescent="0.2">
      <c r="A282" s="64" t="str">
        <f t="shared" si="5"/>
        <v>1D</v>
      </c>
      <c r="B282" s="203">
        <f>_xll.qlCalendarAdvance(Calendar,B281,A282,"f",FALSE)</f>
        <v>42181</v>
      </c>
      <c r="C282" s="237">
        <f>_xll.qlCalendarAdvance(Calendar,B282,NDays&amp;"D")</f>
        <v>42185</v>
      </c>
      <c r="D282" s="202">
        <v>3.3274756266858845E-3</v>
      </c>
      <c r="E282" s="202">
        <v>3.3095860251552978E-3</v>
      </c>
      <c r="U282" s="204"/>
    </row>
    <row r="283" spans="1:21" x14ac:dyDescent="0.2">
      <c r="A283" s="64" t="str">
        <f t="shared" si="5"/>
        <v>1D</v>
      </c>
      <c r="B283" s="203">
        <f>_xll.qlCalendarAdvance(Calendar,B282,A283,"f",FALSE)</f>
        <v>42184</v>
      </c>
      <c r="C283" s="237">
        <f>_xll.qlCalendarAdvance(Calendar,B283,NDays&amp;"D")</f>
        <v>42186</v>
      </c>
      <c r="D283" s="202">
        <v>3.3468765135572856E-3</v>
      </c>
      <c r="E283" s="202">
        <v>3.3770626981244334E-3</v>
      </c>
      <c r="U283" s="204"/>
    </row>
    <row r="284" spans="1:21" x14ac:dyDescent="0.2">
      <c r="A284" s="64" t="str">
        <f t="shared" si="5"/>
        <v>1D</v>
      </c>
      <c r="B284" s="203">
        <f>_xll.qlCalendarAdvance(Calendar,B283,A284,"f",FALSE)</f>
        <v>42185</v>
      </c>
      <c r="C284" s="237">
        <f>_xll.qlCalendarAdvance(Calendar,B284,NDays&amp;"D")</f>
        <v>42187</v>
      </c>
      <c r="D284" s="202">
        <v>3.3466828279157001E-3</v>
      </c>
      <c r="E284" s="202">
        <v>3.4411841051884551E-3</v>
      </c>
      <c r="U284" s="204"/>
    </row>
    <row r="285" spans="1:21" x14ac:dyDescent="0.2">
      <c r="A285" s="64" t="str">
        <f t="shared" si="5"/>
        <v>1D</v>
      </c>
      <c r="B285" s="203">
        <f>_xll.qlCalendarAdvance(Calendar,B284,A285,"f",FALSE)</f>
        <v>42186</v>
      </c>
      <c r="C285" s="237">
        <f>_xll.qlCalendarAdvance(Calendar,B285,NDays&amp;"D")</f>
        <v>42188</v>
      </c>
      <c r="D285" s="202">
        <v>3.3461400249676565E-3</v>
      </c>
      <c r="E285" s="202">
        <v>3.558277858308756E-3</v>
      </c>
      <c r="U285" s="204"/>
    </row>
    <row r="286" spans="1:21" x14ac:dyDescent="0.2">
      <c r="A286" s="64" t="str">
        <f t="shared" si="5"/>
        <v>1D</v>
      </c>
      <c r="B286" s="203">
        <f>_xll.qlCalendarAdvance(Calendar,B285,A286,"f",FALSE)</f>
        <v>42187</v>
      </c>
      <c r="C286" s="237">
        <f>_xll.qlCalendarAdvance(Calendar,B286,NDays&amp;"D")</f>
        <v>42191</v>
      </c>
      <c r="D286" s="202">
        <v>3.3546572823660728E-3</v>
      </c>
      <c r="E286" s="202">
        <v>3.6641170412998747E-3</v>
      </c>
      <c r="U286" s="204"/>
    </row>
    <row r="287" spans="1:21" x14ac:dyDescent="0.2">
      <c r="A287" s="64" t="str">
        <f t="shared" si="5"/>
        <v>1D</v>
      </c>
      <c r="B287" s="203">
        <f>_xll.qlCalendarAdvance(Calendar,B286,A287,"f",FALSE)</f>
        <v>42188</v>
      </c>
      <c r="C287" s="237">
        <f>_xll.qlCalendarAdvance(Calendar,B287,NDays&amp;"D")</f>
        <v>42192</v>
      </c>
      <c r="D287" s="202">
        <v>3.3594603488875377E-3</v>
      </c>
      <c r="E287" s="202">
        <v>3.7114620945377652E-3</v>
      </c>
      <c r="U287" s="204"/>
    </row>
    <row r="288" spans="1:21" x14ac:dyDescent="0.2">
      <c r="A288" s="64" t="str">
        <f t="shared" si="5"/>
        <v>1D</v>
      </c>
      <c r="B288" s="203">
        <f>_xll.qlCalendarAdvance(Calendar,B287,A288,"f",FALSE)</f>
        <v>42191</v>
      </c>
      <c r="C288" s="237">
        <f>_xll.qlCalendarAdvance(Calendar,B288,NDays&amp;"D")</f>
        <v>42193</v>
      </c>
      <c r="D288" s="202">
        <v>3.3643251681002239E-3</v>
      </c>
      <c r="E288" s="202">
        <v>3.755451872518023E-3</v>
      </c>
      <c r="U288" s="204"/>
    </row>
    <row r="289" spans="1:21" x14ac:dyDescent="0.2">
      <c r="A289" s="64" t="str">
        <f t="shared" si="5"/>
        <v>1D</v>
      </c>
      <c r="B289" s="203">
        <f>_xll.qlCalendarAdvance(Calendar,B288,A289,"f",FALSE)</f>
        <v>42192</v>
      </c>
      <c r="C289" s="237">
        <f>_xll.qlCalendarAdvance(Calendar,B289,NDays&amp;"D")</f>
        <v>42194</v>
      </c>
      <c r="D289" s="202">
        <v>3.38398325937839E-3</v>
      </c>
      <c r="E289" s="202">
        <v>3.7960863742014794E-3</v>
      </c>
      <c r="U289" s="204"/>
    </row>
    <row r="290" spans="1:21" x14ac:dyDescent="0.2">
      <c r="A290" s="64" t="str">
        <f t="shared" si="5"/>
        <v>1D</v>
      </c>
      <c r="B290" s="203">
        <f>_xll.qlCalendarAdvance(Calendar,B289,A290,"f",FALSE)</f>
        <v>42193</v>
      </c>
      <c r="C290" s="237">
        <f>_xll.qlCalendarAdvance(Calendar,B290,NDays&amp;"D")</f>
        <v>42195</v>
      </c>
      <c r="D290" s="202">
        <v>3.3817200158036227E-3</v>
      </c>
      <c r="E290" s="202">
        <v>3.866212636891575E-3</v>
      </c>
      <c r="U290" s="204"/>
    </row>
    <row r="291" spans="1:21" x14ac:dyDescent="0.2">
      <c r="A291" s="64" t="str">
        <f t="shared" si="5"/>
        <v>1D</v>
      </c>
      <c r="B291" s="203">
        <f>_xll.qlCalendarAdvance(Calendar,B290,A291,"f",FALSE)</f>
        <v>42194</v>
      </c>
      <c r="C291" s="237">
        <f>_xll.qlCalendarAdvance(Calendar,B291,NDays&amp;"D")</f>
        <v>42198</v>
      </c>
      <c r="D291" s="202">
        <v>3.389363087859025E-3</v>
      </c>
      <c r="E291" s="202">
        <v>3.9250715959049387E-3</v>
      </c>
      <c r="U291" s="204"/>
    </row>
    <row r="292" spans="1:21" x14ac:dyDescent="0.2">
      <c r="A292" s="64" t="str">
        <f t="shared" si="5"/>
        <v>1D</v>
      </c>
      <c r="B292" s="203">
        <f>_xll.qlCalendarAdvance(Calendar,B291,A292,"f",FALSE)</f>
        <v>42195</v>
      </c>
      <c r="C292" s="237">
        <f>_xll.qlCalendarAdvance(Calendar,B292,NDays&amp;"D")</f>
        <v>42199</v>
      </c>
      <c r="D292" s="202">
        <v>3.3944709424022675E-3</v>
      </c>
      <c r="E292" s="202">
        <v>3.9489297005967927E-3</v>
      </c>
      <c r="U292" s="204"/>
    </row>
    <row r="293" spans="1:21" x14ac:dyDescent="0.2">
      <c r="A293" s="64" t="str">
        <f t="shared" si="5"/>
        <v>1D</v>
      </c>
      <c r="B293" s="203">
        <f>_xll.qlCalendarAdvance(Calendar,B292,A293,"f",FALSE)</f>
        <v>42198</v>
      </c>
      <c r="C293" s="237">
        <f>_xll.qlCalendarAdvance(Calendar,B293,NDays&amp;"D")</f>
        <v>42200</v>
      </c>
      <c r="D293" s="202">
        <v>3.39959805547767E-3</v>
      </c>
      <c r="E293" s="202">
        <v>3.9694325234762573E-3</v>
      </c>
      <c r="U293" s="204"/>
    </row>
    <row r="294" spans="1:21" x14ac:dyDescent="0.2">
      <c r="A294" s="64" t="str">
        <f t="shared" si="5"/>
        <v>1D</v>
      </c>
      <c r="B294" s="203">
        <f>_xll.qlCalendarAdvance(Calendar,B293,A294,"f",FALSE)</f>
        <v>42199</v>
      </c>
      <c r="C294" s="237">
        <f>_xll.qlCalendarAdvance(Calendar,B294,NDays&amp;"D")</f>
        <v>42201</v>
      </c>
      <c r="D294" s="202">
        <v>3.4213292329479399E-3</v>
      </c>
      <c r="E294" s="202">
        <v>3.9865800639837801E-3</v>
      </c>
      <c r="U294" s="204"/>
    </row>
    <row r="295" spans="1:21" x14ac:dyDescent="0.2">
      <c r="A295" s="64" t="str">
        <f t="shared" si="5"/>
        <v>1D</v>
      </c>
      <c r="B295" s="203">
        <f>_xll.qlCalendarAdvance(Calendar,B294,A295,"f",FALSE)</f>
        <v>42200</v>
      </c>
      <c r="C295" s="237">
        <f>_xll.qlCalendarAdvance(Calendar,B295,NDays&amp;"D")</f>
        <v>42202</v>
      </c>
      <c r="D295" s="202">
        <v>3.4182359700743446E-3</v>
      </c>
      <c r="E295" s="202">
        <v>4.0097355285428904E-3</v>
      </c>
      <c r="U295" s="204"/>
    </row>
    <row r="296" spans="1:21" x14ac:dyDescent="0.2">
      <c r="A296" s="64" t="str">
        <f t="shared" si="5"/>
        <v>1D</v>
      </c>
      <c r="B296" s="203">
        <f>_xll.qlCalendarAdvance(Calendar,B295,A296,"f",FALSE)</f>
        <v>42201</v>
      </c>
      <c r="C296" s="237">
        <f>_xll.qlCalendarAdvance(Calendar,B296,NDays&amp;"D")</f>
        <v>42205</v>
      </c>
      <c r="D296" s="202">
        <v>3.4253100172816934E-3</v>
      </c>
      <c r="E296" s="202">
        <v>4.0216173945406553E-3</v>
      </c>
      <c r="U296" s="204"/>
    </row>
    <row r="297" spans="1:21" x14ac:dyDescent="0.2">
      <c r="A297" s="64" t="str">
        <f t="shared" si="5"/>
        <v>1D</v>
      </c>
      <c r="B297" s="203">
        <f>_xll.qlCalendarAdvance(Calendar,B296,A297,"f",FALSE)</f>
        <v>42202</v>
      </c>
      <c r="C297" s="237">
        <f>_xll.qlCalendarAdvance(Calendar,B297,NDays&amp;"D")</f>
        <v>42206</v>
      </c>
      <c r="D297" s="202">
        <v>3.430425191727446E-3</v>
      </c>
      <c r="E297" s="202">
        <v>4.0219885179926251E-3</v>
      </c>
      <c r="U297" s="204"/>
    </row>
    <row r="298" spans="1:21" x14ac:dyDescent="0.2">
      <c r="A298" s="64" t="str">
        <f t="shared" si="5"/>
        <v>1D</v>
      </c>
      <c r="B298" s="203">
        <f>_xll.qlCalendarAdvance(Calendar,B297,A298,"f",FALSE)</f>
        <v>42205</v>
      </c>
      <c r="C298" s="237">
        <f>_xll.qlCalendarAdvance(Calendar,B298,NDays&amp;"D")</f>
        <v>42207</v>
      </c>
      <c r="D298" s="202">
        <v>3.4355171275052519E-3</v>
      </c>
      <c r="E298" s="202">
        <v>4.0190043576338041E-3</v>
      </c>
      <c r="U298" s="204"/>
    </row>
    <row r="299" spans="1:21" x14ac:dyDescent="0.2">
      <c r="A299" s="64" t="str">
        <f t="shared" si="5"/>
        <v>1D</v>
      </c>
      <c r="B299" s="203">
        <f>_xll.qlCalendarAdvance(Calendar,B298,A299,"f",FALSE)</f>
        <v>42206</v>
      </c>
      <c r="C299" s="237">
        <f>_xll.qlCalendarAdvance(Calendar,B299,NDays&amp;"D")</f>
        <v>42208</v>
      </c>
      <c r="D299" s="202">
        <v>3.4566606976794661E-3</v>
      </c>
      <c r="E299" s="202">
        <v>4.0126649136240644E-3</v>
      </c>
      <c r="U299" s="204"/>
    </row>
    <row r="300" spans="1:21" x14ac:dyDescent="0.2">
      <c r="A300" s="64" t="str">
        <f t="shared" si="5"/>
        <v>1D</v>
      </c>
      <c r="B300" s="203">
        <f>_xll.qlCalendarAdvance(Calendar,B299,A300,"f",FALSE)</f>
        <v>42207</v>
      </c>
      <c r="C300" s="237">
        <f>_xll.qlCalendarAdvance(Calendar,B300,NDays&amp;"D")</f>
        <v>42209</v>
      </c>
      <c r="D300" s="202">
        <v>3.4536167744661072E-3</v>
      </c>
      <c r="E300" s="202">
        <v>3.9888459433345957E-3</v>
      </c>
      <c r="U300" s="204"/>
    </row>
    <row r="301" spans="1:21" x14ac:dyDescent="0.2">
      <c r="A301" s="64" t="str">
        <f t="shared" si="5"/>
        <v>1D</v>
      </c>
      <c r="B301" s="203">
        <f>_xll.qlCalendarAdvance(Calendar,B300,A301,"f",FALSE)</f>
        <v>42208</v>
      </c>
      <c r="C301" s="237">
        <f>_xll.qlCalendarAdvance(Calendar,B301,NDays&amp;"D")</f>
        <v>42212</v>
      </c>
      <c r="D301" s="202">
        <v>3.4604157293946385E-3</v>
      </c>
      <c r="E301" s="202">
        <v>3.9537543049927848E-3</v>
      </c>
      <c r="U301" s="204"/>
    </row>
    <row r="302" spans="1:21" x14ac:dyDescent="0.2">
      <c r="A302" s="64" t="str">
        <f t="shared" si="5"/>
        <v>1D</v>
      </c>
      <c r="B302" s="203">
        <f>_xll.qlCalendarAdvance(Calendar,B301,A302,"f",FALSE)</f>
        <v>42209</v>
      </c>
      <c r="C302" s="237">
        <f>_xll.qlCalendarAdvance(Calendar,B302,NDays&amp;"D")</f>
        <v>42213</v>
      </c>
      <c r="D302" s="202">
        <v>3.465240734140384E-3</v>
      </c>
      <c r="E302" s="202">
        <v>3.9306384467252542E-3</v>
      </c>
      <c r="U302" s="204"/>
    </row>
    <row r="303" spans="1:21" x14ac:dyDescent="0.2">
      <c r="A303" s="64" t="str">
        <f t="shared" si="5"/>
        <v>1D</v>
      </c>
      <c r="B303" s="203">
        <f>_xll.qlCalendarAdvance(Calendar,B302,A303,"f",FALSE)</f>
        <v>42212</v>
      </c>
      <c r="C303" s="237">
        <f>_xll.qlCalendarAdvance(Calendar,B303,NDays&amp;"D")</f>
        <v>42214</v>
      </c>
      <c r="D303" s="202">
        <v>3.4699999999983177E-3</v>
      </c>
      <c r="E303" s="202">
        <v>3.9048579836808983E-3</v>
      </c>
      <c r="U303" s="204"/>
    </row>
    <row r="304" spans="1:21" x14ac:dyDescent="0.2">
      <c r="A304" s="64" t="str">
        <f t="shared" si="5"/>
        <v>1D</v>
      </c>
      <c r="B304" s="203">
        <f>_xll.qlCalendarAdvance(Calendar,B303,A304,"f",FALSE)</f>
        <v>42213</v>
      </c>
      <c r="C304" s="237">
        <f>_xll.qlCalendarAdvance(Calendar,B304,NDays&amp;"D")</f>
        <v>42215</v>
      </c>
      <c r="D304" s="202">
        <v>3.4675861145541075E-3</v>
      </c>
      <c r="E304" s="202">
        <v>3.879175621683828E-3</v>
      </c>
      <c r="U304" s="204"/>
    </row>
    <row r="305" spans="1:21" x14ac:dyDescent="0.2">
      <c r="A305" s="64" t="str">
        <f t="shared" si="5"/>
        <v>1D</v>
      </c>
      <c r="B305" s="203">
        <f>_xll.qlCalendarAdvance(Calendar,B304,A305,"f",FALSE)</f>
        <v>42214</v>
      </c>
      <c r="C305" s="237">
        <f>_xll.qlCalendarAdvance(Calendar,B305,NDays&amp;"D")</f>
        <v>42216</v>
      </c>
      <c r="D305" s="202">
        <v>3.4652872935844099E-3</v>
      </c>
      <c r="E305" s="202">
        <v>3.8304809115263794E-3</v>
      </c>
      <c r="U305" s="204"/>
    </row>
    <row r="306" spans="1:21" x14ac:dyDescent="0.2">
      <c r="A306" s="64" t="str">
        <f t="shared" si="5"/>
        <v>1D</v>
      </c>
      <c r="B306" s="203">
        <f>_xll.qlCalendarAdvance(Calendar,B305,A306,"f",FALSE)</f>
        <v>42215</v>
      </c>
      <c r="C306" s="237">
        <f>_xll.qlCalendarAdvance(Calendar,B306,NDays&amp;"D")</f>
        <v>42219</v>
      </c>
      <c r="D306" s="202">
        <v>3.4927945418480274E-3</v>
      </c>
      <c r="E306" s="202">
        <v>3.7843339463705661E-3</v>
      </c>
      <c r="U306" s="204"/>
    </row>
    <row r="307" spans="1:21" x14ac:dyDescent="0.2">
      <c r="A307" s="64" t="str">
        <f t="shared" si="5"/>
        <v>1D</v>
      </c>
      <c r="B307" s="203">
        <f>_xll.qlCalendarAdvance(Calendar,B306,A307,"f",FALSE)</f>
        <v>42216</v>
      </c>
      <c r="C307" s="237">
        <f>_xll.qlCalendarAdvance(Calendar,B307,NDays&amp;"D")</f>
        <v>42220</v>
      </c>
      <c r="D307" s="202">
        <v>3.4971751432435667E-3</v>
      </c>
      <c r="E307" s="202">
        <v>3.7625954699116448E-3</v>
      </c>
      <c r="U307" s="204"/>
    </row>
    <row r="308" spans="1:21" x14ac:dyDescent="0.2">
      <c r="A308" s="64" t="str">
        <f t="shared" si="5"/>
        <v>1D</v>
      </c>
      <c r="B308" s="203">
        <f>_xll.qlCalendarAdvance(Calendar,B307,A308,"f",FALSE)</f>
        <v>42219</v>
      </c>
      <c r="C308" s="237">
        <f>_xll.qlCalendarAdvance(Calendar,B308,NDays&amp;"D")</f>
        <v>42221</v>
      </c>
      <c r="D308" s="202">
        <v>3.5015041841332411E-3</v>
      </c>
      <c r="E308" s="202">
        <v>3.7416457700167882E-3</v>
      </c>
      <c r="U308" s="204"/>
    </row>
    <row r="309" spans="1:21" x14ac:dyDescent="0.2">
      <c r="A309" s="64" t="str">
        <f t="shared" si="5"/>
        <v>1D</v>
      </c>
      <c r="B309" s="203">
        <f>_xll.qlCalendarAdvance(Calendar,B308,A309,"f",FALSE)</f>
        <v>42220</v>
      </c>
      <c r="C309" s="237">
        <f>_xll.qlCalendarAdvance(Calendar,B309,NDays&amp;"D")</f>
        <v>42222</v>
      </c>
      <c r="D309" s="202">
        <v>3.5164121384230695E-3</v>
      </c>
      <c r="E309" s="202">
        <v>3.7214848466859962E-3</v>
      </c>
      <c r="U309" s="204"/>
    </row>
    <row r="310" spans="1:21" x14ac:dyDescent="0.2">
      <c r="A310" s="64" t="str">
        <f t="shared" si="5"/>
        <v>1D</v>
      </c>
      <c r="B310" s="203">
        <f>_xll.qlCalendarAdvance(Calendar,B309,A310,"f",FALSE)</f>
        <v>42221</v>
      </c>
      <c r="C310" s="237">
        <f>_xll.qlCalendarAdvance(Calendar,B310,NDays&amp;"D")</f>
        <v>42223</v>
      </c>
      <c r="D310" s="202">
        <v>3.5152672983693495E-3</v>
      </c>
      <c r="E310" s="202">
        <v>3.6838299494856841E-3</v>
      </c>
      <c r="U310" s="204"/>
    </row>
    <row r="311" spans="1:21" x14ac:dyDescent="0.2">
      <c r="A311" s="64" t="str">
        <f t="shared" si="5"/>
        <v>1D</v>
      </c>
      <c r="B311" s="203">
        <f>_xll.qlCalendarAdvance(Calendar,B310,A311,"f",FALSE)</f>
        <v>42222</v>
      </c>
      <c r="C311" s="237">
        <f>_xll.qlCalendarAdvance(Calendar,B311,NDays&amp;"D")</f>
        <v>42226</v>
      </c>
      <c r="D311" s="202">
        <v>3.5224941118587295E-3</v>
      </c>
      <c r="E311" s="202">
        <v>3.64872891564616E-3</v>
      </c>
      <c r="U311" s="204"/>
    </row>
    <row r="312" spans="1:21" x14ac:dyDescent="0.2">
      <c r="A312" s="64" t="str">
        <f t="shared" si="5"/>
        <v>1D</v>
      </c>
      <c r="B312" s="203">
        <f>_xll.qlCalendarAdvance(Calendar,B311,A312,"f",FALSE)</f>
        <v>42223</v>
      </c>
      <c r="C312" s="237">
        <f>_xll.qlCalendarAdvance(Calendar,B312,NDays&amp;"D")</f>
        <v>42227</v>
      </c>
      <c r="D312" s="202">
        <v>3.5265846686806926E-3</v>
      </c>
      <c r="E312" s="202">
        <v>3.6325118729774175E-3</v>
      </c>
      <c r="U312" s="204"/>
    </row>
    <row r="313" spans="1:21" x14ac:dyDescent="0.2">
      <c r="A313" s="64" t="str">
        <f t="shared" si="5"/>
        <v>1D</v>
      </c>
      <c r="B313" s="203">
        <f>_xll.qlCalendarAdvance(Calendar,B312,A313,"f",FALSE)</f>
        <v>42226</v>
      </c>
      <c r="C313" s="237">
        <f>_xll.qlCalendarAdvance(Calendar,B313,NDays&amp;"D")</f>
        <v>42228</v>
      </c>
      <c r="D313" s="202">
        <v>3.5306472916126715E-3</v>
      </c>
      <c r="E313" s="202">
        <v>3.617083605993443E-3</v>
      </c>
      <c r="U313" s="204"/>
    </row>
    <row r="314" spans="1:21" x14ac:dyDescent="0.2">
      <c r="A314" s="64" t="str">
        <f t="shared" si="5"/>
        <v>1D</v>
      </c>
      <c r="B314" s="203">
        <f>_xll.qlCalendarAdvance(Calendar,B313,A314,"f",FALSE)</f>
        <v>42227</v>
      </c>
      <c r="C314" s="237">
        <f>_xll.qlCalendarAdvance(Calendar,B314,NDays&amp;"D")</f>
        <v>42229</v>
      </c>
      <c r="D314" s="202">
        <v>3.5433394385851699E-3</v>
      </c>
      <c r="E314" s="202">
        <v>3.6024441146942365E-3</v>
      </c>
      <c r="U314" s="204"/>
    </row>
    <row r="315" spans="1:21" x14ac:dyDescent="0.2">
      <c r="A315" s="64" t="str">
        <f t="shared" si="5"/>
        <v>1D</v>
      </c>
      <c r="B315" s="203">
        <f>_xll.qlCalendarAdvance(Calendar,B314,A315,"f",FALSE)</f>
        <v>42228</v>
      </c>
      <c r="C315" s="237">
        <f>_xll.qlCalendarAdvance(Calendar,B315,NDays&amp;"D")</f>
        <v>42230</v>
      </c>
      <c r="D315" s="202">
        <v>3.5429844999501701E-3</v>
      </c>
      <c r="E315" s="202">
        <v>3.5758299014609918E-3</v>
      </c>
      <c r="U315" s="204"/>
    </row>
    <row r="316" spans="1:21" x14ac:dyDescent="0.2">
      <c r="A316" s="64" t="str">
        <f t="shared" si="5"/>
        <v>1D</v>
      </c>
      <c r="B316" s="203">
        <f>_xll.qlCalendarAdvance(Calendar,B315,A316,"f",FALSE)</f>
        <v>42229</v>
      </c>
      <c r="C316" s="237">
        <f>_xll.qlCalendarAdvance(Calendar,B316,NDays&amp;"D")</f>
        <v>42233</v>
      </c>
      <c r="D316" s="202">
        <v>3.5506595362597513E-3</v>
      </c>
      <c r="E316" s="202">
        <v>3.5517739046664332E-3</v>
      </c>
      <c r="U316" s="204"/>
    </row>
    <row r="317" spans="1:21" x14ac:dyDescent="0.2">
      <c r="A317" s="64" t="str">
        <f t="shared" si="5"/>
        <v>1D</v>
      </c>
      <c r="B317" s="203">
        <f>_xll.qlCalendarAdvance(Calendar,B316,A317,"f",FALSE)</f>
        <v>42230</v>
      </c>
      <c r="C317" s="237">
        <f>_xll.qlCalendarAdvance(Calendar,B317,NDays&amp;"D")</f>
        <v>42234</v>
      </c>
      <c r="D317" s="202">
        <v>3.5546254392509785E-3</v>
      </c>
      <c r="E317" s="202">
        <v>3.5410782904321536E-3</v>
      </c>
      <c r="U317" s="204"/>
    </row>
    <row r="318" spans="1:21" x14ac:dyDescent="0.2">
      <c r="A318" s="64" t="str">
        <f t="shared" si="5"/>
        <v>1D</v>
      </c>
      <c r="B318" s="203">
        <f>_xll.qlCalendarAdvance(Calendar,B317,A318,"f",FALSE)</f>
        <v>42233</v>
      </c>
      <c r="C318" s="237">
        <f>_xll.qlCalendarAdvance(Calendar,B318,NDays&amp;"D")</f>
        <v>42235</v>
      </c>
      <c r="D318" s="202">
        <v>3.5585870364139029E-3</v>
      </c>
      <c r="E318" s="202">
        <v>3.5311714514030257E-3</v>
      </c>
      <c r="U318" s="204"/>
    </row>
    <row r="319" spans="1:21" x14ac:dyDescent="0.2">
      <c r="A319" s="64" t="str">
        <f t="shared" si="5"/>
        <v>1D</v>
      </c>
      <c r="B319" s="203">
        <f>_xll.qlCalendarAdvance(Calendar,B318,A319,"f",FALSE)</f>
        <v>42234</v>
      </c>
      <c r="C319" s="237">
        <f>_xll.qlCalendarAdvance(Calendar,B319,NDays&amp;"D")</f>
        <v>42236</v>
      </c>
      <c r="D319" s="202">
        <v>3.5699834695301553E-3</v>
      </c>
      <c r="E319" s="202">
        <v>3.5220533874991133E-3</v>
      </c>
      <c r="U319" s="204"/>
    </row>
    <row r="320" spans="1:21" x14ac:dyDescent="0.2">
      <c r="A320" s="64" t="str">
        <f t="shared" si="5"/>
        <v>1D</v>
      </c>
      <c r="B320" s="203">
        <f>_xll.qlCalendarAdvance(Calendar,B319,A320,"f",FALSE)</f>
        <v>42235</v>
      </c>
      <c r="C320" s="237">
        <f>_xll.qlCalendarAdvance(Calendar,B320,NDays&amp;"D")</f>
        <v>42237</v>
      </c>
      <c r="D320" s="202">
        <v>3.5702076219934912E-3</v>
      </c>
      <c r="E320" s="202">
        <v>3.506480663135747E-3</v>
      </c>
      <c r="U320" s="204"/>
    </row>
    <row r="321" spans="1:21" x14ac:dyDescent="0.2">
      <c r="A321" s="64" t="str">
        <f t="shared" si="5"/>
        <v>1D</v>
      </c>
      <c r="B321" s="203">
        <f>_xll.qlCalendarAdvance(Calendar,B320,A321,"f",FALSE)</f>
        <v>42236</v>
      </c>
      <c r="C321" s="237">
        <f>_xll.qlCalendarAdvance(Calendar,B321,NDays&amp;"D")</f>
        <v>42240</v>
      </c>
      <c r="D321" s="202">
        <v>3.5784485799450487E-3</v>
      </c>
      <c r="E321" s="202">
        <v>3.493468882016515E-3</v>
      </c>
      <c r="U321" s="204"/>
    </row>
    <row r="322" spans="1:21" x14ac:dyDescent="0.2">
      <c r="A322" s="64" t="str">
        <f t="shared" si="5"/>
        <v>1D</v>
      </c>
      <c r="B322" s="203">
        <f>_xll.qlCalendarAdvance(Calendar,B321,A322,"f",FALSE)</f>
        <v>42237</v>
      </c>
      <c r="C322" s="237">
        <f>_xll.qlCalendarAdvance(Calendar,B322,NDays&amp;"D")</f>
        <v>42241</v>
      </c>
      <c r="D322" s="202">
        <v>3.5824552296062268E-3</v>
      </c>
      <c r="E322" s="202">
        <v>3.4882946929393199E-3</v>
      </c>
      <c r="U322" s="204"/>
    </row>
    <row r="323" spans="1:21" x14ac:dyDescent="0.2">
      <c r="A323" s="64" t="str">
        <f t="shared" si="5"/>
        <v>1D</v>
      </c>
      <c r="B323" s="203">
        <f>_xll.qlCalendarAdvance(Calendar,B322,A323,"f",FALSE)</f>
        <v>42240</v>
      </c>
      <c r="C323" s="237">
        <f>_xll.qlCalendarAdvance(Calendar,B323,NDays&amp;"D")</f>
        <v>42242</v>
      </c>
      <c r="D323" s="202">
        <v>3.5864812028523112E-3</v>
      </c>
      <c r="E323" s="202">
        <v>3.4839092786675963E-3</v>
      </c>
      <c r="U323" s="204"/>
    </row>
    <row r="324" spans="1:21" x14ac:dyDescent="0.2">
      <c r="A324" s="64" t="str">
        <f t="shared" si="5"/>
        <v>1D</v>
      </c>
      <c r="B324" s="203">
        <f>_xll.qlCalendarAdvance(Calendar,B323,A324,"f",FALSE)</f>
        <v>42241</v>
      </c>
      <c r="C324" s="237">
        <f>_xll.qlCalendarAdvance(Calendar,B324,NDays&amp;"D")</f>
        <v>42243</v>
      </c>
      <c r="D324" s="202">
        <v>3.5974896347930551E-3</v>
      </c>
      <c r="E324" s="202">
        <v>3.4803126392013439E-3</v>
      </c>
      <c r="U324" s="204"/>
    </row>
    <row r="325" spans="1:21" x14ac:dyDescent="0.2">
      <c r="A325" s="64" t="str">
        <f t="shared" si="5"/>
        <v>1D</v>
      </c>
      <c r="B325" s="203">
        <f>_xll.qlCalendarAdvance(Calendar,B324,A325,"f",FALSE)</f>
        <v>42242</v>
      </c>
      <c r="C325" s="237">
        <f>_xll.qlCalendarAdvance(Calendar,B325,NDays&amp;"D")</f>
        <v>42244</v>
      </c>
      <c r="D325" s="202">
        <v>3.5980882393140622E-3</v>
      </c>
      <c r="E325" s="202">
        <v>3.4757821674968881E-3</v>
      </c>
      <c r="U325" s="204"/>
    </row>
    <row r="326" spans="1:21" x14ac:dyDescent="0.2">
      <c r="A326" s="64" t="str">
        <f t="shared" si="5"/>
        <v>1D</v>
      </c>
      <c r="B326" s="203">
        <f>_xll.qlCalendarAdvance(Calendar,B325,A326,"f",FALSE)</f>
        <v>42243</v>
      </c>
      <c r="C326" s="237">
        <f>_xll.qlCalendarAdvance(Calendar,B326,NDays&amp;"D")</f>
        <v>42247</v>
      </c>
      <c r="D326" s="202">
        <v>3.5999999999994279E-3</v>
      </c>
      <c r="E326" s="202">
        <v>3.4737932452966191E-3</v>
      </c>
      <c r="U326" s="204"/>
    </row>
    <row r="327" spans="1:21" x14ac:dyDescent="0.2">
      <c r="A327" s="64" t="str">
        <f t="shared" ref="A327:A390" si="6">A326</f>
        <v>1D</v>
      </c>
      <c r="B327" s="203">
        <f>_xll.qlCalendarAdvance(Calendar,B326,A327,"f",FALSE)</f>
        <v>42244</v>
      </c>
      <c r="C327" s="237">
        <f>_xll.qlCalendarAdvance(Calendar,B327,NDays&amp;"D")</f>
        <v>42248</v>
      </c>
      <c r="D327" s="202">
        <v>3.6041913891907539E-3</v>
      </c>
      <c r="E327" s="202">
        <v>3.474016976889871E-3</v>
      </c>
      <c r="U327" s="204"/>
    </row>
    <row r="328" spans="1:21" x14ac:dyDescent="0.2">
      <c r="A328" s="64" t="str">
        <f t="shared" si="6"/>
        <v>1D</v>
      </c>
      <c r="B328" s="203">
        <f>_xll.qlCalendarAdvance(Calendar,B327,A328,"f",FALSE)</f>
        <v>42247</v>
      </c>
      <c r="C328" s="237">
        <f>_xll.qlCalendarAdvance(Calendar,B328,NDays&amp;"D")</f>
        <v>42249</v>
      </c>
      <c r="D328" s="202">
        <v>3.6084093754999943E-3</v>
      </c>
      <c r="E328" s="202">
        <v>3.4749059804006777E-3</v>
      </c>
      <c r="U328" s="204"/>
    </row>
    <row r="329" spans="1:21" x14ac:dyDescent="0.2">
      <c r="A329" s="64" t="str">
        <f t="shared" si="6"/>
        <v>1D</v>
      </c>
      <c r="B329" s="203">
        <f>_xll.qlCalendarAdvance(Calendar,B328,A329,"f",FALSE)</f>
        <v>42248</v>
      </c>
      <c r="C329" s="237">
        <f>_xll.qlCalendarAdvance(Calendar,B329,NDays&amp;"D")</f>
        <v>42250</v>
      </c>
      <c r="D329" s="202">
        <v>3.612656052736671E-3</v>
      </c>
      <c r="E329" s="202">
        <v>3.4764602559889113E-3</v>
      </c>
      <c r="U329" s="204"/>
    </row>
    <row r="330" spans="1:21" x14ac:dyDescent="0.2">
      <c r="A330" s="64" t="str">
        <f t="shared" si="6"/>
        <v>1D</v>
      </c>
      <c r="B330" s="203">
        <f>_xll.qlCalendarAdvance(Calendar,B329,A330,"f",FALSE)</f>
        <v>42249</v>
      </c>
      <c r="C330" s="237">
        <f>_xll.qlCalendarAdvance(Calendar,B330,NDays&amp;"D")</f>
        <v>42251</v>
      </c>
      <c r="D330" s="202">
        <v>3.6169335147300695E-3</v>
      </c>
      <c r="E330" s="202">
        <v>3.4818200551534062E-3</v>
      </c>
      <c r="U330" s="204"/>
    </row>
    <row r="331" spans="1:21" x14ac:dyDescent="0.2">
      <c r="A331" s="64" t="str">
        <f t="shared" si="6"/>
        <v>1D</v>
      </c>
      <c r="B331" s="203">
        <f>_xll.qlCalendarAdvance(Calendar,B330,A331,"f",FALSE)</f>
        <v>42250</v>
      </c>
      <c r="C331" s="237">
        <f>_xll.qlCalendarAdvance(Calendar,B331,NDays&amp;"D")</f>
        <v>42254</v>
      </c>
      <c r="D331" s="202">
        <v>3.6299715478342095E-3</v>
      </c>
      <c r="E331" s="202">
        <v>3.4893300784766268E-3</v>
      </c>
      <c r="U331" s="204"/>
    </row>
    <row r="332" spans="1:21" x14ac:dyDescent="0.2">
      <c r="A332" s="64" t="str">
        <f t="shared" si="6"/>
        <v>1D</v>
      </c>
      <c r="B332" s="203">
        <f>_xll.qlCalendarAdvance(Calendar,B331,A332,"f",FALSE)</f>
        <v>42251</v>
      </c>
      <c r="C332" s="237">
        <f>_xll.qlCalendarAdvance(Calendar,B332,NDays&amp;"D")</f>
        <v>42255</v>
      </c>
      <c r="D332" s="202">
        <v>3.6343930875386882E-3</v>
      </c>
      <c r="E332" s="202">
        <v>3.494210714212187E-3</v>
      </c>
      <c r="U332" s="204"/>
    </row>
    <row r="333" spans="1:21" x14ac:dyDescent="0.2">
      <c r="A333" s="64" t="str">
        <f t="shared" si="6"/>
        <v>1D</v>
      </c>
      <c r="B333" s="203">
        <f>_xll.qlCalendarAdvance(Calendar,B332,A333,"f",FALSE)</f>
        <v>42254</v>
      </c>
      <c r="C333" s="237">
        <f>_xll.qlCalendarAdvance(Calendar,B333,NDays&amp;"D")</f>
        <v>42256</v>
      </c>
      <c r="D333" s="202">
        <v>3.6388558814436623E-3</v>
      </c>
      <c r="E333" s="202">
        <v>3.4997566221051102E-3</v>
      </c>
      <c r="U333" s="204"/>
    </row>
    <row r="334" spans="1:21" x14ac:dyDescent="0.2">
      <c r="A334" s="64" t="str">
        <f t="shared" si="6"/>
        <v>1D</v>
      </c>
      <c r="B334" s="203">
        <f>_xll.qlCalendarAdvance(Calendar,B333,A334,"f",FALSE)</f>
        <v>42255</v>
      </c>
      <c r="C334" s="237">
        <f>_xll.qlCalendarAdvance(Calendar,B334,NDays&amp;"D")</f>
        <v>42257</v>
      </c>
      <c r="D334" s="202">
        <v>3.6433620235000784E-3</v>
      </c>
      <c r="E334" s="202">
        <v>3.5059678021553964E-3</v>
      </c>
      <c r="U334" s="204"/>
    </row>
    <row r="335" spans="1:21" x14ac:dyDescent="0.2">
      <c r="A335" s="64" t="str">
        <f t="shared" si="6"/>
        <v>1D</v>
      </c>
      <c r="B335" s="203">
        <f>_xll.qlCalendarAdvance(Calendar,B334,A335,"f",FALSE)</f>
        <v>42256</v>
      </c>
      <c r="C335" s="237">
        <f>_xll.qlCalendarAdvance(Calendar,B335,NDays&amp;"D")</f>
        <v>42258</v>
      </c>
      <c r="D335" s="202">
        <v>3.6479136076817222E-3</v>
      </c>
      <c r="E335" s="202">
        <v>3.5206421657996145E-3</v>
      </c>
      <c r="U335" s="204"/>
    </row>
    <row r="336" spans="1:21" x14ac:dyDescent="0.2">
      <c r="A336" s="64" t="str">
        <f t="shared" si="6"/>
        <v>1D</v>
      </c>
      <c r="B336" s="203">
        <f>_xll.qlCalendarAdvance(Calendar,B335,A336,"f",FALSE)</f>
        <v>42257</v>
      </c>
      <c r="C336" s="237">
        <f>_xll.qlCalendarAdvance(Calendar,B336,NDays&amp;"D")</f>
        <v>42261</v>
      </c>
      <c r="D336" s="202">
        <v>3.6618619530417672E-3</v>
      </c>
      <c r="E336" s="202">
        <v>3.5374652441699794E-3</v>
      </c>
      <c r="U336" s="204"/>
    </row>
    <row r="337" spans="1:21" x14ac:dyDescent="0.2">
      <c r="A337" s="64" t="str">
        <f t="shared" si="6"/>
        <v>1D</v>
      </c>
      <c r="B337" s="203">
        <f>_xll.qlCalendarAdvance(Calendar,B336,A337,"f",FALSE)</f>
        <v>42258</v>
      </c>
      <c r="C337" s="237">
        <f>_xll.qlCalendarAdvance(Calendar,B337,NDays&amp;"D")</f>
        <v>42262</v>
      </c>
      <c r="D337" s="202">
        <v>3.6666162459057781E-3</v>
      </c>
      <c r="E337" s="202">
        <v>3.547002785486697E-3</v>
      </c>
      <c r="U337" s="204"/>
    </row>
    <row r="338" spans="1:21" x14ac:dyDescent="0.2">
      <c r="A338" s="64" t="str">
        <f t="shared" si="6"/>
        <v>1D</v>
      </c>
      <c r="B338" s="203">
        <f>_xll.qlCalendarAdvance(Calendar,B337,A338,"f",FALSE)</f>
        <v>42261</v>
      </c>
      <c r="C338" s="237">
        <f>_xll.qlCalendarAdvance(Calendar,B338,NDays&amp;"D")</f>
        <v>42263</v>
      </c>
      <c r="D338" s="202">
        <v>3.6714264511030137E-3</v>
      </c>
      <c r="E338" s="202">
        <v>3.5572055991206497E-3</v>
      </c>
      <c r="U338" s="204"/>
    </row>
    <row r="339" spans="1:21" x14ac:dyDescent="0.2">
      <c r="A339" s="64" t="str">
        <f t="shared" si="6"/>
        <v>1D</v>
      </c>
      <c r="B339" s="203">
        <f>_xll.qlCalendarAdvance(Calendar,B338,A339,"f",FALSE)</f>
        <v>42262</v>
      </c>
      <c r="C339" s="237">
        <f>_xll.qlCalendarAdvance(Calendar,B339,NDays&amp;"D")</f>
        <v>42264</v>
      </c>
      <c r="D339" s="202">
        <v>3.676294662748685E-3</v>
      </c>
      <c r="E339" s="202">
        <v>3.5680736852317096E-3</v>
      </c>
      <c r="U339" s="204"/>
    </row>
    <row r="340" spans="1:21" x14ac:dyDescent="0.2">
      <c r="A340" s="64" t="str">
        <f t="shared" si="6"/>
        <v>1D</v>
      </c>
      <c r="B340" s="203">
        <f>_xll.qlCalendarAdvance(Calendar,B339,A340,"f",FALSE)</f>
        <v>42263</v>
      </c>
      <c r="C340" s="237">
        <f>_xll.qlCalendarAdvance(Calendar,B340,NDays&amp;"D")</f>
        <v>42265</v>
      </c>
      <c r="D340" s="202">
        <v>3.6812229749830379E-3</v>
      </c>
      <c r="E340" s="202">
        <v>3.5920632733343894E-3</v>
      </c>
      <c r="U340" s="204"/>
    </row>
    <row r="341" spans="1:21" x14ac:dyDescent="0.2">
      <c r="A341" s="64" t="str">
        <f t="shared" si="6"/>
        <v>1D</v>
      </c>
      <c r="B341" s="203">
        <f>_xll.qlCalendarAdvance(Calendar,B340,A341,"f",FALSE)</f>
        <v>42264</v>
      </c>
      <c r="C341" s="237">
        <f>_xll.qlCalendarAdvance(Calendar,B341,NDays&amp;"D")</f>
        <v>42268</v>
      </c>
      <c r="D341" s="202">
        <v>3.6963894570119804E-3</v>
      </c>
      <c r="E341" s="202">
        <v>3.6181987555661266E-3</v>
      </c>
      <c r="U341" s="204"/>
    </row>
    <row r="342" spans="1:21" x14ac:dyDescent="0.2">
      <c r="A342" s="64" t="str">
        <f t="shared" si="6"/>
        <v>1D</v>
      </c>
      <c r="B342" s="203">
        <f>_xll.qlCalendarAdvance(Calendar,B341,A342,"f",FALSE)</f>
        <v>42265</v>
      </c>
      <c r="C342" s="237">
        <f>_xll.qlCalendarAdvance(Calendar,B342,NDays&amp;"D")</f>
        <v>42269</v>
      </c>
      <c r="D342" s="202">
        <v>3.7015791135327652E-3</v>
      </c>
      <c r="E342" s="202">
        <v>3.6323932048620833E-3</v>
      </c>
      <c r="U342" s="204"/>
    </row>
    <row r="343" spans="1:21" x14ac:dyDescent="0.2">
      <c r="A343" s="64" t="str">
        <f t="shared" si="6"/>
        <v>1D</v>
      </c>
      <c r="B343" s="203">
        <f>_xll.qlCalendarAdvance(Calendar,B342,A343,"f",FALSE)</f>
        <v>42268</v>
      </c>
      <c r="C343" s="237">
        <f>_xll.qlCalendarAdvance(Calendar,B343,NDays&amp;"D")</f>
        <v>42270</v>
      </c>
      <c r="D343" s="202">
        <v>3.7068393417470937E-3</v>
      </c>
      <c r="E343" s="202">
        <v>3.6472529271147636E-3</v>
      </c>
      <c r="U343" s="204"/>
    </row>
    <row r="344" spans="1:21" x14ac:dyDescent="0.2">
      <c r="A344" s="64" t="str">
        <f t="shared" si="6"/>
        <v>1D</v>
      </c>
      <c r="B344" s="203">
        <f>_xll.qlCalendarAdvance(Calendar,B343,A344,"f",FALSE)</f>
        <v>42269</v>
      </c>
      <c r="C344" s="237">
        <f>_xll.qlCalendarAdvance(Calendar,B344,NDays&amp;"D")</f>
        <v>42271</v>
      </c>
      <c r="D344" s="202">
        <v>3.7121722359629902E-3</v>
      </c>
      <c r="E344" s="202">
        <v>3.6627779222442314E-3</v>
      </c>
      <c r="U344" s="204"/>
    </row>
    <row r="345" spans="1:21" x14ac:dyDescent="0.2">
      <c r="A345" s="64" t="str">
        <f t="shared" si="6"/>
        <v>1D</v>
      </c>
      <c r="B345" s="203">
        <f>_xll.qlCalendarAdvance(Calendar,B344,A345,"f",FALSE)</f>
        <v>42270</v>
      </c>
      <c r="C345" s="237">
        <f>_xll.qlCalendarAdvance(Calendar,B345,NDays&amp;"D")</f>
        <v>42272</v>
      </c>
      <c r="D345" s="202">
        <v>3.7393974032362909E-3</v>
      </c>
      <c r="E345" s="202">
        <v>3.6960834359778261E-3</v>
      </c>
      <c r="U345" s="204"/>
    </row>
    <row r="346" spans="1:21" x14ac:dyDescent="0.2">
      <c r="A346" s="64" t="str">
        <f t="shared" si="6"/>
        <v>1D</v>
      </c>
      <c r="B346" s="203">
        <f>_xll.qlCalendarAdvance(Calendar,B345,A346,"f",FALSE)</f>
        <v>42271</v>
      </c>
      <c r="C346" s="237">
        <f>_xll.qlCalendarAdvance(Calendar,B346,NDays&amp;"D")</f>
        <v>42275</v>
      </c>
      <c r="D346" s="202">
        <v>3.7399922739104145E-3</v>
      </c>
      <c r="E346" s="202">
        <v>3.7315306343277399E-3</v>
      </c>
      <c r="U346" s="204"/>
    </row>
    <row r="347" spans="1:21" x14ac:dyDescent="0.2">
      <c r="A347" s="64" t="str">
        <f t="shared" si="6"/>
        <v>1D</v>
      </c>
      <c r="B347" s="203">
        <f>_xll.qlCalendarAdvance(Calendar,B346,A347,"f",FALSE)</f>
        <v>42272</v>
      </c>
      <c r="C347" s="237">
        <f>_xll.qlCalendarAdvance(Calendar,B347,NDays&amp;"D")</f>
        <v>42276</v>
      </c>
      <c r="D347" s="202">
        <v>3.739999999978736E-3</v>
      </c>
      <c r="E347" s="202">
        <v>3.7503819955997386E-3</v>
      </c>
      <c r="U347" s="204"/>
    </row>
    <row r="348" spans="1:21" x14ac:dyDescent="0.2">
      <c r="A348" s="64" t="str">
        <f t="shared" si="6"/>
        <v>1D</v>
      </c>
      <c r="B348" s="203">
        <f>_xll.qlCalendarAdvance(Calendar,B347,A348,"f",FALSE)</f>
        <v>42275</v>
      </c>
      <c r="C348" s="237">
        <f>_xll.qlCalendarAdvance(Calendar,B348,NDays&amp;"D")</f>
        <v>42277</v>
      </c>
      <c r="D348" s="202">
        <v>3.7518180954700178E-3</v>
      </c>
      <c r="E348" s="202">
        <v>3.769294862552286E-3</v>
      </c>
      <c r="U348" s="204"/>
    </row>
    <row r="349" spans="1:21" x14ac:dyDescent="0.2">
      <c r="A349" s="64" t="str">
        <f t="shared" si="6"/>
        <v>1D</v>
      </c>
      <c r="B349" s="203">
        <f>_xll.qlCalendarAdvance(Calendar,B348,A349,"f",FALSE)</f>
        <v>42276</v>
      </c>
      <c r="C349" s="237">
        <f>_xll.qlCalendarAdvance(Calendar,B349,NDays&amp;"D")</f>
        <v>42278</v>
      </c>
      <c r="D349" s="202">
        <v>3.7578094649479373E-3</v>
      </c>
      <c r="E349" s="202">
        <v>3.7858541633628562E-3</v>
      </c>
      <c r="U349" s="204"/>
    </row>
    <row r="350" spans="1:21" x14ac:dyDescent="0.2">
      <c r="A350" s="64" t="str">
        <f t="shared" si="6"/>
        <v>1D</v>
      </c>
      <c r="B350" s="203">
        <f>_xll.qlCalendarAdvance(Calendar,B349,A350,"f",FALSE)</f>
        <v>42277</v>
      </c>
      <c r="C350" s="237">
        <f>_xll.qlCalendarAdvance(Calendar,B350,NDays&amp;"D")</f>
        <v>42279</v>
      </c>
      <c r="D350" s="202">
        <v>3.776396911289069E-3</v>
      </c>
      <c r="E350" s="202">
        <v>3.8091552869801149E-3</v>
      </c>
      <c r="U350" s="204"/>
    </row>
    <row r="351" spans="1:21" x14ac:dyDescent="0.2">
      <c r="A351" s="64" t="str">
        <f t="shared" si="6"/>
        <v>1D</v>
      </c>
      <c r="B351" s="203">
        <f>_xll.qlCalendarAdvance(Calendar,B350,A351,"f",FALSE)</f>
        <v>42278</v>
      </c>
      <c r="C351" s="237">
        <f>_xll.qlCalendarAdvance(Calendar,B351,NDays&amp;"D")</f>
        <v>42282</v>
      </c>
      <c r="D351" s="202">
        <v>3.7821363040938839E-3</v>
      </c>
      <c r="E351" s="202">
        <v>3.8225180197137831E-3</v>
      </c>
      <c r="U351" s="204"/>
    </row>
    <row r="352" spans="1:21" x14ac:dyDescent="0.2">
      <c r="A352" s="64" t="str">
        <f t="shared" si="6"/>
        <v>1D</v>
      </c>
      <c r="B352" s="203">
        <f>_xll.qlCalendarAdvance(Calendar,B351,A352,"f",FALSE)</f>
        <v>42279</v>
      </c>
      <c r="C352" s="237">
        <f>_xll.qlCalendarAdvance(Calendar,B352,NDays&amp;"D")</f>
        <v>42283</v>
      </c>
      <c r="D352" s="202">
        <v>3.7882925931811383E-3</v>
      </c>
      <c r="E352" s="202">
        <v>3.8242906459196035E-3</v>
      </c>
      <c r="U352" s="204"/>
    </row>
    <row r="353" spans="1:21" x14ac:dyDescent="0.2">
      <c r="A353" s="64" t="str">
        <f t="shared" si="6"/>
        <v>1D</v>
      </c>
      <c r="B353" s="203">
        <f>_xll.qlCalendarAdvance(Calendar,B352,A353,"f",FALSE)</f>
        <v>42282</v>
      </c>
      <c r="C353" s="237">
        <f>_xll.qlCalendarAdvance(Calendar,B353,NDays&amp;"D")</f>
        <v>42284</v>
      </c>
      <c r="D353" s="202">
        <v>3.7944724094534019E-3</v>
      </c>
      <c r="E353" s="202">
        <v>3.8231059367888065E-3</v>
      </c>
      <c r="U353" s="204"/>
    </row>
    <row r="354" spans="1:21" x14ac:dyDescent="0.2">
      <c r="A354" s="64" t="str">
        <f t="shared" si="6"/>
        <v>1D</v>
      </c>
      <c r="B354" s="203">
        <f>_xll.qlCalendarAdvance(Calendar,B353,A354,"f",FALSE)</f>
        <v>42283</v>
      </c>
      <c r="C354" s="237">
        <f>_xll.qlCalendarAdvance(Calendar,B354,NDays&amp;"D")</f>
        <v>42285</v>
      </c>
      <c r="D354" s="202">
        <v>3.8006726005763241E-3</v>
      </c>
      <c r="E354" s="202">
        <v>3.8189638924013281E-3</v>
      </c>
      <c r="U354" s="204"/>
    </row>
    <row r="355" spans="1:21" x14ac:dyDescent="0.2">
      <c r="A355" s="64" t="str">
        <f t="shared" si="6"/>
        <v>1D</v>
      </c>
      <c r="B355" s="203">
        <f>_xll.qlCalendarAdvance(Calendar,B354,A355,"f",FALSE)</f>
        <v>42284</v>
      </c>
      <c r="C355" s="237">
        <f>_xll.qlCalendarAdvance(Calendar,B355,NDays&amp;"D")</f>
        <v>42286</v>
      </c>
      <c r="D355" s="202">
        <v>3.8193085848834533E-3</v>
      </c>
      <c r="E355" s="202">
        <v>3.8008621482443772E-3</v>
      </c>
      <c r="U355" s="204"/>
    </row>
    <row r="356" spans="1:21" x14ac:dyDescent="0.2">
      <c r="A356" s="64" t="str">
        <f t="shared" si="6"/>
        <v>1D</v>
      </c>
      <c r="B356" s="203">
        <f>_xll.qlCalendarAdvance(Calendar,B355,A356,"f",FALSE)</f>
        <v>42285</v>
      </c>
      <c r="C356" s="237">
        <f>_xll.qlCalendarAdvance(Calendar,B356,NDays&amp;"D")</f>
        <v>42289</v>
      </c>
      <c r="D356" s="202">
        <v>3.8256140655120968E-3</v>
      </c>
      <c r="E356" s="202">
        <v>3.7728223646027459E-3</v>
      </c>
      <c r="U356" s="204"/>
    </row>
    <row r="357" spans="1:21" x14ac:dyDescent="0.2">
      <c r="A357" s="64" t="str">
        <f t="shared" si="6"/>
        <v>1D</v>
      </c>
      <c r="B357" s="203">
        <f>_xll.qlCalendarAdvance(Calendar,B356,A357,"f",FALSE)</f>
        <v>42286</v>
      </c>
      <c r="C357" s="237">
        <f>_xll.qlCalendarAdvance(Calendar,B357,NDays&amp;"D")</f>
        <v>42290</v>
      </c>
      <c r="D357" s="202">
        <v>3.8318688444958083E-3</v>
      </c>
      <c r="E357" s="202">
        <v>3.7538936465697503E-3</v>
      </c>
      <c r="U357" s="204"/>
    </row>
    <row r="358" spans="1:21" x14ac:dyDescent="0.2">
      <c r="A358" s="64" t="str">
        <f t="shared" si="6"/>
        <v>1D</v>
      </c>
      <c r="B358" s="203">
        <f>_xll.qlCalendarAdvance(Calendar,B357,A358,"f",FALSE)</f>
        <v>42289</v>
      </c>
      <c r="C358" s="237">
        <f>_xll.qlCalendarAdvance(Calendar,B358,NDays&amp;"D")</f>
        <v>42291</v>
      </c>
      <c r="D358" s="202">
        <v>3.8381250834950164E-3</v>
      </c>
      <c r="E358" s="202">
        <v>3.7320075949587306E-3</v>
      </c>
      <c r="U358" s="204"/>
    </row>
    <row r="359" spans="1:21" x14ac:dyDescent="0.2">
      <c r="A359" s="64" t="str">
        <f t="shared" si="6"/>
        <v>1D</v>
      </c>
      <c r="B359" s="203">
        <f>_xll.qlCalendarAdvance(Calendar,B358,A359,"f",FALSE)</f>
        <v>42290</v>
      </c>
      <c r="C359" s="237">
        <f>_xll.qlCalendarAdvance(Calendar,B359,NDays&amp;"D")</f>
        <v>42292</v>
      </c>
      <c r="D359" s="202">
        <v>3.844379629898434E-3</v>
      </c>
      <c r="E359" s="202">
        <v>3.707164210249303E-3</v>
      </c>
      <c r="U359" s="204"/>
    </row>
    <row r="360" spans="1:21" x14ac:dyDescent="0.2">
      <c r="A360" s="64" t="str">
        <f t="shared" si="6"/>
        <v>1D</v>
      </c>
      <c r="B360" s="203">
        <f>_xll.qlCalendarAdvance(Calendar,B359,A360,"f",FALSE)</f>
        <v>42291</v>
      </c>
      <c r="C360" s="237">
        <f>_xll.qlCalendarAdvance(Calendar,B360,NDays&amp;"D")</f>
        <v>42293</v>
      </c>
      <c r="D360" s="202">
        <v>3.8610269564204537E-3</v>
      </c>
      <c r="E360" s="202">
        <v>3.6476566250964737E-3</v>
      </c>
      <c r="U360" s="204"/>
    </row>
    <row r="361" spans="1:21" x14ac:dyDescent="0.2">
      <c r="A361" s="64" t="str">
        <f t="shared" si="6"/>
        <v>1D</v>
      </c>
      <c r="B361" s="203">
        <f>_xll.qlCalendarAdvance(Calendar,B360,A361,"f",FALSE)</f>
        <v>42292</v>
      </c>
      <c r="C361" s="237">
        <f>_xll.qlCalendarAdvance(Calendar,B361,NDays&amp;"D")</f>
        <v>42296</v>
      </c>
      <c r="D361" s="202">
        <v>3.8693178359136414E-3</v>
      </c>
      <c r="E361" s="202">
        <v>3.5782173541765161E-3</v>
      </c>
      <c r="U361" s="204"/>
    </row>
    <row r="362" spans="1:21" x14ac:dyDescent="0.2">
      <c r="A362" s="64" t="str">
        <f t="shared" si="6"/>
        <v>1D</v>
      </c>
      <c r="B362" s="203">
        <f>_xll.qlCalendarAdvance(Calendar,B361,A362,"f",FALSE)</f>
        <v>42293</v>
      </c>
      <c r="C362" s="237">
        <f>_xll.qlCalendarAdvance(Calendar,B362,NDays&amp;"D")</f>
        <v>42297</v>
      </c>
      <c r="D362" s="202">
        <v>3.8755166287600968E-3</v>
      </c>
      <c r="E362" s="202">
        <v>3.5385873148463531E-3</v>
      </c>
      <c r="U362" s="204"/>
    </row>
    <row r="363" spans="1:21" x14ac:dyDescent="0.2">
      <c r="A363" s="64" t="str">
        <f t="shared" si="6"/>
        <v>1D</v>
      </c>
      <c r="B363" s="203">
        <f>_xll.qlCalendarAdvance(Calendar,B362,A363,"f",FALSE)</f>
        <v>42296</v>
      </c>
      <c r="C363" s="237">
        <f>_xll.qlCalendarAdvance(Calendar,B363,NDays&amp;"D")</f>
        <v>42298</v>
      </c>
      <c r="D363" s="202">
        <v>3.8816948125021834E-3</v>
      </c>
      <c r="E363" s="202">
        <v>3.4959999471340097E-3</v>
      </c>
      <c r="U363" s="204"/>
    </row>
    <row r="364" spans="1:21" x14ac:dyDescent="0.2">
      <c r="A364" s="64" t="str">
        <f t="shared" si="6"/>
        <v>1D</v>
      </c>
      <c r="B364" s="203">
        <f>_xll.qlCalendarAdvance(Calendar,B363,A364,"f",FALSE)</f>
        <v>42297</v>
      </c>
      <c r="C364" s="237">
        <f>_xll.qlCalendarAdvance(Calendar,B364,NDays&amp;"D")</f>
        <v>42299</v>
      </c>
      <c r="D364" s="202">
        <v>3.8878492342512413E-3</v>
      </c>
      <c r="E364" s="202">
        <v>3.4504552521585907E-3</v>
      </c>
      <c r="U364" s="204"/>
    </row>
    <row r="365" spans="1:21" x14ac:dyDescent="0.2">
      <c r="A365" s="64" t="str">
        <f t="shared" si="6"/>
        <v>1D</v>
      </c>
      <c r="B365" s="203">
        <f>_xll.qlCalendarAdvance(Calendar,B364,A365,"f",FALSE)</f>
        <v>42298</v>
      </c>
      <c r="C365" s="237">
        <f>_xll.qlCalendarAdvance(Calendar,B365,NDays&amp;"D")</f>
        <v>42300</v>
      </c>
      <c r="D365" s="202">
        <v>3.9004822350491393E-3</v>
      </c>
      <c r="E365" s="202">
        <v>3.3495392725324535E-3</v>
      </c>
      <c r="U365" s="204"/>
    </row>
    <row r="366" spans="1:21" x14ac:dyDescent="0.2">
      <c r="A366" s="64" t="str">
        <f t="shared" si="6"/>
        <v>1D</v>
      </c>
      <c r="B366" s="203">
        <f>_xll.qlCalendarAdvance(Calendar,B365,A366,"f",FALSE)</f>
        <v>42299</v>
      </c>
      <c r="C366" s="237">
        <f>_xll.qlCalendarAdvance(Calendar,B366,NDays&amp;"D")</f>
        <v>42303</v>
      </c>
      <c r="D366" s="202">
        <v>3.9121662421881167E-3</v>
      </c>
      <c r="E366" s="202">
        <v>3.2387032234471036E-3</v>
      </c>
      <c r="U366" s="204"/>
    </row>
    <row r="367" spans="1:21" x14ac:dyDescent="0.2">
      <c r="A367" s="64" t="str">
        <f t="shared" si="6"/>
        <v>1D</v>
      </c>
      <c r="B367" s="203">
        <f>_xll.qlCalendarAdvance(Calendar,B366,A367,"f",FALSE)</f>
        <v>42300</v>
      </c>
      <c r="C367" s="237">
        <f>_xll.qlCalendarAdvance(Calendar,B367,NDays&amp;"D")</f>
        <v>42304</v>
      </c>
      <c r="D367" s="202">
        <v>3.9181545592971868E-3</v>
      </c>
      <c r="E367" s="202">
        <v>3.1783719106215358E-3</v>
      </c>
      <c r="U367" s="204"/>
    </row>
    <row r="368" spans="1:21" x14ac:dyDescent="0.2">
      <c r="A368" s="64" t="str">
        <f t="shared" si="6"/>
        <v>1D</v>
      </c>
      <c r="B368" s="203">
        <f>_xll.qlCalendarAdvance(Calendar,B367,A368,"f",FALSE)</f>
        <v>42303</v>
      </c>
      <c r="C368" s="237">
        <f>_xll.qlCalendarAdvance(Calendar,B368,NDays&amp;"D")</f>
        <v>42305</v>
      </c>
      <c r="D368" s="202">
        <v>3.9241001962836515E-3</v>
      </c>
      <c r="E368" s="202">
        <v>3.1150832782067539E-3</v>
      </c>
      <c r="U368" s="204"/>
    </row>
    <row r="369" spans="1:21" x14ac:dyDescent="0.2">
      <c r="A369" s="64" t="str">
        <f t="shared" si="6"/>
        <v>1D</v>
      </c>
      <c r="B369" s="203">
        <f>_xll.qlCalendarAdvance(Calendar,B368,A369,"f",FALSE)</f>
        <v>42304</v>
      </c>
      <c r="C369" s="237">
        <f>_xll.qlCalendarAdvance(Calendar,B369,NDays&amp;"D")</f>
        <v>42306</v>
      </c>
      <c r="D369" s="202">
        <v>3.9299999999985111E-3</v>
      </c>
      <c r="E369" s="202">
        <v>3.0497453268374386E-3</v>
      </c>
      <c r="U369" s="204"/>
    </row>
    <row r="370" spans="1:21" x14ac:dyDescent="0.2">
      <c r="A370" s="64" t="str">
        <f t="shared" si="6"/>
        <v>1D</v>
      </c>
      <c r="B370" s="203">
        <f>_xll.qlCalendarAdvance(Calendar,B369,A370,"f",FALSE)</f>
        <v>42305</v>
      </c>
      <c r="C370" s="237">
        <f>_xll.qlCalendarAdvance(Calendar,B370,NDays&amp;"D")</f>
        <v>42307</v>
      </c>
      <c r="D370" s="202">
        <v>3.934803230393082E-3</v>
      </c>
      <c r="E370" s="202">
        <v>2.9255794468863172E-3</v>
      </c>
      <c r="U370" s="204"/>
    </row>
    <row r="371" spans="1:21" x14ac:dyDescent="0.2">
      <c r="A371" s="64" t="str">
        <f t="shared" si="6"/>
        <v>1D</v>
      </c>
      <c r="B371" s="203">
        <f>_xll.qlCalendarAdvance(Calendar,B370,A371,"f",FALSE)</f>
        <v>42306</v>
      </c>
      <c r="C371" s="237">
        <f>_xll.qlCalendarAdvance(Calendar,B371,NDays&amp;"D")</f>
        <v>42310</v>
      </c>
      <c r="D371" s="202">
        <v>3.9533317883864673E-3</v>
      </c>
      <c r="E371" s="202">
        <v>2.8096682671652218E-3</v>
      </c>
      <c r="U371" s="204"/>
    </row>
    <row r="372" spans="1:21" x14ac:dyDescent="0.2">
      <c r="A372" s="64" t="str">
        <f t="shared" si="6"/>
        <v>1D</v>
      </c>
      <c r="B372" s="203">
        <f>_xll.qlCalendarAdvance(Calendar,B371,A372,"f",FALSE)</f>
        <v>42307</v>
      </c>
      <c r="C372" s="237">
        <f>_xll.qlCalendarAdvance(Calendar,B372,NDays&amp;"D")</f>
        <v>42311</v>
      </c>
      <c r="D372" s="202">
        <v>3.9593966951070409E-3</v>
      </c>
      <c r="E372" s="202">
        <v>2.7558756814194396E-3</v>
      </c>
      <c r="U372" s="204"/>
    </row>
    <row r="373" spans="1:21" x14ac:dyDescent="0.2">
      <c r="A373" s="64" t="str">
        <f t="shared" si="6"/>
        <v>1D</v>
      </c>
      <c r="B373" s="203">
        <f>_xll.qlCalendarAdvance(Calendar,B372,A373,"f",FALSE)</f>
        <v>42310</v>
      </c>
      <c r="C373" s="237">
        <f>_xll.qlCalendarAdvance(Calendar,B373,NDays&amp;"D")</f>
        <v>42312</v>
      </c>
      <c r="D373" s="202">
        <v>3.9654111947596453E-3</v>
      </c>
      <c r="E373" s="202">
        <v>2.7045737651043567E-3</v>
      </c>
      <c r="U373" s="204"/>
    </row>
    <row r="374" spans="1:21" x14ac:dyDescent="0.2">
      <c r="A374" s="64" t="str">
        <f t="shared" si="6"/>
        <v>1D</v>
      </c>
      <c r="B374" s="203">
        <f>_xll.qlCalendarAdvance(Calendar,B373,A374,"f",FALSE)</f>
        <v>42311</v>
      </c>
      <c r="C374" s="237">
        <f>_xll.qlCalendarAdvance(Calendar,B374,NDays&amp;"D")</f>
        <v>42313</v>
      </c>
      <c r="D374" s="202">
        <v>3.971378426949777E-3</v>
      </c>
      <c r="E374" s="202">
        <v>2.655762517020932E-3</v>
      </c>
      <c r="U374" s="204"/>
    </row>
    <row r="375" spans="1:21" x14ac:dyDescent="0.2">
      <c r="A375" s="64" t="str">
        <f t="shared" si="6"/>
        <v>1D</v>
      </c>
      <c r="B375" s="203">
        <f>_xll.qlCalendarAdvance(Calendar,B374,A375,"f",FALSE)</f>
        <v>42312</v>
      </c>
      <c r="C375" s="237">
        <f>_xll.qlCalendarAdvance(Calendar,B375,NDays&amp;"D")</f>
        <v>42314</v>
      </c>
      <c r="D375" s="202">
        <v>3.9773015313251002E-3</v>
      </c>
      <c r="E375" s="202">
        <v>2.5664605382758054E-3</v>
      </c>
      <c r="U375" s="204"/>
    </row>
    <row r="376" spans="1:21" x14ac:dyDescent="0.2">
      <c r="A376" s="64" t="str">
        <f t="shared" si="6"/>
        <v>1D</v>
      </c>
      <c r="B376" s="203">
        <f>_xll.qlCalendarAdvance(Calendar,B375,A376,"f",FALSE)</f>
        <v>42313</v>
      </c>
      <c r="C376" s="237">
        <f>_xll.qlCalendarAdvance(Calendar,B376,NDays&amp;"D")</f>
        <v>42317</v>
      </c>
      <c r="D376" s="202">
        <v>3.9948374746383653E-3</v>
      </c>
      <c r="E376" s="202">
        <v>2.4854241885385875E-3</v>
      </c>
      <c r="U376" s="204"/>
    </row>
    <row r="377" spans="1:21" x14ac:dyDescent="0.2">
      <c r="A377" s="64" t="str">
        <f t="shared" si="6"/>
        <v>1D</v>
      </c>
      <c r="B377" s="203">
        <f>_xll.qlCalendarAdvance(Calendar,B376,A377,"f",FALSE)</f>
        <v>42314</v>
      </c>
      <c r="C377" s="237">
        <f>_xll.qlCalendarAdvance(Calendar,B377,NDays&amp;"D")</f>
        <v>42318</v>
      </c>
      <c r="D377" s="202">
        <v>4.0006154650286839E-3</v>
      </c>
      <c r="E377" s="202">
        <v>2.4490662678644526E-3</v>
      </c>
      <c r="U377" s="204"/>
    </row>
    <row r="378" spans="1:21" x14ac:dyDescent="0.2">
      <c r="A378" s="64" t="str">
        <f t="shared" si="6"/>
        <v>1D</v>
      </c>
      <c r="B378" s="203">
        <f>_xll.qlCalendarAdvance(Calendar,B377,A378,"f",FALSE)</f>
        <v>42317</v>
      </c>
      <c r="C378" s="237">
        <f>_xll.qlCalendarAdvance(Calendar,B378,NDays&amp;"D")</f>
        <v>42319</v>
      </c>
      <c r="D378" s="202">
        <v>4.0063650264371966E-3</v>
      </c>
      <c r="E378" s="202">
        <v>2.4151990102261323E-3</v>
      </c>
      <c r="U378" s="204"/>
    </row>
    <row r="379" spans="1:21" x14ac:dyDescent="0.2">
      <c r="A379" s="64" t="str">
        <f t="shared" si="6"/>
        <v>1D</v>
      </c>
      <c r="B379" s="203">
        <f>_xll.qlCalendarAdvance(Calendar,B378,A379,"f",FALSE)</f>
        <v>42318</v>
      </c>
      <c r="C379" s="237">
        <f>_xll.qlCalendarAdvance(Calendar,B379,NDays&amp;"D")</f>
        <v>42320</v>
      </c>
      <c r="D379" s="202">
        <v>4.0120892987452264E-3</v>
      </c>
      <c r="E379" s="202">
        <v>2.383822414904202E-3</v>
      </c>
      <c r="U379" s="204"/>
    </row>
    <row r="380" spans="1:21" x14ac:dyDescent="0.2">
      <c r="A380" s="64" t="str">
        <f t="shared" si="6"/>
        <v>1D</v>
      </c>
      <c r="B380" s="203">
        <f>_xll.qlCalendarAdvance(Calendar,B379,A380,"f",FALSE)</f>
        <v>42319</v>
      </c>
      <c r="C380" s="237">
        <f>_xll.qlCalendarAdvance(Calendar,B380,NDays&amp;"D")</f>
        <v>42321</v>
      </c>
      <c r="D380" s="202">
        <v>4.0177914218723042E-3</v>
      </c>
      <c r="E380" s="202">
        <v>2.3293865002749214E-3</v>
      </c>
      <c r="U380" s="204"/>
    </row>
    <row r="381" spans="1:21" x14ac:dyDescent="0.2">
      <c r="A381" s="64" t="str">
        <f t="shared" si="6"/>
        <v>1D</v>
      </c>
      <c r="B381" s="203">
        <f>_xll.qlCalendarAdvance(Calendar,B380,A381,"f",FALSE)</f>
        <v>42320</v>
      </c>
      <c r="C381" s="237">
        <f>_xll.qlCalendarAdvance(Calendar,B381,NDays&amp;"D")</f>
        <v>42324</v>
      </c>
      <c r="D381" s="202">
        <v>4.0347962959130547E-3</v>
      </c>
      <c r="E381" s="202">
        <v>2.2832226442304204E-3</v>
      </c>
      <c r="U381" s="204"/>
    </row>
    <row r="382" spans="1:21" x14ac:dyDescent="0.2">
      <c r="A382" s="64" t="str">
        <f t="shared" si="6"/>
        <v>1D</v>
      </c>
      <c r="B382" s="203">
        <f>_xll.qlCalendarAdvance(Calendar,B381,A382,"f",FALSE)</f>
        <v>42321</v>
      </c>
      <c r="C382" s="237">
        <f>_xll.qlCalendarAdvance(Calendar,B382,NDays&amp;"D")</f>
        <v>42325</v>
      </c>
      <c r="D382" s="202">
        <v>4.0404412222429442E-3</v>
      </c>
      <c r="E382" s="202">
        <v>2.2642993516974741E-3</v>
      </c>
      <c r="U382" s="204"/>
    </row>
    <row r="383" spans="1:21" x14ac:dyDescent="0.2">
      <c r="A383" s="64" t="str">
        <f t="shared" si="6"/>
        <v>1D</v>
      </c>
      <c r="B383" s="203">
        <f>_xll.qlCalendarAdvance(Calendar,B382,A383,"f",FALSE)</f>
        <v>42324</v>
      </c>
      <c r="C383" s="237">
        <f>_xll.qlCalendarAdvance(Calendar,B383,NDays&amp;"D")</f>
        <v>42326</v>
      </c>
      <c r="D383" s="202">
        <v>4.0460796995368037E-3</v>
      </c>
      <c r="E383" s="202">
        <v>2.2478667182834755E-3</v>
      </c>
      <c r="U383" s="204"/>
    </row>
    <row r="384" spans="1:21" x14ac:dyDescent="0.2">
      <c r="A384" s="64" t="str">
        <f t="shared" si="6"/>
        <v>1D</v>
      </c>
      <c r="B384" s="203">
        <f>_xll.qlCalendarAdvance(Calendar,B383,A384,"f",FALSE)</f>
        <v>42325</v>
      </c>
      <c r="C384" s="237">
        <f>_xll.qlCalendarAdvance(Calendar,B384,NDays&amp;"D")</f>
        <v>42327</v>
      </c>
      <c r="D384" s="202">
        <v>4.0517148679315735E-3</v>
      </c>
      <c r="E384" s="202">
        <v>2.2339247436686804E-3</v>
      </c>
      <c r="U384" s="204"/>
    </row>
    <row r="385" spans="1:21" x14ac:dyDescent="0.2">
      <c r="A385" s="64" t="str">
        <f t="shared" si="6"/>
        <v>1D</v>
      </c>
      <c r="B385" s="203">
        <f>_xll.qlCalendarAdvance(Calendar,B384,A385,"f",FALSE)</f>
        <v>42326</v>
      </c>
      <c r="C385" s="237">
        <f>_xll.qlCalendarAdvance(Calendar,B385,NDays&amp;"D")</f>
        <v>42328</v>
      </c>
      <c r="D385" s="202">
        <v>4.0573498676002113E-3</v>
      </c>
      <c r="E385" s="202">
        <v>2.2143566095689238E-3</v>
      </c>
      <c r="U385" s="204"/>
    </row>
    <row r="386" spans="1:21" x14ac:dyDescent="0.2">
      <c r="A386" s="64" t="str">
        <f t="shared" si="6"/>
        <v>1D</v>
      </c>
      <c r="B386" s="203">
        <f>_xll.qlCalendarAdvance(Calendar,B385,A386,"f",FALSE)</f>
        <v>42327</v>
      </c>
      <c r="C386" s="237">
        <f>_xll.qlCalendarAdvance(Calendar,B386,NDays&amp;"D")</f>
        <v>42331</v>
      </c>
      <c r="D386" s="202">
        <v>4.0742852565103464E-3</v>
      </c>
      <c r="E386" s="202">
        <v>2.20306342864518E-3</v>
      </c>
      <c r="U386" s="204"/>
    </row>
    <row r="387" spans="1:21" x14ac:dyDescent="0.2">
      <c r="A387" s="64" t="str">
        <f t="shared" si="6"/>
        <v>1D</v>
      </c>
      <c r="B387" s="203">
        <f>_xll.qlCalendarAdvance(Calendar,B386,A387,"f",FALSE)</f>
        <v>42328</v>
      </c>
      <c r="C387" s="237">
        <f>_xll.qlCalendarAdvance(Calendar,B387,NDays&amp;"D")</f>
        <v>42332</v>
      </c>
      <c r="D387" s="202">
        <v>4.0799509837159825E-3</v>
      </c>
      <c r="E387" s="202">
        <v>2.2015747449088963E-3</v>
      </c>
      <c r="U387" s="204"/>
    </row>
    <row r="388" spans="1:21" x14ac:dyDescent="0.2">
      <c r="A388" s="64" t="str">
        <f t="shared" si="6"/>
        <v>1D</v>
      </c>
      <c r="B388" s="203">
        <f>_xll.qlCalendarAdvance(Calendar,B387,A388,"f",FALSE)</f>
        <v>42331</v>
      </c>
      <c r="C388" s="237">
        <f>_xll.qlCalendarAdvance(Calendar,B388,NDays&amp;"D")</f>
        <v>42333</v>
      </c>
      <c r="D388" s="202">
        <v>4.0856322435956676E-3</v>
      </c>
      <c r="E388" s="202">
        <v>2.2025767190125833E-3</v>
      </c>
      <c r="U388" s="204"/>
    </row>
    <row r="389" spans="1:21" x14ac:dyDescent="0.2">
      <c r="A389" s="64" t="str">
        <f t="shared" si="6"/>
        <v>1D</v>
      </c>
      <c r="B389" s="203">
        <f>_xll.qlCalendarAdvance(Calendar,B388,A389,"f",FALSE)</f>
        <v>42332</v>
      </c>
      <c r="C389" s="237">
        <f>_xll.qlCalendarAdvance(Calendar,B389,NDays&amp;"D")</f>
        <v>42334</v>
      </c>
      <c r="D389" s="202">
        <v>4.0913321765388873E-3</v>
      </c>
      <c r="E389" s="202">
        <v>2.2060693510361773E-3</v>
      </c>
      <c r="U389" s="204"/>
    </row>
    <row r="390" spans="1:21" x14ac:dyDescent="0.2">
      <c r="A390" s="64" t="str">
        <f t="shared" si="6"/>
        <v>1D</v>
      </c>
      <c r="B390" s="203">
        <f>_xll.qlCalendarAdvance(Calendar,B389,A390,"f",FALSE)</f>
        <v>42333</v>
      </c>
      <c r="C390" s="237">
        <f>_xll.qlCalendarAdvance(Calendar,B390,NDays&amp;"D")</f>
        <v>42335</v>
      </c>
      <c r="D390" s="202">
        <v>4.0970539229698262E-3</v>
      </c>
      <c r="E390" s="202">
        <v>2.2213705151852281E-3</v>
      </c>
      <c r="U390" s="204"/>
    </row>
    <row r="391" spans="1:21" x14ac:dyDescent="0.2">
      <c r="A391" s="64" t="str">
        <f t="shared" ref="A391:A454" si="7">A390</f>
        <v>1D</v>
      </c>
      <c r="B391" s="203">
        <f>_xll.qlCalendarAdvance(Calendar,B390,A391,"f",FALSE)</f>
        <v>42334</v>
      </c>
      <c r="C391" s="237">
        <f>_xll.qlCalendarAdvance(Calendar,B391,NDays&amp;"D")</f>
        <v>42338</v>
      </c>
      <c r="D391" s="202">
        <v>4.1100000000000841E-3</v>
      </c>
      <c r="E391" s="202">
        <v>2.2450225232439891E-3</v>
      </c>
      <c r="U391" s="204"/>
    </row>
    <row r="392" spans="1:21" x14ac:dyDescent="0.2">
      <c r="A392" s="64" t="str">
        <f t="shared" si="7"/>
        <v>1D</v>
      </c>
      <c r="B392" s="203">
        <f>_xll.qlCalendarAdvance(Calendar,B391,A392,"f",FALSE)</f>
        <v>42335</v>
      </c>
      <c r="C392" s="237">
        <f>_xll.qlCalendarAdvance(Calendar,B392,NDays&amp;"D")</f>
        <v>42339</v>
      </c>
      <c r="D392" s="202">
        <v>4.1159299088193643E-3</v>
      </c>
      <c r="E392" s="202">
        <v>2.2614248252406099E-3</v>
      </c>
      <c r="U392" s="204"/>
    </row>
    <row r="393" spans="1:21" x14ac:dyDescent="0.2">
      <c r="A393" s="64" t="str">
        <f t="shared" si="7"/>
        <v>1D</v>
      </c>
      <c r="B393" s="203">
        <f>_xll.qlCalendarAdvance(Calendar,B392,A393,"f",FALSE)</f>
        <v>42338</v>
      </c>
      <c r="C393" s="237">
        <f>_xll.qlCalendarAdvance(Calendar,B393,NDays&amp;"D")</f>
        <v>42340</v>
      </c>
      <c r="D393" s="202">
        <v>4.1218944074503158E-3</v>
      </c>
      <c r="E393" s="202">
        <v>2.2807741646513335E-3</v>
      </c>
      <c r="U393" s="204"/>
    </row>
    <row r="394" spans="1:21" x14ac:dyDescent="0.2">
      <c r="A394" s="64" t="str">
        <f t="shared" si="7"/>
        <v>1D</v>
      </c>
      <c r="B394" s="203">
        <f>_xll.qlCalendarAdvance(Calendar,B393,A394,"f",FALSE)</f>
        <v>42339</v>
      </c>
      <c r="C394" s="237">
        <f>_xll.qlCalendarAdvance(Calendar,B394,NDays&amp;"D")</f>
        <v>42341</v>
      </c>
      <c r="D394" s="202">
        <v>4.1278771351458627E-3</v>
      </c>
      <c r="E394" s="202">
        <v>2.3030705421955844E-3</v>
      </c>
      <c r="U394" s="204"/>
    </row>
    <row r="395" spans="1:21" x14ac:dyDescent="0.2">
      <c r="A395" s="64" t="str">
        <f t="shared" si="7"/>
        <v>1D</v>
      </c>
      <c r="B395" s="203">
        <f>_xll.qlCalendarAdvance(Calendar,B394,A395,"f",FALSE)</f>
        <v>42340</v>
      </c>
      <c r="C395" s="237">
        <f>_xll.qlCalendarAdvance(Calendar,B395,NDays&amp;"D")</f>
        <v>42342</v>
      </c>
      <c r="D395" s="202">
        <v>4.1263287277008044E-3</v>
      </c>
      <c r="E395" s="202">
        <v>2.3575021974053811E-3</v>
      </c>
      <c r="U395" s="204"/>
    </row>
    <row r="396" spans="1:21" x14ac:dyDescent="0.2">
      <c r="A396" s="64" t="str">
        <f t="shared" si="7"/>
        <v>1D</v>
      </c>
      <c r="B396" s="203">
        <f>_xll.qlCalendarAdvance(Calendar,B395,A396,"f",FALSE)</f>
        <v>42341</v>
      </c>
      <c r="C396" s="237">
        <f>_xll.qlCalendarAdvance(Calendar,B396,NDays&amp;"D")</f>
        <v>42345</v>
      </c>
      <c r="D396" s="202">
        <v>4.151663114678102E-3</v>
      </c>
      <c r="E396" s="202">
        <v>2.4217264441794839E-3</v>
      </c>
      <c r="U396" s="204"/>
    </row>
    <row r="397" spans="1:21" x14ac:dyDescent="0.2">
      <c r="A397" s="64" t="str">
        <f t="shared" si="7"/>
        <v>1D</v>
      </c>
      <c r="B397" s="203">
        <f>_xll.qlCalendarAdvance(Calendar,B396,A397,"f",FALSE)</f>
        <v>42342</v>
      </c>
      <c r="C397" s="237">
        <f>_xll.qlCalendarAdvance(Calendar,B397,NDays&amp;"D")</f>
        <v>42346</v>
      </c>
      <c r="D397" s="202">
        <v>4.1574915695522466E-3</v>
      </c>
      <c r="E397" s="202">
        <v>2.4587580213442095E-3</v>
      </c>
      <c r="U397" s="204"/>
    </row>
    <row r="398" spans="1:21" x14ac:dyDescent="0.2">
      <c r="A398" s="64" t="str">
        <f t="shared" si="7"/>
        <v>1D</v>
      </c>
      <c r="B398" s="203">
        <f>_xll.qlCalendarAdvance(Calendar,B397,A398,"f",FALSE)</f>
        <v>42345</v>
      </c>
      <c r="C398" s="237">
        <f>_xll.qlCalendarAdvance(Calendar,B398,NDays&amp;"D")</f>
        <v>42347</v>
      </c>
      <c r="D398" s="202">
        <v>4.1632400848693411E-3</v>
      </c>
      <c r="E398" s="202">
        <v>2.4987366408790734E-3</v>
      </c>
      <c r="U398" s="204"/>
    </row>
    <row r="399" spans="1:21" x14ac:dyDescent="0.2">
      <c r="A399" s="64" t="str">
        <f t="shared" si="7"/>
        <v>1D</v>
      </c>
      <c r="B399" s="203">
        <f>_xll.qlCalendarAdvance(Calendar,B398,A399,"f",FALSE)</f>
        <v>42346</v>
      </c>
      <c r="C399" s="237">
        <f>_xll.qlCalendarAdvance(Calendar,B399,NDays&amp;"D")</f>
        <v>42348</v>
      </c>
      <c r="D399" s="202">
        <v>4.1688922985264557E-3</v>
      </c>
      <c r="E399" s="202">
        <v>2.5416623037433084E-3</v>
      </c>
      <c r="U399" s="204"/>
    </row>
    <row r="400" spans="1:21" x14ac:dyDescent="0.2">
      <c r="A400" s="64" t="str">
        <f t="shared" si="7"/>
        <v>1D</v>
      </c>
      <c r="B400" s="203">
        <f>_xll.qlCalendarAdvance(Calendar,B399,A400,"f",FALSE)</f>
        <v>42347</v>
      </c>
      <c r="C400" s="237">
        <f>_xll.qlCalendarAdvance(Calendar,B400,NDays&amp;"D")</f>
        <v>42349</v>
      </c>
      <c r="D400" s="202">
        <v>4.1681605179008071E-3</v>
      </c>
      <c r="E400" s="202">
        <v>2.637356431485216E-3</v>
      </c>
      <c r="U400" s="204"/>
    </row>
    <row r="401" spans="1:21" x14ac:dyDescent="0.2">
      <c r="A401" s="64" t="str">
        <f t="shared" si="7"/>
        <v>1D</v>
      </c>
      <c r="B401" s="203">
        <f>_xll.qlCalendarAdvance(Calendar,B400,A401,"f",FALSE)</f>
        <v>42348</v>
      </c>
      <c r="C401" s="237">
        <f>_xll.qlCalendarAdvance(Calendar,B401,NDays&amp;"D")</f>
        <v>42352</v>
      </c>
      <c r="D401" s="202">
        <v>4.1902108885926177E-3</v>
      </c>
      <c r="E401" s="202">
        <v>2.7428354111158626E-3</v>
      </c>
      <c r="U401" s="204"/>
    </row>
    <row r="402" spans="1:21" x14ac:dyDescent="0.2">
      <c r="A402" s="64" t="str">
        <f t="shared" si="7"/>
        <v>1D</v>
      </c>
      <c r="B402" s="203">
        <f>_xll.qlCalendarAdvance(Calendar,B401,A402,"f",FALSE)</f>
        <v>42349</v>
      </c>
      <c r="C402" s="237">
        <f>_xll.qlCalendarAdvance(Calendar,B402,NDays&amp;"D")</f>
        <v>42353</v>
      </c>
      <c r="D402" s="202">
        <v>4.1951361566330246E-3</v>
      </c>
      <c r="E402" s="202">
        <v>2.8004963079730771E-3</v>
      </c>
      <c r="U402" s="204"/>
    </row>
    <row r="403" spans="1:21" x14ac:dyDescent="0.2">
      <c r="A403" s="64" t="str">
        <f t="shared" si="7"/>
        <v>1D</v>
      </c>
      <c r="B403" s="203">
        <f>_xll.qlCalendarAdvance(Calendar,B402,A403,"f",FALSE)</f>
        <v>42352</v>
      </c>
      <c r="C403" s="237">
        <f>_xll.qlCalendarAdvance(Calendar,B403,NDays&amp;"D")</f>
        <v>42354</v>
      </c>
      <c r="D403" s="202">
        <v>4.1998669470791842E-3</v>
      </c>
      <c r="E403" s="202">
        <v>2.8611042557535882E-3</v>
      </c>
      <c r="U403" s="204"/>
    </row>
    <row r="404" spans="1:21" x14ac:dyDescent="0.2">
      <c r="A404" s="64" t="str">
        <f t="shared" si="7"/>
        <v>1D</v>
      </c>
      <c r="B404" s="203">
        <f>_xll.qlCalendarAdvance(Calendar,B403,A404,"f",FALSE)</f>
        <v>42353</v>
      </c>
      <c r="C404" s="237">
        <f>_xll.qlCalendarAdvance(Calendar,B404,NDays&amp;"D")</f>
        <v>42355</v>
      </c>
      <c r="D404" s="202">
        <v>4.2043868968344262E-3</v>
      </c>
      <c r="E404" s="202">
        <v>2.9246592557363726E-3</v>
      </c>
      <c r="U404" s="204"/>
    </row>
    <row r="405" spans="1:21" x14ac:dyDescent="0.2">
      <c r="A405" s="64" t="str">
        <f t="shared" si="7"/>
        <v>1D</v>
      </c>
      <c r="B405" s="203">
        <f>_xll.qlCalendarAdvance(Calendar,B404,A405,"f",FALSE)</f>
        <v>42354</v>
      </c>
      <c r="C405" s="237">
        <f>_xll.qlCalendarAdvance(Calendar,B405,NDays&amp;"D")</f>
        <v>42356</v>
      </c>
      <c r="D405" s="202">
        <v>4.2037166234296357E-3</v>
      </c>
      <c r="E405" s="202">
        <v>3.0616188035992309E-3</v>
      </c>
      <c r="U405" s="204"/>
    </row>
    <row r="406" spans="1:21" x14ac:dyDescent="0.2">
      <c r="A406" s="64" t="str">
        <f t="shared" si="7"/>
        <v>1D</v>
      </c>
      <c r="B406" s="203">
        <f>_xll.qlCalendarAdvance(Calendar,B405,A406,"f",FALSE)</f>
        <v>42355</v>
      </c>
      <c r="C406" s="237">
        <f>_xll.qlCalendarAdvance(Calendar,B406,NDays&amp;"D")</f>
        <v>42359</v>
      </c>
      <c r="D406" s="202">
        <v>4.220031024389349E-3</v>
      </c>
      <c r="E406" s="202">
        <v>3.2083498104640285E-3</v>
      </c>
      <c r="U406" s="204"/>
    </row>
    <row r="407" spans="1:21" x14ac:dyDescent="0.2">
      <c r="A407" s="64" t="str">
        <f t="shared" si="7"/>
        <v>1D</v>
      </c>
      <c r="B407" s="203">
        <f>_xll.qlCalendarAdvance(Calendar,B406,A407,"f",FALSE)</f>
        <v>42356</v>
      </c>
      <c r="C407" s="237">
        <f>_xll.qlCalendarAdvance(Calendar,B407,NDays&amp;"D")</f>
        <v>42360</v>
      </c>
      <c r="D407" s="202">
        <v>4.2232513218947278E-3</v>
      </c>
      <c r="E407" s="202">
        <v>3.2866400965581022E-3</v>
      </c>
      <c r="U407" s="204"/>
    </row>
    <row r="408" spans="1:21" x14ac:dyDescent="0.2">
      <c r="A408" s="64" t="str">
        <f t="shared" si="7"/>
        <v>1D</v>
      </c>
      <c r="B408" s="203">
        <f>_xll.qlCalendarAdvance(Calendar,B407,A408,"f",FALSE)</f>
        <v>42359</v>
      </c>
      <c r="C408" s="237">
        <f>_xll.qlCalendarAdvance(Calendar,B408,NDays&amp;"D")</f>
        <v>42361</v>
      </c>
      <c r="D408" s="202">
        <v>4.2261625990083172E-3</v>
      </c>
      <c r="E408" s="202">
        <v>3.367877445406009E-3</v>
      </c>
      <c r="U408" s="204"/>
    </row>
    <row r="409" spans="1:21" x14ac:dyDescent="0.2">
      <c r="A409" s="64" t="str">
        <f t="shared" si="7"/>
        <v>1D</v>
      </c>
      <c r="B409" s="203">
        <f>_xll.qlCalendarAdvance(Calendar,B408,A409,"f",FALSE)</f>
        <v>42360</v>
      </c>
      <c r="C409" s="237">
        <f>_xll.qlCalendarAdvance(Calendar,B409,NDays&amp;"D")</f>
        <v>42362</v>
      </c>
      <c r="D409" s="202">
        <v>4.2287484924622186E-3</v>
      </c>
      <c r="E409" s="202">
        <v>3.5857597070987346E-3</v>
      </c>
      <c r="U409" s="204"/>
    </row>
    <row r="410" spans="1:21" x14ac:dyDescent="0.2">
      <c r="A410" s="64" t="str">
        <f t="shared" si="7"/>
        <v>1D</v>
      </c>
      <c r="B410" s="203">
        <f>_xll.qlCalendarAdvance(Calendar,B409,A410,"f",FALSE)</f>
        <v>42361</v>
      </c>
      <c r="C410" s="237">
        <f>_xll.qlCalendarAdvance(Calendar,B410,NDays&amp;"D")</f>
        <v>42366</v>
      </c>
      <c r="D410" s="202">
        <v>4.2355109673600918E-3</v>
      </c>
      <c r="E410" s="202">
        <v>3.8182702024158743E-3</v>
      </c>
      <c r="U410" s="204"/>
    </row>
    <row r="411" spans="1:21" x14ac:dyDescent="0.2">
      <c r="A411" s="64" t="str">
        <f t="shared" si="7"/>
        <v>1D</v>
      </c>
      <c r="B411" s="203">
        <f>_xll.qlCalendarAdvance(Calendar,B410,A411,"f",FALSE)</f>
        <v>42362</v>
      </c>
      <c r="C411" s="237">
        <f>_xll.qlCalendarAdvance(Calendar,B411,NDays&amp;"D")</f>
        <v>42367</v>
      </c>
      <c r="D411" s="202">
        <v>4.2362244969408672E-3</v>
      </c>
      <c r="E411" s="202">
        <v>3.9159537275246237E-3</v>
      </c>
      <c r="U411" s="204"/>
    </row>
    <row r="412" spans="1:21" x14ac:dyDescent="0.2">
      <c r="A412" s="64" t="str">
        <f t="shared" si="7"/>
        <v>1D</v>
      </c>
      <c r="B412" s="203">
        <f>_xll.qlCalendarAdvance(Calendar,B411,A412,"f",FALSE)</f>
        <v>42366</v>
      </c>
      <c r="C412" s="237">
        <f>_xll.qlCalendarAdvance(Calendar,B412,NDays&amp;"D")</f>
        <v>42368</v>
      </c>
      <c r="D412" s="202">
        <v>4.236521235647479E-3</v>
      </c>
      <c r="E412" s="202">
        <v>4.010403106162741E-3</v>
      </c>
      <c r="U412" s="204"/>
    </row>
    <row r="413" spans="1:21" x14ac:dyDescent="0.2">
      <c r="A413" s="64" t="str">
        <f t="shared" si="7"/>
        <v>1D</v>
      </c>
      <c r="B413" s="203">
        <f>_xll.qlCalendarAdvance(Calendar,B412,A413,"f",FALSE)</f>
        <v>42367</v>
      </c>
      <c r="C413" s="237">
        <f>_xll.qlCalendarAdvance(Calendar,B413,NDays&amp;"D")</f>
        <v>42369</v>
      </c>
      <c r="D413" s="202">
        <v>4.2377164347545499E-3</v>
      </c>
      <c r="E413" s="202">
        <v>4.2242489085686508E-3</v>
      </c>
      <c r="U413" s="204"/>
    </row>
    <row r="414" spans="1:21" x14ac:dyDescent="0.2">
      <c r="A414" s="64" t="str">
        <f t="shared" si="7"/>
        <v>1D</v>
      </c>
      <c r="B414" s="203">
        <f>_xll.qlCalendarAdvance(Calendar,B413,A414,"f",FALSE)</f>
        <v>42368</v>
      </c>
      <c r="C414" s="237">
        <f>_xll.qlCalendarAdvance(Calendar,B414,NDays&amp;"D")</f>
        <v>42373</v>
      </c>
      <c r="D414" s="202">
        <v>4.2333047938984056E-3</v>
      </c>
      <c r="E414" s="202">
        <v>4.4155940257795123E-3</v>
      </c>
      <c r="U414" s="204"/>
    </row>
    <row r="415" spans="1:21" x14ac:dyDescent="0.2">
      <c r="A415" s="64" t="str">
        <f t="shared" si="7"/>
        <v>1D</v>
      </c>
      <c r="B415" s="203">
        <f>_xll.qlCalendarAdvance(Calendar,B414,A415,"f",FALSE)</f>
        <v>42369</v>
      </c>
      <c r="C415" s="237">
        <f>_xll.qlCalendarAdvance(Calendar,B415,NDays&amp;"D")</f>
        <v>42374</v>
      </c>
      <c r="D415" s="202">
        <v>4.2314426214048375E-3</v>
      </c>
      <c r="E415" s="202">
        <v>4.4832209938050482E-3</v>
      </c>
      <c r="U415" s="204"/>
    </row>
    <row r="416" spans="1:21" x14ac:dyDescent="0.2">
      <c r="A416" s="64" t="str">
        <f t="shared" si="7"/>
        <v>1D</v>
      </c>
      <c r="B416" s="203">
        <f>_xll.qlCalendarAdvance(Calendar,B415,A416,"f",FALSE)</f>
        <v>42373</v>
      </c>
      <c r="C416" s="237">
        <f>_xll.qlCalendarAdvance(Calendar,B416,NDays&amp;"D")</f>
        <v>42375</v>
      </c>
      <c r="D416" s="202">
        <v>4.2293255262941887E-3</v>
      </c>
      <c r="E416" s="202">
        <v>4.5463775501897175E-3</v>
      </c>
      <c r="U416" s="204"/>
    </row>
    <row r="417" spans="1:21" x14ac:dyDescent="0.2">
      <c r="A417" s="64" t="str">
        <f t="shared" si="7"/>
        <v>1D</v>
      </c>
      <c r="B417" s="203">
        <f>_xll.qlCalendarAdvance(Calendar,B416,A417,"f",FALSE)</f>
        <v>42374</v>
      </c>
      <c r="C417" s="237">
        <f>_xll.qlCalendarAdvance(Calendar,B417,NDays&amp;"D")</f>
        <v>42376</v>
      </c>
      <c r="D417" s="202">
        <v>4.2269778997509142E-3</v>
      </c>
      <c r="E417" s="202">
        <v>4.6050636926953104E-3</v>
      </c>
      <c r="U417" s="204"/>
    </row>
    <row r="418" spans="1:21" x14ac:dyDescent="0.2">
      <c r="A418" s="64" t="str">
        <f t="shared" si="7"/>
        <v>1D</v>
      </c>
      <c r="B418" s="203">
        <f>_xll.qlCalendarAdvance(Calendar,B417,A418,"f",FALSE)</f>
        <v>42375</v>
      </c>
      <c r="C418" s="237">
        <f>_xll.qlCalendarAdvance(Calendar,B418,NDays&amp;"D")</f>
        <v>42377</v>
      </c>
      <c r="D418" s="202">
        <v>4.2244241329296058E-3</v>
      </c>
      <c r="E418" s="202">
        <v>4.7075961434384084E-3</v>
      </c>
      <c r="U418" s="204"/>
    </row>
    <row r="419" spans="1:21" x14ac:dyDescent="0.2">
      <c r="A419" s="64" t="str">
        <f t="shared" si="7"/>
        <v>1D</v>
      </c>
      <c r="B419" s="203">
        <f>_xll.qlCalendarAdvance(Calendar,B418,A419,"f",FALSE)</f>
        <v>42376</v>
      </c>
      <c r="C419" s="237">
        <f>_xll.qlCalendarAdvance(Calendar,B419,NDays&amp;"D")</f>
        <v>42380</v>
      </c>
      <c r="D419" s="202">
        <v>4.2157699013705341E-3</v>
      </c>
      <c r="E419" s="202">
        <v>4.7951040821203605E-3</v>
      </c>
      <c r="U419" s="204"/>
    </row>
    <row r="420" spans="1:21" x14ac:dyDescent="0.2">
      <c r="A420" s="64" t="str">
        <f t="shared" si="7"/>
        <v>1D</v>
      </c>
      <c r="B420" s="203">
        <f>_xll.qlCalendarAdvance(Calendar,B419,A420,"f",FALSE)</f>
        <v>42377</v>
      </c>
      <c r="C420" s="237">
        <f>_xll.qlCalendarAdvance(Calendar,B420,NDays&amp;"D")</f>
        <v>42381</v>
      </c>
      <c r="D420" s="202">
        <v>4.2126354835292125E-3</v>
      </c>
      <c r="E420" s="202">
        <v>4.8314381254144223E-3</v>
      </c>
      <c r="U420" s="204"/>
    </row>
    <row r="421" spans="1:21" x14ac:dyDescent="0.2">
      <c r="A421" s="64" t="str">
        <f t="shared" si="7"/>
        <v>1D</v>
      </c>
      <c r="B421" s="203">
        <f>_xll.qlCalendarAdvance(Calendar,B420,A421,"f",FALSE)</f>
        <v>42380</v>
      </c>
      <c r="C421" s="237">
        <f>_xll.qlCalendarAdvance(Calendar,B421,NDays&amp;"D")</f>
        <v>42382</v>
      </c>
      <c r="D421" s="202">
        <v>4.2094168799139348E-3</v>
      </c>
      <c r="E421" s="202">
        <v>4.8633017442778481E-3</v>
      </c>
      <c r="U421" s="204"/>
    </row>
    <row r="422" spans="1:21" x14ac:dyDescent="0.2">
      <c r="A422" s="64" t="str">
        <f t="shared" si="7"/>
        <v>1D</v>
      </c>
      <c r="B422" s="203">
        <f>_xll.qlCalendarAdvance(Calendar,B421,A422,"f",FALSE)</f>
        <v>42381</v>
      </c>
      <c r="C422" s="237">
        <f>_xll.qlCalendarAdvance(Calendar,B422,NDays&amp;"D")</f>
        <v>42383</v>
      </c>
      <c r="D422" s="202">
        <v>4.2061384810441948E-3</v>
      </c>
      <c r="E422" s="202">
        <v>4.890694937351725E-3</v>
      </c>
      <c r="U422" s="204"/>
    </row>
    <row r="423" spans="1:21" x14ac:dyDescent="0.2">
      <c r="A423" s="64" t="str">
        <f t="shared" si="7"/>
        <v>1D</v>
      </c>
      <c r="B423" s="203">
        <f>_xll.qlCalendarAdvance(Calendar,B422,A423,"f",FALSE)</f>
        <v>42382</v>
      </c>
      <c r="C423" s="237">
        <f>_xll.qlCalendarAdvance(Calendar,B423,NDays&amp;"D")</f>
        <v>42384</v>
      </c>
      <c r="D423" s="202">
        <v>4.2028246772883998E-3</v>
      </c>
      <c r="E423" s="202">
        <v>4.9306474291732627E-3</v>
      </c>
      <c r="U423" s="204"/>
    </row>
    <row r="424" spans="1:21" x14ac:dyDescent="0.2">
      <c r="A424" s="64" t="str">
        <f t="shared" si="7"/>
        <v>1D</v>
      </c>
      <c r="B424" s="203">
        <f>_xll.qlCalendarAdvance(Calendar,B423,A424,"f",FALSE)</f>
        <v>42383</v>
      </c>
      <c r="C424" s="237">
        <f>_xll.qlCalendarAdvance(Calendar,B424,NDays&amp;"D")</f>
        <v>42387</v>
      </c>
      <c r="D424" s="202">
        <v>4.1929147379559609E-3</v>
      </c>
      <c r="E424" s="202">
        <v>4.9555634344056188E-3</v>
      </c>
      <c r="U424" s="204"/>
    </row>
    <row r="425" spans="1:21" x14ac:dyDescent="0.2">
      <c r="A425" s="64" t="str">
        <f t="shared" si="7"/>
        <v>1D</v>
      </c>
      <c r="B425" s="203">
        <f>_xll.qlCalendarAdvance(Calendar,B424,A425,"f",FALSE)</f>
        <v>42384</v>
      </c>
      <c r="C425" s="237">
        <f>_xll.qlCalendarAdvance(Calendar,B425,NDays&amp;"D")</f>
        <v>42388</v>
      </c>
      <c r="D425" s="202">
        <v>4.1897032150977629E-3</v>
      </c>
      <c r="E425" s="202">
        <v>4.9606044868610866E-3</v>
      </c>
      <c r="U425" s="204"/>
    </row>
    <row r="426" spans="1:21" x14ac:dyDescent="0.2">
      <c r="A426" s="64" t="str">
        <f t="shared" si="7"/>
        <v>1D</v>
      </c>
      <c r="B426" s="203">
        <f>_xll.qlCalendarAdvance(Calendar,B425,A426,"f",FALSE)</f>
        <v>42387</v>
      </c>
      <c r="C426" s="237">
        <f>_xll.qlCalendarAdvance(Calendar,B426,NDays&amp;"D")</f>
        <v>42389</v>
      </c>
      <c r="D426" s="202">
        <v>4.1865782367750586E-3</v>
      </c>
      <c r="E426" s="202">
        <v>4.9611751099298829E-3</v>
      </c>
      <c r="U426" s="204"/>
    </row>
    <row r="427" spans="1:21" x14ac:dyDescent="0.2">
      <c r="A427" s="64" t="str">
        <f t="shared" si="7"/>
        <v>1D</v>
      </c>
      <c r="B427" s="203">
        <f>_xll.qlCalendarAdvance(Calendar,B426,A427,"f",FALSE)</f>
        <v>42388</v>
      </c>
      <c r="C427" s="237">
        <f>_xll.qlCalendarAdvance(Calendar,B427,NDays&amp;"D")</f>
        <v>42390</v>
      </c>
      <c r="D427" s="202">
        <v>4.1835641924123949E-3</v>
      </c>
      <c r="E427" s="202">
        <v>4.9572753036120076E-3</v>
      </c>
      <c r="U427" s="204"/>
    </row>
    <row r="428" spans="1:21" x14ac:dyDescent="0.2">
      <c r="A428" s="64" t="str">
        <f t="shared" si="7"/>
        <v>1D</v>
      </c>
      <c r="B428" s="203">
        <f>_xll.qlCalendarAdvance(Calendar,B427,A428,"f",FALSE)</f>
        <v>42389</v>
      </c>
      <c r="C428" s="237">
        <f>_xll.qlCalendarAdvance(Calendar,B428,NDays&amp;"D")</f>
        <v>42391</v>
      </c>
      <c r="D428" s="202">
        <v>4.1806854713003581E-3</v>
      </c>
      <c r="E428" s="202">
        <v>4.9346418998208463E-3</v>
      </c>
      <c r="U428" s="204"/>
    </row>
    <row r="429" spans="1:21" x14ac:dyDescent="0.2">
      <c r="A429" s="64" t="str">
        <f t="shared" si="7"/>
        <v>1D</v>
      </c>
      <c r="B429" s="203">
        <f>_xll.qlCalendarAdvance(Calendar,B428,A429,"f",FALSE)</f>
        <v>42390</v>
      </c>
      <c r="C429" s="237">
        <f>_xll.qlCalendarAdvance(Calendar,B429,NDays&amp;"D")</f>
        <v>42394</v>
      </c>
      <c r="D429" s="202">
        <v>4.1731051387483686E-3</v>
      </c>
      <c r="E429" s="202">
        <v>4.8969717899893794E-3</v>
      </c>
      <c r="U429" s="204"/>
    </row>
    <row r="430" spans="1:21" x14ac:dyDescent="0.2">
      <c r="A430" s="64" t="str">
        <f t="shared" si="7"/>
        <v>1D</v>
      </c>
      <c r="B430" s="203">
        <f>_xll.qlCalendarAdvance(Calendar,B429,A430,"f",FALSE)</f>
        <v>42391</v>
      </c>
      <c r="C430" s="237">
        <f>_xll.qlCalendarAdvance(Calendar,B430,NDays&amp;"D")</f>
        <v>42395</v>
      </c>
      <c r="D430" s="202">
        <v>4.1710116015102952E-3</v>
      </c>
      <c r="E430" s="202">
        <v>4.8707198422537346E-3</v>
      </c>
      <c r="U430" s="204"/>
    </row>
    <row r="431" spans="1:21" x14ac:dyDescent="0.2">
      <c r="A431" s="64" t="str">
        <f t="shared" si="7"/>
        <v>1D</v>
      </c>
      <c r="B431" s="203">
        <f>_xll.qlCalendarAdvance(Calendar,B430,A431,"f",FALSE)</f>
        <v>42394</v>
      </c>
      <c r="C431" s="237">
        <f>_xll.qlCalendarAdvance(Calendar,B431,NDays&amp;"D")</f>
        <v>42396</v>
      </c>
      <c r="D431" s="202">
        <v>4.1691753326357573E-3</v>
      </c>
      <c r="E431" s="202">
        <v>4.8399974684887326E-3</v>
      </c>
      <c r="U431" s="204"/>
    </row>
    <row r="432" spans="1:21" x14ac:dyDescent="0.2">
      <c r="A432" s="64" t="str">
        <f t="shared" si="7"/>
        <v>1D</v>
      </c>
      <c r="B432" s="203">
        <f>_xll.qlCalendarAdvance(Calendar,B431,A432,"f",FALSE)</f>
        <v>42395</v>
      </c>
      <c r="C432" s="237">
        <f>_xll.qlCalendarAdvance(Calendar,B432,NDays&amp;"D")</f>
        <v>42397</v>
      </c>
      <c r="D432" s="202">
        <v>4.167620721046407E-3</v>
      </c>
      <c r="E432" s="202">
        <v>4.8048046699733504E-3</v>
      </c>
      <c r="U432" s="204"/>
    </row>
    <row r="433" spans="1:21" x14ac:dyDescent="0.2">
      <c r="A433" s="64" t="str">
        <f t="shared" si="7"/>
        <v>1D</v>
      </c>
      <c r="B433" s="203">
        <f>_xll.qlCalendarAdvance(Calendar,B432,A433,"f",FALSE)</f>
        <v>42396</v>
      </c>
      <c r="C433" s="237">
        <f>_xll.qlCalendarAdvance(Calendar,B433,NDays&amp;"D")</f>
        <v>42398</v>
      </c>
      <c r="D433" s="202">
        <v>4.1663721557016666E-3</v>
      </c>
      <c r="E433" s="202">
        <v>4.7283985482504676E-3</v>
      </c>
      <c r="U433" s="204"/>
    </row>
    <row r="434" spans="1:21" x14ac:dyDescent="0.2">
      <c r="A434" s="64" t="str">
        <f t="shared" si="7"/>
        <v>1D</v>
      </c>
      <c r="B434" s="203">
        <f>_xll.qlCalendarAdvance(Calendar,B433,A434,"f",FALSE)</f>
        <v>42397</v>
      </c>
      <c r="C434" s="237">
        <f>_xll.qlCalendarAdvance(Calendar,B434,NDays&amp;"D")</f>
        <v>42401</v>
      </c>
      <c r="D434" s="202">
        <v>4.1645609593522837E-3</v>
      </c>
      <c r="E434" s="202">
        <v>4.6555842448370299E-3</v>
      </c>
      <c r="U434" s="204"/>
    </row>
    <row r="435" spans="1:21" x14ac:dyDescent="0.2">
      <c r="A435" s="64" t="str">
        <f t="shared" si="7"/>
        <v>1D</v>
      </c>
      <c r="B435" s="203">
        <f>_xll.qlCalendarAdvance(Calendar,B434,A435,"f",FALSE)</f>
        <v>42398</v>
      </c>
      <c r="C435" s="237">
        <f>_xll.qlCalendarAdvance(Calendar,B435,NDays&amp;"D")</f>
        <v>42402</v>
      </c>
      <c r="D435" s="202">
        <v>4.1645808505429566E-3</v>
      </c>
      <c r="E435" s="202">
        <v>4.6215560871853967E-3</v>
      </c>
      <c r="U435" s="204"/>
    </row>
    <row r="436" spans="1:21" x14ac:dyDescent="0.2">
      <c r="A436" s="64" t="str">
        <f t="shared" si="7"/>
        <v>1D</v>
      </c>
      <c r="B436" s="203">
        <f>_xll.qlCalendarAdvance(Calendar,B435,A436,"f",FALSE)</f>
        <v>42401</v>
      </c>
      <c r="C436" s="237">
        <f>_xll.qlCalendarAdvance(Calendar,B436,NDays&amp;"D")</f>
        <v>42403</v>
      </c>
      <c r="D436" s="202">
        <v>4.1648992512386554E-3</v>
      </c>
      <c r="E436" s="202">
        <v>4.5889366944784626E-3</v>
      </c>
      <c r="U436" s="204"/>
    </row>
    <row r="437" spans="1:21" x14ac:dyDescent="0.2">
      <c r="A437" s="64" t="str">
        <f t="shared" si="7"/>
        <v>1D</v>
      </c>
      <c r="B437" s="203">
        <f>_xll.qlCalendarAdvance(Calendar,B436,A437,"f",FALSE)</f>
        <v>42402</v>
      </c>
      <c r="C437" s="237">
        <f>_xll.qlCalendarAdvance(Calendar,B437,NDays&amp;"D")</f>
        <v>42404</v>
      </c>
      <c r="D437" s="202">
        <v>4.1655081803576516E-3</v>
      </c>
      <c r="E437" s="202">
        <v>4.5577260665563557E-3</v>
      </c>
      <c r="U437" s="204"/>
    </row>
    <row r="438" spans="1:21" x14ac:dyDescent="0.2">
      <c r="A438" s="64" t="str">
        <f t="shared" si="7"/>
        <v>1D</v>
      </c>
      <c r="B438" s="203">
        <f>_xll.qlCalendarAdvance(Calendar,B437,A438,"f",FALSE)</f>
        <v>42403</v>
      </c>
      <c r="C438" s="237">
        <f>_xll.qlCalendarAdvance(Calendar,B438,NDays&amp;"D")</f>
        <v>42405</v>
      </c>
      <c r="D438" s="202">
        <v>4.166399656937241E-3</v>
      </c>
      <c r="E438" s="202">
        <v>4.5000569406816737E-3</v>
      </c>
      <c r="U438" s="204"/>
    </row>
    <row r="439" spans="1:21" x14ac:dyDescent="0.2">
      <c r="A439" s="64" t="str">
        <f t="shared" si="7"/>
        <v>1D</v>
      </c>
      <c r="B439" s="203">
        <f>_xll.qlCalendarAdvance(Calendar,B438,A439,"f",FALSE)</f>
        <v>42404</v>
      </c>
      <c r="C439" s="237">
        <f>_xll.qlCalendarAdvance(Calendar,B439,NDays&amp;"D")</f>
        <v>42408</v>
      </c>
      <c r="D439" s="202">
        <v>4.1706895633756742E-3</v>
      </c>
      <c r="E439" s="202">
        <v>4.4469711946426571E-3</v>
      </c>
      <c r="U439" s="204"/>
    </row>
    <row r="440" spans="1:21" x14ac:dyDescent="0.2">
      <c r="A440" s="64" t="str">
        <f t="shared" si="7"/>
        <v>1D</v>
      </c>
      <c r="B440" s="203">
        <f>_xll.qlCalendarAdvance(Calendar,B439,A440,"f",FALSE)</f>
        <v>42405</v>
      </c>
      <c r="C440" s="237">
        <f>_xll.qlCalendarAdvance(Calendar,B440,NDays&amp;"D")</f>
        <v>42409</v>
      </c>
      <c r="D440" s="202">
        <v>4.1726314221799789E-3</v>
      </c>
      <c r="E440" s="202">
        <v>4.4228043850491616E-3</v>
      </c>
      <c r="U440" s="204"/>
    </row>
    <row r="441" spans="1:21" x14ac:dyDescent="0.2">
      <c r="A441" s="64" t="str">
        <f t="shared" si="7"/>
        <v>1D</v>
      </c>
      <c r="B441" s="203">
        <f>_xll.qlCalendarAdvance(Calendar,B440,A441,"f",FALSE)</f>
        <v>42408</v>
      </c>
      <c r="C441" s="237">
        <f>_xll.qlCalendarAdvance(Calendar,B441,NDays&amp;"D")</f>
        <v>42410</v>
      </c>
      <c r="D441" s="202">
        <v>4.1748159250434144E-3</v>
      </c>
      <c r="E441" s="202">
        <v>4.4000463381621557E-3</v>
      </c>
      <c r="U441" s="204"/>
    </row>
    <row r="442" spans="1:21" x14ac:dyDescent="0.2">
      <c r="A442" s="64" t="str">
        <f t="shared" si="7"/>
        <v>1D</v>
      </c>
      <c r="B442" s="203">
        <f>_xll.qlCalendarAdvance(Calendar,B441,A442,"f",FALSE)</f>
        <v>42409</v>
      </c>
      <c r="C442" s="237">
        <f>_xll.qlCalendarAdvance(Calendar,B442,NDays&amp;"D")</f>
        <v>42411</v>
      </c>
      <c r="D442" s="202">
        <v>4.1772350914951913E-3</v>
      </c>
      <c r="E442" s="202">
        <v>4.3786970538217673E-3</v>
      </c>
      <c r="U442" s="204"/>
    </row>
    <row r="443" spans="1:21" x14ac:dyDescent="0.2">
      <c r="A443" s="64" t="str">
        <f t="shared" si="7"/>
        <v>1D</v>
      </c>
      <c r="B443" s="203">
        <f>_xll.qlCalendarAdvance(Calendar,B442,A443,"f",FALSE)</f>
        <v>42410</v>
      </c>
      <c r="C443" s="237">
        <f>_xll.qlCalendarAdvance(Calendar,B443,NDays&amp;"D")</f>
        <v>42412</v>
      </c>
      <c r="D443" s="202">
        <v>4.1798809411084407E-3</v>
      </c>
      <c r="E443" s="202">
        <v>4.3407466965650343E-3</v>
      </c>
      <c r="U443" s="204"/>
    </row>
    <row r="444" spans="1:21" x14ac:dyDescent="0.2">
      <c r="A444" s="64" t="str">
        <f t="shared" si="7"/>
        <v>1D</v>
      </c>
      <c r="B444" s="203">
        <f>_xll.qlCalendarAdvance(Calendar,B443,A444,"f",FALSE)</f>
        <v>42411</v>
      </c>
      <c r="C444" s="237">
        <f>_xll.qlCalendarAdvance(Calendar,B444,NDays&amp;"D")</f>
        <v>42415</v>
      </c>
      <c r="D444" s="202">
        <v>4.1890987851718724E-3</v>
      </c>
      <c r="E444" s="202">
        <v>4.3073875364108005E-3</v>
      </c>
      <c r="U444" s="204"/>
    </row>
    <row r="445" spans="1:21" x14ac:dyDescent="0.2">
      <c r="A445" s="64" t="str">
        <f t="shared" si="7"/>
        <v>1D</v>
      </c>
      <c r="B445" s="203">
        <f>_xll.qlCalendarAdvance(Calendar,B444,A445,"f",FALSE)</f>
        <v>42412</v>
      </c>
      <c r="C445" s="237">
        <f>_xll.qlCalendarAdvance(Calendar,B445,NDays&amp;"D")</f>
        <v>42416</v>
      </c>
      <c r="D445" s="202">
        <v>4.1925715637886355E-3</v>
      </c>
      <c r="E445" s="202">
        <v>4.2930820610465048E-3</v>
      </c>
      <c r="U445" s="204"/>
    </row>
    <row r="446" spans="1:21" x14ac:dyDescent="0.2">
      <c r="A446" s="64" t="str">
        <f t="shared" si="7"/>
        <v>1D</v>
      </c>
      <c r="B446" s="203">
        <f>_xll.qlCalendarAdvance(Calendar,B445,A446,"f",FALSE)</f>
        <v>42415</v>
      </c>
      <c r="C446" s="237">
        <f>_xll.qlCalendarAdvance(Calendar,B446,NDays&amp;"D")</f>
        <v>42417</v>
      </c>
      <c r="D446" s="202">
        <v>4.1962311238212275E-3</v>
      </c>
      <c r="E446" s="202">
        <v>4.2801853468699136E-3</v>
      </c>
      <c r="U446" s="204"/>
    </row>
    <row r="447" spans="1:21" x14ac:dyDescent="0.2">
      <c r="A447" s="64" t="str">
        <f t="shared" si="7"/>
        <v>1D</v>
      </c>
      <c r="B447" s="203">
        <f>_xll.qlCalendarAdvance(Calendar,B446,A447,"f",FALSE)</f>
        <v>42416</v>
      </c>
      <c r="C447" s="237">
        <f>_xll.qlCalendarAdvance(Calendar,B447,NDays&amp;"D")</f>
        <v>42418</v>
      </c>
      <c r="D447" s="202">
        <v>4.2000694849380878E-3</v>
      </c>
      <c r="E447" s="202">
        <v>4.2686973938010908E-3</v>
      </c>
      <c r="U447" s="204"/>
    </row>
    <row r="448" spans="1:21" x14ac:dyDescent="0.2">
      <c r="A448" s="64" t="str">
        <f t="shared" si="7"/>
        <v>1D</v>
      </c>
      <c r="B448" s="203">
        <f>_xll.qlCalendarAdvance(Calendar,B447,A448,"f",FALSE)</f>
        <v>42417</v>
      </c>
      <c r="C448" s="237">
        <f>_xll.qlCalendarAdvance(Calendar,B448,NDays&amp;"D")</f>
        <v>42419</v>
      </c>
      <c r="D448" s="202">
        <v>4.2040786667962363E-3</v>
      </c>
      <c r="E448" s="202">
        <v>4.2504675409205106E-3</v>
      </c>
      <c r="U448" s="204"/>
    </row>
    <row r="449" spans="1:21" x14ac:dyDescent="0.2">
      <c r="A449" s="64" t="str">
        <f t="shared" si="7"/>
        <v>1D</v>
      </c>
      <c r="B449" s="203">
        <f>_xll.qlCalendarAdvance(Calendar,B448,A449,"f",FALSE)</f>
        <v>42418</v>
      </c>
      <c r="C449" s="237">
        <f>_xll.qlCalendarAdvance(Calendar,B449,NDays&amp;"D")</f>
        <v>42422</v>
      </c>
      <c r="D449" s="202">
        <v>4.2170513330587666E-3</v>
      </c>
      <c r="E449" s="202">
        <v>4.2368331898856582E-3</v>
      </c>
      <c r="U449" s="204"/>
    </row>
    <row r="450" spans="1:21" x14ac:dyDescent="0.2">
      <c r="A450" s="64" t="str">
        <f t="shared" si="7"/>
        <v>1D</v>
      </c>
      <c r="B450" s="203">
        <f>_xll.qlCalendarAdvance(Calendar,B449,A450,"f",FALSE)</f>
        <v>42419</v>
      </c>
      <c r="C450" s="237">
        <f>_xll.qlCalendarAdvance(Calendar,B450,NDays&amp;"D")</f>
        <v>42423</v>
      </c>
      <c r="D450" s="202">
        <v>4.2216639939687004E-3</v>
      </c>
      <c r="E450" s="202">
        <v>4.2323890405970843E-3</v>
      </c>
      <c r="U450" s="204"/>
    </row>
    <row r="451" spans="1:21" x14ac:dyDescent="0.2">
      <c r="A451" s="64" t="str">
        <f t="shared" si="7"/>
        <v>1D</v>
      </c>
      <c r="B451" s="203">
        <f>_xll.qlCalendarAdvance(Calendar,B450,A451,"f",FALSE)</f>
        <v>42422</v>
      </c>
      <c r="C451" s="237">
        <f>_xll.qlCalendarAdvance(Calendar,B451,NDays&amp;"D")</f>
        <v>42424</v>
      </c>
      <c r="D451" s="202">
        <v>4.2264075734882141E-3</v>
      </c>
      <c r="E451" s="202">
        <v>4.2293536516968544E-3</v>
      </c>
      <c r="U451" s="204"/>
    </row>
    <row r="452" spans="1:21" x14ac:dyDescent="0.2">
      <c r="A452" s="64" t="str">
        <f t="shared" si="7"/>
        <v>1D</v>
      </c>
      <c r="B452" s="203">
        <f>_xll.qlCalendarAdvance(Calendar,B451,A452,"f",FALSE)</f>
        <v>42423</v>
      </c>
      <c r="C452" s="237">
        <f>_xll.qlCalendarAdvance(Calendar,B452,NDays&amp;"D")</f>
        <v>42425</v>
      </c>
      <c r="D452" s="202">
        <v>4.2312740910657029E-3</v>
      </c>
      <c r="E452" s="202">
        <v>4.2277270233448405E-3</v>
      </c>
      <c r="U452" s="204"/>
    </row>
    <row r="453" spans="1:21" x14ac:dyDescent="0.2">
      <c r="A453" s="64" t="str">
        <f t="shared" si="7"/>
        <v>1D</v>
      </c>
      <c r="B453" s="203">
        <f>_xll.qlCalendarAdvance(Calendar,B452,A453,"f",FALSE)</f>
        <v>42424</v>
      </c>
      <c r="C453" s="237">
        <f>_xll.qlCalendarAdvance(Calendar,B453,NDays&amp;"D")</f>
        <v>42426</v>
      </c>
      <c r="D453" s="202">
        <v>4.2362555660951018E-3</v>
      </c>
      <c r="E453" s="202">
        <v>4.2292193180060167E-3</v>
      </c>
      <c r="U453" s="204"/>
    </row>
    <row r="454" spans="1:21" x14ac:dyDescent="0.2">
      <c r="A454" s="64" t="str">
        <f t="shared" si="7"/>
        <v>1D</v>
      </c>
      <c r="B454" s="203">
        <f>_xll.qlCalendarAdvance(Calendar,B453,A454,"f",FALSE)</f>
        <v>42425</v>
      </c>
      <c r="C454" s="237">
        <f>_xll.qlCalendarAdvance(Calendar,B454,NDays&amp;"D")</f>
        <v>42429</v>
      </c>
      <c r="D454" s="202">
        <v>4.2624402229144483E-3</v>
      </c>
      <c r="E454" s="202">
        <v>4.2352475920726107E-3</v>
      </c>
      <c r="U454" s="204"/>
    </row>
    <row r="455" spans="1:21" x14ac:dyDescent="0.2">
      <c r="A455" s="64" t="str">
        <f t="shared" ref="A455:A518" si="8">A454</f>
        <v>1D</v>
      </c>
      <c r="B455" s="203">
        <f>_xll.qlCalendarAdvance(Calendar,B454,A455,"f",FALSE)</f>
        <v>42426</v>
      </c>
      <c r="C455" s="237">
        <f>_xll.qlCalendarAdvance(Calendar,B455,NDays&amp;"D")</f>
        <v>42430</v>
      </c>
      <c r="D455" s="202">
        <v>4.2679511651239795E-3</v>
      </c>
      <c r="E455" s="202">
        <v>4.2403016314196407E-3</v>
      </c>
      <c r="U455" s="204"/>
    </row>
    <row r="456" spans="1:21" x14ac:dyDescent="0.2">
      <c r="A456" s="64" t="str">
        <f t="shared" si="8"/>
        <v>1D</v>
      </c>
      <c r="B456" s="203">
        <f>_xll.qlCalendarAdvance(Calendar,B455,A456,"f",FALSE)</f>
        <v>42429</v>
      </c>
      <c r="C456" s="237">
        <f>_xll.qlCalendarAdvance(Calendar,B456,NDays&amp;"D")</f>
        <v>42431</v>
      </c>
      <c r="D456" s="202">
        <v>4.2735378818380071E-3</v>
      </c>
      <c r="E456" s="202">
        <v>4.2464012964327225E-3</v>
      </c>
      <c r="U456" s="204"/>
    </row>
    <row r="457" spans="1:21" x14ac:dyDescent="0.2">
      <c r="A457" s="64" t="str">
        <f t="shared" si="8"/>
        <v>1D</v>
      </c>
      <c r="B457" s="203">
        <f>_xll.qlCalendarAdvance(Calendar,B456,A457,"f",FALSE)</f>
        <v>42430</v>
      </c>
      <c r="C457" s="237">
        <f>_xll.qlCalendarAdvance(Calendar,B457,NDays&amp;"D")</f>
        <v>42432</v>
      </c>
      <c r="D457" s="202">
        <v>4.290438790668873E-3</v>
      </c>
      <c r="E457" s="202">
        <v>4.2535465874316003E-3</v>
      </c>
      <c r="U457" s="204"/>
    </row>
    <row r="458" spans="1:21" x14ac:dyDescent="0.2">
      <c r="A458" s="64" t="str">
        <f t="shared" si="8"/>
        <v>1D</v>
      </c>
      <c r="B458" s="203">
        <f>_xll.qlCalendarAdvance(Calendar,B457,A458,"f",FALSE)</f>
        <v>42431</v>
      </c>
      <c r="C458" s="237">
        <f>_xll.qlCalendarAdvance(Calendar,B458,NDays&amp;"D")</f>
        <v>42433</v>
      </c>
      <c r="D458" s="202">
        <v>4.2905875129445837E-3</v>
      </c>
      <c r="E458" s="202">
        <v>4.2713732676435967E-3</v>
      </c>
      <c r="U458" s="204"/>
    </row>
    <row r="459" spans="1:21" x14ac:dyDescent="0.2">
      <c r="A459" s="64" t="str">
        <f t="shared" si="8"/>
        <v>1D</v>
      </c>
      <c r="B459" s="203">
        <f>_xll.qlCalendarAdvance(Calendar,B458,A459,"f",FALSE)</f>
        <v>42432</v>
      </c>
      <c r="C459" s="237">
        <f>_xll.qlCalendarAdvance(Calendar,B459,NDays&amp;"D")</f>
        <v>42436</v>
      </c>
      <c r="D459" s="202">
        <v>4.3024009993010487E-3</v>
      </c>
      <c r="E459" s="202">
        <v>4.2925840112051361E-3</v>
      </c>
      <c r="U459" s="204"/>
    </row>
    <row r="460" spans="1:21" x14ac:dyDescent="0.2">
      <c r="A460" s="64" t="str">
        <f t="shared" si="8"/>
        <v>1D</v>
      </c>
      <c r="B460" s="203">
        <f>_xll.qlCalendarAdvance(Calendar,B459,A460,"f",FALSE)</f>
        <v>42433</v>
      </c>
      <c r="C460" s="237">
        <f>_xll.qlCalendarAdvance(Calendar,B460,NDays&amp;"D")</f>
        <v>42437</v>
      </c>
      <c r="D460" s="202">
        <v>4.3083181119496017E-3</v>
      </c>
      <c r="E460" s="202">
        <v>4.3049574325326745E-3</v>
      </c>
      <c r="U460" s="204"/>
    </row>
    <row r="461" spans="1:21" x14ac:dyDescent="0.2">
      <c r="A461" s="64" t="str">
        <f t="shared" si="8"/>
        <v>1D</v>
      </c>
      <c r="B461" s="203">
        <f>_xll.qlCalendarAdvance(Calendar,B460,A461,"f",FALSE)</f>
        <v>42436</v>
      </c>
      <c r="C461" s="237">
        <f>_xll.qlCalendarAdvance(Calendar,B461,NDays&amp;"D")</f>
        <v>42438</v>
      </c>
      <c r="D461" s="202">
        <v>4.3142695814659396E-3</v>
      </c>
      <c r="E461" s="202">
        <v>4.3183764803256253E-3</v>
      </c>
      <c r="U461" s="204"/>
    </row>
    <row r="462" spans="1:21" x14ac:dyDescent="0.2">
      <c r="A462" s="64" t="str">
        <f t="shared" si="8"/>
        <v>1D</v>
      </c>
      <c r="B462" s="203">
        <f>_xll.qlCalendarAdvance(Calendar,B461,A462,"f",FALSE)</f>
        <v>42437</v>
      </c>
      <c r="C462" s="237">
        <f>_xll.qlCalendarAdvance(Calendar,B462,NDays&amp;"D")</f>
        <v>42439</v>
      </c>
      <c r="D462" s="202">
        <v>4.332464108845701E-3</v>
      </c>
      <c r="E462" s="202">
        <v>4.3328411545040524E-3</v>
      </c>
      <c r="U462" s="204"/>
    </row>
    <row r="463" spans="1:21" x14ac:dyDescent="0.2">
      <c r="A463" s="64" t="str">
        <f t="shared" si="8"/>
        <v>1D</v>
      </c>
      <c r="B463" s="203">
        <f>_xll.qlCalendarAdvance(Calendar,B462,A463,"f",FALSE)</f>
        <v>42438</v>
      </c>
      <c r="C463" s="237">
        <f>_xll.qlCalendarAdvance(Calendar,B463,NDays&amp;"D")</f>
        <v>42440</v>
      </c>
      <c r="D463" s="202">
        <v>4.3324099273052384E-3</v>
      </c>
      <c r="E463" s="202">
        <v>4.3653088569772791E-3</v>
      </c>
      <c r="U463" s="204"/>
    </row>
    <row r="464" spans="1:21" x14ac:dyDescent="0.2">
      <c r="A464" s="64" t="str">
        <f t="shared" si="8"/>
        <v>1D</v>
      </c>
      <c r="B464" s="203">
        <f>_xll.qlCalendarAdvance(Calendar,B463,A464,"f",FALSE)</f>
        <v>42439</v>
      </c>
      <c r="C464" s="237">
        <f>_xll.qlCalendarAdvance(Calendar,B464,NDays&amp;"D")</f>
        <v>42443</v>
      </c>
      <c r="D464" s="202">
        <v>4.344335181995145E-3</v>
      </c>
      <c r="E464" s="202">
        <v>4.401156118909455E-3</v>
      </c>
      <c r="U464" s="204"/>
    </row>
    <row r="465" spans="1:21" x14ac:dyDescent="0.2">
      <c r="A465" s="64" t="str">
        <f t="shared" si="8"/>
        <v>1D</v>
      </c>
      <c r="B465" s="203">
        <f>_xll.qlCalendarAdvance(Calendar,B464,A465,"f",FALSE)</f>
        <v>42440</v>
      </c>
      <c r="C465" s="237">
        <f>_xll.qlCalendarAdvance(Calendar,B465,NDays&amp;"D")</f>
        <v>42444</v>
      </c>
      <c r="D465" s="202">
        <v>4.3503685316715265E-3</v>
      </c>
      <c r="E465" s="202">
        <v>4.4208489274932816E-3</v>
      </c>
      <c r="U465" s="204"/>
    </row>
    <row r="466" spans="1:21" x14ac:dyDescent="0.2">
      <c r="A466" s="64" t="str">
        <f t="shared" si="8"/>
        <v>1D</v>
      </c>
      <c r="B466" s="203">
        <f>_xll.qlCalendarAdvance(Calendar,B465,A466,"f",FALSE)</f>
        <v>42443</v>
      </c>
      <c r="C466" s="237">
        <f>_xll.qlCalendarAdvance(Calendar,B466,NDays&amp;"D")</f>
        <v>42445</v>
      </c>
      <c r="D466" s="202">
        <v>4.3563948171938642E-3</v>
      </c>
      <c r="E466" s="202">
        <v>4.4415873636616254E-3</v>
      </c>
      <c r="U466" s="204"/>
    </row>
    <row r="467" spans="1:21" x14ac:dyDescent="0.2">
      <c r="A467" s="64" t="str">
        <f t="shared" si="8"/>
        <v>1D</v>
      </c>
      <c r="B467" s="203">
        <f>_xll.qlCalendarAdvance(Calendar,B466,A467,"f",FALSE)</f>
        <v>42444</v>
      </c>
      <c r="C467" s="237">
        <f>_xll.qlCalendarAdvance(Calendar,B467,NDays&amp;"D")</f>
        <v>42446</v>
      </c>
      <c r="D467" s="202">
        <v>4.3755597117814135E-3</v>
      </c>
      <c r="E467" s="202">
        <v>4.4633714272546143E-3</v>
      </c>
      <c r="U467" s="204"/>
    </row>
    <row r="468" spans="1:21" x14ac:dyDescent="0.2">
      <c r="A468" s="64" t="str">
        <f t="shared" si="8"/>
        <v>1D</v>
      </c>
      <c r="B468" s="203">
        <f>_xll.qlCalendarAdvance(Calendar,B467,A468,"f",FALSE)</f>
        <v>42445</v>
      </c>
      <c r="C468" s="237">
        <f>_xll.qlCalendarAdvance(Calendar,B468,NDays&amp;"D")</f>
        <v>42447</v>
      </c>
      <c r="D468" s="202">
        <v>4.3750308111168831E-3</v>
      </c>
      <c r="E468" s="202">
        <v>4.5104814913177194E-3</v>
      </c>
      <c r="U468" s="204"/>
    </row>
    <row r="469" spans="1:21" x14ac:dyDescent="0.2">
      <c r="A469" s="64" t="str">
        <f t="shared" si="8"/>
        <v>1D</v>
      </c>
      <c r="B469" s="203">
        <f>_xll.qlCalendarAdvance(Calendar,B468,A469,"f",FALSE)</f>
        <v>42446</v>
      </c>
      <c r="C469" s="237">
        <f>_xll.qlCalendarAdvance(Calendar,B469,NDays&amp;"D")</f>
        <v>42450</v>
      </c>
      <c r="D469" s="202">
        <v>4.3862131647019681E-3</v>
      </c>
      <c r="E469" s="202">
        <v>4.5609639613086728E-3</v>
      </c>
      <c r="U469" s="204"/>
    </row>
    <row r="470" spans="1:21" x14ac:dyDescent="0.2">
      <c r="A470" s="64" t="str">
        <f t="shared" si="8"/>
        <v>1D</v>
      </c>
      <c r="B470" s="203">
        <f>_xll.qlCalendarAdvance(Calendar,B469,A470,"f",FALSE)</f>
        <v>42447</v>
      </c>
      <c r="C470" s="237">
        <f>_xll.qlCalendarAdvance(Calendar,B470,NDays&amp;"D")</f>
        <v>42451</v>
      </c>
      <c r="D470" s="202">
        <v>4.392072793627088E-3</v>
      </c>
      <c r="E470" s="202">
        <v>4.5879761657818818E-3</v>
      </c>
      <c r="U470" s="204"/>
    </row>
    <row r="471" spans="1:21" x14ac:dyDescent="0.2">
      <c r="A471" s="64" t="str">
        <f t="shared" si="8"/>
        <v>1D</v>
      </c>
      <c r="B471" s="203">
        <f>_xll.qlCalendarAdvance(Calendar,B470,A471,"f",FALSE)</f>
        <v>42450</v>
      </c>
      <c r="C471" s="237">
        <f>_xll.qlCalendarAdvance(Calendar,B471,NDays&amp;"D")</f>
        <v>42452</v>
      </c>
      <c r="D471" s="202">
        <v>4.3978839338487197E-3</v>
      </c>
      <c r="E471" s="202">
        <v>4.616033999118585E-3</v>
      </c>
      <c r="U471" s="204"/>
    </row>
    <row r="472" spans="1:21" x14ac:dyDescent="0.2">
      <c r="A472" s="64" t="str">
        <f t="shared" si="8"/>
        <v>1D</v>
      </c>
      <c r="B472" s="203">
        <f>_xll.qlCalendarAdvance(Calendar,B471,A472,"f",FALSE)</f>
        <v>42451</v>
      </c>
      <c r="C472" s="237">
        <f>_xll.qlCalendarAdvance(Calendar,B472,NDays&amp;"D")</f>
        <v>42453</v>
      </c>
      <c r="D472" s="202">
        <v>4.4177176815550449E-3</v>
      </c>
      <c r="E472" s="202">
        <v>4.7076500187372972E-3</v>
      </c>
      <c r="U472" s="204"/>
    </row>
    <row r="473" spans="1:21" x14ac:dyDescent="0.2">
      <c r="A473" s="64" t="str">
        <f t="shared" si="8"/>
        <v>1D</v>
      </c>
      <c r="B473" s="203">
        <f>_xll.qlCalendarAdvance(Calendar,B472,A473,"f",FALSE)</f>
        <v>42452</v>
      </c>
      <c r="C473" s="237">
        <f>_xll.qlCalendarAdvance(Calendar,B473,NDays&amp;"D")</f>
        <v>42458</v>
      </c>
      <c r="D473" s="202">
        <v>4.4314010960487477E-3</v>
      </c>
      <c r="E473" s="202">
        <v>4.8055760880227893E-3</v>
      </c>
      <c r="U473" s="204"/>
    </row>
    <row r="474" spans="1:21" x14ac:dyDescent="0.2">
      <c r="A474" s="64" t="str">
        <f t="shared" si="8"/>
        <v>1D</v>
      </c>
      <c r="B474" s="203">
        <f>_xll.qlCalendarAdvance(Calendar,B473,A474,"f",FALSE)</f>
        <v>42453</v>
      </c>
      <c r="C474" s="237">
        <f>_xll.qlCalendarAdvance(Calendar,B474,NDays&amp;"D")</f>
        <v>42459</v>
      </c>
      <c r="D474" s="202">
        <v>4.436711262678205E-3</v>
      </c>
      <c r="E474" s="202">
        <v>4.8363745462864927E-3</v>
      </c>
      <c r="U474" s="204"/>
    </row>
    <row r="475" spans="1:21" x14ac:dyDescent="0.2">
      <c r="A475" s="64" t="str">
        <f t="shared" si="8"/>
        <v>1D</v>
      </c>
      <c r="B475" s="203">
        <f>_xll.qlCalendarAdvance(Calendar,B474,A475,"f",FALSE)</f>
        <v>42458</v>
      </c>
      <c r="C475" s="237">
        <f>_xll.qlCalendarAdvance(Calendar,B475,NDays&amp;"D")</f>
        <v>42460</v>
      </c>
      <c r="D475" s="202">
        <v>4.4344677360117889E-3</v>
      </c>
      <c r="E475" s="202">
        <v>4.863639850301027E-3</v>
      </c>
      <c r="U475" s="204"/>
    </row>
    <row r="476" spans="1:21" x14ac:dyDescent="0.2">
      <c r="A476" s="64" t="str">
        <f t="shared" si="8"/>
        <v>1D</v>
      </c>
      <c r="B476" s="203">
        <f>_xll.qlCalendarAdvance(Calendar,B475,A476,"f",FALSE)</f>
        <v>42459</v>
      </c>
      <c r="C476" s="237">
        <f>_xll.qlCalendarAdvance(Calendar,B476,NDays&amp;"D")</f>
        <v>42461</v>
      </c>
      <c r="D476" s="202">
        <v>4.4547043874193894E-3</v>
      </c>
      <c r="E476" s="202">
        <v>4.9064601420401033E-3</v>
      </c>
      <c r="U476" s="204"/>
    </row>
    <row r="477" spans="1:21" x14ac:dyDescent="0.2">
      <c r="A477" s="64" t="str">
        <f t="shared" si="8"/>
        <v>1D</v>
      </c>
      <c r="B477" s="203">
        <f>_xll.qlCalendarAdvance(Calendar,B476,A477,"f",FALSE)</f>
        <v>42460</v>
      </c>
      <c r="C477" s="237">
        <f>_xll.qlCalendarAdvance(Calendar,B477,NDays&amp;"D")</f>
        <v>42464</v>
      </c>
      <c r="D477" s="202">
        <v>4.4548214407076608E-3</v>
      </c>
      <c r="E477" s="202">
        <v>4.9373695086796232E-3</v>
      </c>
      <c r="U477" s="204"/>
    </row>
    <row r="478" spans="1:21" x14ac:dyDescent="0.2">
      <c r="A478" s="64" t="str">
        <f t="shared" si="8"/>
        <v>1D</v>
      </c>
      <c r="B478" s="203">
        <f>_xll.qlCalendarAdvance(Calendar,B477,A478,"f",FALSE)</f>
        <v>42461</v>
      </c>
      <c r="C478" s="237">
        <f>_xll.qlCalendarAdvance(Calendar,B478,NDays&amp;"D")</f>
        <v>42465</v>
      </c>
      <c r="D478" s="202">
        <v>4.4599234888009582E-3</v>
      </c>
      <c r="E478" s="202">
        <v>4.9469690312964332E-3</v>
      </c>
      <c r="U478" s="204"/>
    </row>
    <row r="479" spans="1:21" x14ac:dyDescent="0.2">
      <c r="A479" s="64" t="str">
        <f t="shared" si="8"/>
        <v>1D</v>
      </c>
      <c r="B479" s="203">
        <f>_xll.qlCalendarAdvance(Calendar,B478,A479,"f",FALSE)</f>
        <v>42464</v>
      </c>
      <c r="C479" s="237">
        <f>_xll.qlCalendarAdvance(Calendar,B479,NDays&amp;"D")</f>
        <v>42466</v>
      </c>
      <c r="D479" s="202">
        <v>4.4650692398336663E-3</v>
      </c>
      <c r="E479" s="202">
        <v>4.9530353962268237E-3</v>
      </c>
      <c r="U479" s="204"/>
    </row>
    <row r="480" spans="1:21" x14ac:dyDescent="0.2">
      <c r="A480" s="64" t="str">
        <f t="shared" si="8"/>
        <v>1D</v>
      </c>
      <c r="B480" s="203">
        <f>_xll.qlCalendarAdvance(Calendar,B479,A480,"f",FALSE)</f>
        <v>42465</v>
      </c>
      <c r="C480" s="237">
        <f>_xll.qlCalendarAdvance(Calendar,B480,NDays&amp;"D")</f>
        <v>42467</v>
      </c>
      <c r="D480" s="202">
        <v>4.4702778212429035E-3</v>
      </c>
      <c r="E480" s="202">
        <v>4.9555686034707946E-3</v>
      </c>
      <c r="U480" s="204"/>
    </row>
    <row r="481" spans="1:21" x14ac:dyDescent="0.2">
      <c r="A481" s="64" t="str">
        <f t="shared" si="8"/>
        <v>1D</v>
      </c>
      <c r="B481" s="203">
        <f>_xll.qlCalendarAdvance(Calendar,B480,A481,"f",FALSE)</f>
        <v>42466</v>
      </c>
      <c r="C481" s="237">
        <f>_xll.qlCalendarAdvance(Calendar,B481,NDays&amp;"D")</f>
        <v>42468</v>
      </c>
      <c r="D481" s="202">
        <v>4.4916302982085741E-3</v>
      </c>
      <c r="E481" s="202">
        <v>4.9489258567447791E-3</v>
      </c>
      <c r="U481" s="204"/>
    </row>
    <row r="482" spans="1:21" x14ac:dyDescent="0.2">
      <c r="A482" s="64" t="str">
        <f t="shared" si="8"/>
        <v>1D</v>
      </c>
      <c r="B482" s="203">
        <f>_xll.qlCalendarAdvance(Calendar,B481,A482,"f",FALSE)</f>
        <v>42467</v>
      </c>
      <c r="C482" s="237">
        <f>_xll.qlCalendarAdvance(Calendar,B482,NDays&amp;"D")</f>
        <v>42471</v>
      </c>
      <c r="D482" s="202">
        <v>4.4921230067857983E-3</v>
      </c>
      <c r="E482" s="202">
        <v>4.9303698551828035E-3</v>
      </c>
      <c r="U482" s="204"/>
    </row>
    <row r="483" spans="1:21" x14ac:dyDescent="0.2">
      <c r="A483" s="64" t="str">
        <f t="shared" si="8"/>
        <v>1D</v>
      </c>
      <c r="B483" s="203">
        <f>_xll.qlCalendarAdvance(Calendar,B482,A483,"f",FALSE)</f>
        <v>42468</v>
      </c>
      <c r="C483" s="237">
        <f>_xll.qlCalendarAdvance(Calendar,B483,NDays&amp;"D")</f>
        <v>42472</v>
      </c>
      <c r="D483" s="202">
        <v>4.4979326591594029E-3</v>
      </c>
      <c r="E483" s="202">
        <v>4.9152372747141015E-3</v>
      </c>
      <c r="U483" s="204"/>
    </row>
    <row r="484" spans="1:21" x14ac:dyDescent="0.2">
      <c r="A484" s="64" t="str">
        <f t="shared" si="8"/>
        <v>1D</v>
      </c>
      <c r="B484" s="203">
        <f>_xll.qlCalendarAdvance(Calendar,B483,A484,"f",FALSE)</f>
        <v>42471</v>
      </c>
      <c r="C484" s="237">
        <f>_xll.qlCalendarAdvance(Calendar,B484,NDays&amp;"D")</f>
        <v>42473</v>
      </c>
      <c r="D484" s="202">
        <v>4.503919911189082E-3</v>
      </c>
      <c r="E484" s="202">
        <v>4.896571537678085E-3</v>
      </c>
      <c r="U484" s="204"/>
    </row>
    <row r="485" spans="1:21" x14ac:dyDescent="0.2">
      <c r="A485" s="64" t="str">
        <f t="shared" si="8"/>
        <v>1D</v>
      </c>
      <c r="B485" s="203">
        <f>_xll.qlCalendarAdvance(Calendar,B484,A485,"f",FALSE)</f>
        <v>42472</v>
      </c>
      <c r="C485" s="237">
        <f>_xll.qlCalendarAdvance(Calendar,B485,NDays&amp;"D")</f>
        <v>42474</v>
      </c>
      <c r="D485" s="202">
        <v>4.5101038919731409E-3</v>
      </c>
      <c r="E485" s="202">
        <v>4.874372644474434E-3</v>
      </c>
      <c r="U485" s="204"/>
    </row>
    <row r="486" spans="1:21" x14ac:dyDescent="0.2">
      <c r="A486" s="64" t="str">
        <f t="shared" si="8"/>
        <v>1D</v>
      </c>
      <c r="B486" s="203">
        <f>_xll.qlCalendarAdvance(Calendar,B485,A486,"f",FALSE)</f>
        <v>42473</v>
      </c>
      <c r="C486" s="237">
        <f>_xll.qlCalendarAdvance(Calendar,B486,NDays&amp;"D")</f>
        <v>42475</v>
      </c>
      <c r="D486" s="202">
        <v>4.5334344710472058E-3</v>
      </c>
      <c r="E486" s="202">
        <v>4.8182621603753972E-3</v>
      </c>
      <c r="U486" s="204"/>
    </row>
    <row r="487" spans="1:21" x14ac:dyDescent="0.2">
      <c r="A487" s="64" t="str">
        <f t="shared" si="8"/>
        <v>1D</v>
      </c>
      <c r="B487" s="203">
        <f>_xll.qlCalendarAdvance(Calendar,B486,A487,"f",FALSE)</f>
        <v>42474</v>
      </c>
      <c r="C487" s="237">
        <f>_xll.qlCalendarAdvance(Calendar,B487,NDays&amp;"D")</f>
        <v>42478</v>
      </c>
      <c r="D487" s="202">
        <v>4.5371896953931776E-3</v>
      </c>
      <c r="E487" s="202">
        <v>4.7502455258108256E-3</v>
      </c>
      <c r="U487" s="204"/>
    </row>
    <row r="488" spans="1:21" x14ac:dyDescent="0.2">
      <c r="A488" s="64" t="str">
        <f t="shared" si="8"/>
        <v>1D</v>
      </c>
      <c r="B488" s="203">
        <f>_xll.qlCalendarAdvance(Calendar,B487,A488,"f",FALSE)</f>
        <v>42475</v>
      </c>
      <c r="C488" s="237">
        <f>_xll.qlCalendarAdvance(Calendar,B488,NDays&amp;"D")</f>
        <v>42479</v>
      </c>
      <c r="D488" s="202">
        <v>4.5446442675011935E-3</v>
      </c>
      <c r="E488" s="202">
        <v>4.7103808641590916E-3</v>
      </c>
      <c r="U488" s="204"/>
    </row>
    <row r="489" spans="1:21" x14ac:dyDescent="0.2">
      <c r="A489" s="64" t="str">
        <f t="shared" si="8"/>
        <v>1D</v>
      </c>
      <c r="B489" s="203">
        <f>_xll.qlCalendarAdvance(Calendar,B488,A489,"f",FALSE)</f>
        <v>42478</v>
      </c>
      <c r="C489" s="237">
        <f>_xll.qlCalendarAdvance(Calendar,B489,NDays&amp;"D")</f>
        <v>42480</v>
      </c>
      <c r="D489" s="202">
        <v>4.5524103499214007E-3</v>
      </c>
      <c r="E489" s="202">
        <v>4.6669830520151834E-3</v>
      </c>
      <c r="U489" s="204"/>
    </row>
    <row r="490" spans="1:21" x14ac:dyDescent="0.2">
      <c r="A490" s="64" t="str">
        <f t="shared" si="8"/>
        <v>1D</v>
      </c>
      <c r="B490" s="203">
        <f>_xll.qlCalendarAdvance(Calendar,B489,A490,"f",FALSE)</f>
        <v>42479</v>
      </c>
      <c r="C490" s="237">
        <f>_xll.qlCalendarAdvance(Calendar,B490,NDays&amp;"D")</f>
        <v>42481</v>
      </c>
      <c r="D490" s="202">
        <v>4.5605070743026301E-3</v>
      </c>
      <c r="E490" s="202">
        <v>4.6200520904982056E-3</v>
      </c>
      <c r="U490" s="204"/>
    </row>
    <row r="491" spans="1:21" x14ac:dyDescent="0.2">
      <c r="A491" s="64" t="str">
        <f t="shared" si="8"/>
        <v>1D</v>
      </c>
      <c r="B491" s="203">
        <f>_xll.qlCalendarAdvance(Calendar,B490,A491,"f",FALSE)</f>
        <v>42480</v>
      </c>
      <c r="C491" s="237">
        <f>_xll.qlCalendarAdvance(Calendar,B491,NDays&amp;"D")</f>
        <v>42482</v>
      </c>
      <c r="D491" s="202">
        <v>4.5866074247793978E-3</v>
      </c>
      <c r="E491" s="202">
        <v>4.5144696184795663E-3</v>
      </c>
      <c r="U491" s="204"/>
    </row>
    <row r="492" spans="1:21" x14ac:dyDescent="0.2">
      <c r="A492" s="64" t="str">
        <f t="shared" si="8"/>
        <v>1D</v>
      </c>
      <c r="B492" s="203">
        <f>_xll.qlCalendarAdvance(Calendar,B491,A492,"f",FALSE)</f>
        <v>42481</v>
      </c>
      <c r="C492" s="237">
        <f>_xll.qlCalendarAdvance(Calendar,B492,NDays&amp;"D")</f>
        <v>42485</v>
      </c>
      <c r="D492" s="202">
        <v>4.5965830417610178E-3</v>
      </c>
      <c r="E492" s="202">
        <v>4.3969967805157495E-3</v>
      </c>
      <c r="U492" s="204"/>
    </row>
    <row r="493" spans="1:21" x14ac:dyDescent="0.2">
      <c r="A493" s="64" t="str">
        <f t="shared" si="8"/>
        <v>1D</v>
      </c>
      <c r="B493" s="203">
        <f>_xll.qlCalendarAdvance(Calendar,B492,A493,"f",FALSE)</f>
        <v>42482</v>
      </c>
      <c r="C493" s="237">
        <f>_xll.qlCalendarAdvance(Calendar,B493,NDays&amp;"D")</f>
        <v>42486</v>
      </c>
      <c r="D493" s="202">
        <v>4.6066199685021146E-3</v>
      </c>
      <c r="E493" s="202">
        <v>4.3324000952349451E-3</v>
      </c>
      <c r="U493" s="204"/>
    </row>
    <row r="494" spans="1:21" x14ac:dyDescent="0.2">
      <c r="A494" s="64" t="str">
        <f t="shared" si="8"/>
        <v>1D</v>
      </c>
      <c r="B494" s="203">
        <f>_xll.qlCalendarAdvance(Calendar,B493,A494,"f",FALSE)</f>
        <v>42485</v>
      </c>
      <c r="C494" s="237">
        <f>_xll.qlCalendarAdvance(Calendar,B494,NDays&amp;"D")</f>
        <v>42487</v>
      </c>
      <c r="D494" s="202">
        <v>4.6171023382878462E-3</v>
      </c>
      <c r="E494" s="202">
        <v>4.2642702704931423E-3</v>
      </c>
      <c r="U494" s="204"/>
    </row>
    <row r="495" spans="1:21" x14ac:dyDescent="0.2">
      <c r="A495" s="64" t="str">
        <f t="shared" si="8"/>
        <v>1D</v>
      </c>
      <c r="B495" s="203">
        <f>_xll.qlCalendarAdvance(Calendar,B494,A495,"f",FALSE)</f>
        <v>42486</v>
      </c>
      <c r="C495" s="237">
        <f>_xll.qlCalendarAdvance(Calendar,B495,NDays&amp;"D")</f>
        <v>42488</v>
      </c>
      <c r="D495" s="202">
        <v>4.6280492868464081E-3</v>
      </c>
      <c r="E495" s="202">
        <v>4.1926073083686788E-3</v>
      </c>
      <c r="U495" s="204"/>
    </row>
    <row r="496" spans="1:21" x14ac:dyDescent="0.2">
      <c r="A496" s="64" t="str">
        <f t="shared" si="8"/>
        <v>1D</v>
      </c>
      <c r="B496" s="203">
        <f>_xll.qlCalendarAdvance(Calendar,B495,A496,"f",FALSE)</f>
        <v>42487</v>
      </c>
      <c r="C496" s="237">
        <f>_xll.qlCalendarAdvance(Calendar,B496,NDays&amp;"D")</f>
        <v>42489</v>
      </c>
      <c r="D496" s="202">
        <v>4.6576405307020719E-3</v>
      </c>
      <c r="E496" s="202">
        <v>4.0474410268132033E-3</v>
      </c>
      <c r="U496" s="204"/>
    </row>
    <row r="497" spans="1:21" x14ac:dyDescent="0.2">
      <c r="A497" s="64" t="str">
        <f t="shared" si="8"/>
        <v>1D</v>
      </c>
      <c r="B497" s="203">
        <f>_xll.qlCalendarAdvance(Calendar,B496,A497,"f",FALSE)</f>
        <v>42488</v>
      </c>
      <c r="C497" s="237">
        <f>_xll.qlCalendarAdvance(Calendar,B497,NDays&amp;"D")</f>
        <v>42492</v>
      </c>
      <c r="D497" s="202">
        <v>4.6858555915854283E-3</v>
      </c>
      <c r="E497" s="202">
        <v>3.9112881758196494E-3</v>
      </c>
      <c r="U497" s="204"/>
    </row>
    <row r="498" spans="1:21" x14ac:dyDescent="0.2">
      <c r="A498" s="64" t="str">
        <f t="shared" si="8"/>
        <v>1D</v>
      </c>
      <c r="B498" s="203">
        <f>_xll.qlCalendarAdvance(Calendar,B497,A498,"f",FALSE)</f>
        <v>42489</v>
      </c>
      <c r="C498" s="237">
        <f>_xll.qlCalendarAdvance(Calendar,B498,NDays&amp;"D")</f>
        <v>42493</v>
      </c>
      <c r="D498" s="202">
        <v>4.6992070590222848E-3</v>
      </c>
      <c r="E498" s="202">
        <v>3.8483362251273689E-3</v>
      </c>
      <c r="U498" s="204"/>
    </row>
    <row r="499" spans="1:21" x14ac:dyDescent="0.2">
      <c r="A499" s="64" t="str">
        <f t="shared" si="8"/>
        <v>1D</v>
      </c>
      <c r="B499" s="203">
        <f>_xll.qlCalendarAdvance(Calendar,B498,A499,"f",FALSE)</f>
        <v>42492</v>
      </c>
      <c r="C499" s="237">
        <f>_xll.qlCalendarAdvance(Calendar,B499,NDays&amp;"D")</f>
        <v>42494</v>
      </c>
      <c r="D499" s="202">
        <v>4.712990878681861E-3</v>
      </c>
      <c r="E499" s="202">
        <v>3.7884453069025881E-3</v>
      </c>
      <c r="U499" s="204"/>
    </row>
    <row r="500" spans="1:21" x14ac:dyDescent="0.2">
      <c r="A500" s="64" t="str">
        <f t="shared" si="8"/>
        <v>1D</v>
      </c>
      <c r="B500" s="203">
        <f>_xll.qlCalendarAdvance(Calendar,B499,A500,"f",FALSE)</f>
        <v>42493</v>
      </c>
      <c r="C500" s="237">
        <f>_xll.qlCalendarAdvance(Calendar,B500,NDays&amp;"D")</f>
        <v>42495</v>
      </c>
      <c r="D500" s="202">
        <v>4.7455523935327568E-3</v>
      </c>
      <c r="E500" s="202">
        <v>3.7316154196265217E-3</v>
      </c>
      <c r="U500" s="204"/>
    </row>
    <row r="501" spans="1:21" x14ac:dyDescent="0.2">
      <c r="A501" s="64" t="str">
        <f t="shared" si="8"/>
        <v>1D</v>
      </c>
      <c r="B501" s="203">
        <f>_xll.qlCalendarAdvance(Calendar,B500,A501,"f",FALSE)</f>
        <v>42494</v>
      </c>
      <c r="C501" s="237">
        <f>_xll.qlCalendarAdvance(Calendar,B501,NDays&amp;"D")</f>
        <v>42496</v>
      </c>
      <c r="D501" s="202">
        <v>4.7509838871409573E-3</v>
      </c>
      <c r="E501" s="202">
        <v>3.6281956380879166E-3</v>
      </c>
      <c r="U501" s="204"/>
    </row>
    <row r="502" spans="1:21" x14ac:dyDescent="0.2">
      <c r="A502" s="64" t="str">
        <f t="shared" si="8"/>
        <v>1D</v>
      </c>
      <c r="B502" s="203">
        <f>_xll.qlCalendarAdvance(Calendar,B501,A502,"f",FALSE)</f>
        <v>42495</v>
      </c>
      <c r="C502" s="237">
        <f>_xll.qlCalendarAdvance(Calendar,B502,NDays&amp;"D")</f>
        <v>42499</v>
      </c>
      <c r="D502" s="202">
        <v>4.7878041336724617E-3</v>
      </c>
      <c r="E502" s="202">
        <v>3.5349061530709491E-3</v>
      </c>
      <c r="U502" s="204"/>
    </row>
    <row r="503" spans="1:21" x14ac:dyDescent="0.2">
      <c r="A503" s="64" t="str">
        <f t="shared" si="8"/>
        <v>1D</v>
      </c>
      <c r="B503" s="203">
        <f>_xll.qlCalendarAdvance(Calendar,B502,A503,"f",FALSE)</f>
        <v>42496</v>
      </c>
      <c r="C503" s="237">
        <f>_xll.qlCalendarAdvance(Calendar,B503,NDays&amp;"D")</f>
        <v>42500</v>
      </c>
      <c r="D503" s="202">
        <v>4.8038273868663021E-3</v>
      </c>
      <c r="E503" s="202">
        <v>3.4933814007143127E-3</v>
      </c>
      <c r="U503" s="204"/>
    </row>
    <row r="504" spans="1:21" x14ac:dyDescent="0.2">
      <c r="A504" s="64" t="str">
        <f t="shared" si="8"/>
        <v>1D</v>
      </c>
      <c r="B504" s="203">
        <f>_xll.qlCalendarAdvance(Calendar,B503,A504,"f",FALSE)</f>
        <v>42499</v>
      </c>
      <c r="C504" s="237">
        <f>_xll.qlCalendarAdvance(Calendar,B504,NDays&amp;"D")</f>
        <v>42501</v>
      </c>
      <c r="D504" s="202">
        <v>4.820164762869646E-3</v>
      </c>
      <c r="E504" s="202">
        <v>3.4549176718723373E-3</v>
      </c>
      <c r="U504" s="204"/>
    </row>
    <row r="505" spans="1:21" x14ac:dyDescent="0.2">
      <c r="A505" s="64" t="str">
        <f t="shared" si="8"/>
        <v>1D</v>
      </c>
      <c r="B505" s="203">
        <f>_xll.qlCalendarAdvance(Calendar,B504,A505,"f",FALSE)</f>
        <v>42500</v>
      </c>
      <c r="C505" s="237">
        <f>_xll.qlCalendarAdvance(Calendar,B505,NDays&amp;"D")</f>
        <v>42502</v>
      </c>
      <c r="D505" s="202">
        <v>4.8552038995050466E-3</v>
      </c>
      <c r="E505" s="202">
        <v>3.4195149655058543E-3</v>
      </c>
      <c r="U505" s="204"/>
    </row>
    <row r="506" spans="1:21" x14ac:dyDescent="0.2">
      <c r="A506" s="64" t="str">
        <f t="shared" si="8"/>
        <v>1D</v>
      </c>
      <c r="B506" s="203">
        <f>_xll.qlCalendarAdvance(Calendar,B505,A506,"f",FALSE)</f>
        <v>42501</v>
      </c>
      <c r="C506" s="237">
        <f>_xll.qlCalendarAdvance(Calendar,B506,NDays&amp;"D")</f>
        <v>42503</v>
      </c>
      <c r="D506" s="202">
        <v>4.8629181890582638E-3</v>
      </c>
      <c r="E506" s="202">
        <v>3.3589442958792404E-3</v>
      </c>
      <c r="U506" s="204"/>
    </row>
    <row r="507" spans="1:21" x14ac:dyDescent="0.2">
      <c r="A507" s="64" t="str">
        <f t="shared" si="8"/>
        <v>1D</v>
      </c>
      <c r="B507" s="203">
        <f>_xll.qlCalendarAdvance(Calendar,B506,A507,"f",FALSE)</f>
        <v>42502</v>
      </c>
      <c r="C507" s="237">
        <f>_xll.qlCalendarAdvance(Calendar,B507,NDays&amp;"D")</f>
        <v>42506</v>
      </c>
      <c r="D507" s="202">
        <v>4.9059722736759905E-3</v>
      </c>
      <c r="E507" s="202">
        <v>3.3085143481681456E-3</v>
      </c>
      <c r="U507" s="204"/>
    </row>
    <row r="508" spans="1:21" x14ac:dyDescent="0.2">
      <c r="A508" s="64" t="str">
        <f t="shared" si="8"/>
        <v>1D</v>
      </c>
      <c r="B508" s="203">
        <f>_xll.qlCalendarAdvance(Calendar,B507,A508,"f",FALSE)</f>
        <v>42503</v>
      </c>
      <c r="C508" s="237">
        <f>_xll.qlCalendarAdvance(Calendar,B508,NDays&amp;"D")</f>
        <v>42507</v>
      </c>
      <c r="D508" s="202">
        <v>4.9238396531302237E-3</v>
      </c>
      <c r="E508" s="202">
        <v>3.2884167423485877E-3</v>
      </c>
      <c r="U508" s="204"/>
    </row>
    <row r="509" spans="1:21" x14ac:dyDescent="0.2">
      <c r="A509" s="64" t="str">
        <f t="shared" si="8"/>
        <v>1D</v>
      </c>
      <c r="B509" s="203">
        <f>_xll.qlCalendarAdvance(Calendar,B508,A509,"f",FALSE)</f>
        <v>42506</v>
      </c>
      <c r="C509" s="237">
        <f>_xll.qlCalendarAdvance(Calendar,B509,NDays&amp;"D")</f>
        <v>42508</v>
      </c>
      <c r="D509" s="202">
        <v>4.941902906344278E-3</v>
      </c>
      <c r="E509" s="202">
        <v>3.2713801547679111E-3</v>
      </c>
      <c r="U509" s="204"/>
    </row>
    <row r="510" spans="1:21" x14ac:dyDescent="0.2">
      <c r="A510" s="64" t="str">
        <f t="shared" si="8"/>
        <v>1D</v>
      </c>
      <c r="B510" s="203">
        <f>_xll.qlCalendarAdvance(Calendar,B509,A510,"f",FALSE)</f>
        <v>42507</v>
      </c>
      <c r="C510" s="237">
        <f>_xll.qlCalendarAdvance(Calendar,B510,NDays&amp;"D")</f>
        <v>42509</v>
      </c>
      <c r="D510" s="202">
        <v>4.97842335313348E-3</v>
      </c>
      <c r="E510" s="202">
        <v>3.2574045850264355E-3</v>
      </c>
      <c r="U510" s="204"/>
    </row>
    <row r="511" spans="1:21" x14ac:dyDescent="0.2">
      <c r="A511" s="64" t="str">
        <f t="shared" si="8"/>
        <v>1D</v>
      </c>
      <c r="B511" s="203">
        <f>_xll.qlCalendarAdvance(Calendar,B510,A511,"f",FALSE)</f>
        <v>42508</v>
      </c>
      <c r="C511" s="237">
        <f>_xll.qlCalendarAdvance(Calendar,B511,NDays&amp;"D")</f>
        <v>42510</v>
      </c>
      <c r="D511" s="202">
        <v>4.9876810270213442E-3</v>
      </c>
      <c r="E511" s="202">
        <v>3.239685990514829E-3</v>
      </c>
      <c r="U511" s="204"/>
    </row>
    <row r="512" spans="1:21" x14ac:dyDescent="0.2">
      <c r="A512" s="64" t="str">
        <f t="shared" si="8"/>
        <v>1D</v>
      </c>
      <c r="B512" s="203">
        <f>_xll.qlCalendarAdvance(Calendar,B511,A512,"f",FALSE)</f>
        <v>42509</v>
      </c>
      <c r="C512" s="237">
        <f>_xll.qlCalendarAdvance(Calendar,B512,NDays&amp;"D")</f>
        <v>42513</v>
      </c>
      <c r="D512" s="202">
        <v>5.0345659400869124E-3</v>
      </c>
      <c r="E512" s="202">
        <v>3.2321124782175303E-3</v>
      </c>
      <c r="U512" s="204"/>
    </row>
    <row r="513" spans="1:21" x14ac:dyDescent="0.2">
      <c r="A513" s="64" t="str">
        <f t="shared" si="8"/>
        <v>1D</v>
      </c>
      <c r="B513" s="203">
        <f>_xll.qlCalendarAdvance(Calendar,B512,A513,"f",FALSE)</f>
        <v>42510</v>
      </c>
      <c r="C513" s="237">
        <f>_xll.qlCalendarAdvance(Calendar,B513,NDays&amp;"D")</f>
        <v>42514</v>
      </c>
      <c r="D513" s="202">
        <v>5.0534496242480593E-3</v>
      </c>
      <c r="E513" s="202">
        <v>3.2334419938351289E-3</v>
      </c>
      <c r="U513" s="204"/>
    </row>
    <row r="514" spans="1:21" x14ac:dyDescent="0.2">
      <c r="A514" s="64" t="str">
        <f t="shared" si="8"/>
        <v>1D</v>
      </c>
      <c r="B514" s="203">
        <f>_xll.qlCalendarAdvance(Calendar,B513,A514,"f",FALSE)</f>
        <v>42513</v>
      </c>
      <c r="C514" s="237">
        <f>_xll.qlCalendarAdvance(Calendar,B514,NDays&amp;"D")</f>
        <v>42515</v>
      </c>
      <c r="D514" s="202">
        <v>5.0724109059493384E-3</v>
      </c>
      <c r="E514" s="202">
        <v>3.2378325262527596E-3</v>
      </c>
      <c r="U514" s="204"/>
    </row>
    <row r="515" spans="1:21" x14ac:dyDescent="0.2">
      <c r="A515" s="64" t="str">
        <f t="shared" si="8"/>
        <v>1D</v>
      </c>
      <c r="B515" s="203">
        <f>_xll.qlCalendarAdvance(Calendar,B514,A515,"f",FALSE)</f>
        <v>42514</v>
      </c>
      <c r="C515" s="237">
        <f>_xll.qlCalendarAdvance(Calendar,B515,NDays&amp;"D")</f>
        <v>42516</v>
      </c>
      <c r="D515" s="202">
        <v>5.1094782879324719E-3</v>
      </c>
      <c r="E515" s="202">
        <v>3.2452840756302948E-3</v>
      </c>
      <c r="U515" s="204"/>
    </row>
    <row r="516" spans="1:21" x14ac:dyDescent="0.2">
      <c r="A516" s="64" t="str">
        <f t="shared" si="8"/>
        <v>1D</v>
      </c>
      <c r="B516" s="203">
        <f>_xll.qlCalendarAdvance(Calendar,B515,A516,"f",FALSE)</f>
        <v>42515</v>
      </c>
      <c r="C516" s="237">
        <f>_xll.qlCalendarAdvance(Calendar,B516,NDays&amp;"D")</f>
        <v>42517</v>
      </c>
      <c r="D516" s="202">
        <v>5.1195088626804853E-3</v>
      </c>
      <c r="E516" s="202">
        <v>3.2704202748323752E-3</v>
      </c>
      <c r="U516" s="204"/>
    </row>
    <row r="517" spans="1:21" x14ac:dyDescent="0.2">
      <c r="A517" s="64" t="str">
        <f t="shared" si="8"/>
        <v>1D</v>
      </c>
      <c r="B517" s="203">
        <f>_xll.qlCalendarAdvance(Calendar,B516,A517,"f",FALSE)</f>
        <v>42516</v>
      </c>
      <c r="C517" s="237">
        <f>_xll.qlCalendarAdvance(Calendar,B517,NDays&amp;"D")</f>
        <v>42520</v>
      </c>
      <c r="D517" s="202">
        <v>5.1677897862470101E-3</v>
      </c>
      <c r="E517" s="202">
        <v>3.3057004477754504E-3</v>
      </c>
      <c r="U517" s="204"/>
    </row>
    <row r="518" spans="1:21" x14ac:dyDescent="0.2">
      <c r="A518" s="64" t="str">
        <f t="shared" si="8"/>
        <v>1D</v>
      </c>
      <c r="B518" s="203">
        <f>_xll.qlCalendarAdvance(Calendar,B517,A518,"f",FALSE)</f>
        <v>42517</v>
      </c>
      <c r="C518" s="237">
        <f>_xll.qlCalendarAdvance(Calendar,B518,NDays&amp;"D")</f>
        <v>42521</v>
      </c>
      <c r="D518" s="202">
        <v>5.1779175915888662E-3</v>
      </c>
      <c r="E518" s="202">
        <v>3.3279401189201252E-3</v>
      </c>
      <c r="U518" s="204"/>
    </row>
    <row r="519" spans="1:21" x14ac:dyDescent="0.2">
      <c r="A519" s="64" t="str">
        <f t="shared" ref="A519:A582" si="9">A518</f>
        <v>1D</v>
      </c>
      <c r="B519" s="203">
        <f>_xll.qlCalendarAdvance(Calendar,B518,A519,"f",FALSE)</f>
        <v>42520</v>
      </c>
      <c r="C519" s="237">
        <f>_xll.qlCalendarAdvance(Calendar,B519,NDays&amp;"D")</f>
        <v>42522</v>
      </c>
      <c r="D519" s="202">
        <v>5.1969717486903934E-3</v>
      </c>
      <c r="E519" s="202">
        <v>3.3506559717189077E-3</v>
      </c>
      <c r="U519" s="204"/>
    </row>
    <row r="520" spans="1:21" x14ac:dyDescent="0.2">
      <c r="A520" s="64" t="str">
        <f t="shared" si="9"/>
        <v>1D</v>
      </c>
      <c r="B520" s="203">
        <f>_xll.qlCalendarAdvance(Calendar,B519,A520,"f",FALSE)</f>
        <v>42521</v>
      </c>
      <c r="C520" s="237">
        <f>_xll.qlCalendarAdvance(Calendar,B520,NDays&amp;"D")</f>
        <v>42523</v>
      </c>
      <c r="D520" s="202">
        <v>5.2159851949299162E-3</v>
      </c>
      <c r="E520" s="202">
        <v>3.3733310389028048E-3</v>
      </c>
      <c r="U520" s="204"/>
    </row>
    <row r="521" spans="1:21" x14ac:dyDescent="0.2">
      <c r="A521" s="64" t="str">
        <f t="shared" si="9"/>
        <v>1D</v>
      </c>
      <c r="B521" s="203">
        <f>_xll.qlCalendarAdvance(Calendar,B520,A521,"f",FALSE)</f>
        <v>42522</v>
      </c>
      <c r="C521" s="237">
        <f>_xll.qlCalendarAdvance(Calendar,B521,NDays&amp;"D")</f>
        <v>42524</v>
      </c>
      <c r="D521" s="202">
        <v>5.2527123871314819E-3</v>
      </c>
      <c r="E521" s="202">
        <v>3.4185776825879088E-3</v>
      </c>
      <c r="U521" s="204"/>
    </row>
    <row r="522" spans="1:21" x14ac:dyDescent="0.2">
      <c r="A522" s="64" t="str">
        <f t="shared" si="9"/>
        <v>1D</v>
      </c>
      <c r="B522" s="203">
        <f>_xll.qlCalendarAdvance(Calendar,B521,A522,"f",FALSE)</f>
        <v>42523</v>
      </c>
      <c r="C522" s="237">
        <f>_xll.qlCalendarAdvance(Calendar,B522,NDays&amp;"D")</f>
        <v>42527</v>
      </c>
      <c r="D522" s="202">
        <v>5.2916318476846471E-3</v>
      </c>
      <c r="E522" s="202">
        <v>3.463623449810882E-3</v>
      </c>
      <c r="U522" s="204"/>
    </row>
    <row r="523" spans="1:21" x14ac:dyDescent="0.2">
      <c r="A523" s="64" t="s">
        <v>171</v>
      </c>
      <c r="B523" s="203">
        <f>_xll.qlCalendarAdvance(Calendar,B522,A523,"f",FALSE)</f>
        <v>42530</v>
      </c>
      <c r="C523" s="237">
        <f>_xll.qlCalendarAdvance(Calendar,B523,NDays&amp;"D")</f>
        <v>42534</v>
      </c>
      <c r="D523" s="202">
        <v>5.4224458507273667E-3</v>
      </c>
      <c r="E523" s="202">
        <v>3.6200649163120602E-3</v>
      </c>
      <c r="U523" s="204"/>
    </row>
    <row r="524" spans="1:21" x14ac:dyDescent="0.2">
      <c r="A524" s="64" t="str">
        <f t="shared" si="9"/>
        <v>1w</v>
      </c>
      <c r="B524" s="203">
        <f>_xll.qlCalendarAdvance(Calendar,B523,A524,"f",FALSE)</f>
        <v>42537</v>
      </c>
      <c r="C524" s="237">
        <f>_xll.qlCalendarAdvance(Calendar,B524,NDays&amp;"D")</f>
        <v>42541</v>
      </c>
      <c r="D524" s="202">
        <v>5.5512643358181122E-3</v>
      </c>
      <c r="E524" s="202">
        <v>3.7745078771322937E-3</v>
      </c>
      <c r="U524" s="204"/>
    </row>
    <row r="525" spans="1:21" x14ac:dyDescent="0.2">
      <c r="A525" s="64" t="str">
        <f t="shared" si="9"/>
        <v>1w</v>
      </c>
      <c r="B525" s="203">
        <f>_xll.qlCalendarAdvance(Calendar,B524,A525,"f",FALSE)</f>
        <v>42544</v>
      </c>
      <c r="C525" s="237">
        <f>_xll.qlCalendarAdvance(Calendar,B525,NDays&amp;"D")</f>
        <v>42548</v>
      </c>
      <c r="D525" s="202">
        <v>5.6780869108945461E-3</v>
      </c>
      <c r="E525" s="202">
        <v>3.9269523297136288E-3</v>
      </c>
      <c r="U525" s="204"/>
    </row>
    <row r="526" spans="1:21" x14ac:dyDescent="0.2">
      <c r="A526" s="64" t="str">
        <f t="shared" si="9"/>
        <v>1w</v>
      </c>
      <c r="B526" s="203">
        <f>_xll.qlCalendarAdvance(Calendar,B525,A526,"f",FALSE)</f>
        <v>42551</v>
      </c>
      <c r="C526" s="237">
        <f>_xll.qlCalendarAdvance(Calendar,B526,NDays&amp;"D")</f>
        <v>42555</v>
      </c>
      <c r="D526" s="202">
        <v>5.8111742691189048E-3</v>
      </c>
      <c r="E526" s="202">
        <v>4.0773982716579837E-3</v>
      </c>
      <c r="U526" s="204"/>
    </row>
    <row r="527" spans="1:21" x14ac:dyDescent="0.2">
      <c r="A527" s="64" t="str">
        <f t="shared" si="9"/>
        <v>1w</v>
      </c>
      <c r="B527" s="203">
        <f>_xll.qlCalendarAdvance(Calendar,B526,A527,"f",FALSE)</f>
        <v>42558</v>
      </c>
      <c r="C527" s="237">
        <f>_xll.qlCalendarAdvance(Calendar,B527,NDays&amp;"D")</f>
        <v>42562</v>
      </c>
      <c r="D527" s="202">
        <v>5.9338631975803663E-3</v>
      </c>
      <c r="E527" s="202">
        <v>4.2258457002475325E-3</v>
      </c>
      <c r="U527" s="204"/>
    </row>
    <row r="528" spans="1:21" x14ac:dyDescent="0.2">
      <c r="A528" s="64" t="str">
        <f t="shared" si="9"/>
        <v>1w</v>
      </c>
      <c r="B528" s="203">
        <f>_xll.qlCalendarAdvance(Calendar,B527,A528,"f",FALSE)</f>
        <v>42565</v>
      </c>
      <c r="C528" s="237">
        <f>_xll.qlCalendarAdvance(Calendar,B528,NDays&amp;"D")</f>
        <v>42569</v>
      </c>
      <c r="D528" s="202">
        <v>6.0545550584991869E-3</v>
      </c>
      <c r="E528" s="202">
        <v>4.3722946131641294E-3</v>
      </c>
      <c r="U528" s="204"/>
    </row>
    <row r="529" spans="1:21" x14ac:dyDescent="0.2">
      <c r="A529" s="64" t="str">
        <f t="shared" si="9"/>
        <v>1w</v>
      </c>
      <c r="B529" s="203">
        <f>_xll.qlCalendarAdvance(Calendar,B528,A529,"f",FALSE)</f>
        <v>42572</v>
      </c>
      <c r="C529" s="237">
        <f>_xll.qlCalendarAdvance(Calendar,B529,NDays&amp;"D")</f>
        <v>42576</v>
      </c>
      <c r="D529" s="202">
        <v>6.1732494824786798E-3</v>
      </c>
      <c r="E529" s="202">
        <v>4.5167450080096927E-3</v>
      </c>
      <c r="U529" s="204"/>
    </row>
    <row r="530" spans="1:21" x14ac:dyDescent="0.2">
      <c r="A530" s="64" t="str">
        <f t="shared" si="9"/>
        <v>1w</v>
      </c>
      <c r="B530" s="203">
        <f>_xll.qlCalendarAdvance(Calendar,B529,A530,"f",FALSE)</f>
        <v>42579</v>
      </c>
      <c r="C530" s="237">
        <f>_xll.qlCalendarAdvance(Calendar,B530,NDays&amp;"D")</f>
        <v>42583</v>
      </c>
      <c r="D530" s="202">
        <v>6.289946106219889E-3</v>
      </c>
      <c r="E530" s="202">
        <v>4.6591968822262686E-3</v>
      </c>
      <c r="U530" s="204"/>
    </row>
    <row r="531" spans="1:21" x14ac:dyDescent="0.2">
      <c r="A531" s="64" t="str">
        <f t="shared" si="9"/>
        <v>1w</v>
      </c>
      <c r="B531" s="203">
        <f>_xll.qlCalendarAdvance(Calendar,B530,A531,"f",FALSE)</f>
        <v>42586</v>
      </c>
      <c r="C531" s="237">
        <f>_xll.qlCalendarAdvance(Calendar,B531,NDays&amp;"D")</f>
        <v>42590</v>
      </c>
      <c r="D531" s="202">
        <v>6.4046445725246303E-3</v>
      </c>
      <c r="E531" s="202">
        <v>4.7996502334957114E-3</v>
      </c>
      <c r="U531" s="204"/>
    </row>
    <row r="532" spans="1:21" x14ac:dyDescent="0.2">
      <c r="A532" s="64" t="str">
        <f t="shared" si="9"/>
        <v>1w</v>
      </c>
      <c r="B532" s="203">
        <f>_xll.qlCalendarAdvance(Calendar,B531,A532,"f",FALSE)</f>
        <v>42593</v>
      </c>
      <c r="C532" s="237">
        <f>_xll.qlCalendarAdvance(Calendar,B532,NDays&amp;"D")</f>
        <v>42597</v>
      </c>
      <c r="D532" s="202">
        <v>6.5173445302980984E-3</v>
      </c>
      <c r="E532" s="202">
        <v>4.9381050594998754E-3</v>
      </c>
      <c r="U532" s="204"/>
    </row>
    <row r="533" spans="1:21" x14ac:dyDescent="0.2">
      <c r="A533" s="64" t="str">
        <f t="shared" si="9"/>
        <v>1w</v>
      </c>
      <c r="B533" s="203">
        <f>_xll.qlCalendarAdvance(Calendar,B532,A533,"f",FALSE)</f>
        <v>42600</v>
      </c>
      <c r="C533" s="237">
        <f>_xll.qlCalendarAdvance(Calendar,B533,NDays&amp;"D")</f>
        <v>42604</v>
      </c>
      <c r="D533" s="202">
        <v>6.6280456345479974E-3</v>
      </c>
      <c r="E533" s="202">
        <v>5.074561357920615E-3</v>
      </c>
      <c r="U533" s="204"/>
    </row>
    <row r="534" spans="1:21" x14ac:dyDescent="0.2">
      <c r="A534" s="64" t="str">
        <f t="shared" si="9"/>
        <v>1w</v>
      </c>
      <c r="B534" s="203">
        <f>_xll.qlCalendarAdvance(Calendar,B533,A534,"f",FALSE)</f>
        <v>42607</v>
      </c>
      <c r="C534" s="237">
        <f>_xll.qlCalendarAdvance(Calendar,B534,NDays&amp;"D")</f>
        <v>42611</v>
      </c>
      <c r="D534" s="202">
        <v>6.7296124458008132E-3</v>
      </c>
      <c r="E534" s="202">
        <v>5.2090191265197205E-3</v>
      </c>
      <c r="U534" s="204"/>
    </row>
    <row r="535" spans="1:21" x14ac:dyDescent="0.2">
      <c r="A535" s="64" t="str">
        <f t="shared" si="9"/>
        <v>1w</v>
      </c>
      <c r="B535" s="203">
        <f>_xll.qlCalendarAdvance(Calendar,B534,A535,"f",FALSE)</f>
        <v>42614</v>
      </c>
      <c r="C535" s="237">
        <f>_xll.qlCalendarAdvance(Calendar,B535,NDays&amp;"D")</f>
        <v>42618</v>
      </c>
      <c r="D535" s="202">
        <v>6.8294480942362621E-3</v>
      </c>
      <c r="E535" s="202">
        <v>5.3414783629790463E-3</v>
      </c>
      <c r="U535" s="204"/>
    </row>
    <row r="536" spans="1:21" x14ac:dyDescent="0.2">
      <c r="A536" s="64" t="str">
        <f t="shared" si="9"/>
        <v>1w</v>
      </c>
      <c r="B536" s="203">
        <f>_xll.qlCalendarAdvance(Calendar,B535,A536,"f",FALSE)</f>
        <v>42621</v>
      </c>
      <c r="C536" s="237">
        <f>_xll.qlCalendarAdvance(Calendar,B536,NDays&amp;"D")</f>
        <v>42625</v>
      </c>
      <c r="D536" s="202">
        <v>6.9344324017052142E-3</v>
      </c>
      <c r="E536" s="202">
        <v>5.4719390651403188E-3</v>
      </c>
      <c r="U536" s="204"/>
    </row>
    <row r="537" spans="1:21" x14ac:dyDescent="0.2">
      <c r="A537" s="64" t="str">
        <f t="shared" si="9"/>
        <v>1w</v>
      </c>
      <c r="B537" s="203">
        <f>_xll.qlCalendarAdvance(Calendar,B536,A537,"f",FALSE)</f>
        <v>42628</v>
      </c>
      <c r="C537" s="237">
        <f>_xll.qlCalendarAdvance(Calendar,B537,NDays&amp;"D")</f>
        <v>42632</v>
      </c>
      <c r="D537" s="202">
        <v>7.0374165979612503E-3</v>
      </c>
      <c r="E537" s="202">
        <v>5.6004012309252005E-3</v>
      </c>
      <c r="U537" s="204"/>
    </row>
    <row r="538" spans="1:21" x14ac:dyDescent="0.2">
      <c r="A538" s="64" t="str">
        <f t="shared" si="9"/>
        <v>1w</v>
      </c>
      <c r="B538" s="203">
        <f>_xll.qlCalendarAdvance(Calendar,B537,A538,"f",FALSE)</f>
        <v>42635</v>
      </c>
      <c r="C538" s="237">
        <f>_xll.qlCalendarAdvance(Calendar,B538,NDays&amp;"D")</f>
        <v>42639</v>
      </c>
      <c r="D538" s="202">
        <v>7.1384003711224223E-3</v>
      </c>
      <c r="E538" s="202">
        <v>5.7268648579356096E-3</v>
      </c>
      <c r="U538" s="204"/>
    </row>
    <row r="539" spans="1:21" x14ac:dyDescent="0.2">
      <c r="A539" s="64" t="str">
        <f t="shared" si="9"/>
        <v>1w</v>
      </c>
      <c r="B539" s="203">
        <f>_xll.qlCalendarAdvance(Calendar,B538,A539,"f",FALSE)</f>
        <v>42642</v>
      </c>
      <c r="C539" s="237">
        <f>_xll.qlCalendarAdvance(Calendar,B539,NDays&amp;"D")</f>
        <v>42646</v>
      </c>
      <c r="D539" s="202">
        <v>7.2373834153546908E-3</v>
      </c>
      <c r="E539" s="202">
        <v>5.851329944412953E-3</v>
      </c>
      <c r="U539" s="204"/>
    </row>
    <row r="540" spans="1:21" x14ac:dyDescent="0.2">
      <c r="A540" s="64" t="str">
        <f t="shared" si="9"/>
        <v>1w</v>
      </c>
      <c r="B540" s="203">
        <f>_xll.qlCalendarAdvance(Calendar,B539,A540,"f",FALSE)</f>
        <v>42649</v>
      </c>
      <c r="C540" s="237">
        <f>_xll.qlCalendarAdvance(Calendar,B540,NDays&amp;"D")</f>
        <v>42653</v>
      </c>
      <c r="D540" s="202">
        <v>7.3343654308723636E-3</v>
      </c>
      <c r="E540" s="202">
        <v>5.9737964880390848E-3</v>
      </c>
      <c r="U540" s="204"/>
    </row>
    <row r="541" spans="1:21" x14ac:dyDescent="0.2">
      <c r="A541" s="64" t="str">
        <f t="shared" si="9"/>
        <v>1w</v>
      </c>
      <c r="B541" s="203">
        <f>_xll.qlCalendarAdvance(Calendar,B540,A541,"f",FALSE)</f>
        <v>42656</v>
      </c>
      <c r="C541" s="237">
        <f>_xll.qlCalendarAdvance(Calendar,B541,NDays&amp;"D")</f>
        <v>42660</v>
      </c>
      <c r="D541" s="202">
        <v>7.4355079295129571E-3</v>
      </c>
      <c r="E541" s="202">
        <v>6.0942644868156037E-3</v>
      </c>
      <c r="U541" s="204"/>
    </row>
    <row r="542" spans="1:21" x14ac:dyDescent="0.2">
      <c r="A542" s="64" t="str">
        <f t="shared" si="9"/>
        <v>1w</v>
      </c>
      <c r="B542" s="203">
        <f>_xll.qlCalendarAdvance(Calendar,B541,A542,"f",FALSE)</f>
        <v>42663</v>
      </c>
      <c r="C542" s="237">
        <f>_xll.qlCalendarAdvance(Calendar,B542,NDays&amp;"D")</f>
        <v>42667</v>
      </c>
      <c r="D542" s="202">
        <v>7.5223252068795966E-3</v>
      </c>
      <c r="E542" s="202">
        <v>6.2127339387441083E-3</v>
      </c>
      <c r="U542" s="204"/>
    </row>
    <row r="543" spans="1:21" x14ac:dyDescent="0.2">
      <c r="A543" s="64" t="str">
        <f t="shared" si="9"/>
        <v>1w</v>
      </c>
      <c r="B543" s="203">
        <f>_xll.qlCalendarAdvance(Calendar,B542,A543,"f",FALSE)</f>
        <v>42670</v>
      </c>
      <c r="C543" s="237">
        <f>_xll.qlCalendarAdvance(Calendar,B543,NDays&amp;"D")</f>
        <v>42674</v>
      </c>
      <c r="D543" s="202">
        <v>7.5955833068602858E-3</v>
      </c>
      <c r="E543" s="202">
        <v>6.329204841826197E-3</v>
      </c>
      <c r="U543" s="204"/>
    </row>
    <row r="544" spans="1:21" x14ac:dyDescent="0.2">
      <c r="A544" s="64" t="str">
        <f t="shared" si="9"/>
        <v>1w</v>
      </c>
      <c r="B544" s="203">
        <f>_xll.qlCalendarAdvance(Calendar,B543,A544,"f",FALSE)</f>
        <v>42677</v>
      </c>
      <c r="C544" s="237">
        <f>_xll.qlCalendarAdvance(Calendar,B544,NDays&amp;"D")</f>
        <v>42681</v>
      </c>
      <c r="D544" s="202">
        <v>7.7022774219055023E-3</v>
      </c>
      <c r="E544" s="202">
        <v>6.4436771942233406E-3</v>
      </c>
      <c r="U544" s="204"/>
    </row>
    <row r="545" spans="1:21" x14ac:dyDescent="0.2">
      <c r="A545" s="64" t="str">
        <f t="shared" si="9"/>
        <v>1w</v>
      </c>
      <c r="B545" s="203">
        <f>_xll.qlCalendarAdvance(Calendar,B544,A545,"f",FALSE)</f>
        <v>42684</v>
      </c>
      <c r="C545" s="237">
        <f>_xll.qlCalendarAdvance(Calendar,B545,NDays&amp;"D")</f>
        <v>42688</v>
      </c>
      <c r="D545" s="202">
        <v>7.7892500089032984E-3</v>
      </c>
      <c r="E545" s="202">
        <v>6.5561509940170737E-3</v>
      </c>
      <c r="U545" s="204"/>
    </row>
    <row r="546" spans="1:21" x14ac:dyDescent="0.2">
      <c r="A546" s="64" t="str">
        <f t="shared" si="9"/>
        <v>1w</v>
      </c>
      <c r="B546" s="203">
        <f>_xll.qlCalendarAdvance(Calendar,B545,A546,"f",FALSE)</f>
        <v>42691</v>
      </c>
      <c r="C546" s="237">
        <f>_xll.qlCalendarAdvance(Calendar,B546,NDays&amp;"D")</f>
        <v>42695</v>
      </c>
      <c r="D546" s="202">
        <v>7.8742198955926487E-3</v>
      </c>
      <c r="E546" s="202">
        <v>6.6666262392089948E-3</v>
      </c>
      <c r="U546" s="204"/>
    </row>
    <row r="547" spans="1:21" x14ac:dyDescent="0.2">
      <c r="A547" s="64" t="str">
        <f t="shared" si="9"/>
        <v>1w</v>
      </c>
      <c r="B547" s="203">
        <f>_xll.qlCalendarAdvance(Calendar,B546,A547,"f",FALSE)</f>
        <v>42698</v>
      </c>
      <c r="C547" s="237">
        <f>_xll.qlCalendarAdvance(Calendar,B547,NDays&amp;"D")</f>
        <v>42702</v>
      </c>
      <c r="D547" s="202">
        <v>7.9571868245741743E-3</v>
      </c>
      <c r="E547" s="202">
        <v>6.7751029280405106E-3</v>
      </c>
      <c r="U547" s="204"/>
    </row>
    <row r="548" spans="1:21" x14ac:dyDescent="0.2">
      <c r="A548" s="64" t="str">
        <f t="shared" si="9"/>
        <v>1w</v>
      </c>
      <c r="B548" s="203">
        <f>_xll.qlCalendarAdvance(Calendar,B547,A548,"f",FALSE)</f>
        <v>42705</v>
      </c>
      <c r="C548" s="237">
        <f>_xll.qlCalendarAdvance(Calendar,B548,NDays&amp;"D")</f>
        <v>42709</v>
      </c>
      <c r="D548" s="202">
        <v>8.0381677641085201E-3</v>
      </c>
      <c r="E548" s="202">
        <v>6.8815810586730919E-3</v>
      </c>
      <c r="U548" s="204"/>
    </row>
    <row r="549" spans="1:21" x14ac:dyDescent="0.2">
      <c r="A549" s="64" t="str">
        <f t="shared" si="9"/>
        <v>1w</v>
      </c>
      <c r="B549" s="203">
        <f>_xll.qlCalendarAdvance(Calendar,B548,A549,"f",FALSE)</f>
        <v>42712</v>
      </c>
      <c r="C549" s="237">
        <f>_xll.qlCalendarAdvance(Calendar,B549,NDays&amp;"D")</f>
        <v>42716</v>
      </c>
      <c r="D549" s="202">
        <v>8.1172485724028201E-3</v>
      </c>
      <c r="E549" s="202">
        <v>6.9860606293481453E-3</v>
      </c>
      <c r="U549" s="204"/>
    </row>
    <row r="550" spans="1:21" x14ac:dyDescent="0.2">
      <c r="A550" s="64" t="str">
        <f t="shared" si="9"/>
        <v>1w</v>
      </c>
      <c r="B550" s="203">
        <f>_xll.qlCalendarAdvance(Calendar,B549,A550,"f",FALSE)</f>
        <v>42719</v>
      </c>
      <c r="C550" s="237">
        <f>_xll.qlCalendarAdvance(Calendar,B550,NDays&amp;"D")</f>
        <v>42723</v>
      </c>
      <c r="D550" s="202">
        <v>8.1945323479534118E-3</v>
      </c>
      <c r="E550" s="202">
        <v>7.0885416384669497E-3</v>
      </c>
      <c r="U550" s="204"/>
    </row>
    <row r="551" spans="1:21" x14ac:dyDescent="0.2">
      <c r="A551" s="64" t="str">
        <f t="shared" si="9"/>
        <v>1w</v>
      </c>
      <c r="B551" s="203">
        <f>_xll.qlCalendarAdvance(Calendar,B550,A551,"f",FALSE)</f>
        <v>42726</v>
      </c>
      <c r="C551" s="237">
        <f>_xll.qlCalendarAdvance(Calendar,B551,NDays&amp;"D")</f>
        <v>42731</v>
      </c>
      <c r="D551" s="202">
        <v>8.2807884973114462E-3</v>
      </c>
      <c r="E551" s="202">
        <v>7.2032155709766954E-3</v>
      </c>
      <c r="U551" s="204"/>
    </row>
    <row r="552" spans="1:21" x14ac:dyDescent="0.2">
      <c r="A552" s="64" t="str">
        <f t="shared" si="9"/>
        <v>1w</v>
      </c>
      <c r="B552" s="203">
        <f>_xll.qlCalendarAdvance(Calendar,B551,A552,"f",FALSE)</f>
        <v>42733</v>
      </c>
      <c r="C552" s="237">
        <f>_xll.qlCalendarAdvance(Calendar,B552,NDays&amp;"D")</f>
        <v>42737</v>
      </c>
      <c r="D552" s="202">
        <v>8.3441212996664595E-3</v>
      </c>
      <c r="E552" s="202">
        <v>7.2875079646816943E-3</v>
      </c>
      <c r="U552" s="204"/>
    </row>
    <row r="553" spans="1:21" x14ac:dyDescent="0.2">
      <c r="A553" s="64" t="str">
        <f t="shared" si="9"/>
        <v>1w</v>
      </c>
      <c r="B553" s="203">
        <f>_xll.qlCalendarAdvance(Calendar,B552,A553,"f",FALSE)</f>
        <v>42740</v>
      </c>
      <c r="C553" s="237">
        <f>_xll.qlCalendarAdvance(Calendar,B553,NDays&amp;"D")</f>
        <v>42744</v>
      </c>
      <c r="D553" s="202">
        <v>8.416632775007097E-3</v>
      </c>
      <c r="E553" s="202">
        <v>7.383993278500256E-3</v>
      </c>
      <c r="U553" s="204"/>
    </row>
    <row r="554" spans="1:21" x14ac:dyDescent="0.2">
      <c r="A554" s="64" t="str">
        <f t="shared" si="9"/>
        <v>1w</v>
      </c>
      <c r="B554" s="203">
        <f>_xll.qlCalendarAdvance(Calendar,B553,A554,"f",FALSE)</f>
        <v>42747</v>
      </c>
      <c r="C554" s="237">
        <f>_xll.qlCalendarAdvance(Calendar,B554,NDays&amp;"D")</f>
        <v>42751</v>
      </c>
      <c r="D554" s="202">
        <v>8.4877598143085174E-3</v>
      </c>
      <c r="E554" s="202">
        <v>7.4784800240479399E-3</v>
      </c>
      <c r="U554" s="204"/>
    </row>
    <row r="555" spans="1:21" x14ac:dyDescent="0.2">
      <c r="A555" s="64" t="str">
        <f t="shared" si="9"/>
        <v>1w</v>
      </c>
      <c r="B555" s="203">
        <f>_xll.qlCalendarAdvance(Calendar,B554,A555,"f",FALSE)</f>
        <v>42754</v>
      </c>
      <c r="C555" s="237">
        <f>_xll.qlCalendarAdvance(Calendar,B555,NDays&amp;"D")</f>
        <v>42758</v>
      </c>
      <c r="D555" s="202">
        <v>8.5576056132908238E-3</v>
      </c>
      <c r="E555" s="202">
        <v>7.5709681997260247E-3</v>
      </c>
      <c r="U555" s="204"/>
    </row>
    <row r="556" spans="1:21" x14ac:dyDescent="0.2">
      <c r="A556" s="64" t="str">
        <f t="shared" si="9"/>
        <v>1w</v>
      </c>
      <c r="B556" s="203">
        <f>_xll.qlCalendarAdvance(Calendar,B555,A556,"f",FALSE)</f>
        <v>42761</v>
      </c>
      <c r="C556" s="237">
        <f>_xll.qlCalendarAdvance(Calendar,B556,NDays&amp;"D")</f>
        <v>42765</v>
      </c>
      <c r="D556" s="202">
        <v>8.6262733848256716E-3</v>
      </c>
      <c r="E556" s="202">
        <v>7.6614578039357895E-3</v>
      </c>
      <c r="U556" s="204"/>
    </row>
    <row r="557" spans="1:21" x14ac:dyDescent="0.2">
      <c r="A557" s="64" t="str">
        <f t="shared" si="9"/>
        <v>1w</v>
      </c>
      <c r="B557" s="203">
        <f>_xll.qlCalendarAdvance(Calendar,B556,A557,"f",FALSE)</f>
        <v>42768</v>
      </c>
      <c r="C557" s="237">
        <f>_xll.qlCalendarAdvance(Calendar,B557,NDays&amp;"D")</f>
        <v>42772</v>
      </c>
      <c r="D557" s="202">
        <v>8.6938663582976621E-3</v>
      </c>
      <c r="E557" s="202">
        <v>7.749948835238385E-3</v>
      </c>
      <c r="U557" s="204"/>
    </row>
    <row r="558" spans="1:21" x14ac:dyDescent="0.2">
      <c r="A558" s="64" t="str">
        <f t="shared" si="9"/>
        <v>1w</v>
      </c>
      <c r="B558" s="203">
        <f>_xll.qlCalendarAdvance(Calendar,B557,A558,"f",FALSE)</f>
        <v>42775</v>
      </c>
      <c r="C558" s="237">
        <f>_xll.qlCalendarAdvance(Calendar,B558,NDays&amp;"D")</f>
        <v>42779</v>
      </c>
      <c r="D558" s="202">
        <v>8.7604877790179968E-3</v>
      </c>
      <c r="E558" s="202">
        <v>7.8364412921150262E-3</v>
      </c>
      <c r="U558" s="204"/>
    </row>
    <row r="559" spans="1:21" x14ac:dyDescent="0.2">
      <c r="A559" s="64" t="str">
        <f t="shared" si="9"/>
        <v>1w</v>
      </c>
      <c r="B559" s="203">
        <f>_xll.qlCalendarAdvance(Calendar,B558,A559,"f",FALSE)</f>
        <v>42782</v>
      </c>
      <c r="C559" s="237">
        <f>_xll.qlCalendarAdvance(Calendar,B559,NDays&amp;"D")</f>
        <v>42786</v>
      </c>
      <c r="D559" s="202">
        <v>8.8262409076930327E-3</v>
      </c>
      <c r="E559" s="202">
        <v>7.920935173126864E-3</v>
      </c>
      <c r="U559" s="204"/>
    </row>
    <row r="560" spans="1:21" x14ac:dyDescent="0.2">
      <c r="A560" s="64" t="str">
        <f t="shared" si="9"/>
        <v>1w</v>
      </c>
      <c r="B560" s="203">
        <f>_xll.qlCalendarAdvance(Calendar,B559,A560,"f",FALSE)</f>
        <v>42789</v>
      </c>
      <c r="C560" s="237">
        <f>_xll.qlCalendarAdvance(Calendar,B560,NDays&amp;"D")</f>
        <v>42793</v>
      </c>
      <c r="D560" s="202">
        <v>8.8912290199437954E-3</v>
      </c>
      <c r="E560" s="202">
        <v>8.0034304769149855E-3</v>
      </c>
      <c r="U560" s="204"/>
    </row>
    <row r="561" spans="1:21" x14ac:dyDescent="0.2">
      <c r="A561" s="64" t="str">
        <f t="shared" si="9"/>
        <v>1w</v>
      </c>
      <c r="B561" s="203">
        <f>_xll.qlCalendarAdvance(Calendar,B560,A561,"f",FALSE)</f>
        <v>42796</v>
      </c>
      <c r="C561" s="237">
        <f>_xll.qlCalendarAdvance(Calendar,B561,NDays&amp;"D")</f>
        <v>42800</v>
      </c>
      <c r="D561" s="202">
        <v>8.9646159839122854E-3</v>
      </c>
      <c r="E561" s="202">
        <v>8.0839272020405417E-3</v>
      </c>
      <c r="U561" s="204"/>
    </row>
    <row r="562" spans="1:21" x14ac:dyDescent="0.2">
      <c r="A562" s="64" t="str">
        <f t="shared" si="9"/>
        <v>1w</v>
      </c>
      <c r="B562" s="203">
        <f>_xll.qlCalendarAdvance(Calendar,B561,A562,"f",FALSE)</f>
        <v>42803</v>
      </c>
      <c r="C562" s="237">
        <f>_xll.qlCalendarAdvance(Calendar,B562,NDays&amp;"D")</f>
        <v>42807</v>
      </c>
      <c r="D562" s="202">
        <v>9.0284102008765105E-3</v>
      </c>
      <c r="E562" s="202">
        <v>8.1624253472245556E-3</v>
      </c>
      <c r="U562" s="204"/>
    </row>
    <row r="563" spans="1:21" x14ac:dyDescent="0.2">
      <c r="A563" s="64" t="str">
        <f t="shared" si="9"/>
        <v>1w</v>
      </c>
      <c r="B563" s="203">
        <f>_xll.qlCalendarAdvance(Calendar,B562,A563,"f",FALSE)</f>
        <v>42810</v>
      </c>
      <c r="C563" s="237">
        <f>_xll.qlCalendarAdvance(Calendar,B563,NDays&amp;"D")</f>
        <v>42814</v>
      </c>
      <c r="D563" s="202">
        <v>9.0917616731693764E-3</v>
      </c>
      <c r="E563" s="202">
        <v>8.2389249111880503E-3</v>
      </c>
      <c r="U563" s="204"/>
    </row>
    <row r="564" spans="1:21" x14ac:dyDescent="0.2">
      <c r="A564" s="64" t="str">
        <f t="shared" si="9"/>
        <v>1w</v>
      </c>
      <c r="B564" s="203">
        <f>_xll.qlCalendarAdvance(Calendar,B563,A564,"f",FALSE)</f>
        <v>42817</v>
      </c>
      <c r="C564" s="237">
        <f>_xll.qlCalendarAdvance(Calendar,B564,NDays&amp;"D")</f>
        <v>42821</v>
      </c>
      <c r="D564" s="202">
        <v>9.1547726150640139E-3</v>
      </c>
      <c r="E564" s="202">
        <v>8.3134258924921767E-3</v>
      </c>
      <c r="U564" s="204"/>
    </row>
    <row r="565" spans="1:21" x14ac:dyDescent="0.2">
      <c r="A565" s="64" t="str">
        <f t="shared" si="9"/>
        <v>1w</v>
      </c>
      <c r="B565" s="203">
        <f>_xll.qlCalendarAdvance(Calendar,B564,A565,"f",FALSE)</f>
        <v>42824</v>
      </c>
      <c r="C565" s="237">
        <f>_xll.qlCalendarAdvance(Calendar,B565,NDays&amp;"D")</f>
        <v>42828</v>
      </c>
      <c r="D565" s="202">
        <v>9.2129254435119965E-3</v>
      </c>
      <c r="E565" s="202">
        <v>8.38592829001783E-3</v>
      </c>
      <c r="U565" s="204"/>
    </row>
    <row r="566" spans="1:21" x14ac:dyDescent="0.2">
      <c r="A566" s="64" t="str">
        <f t="shared" si="9"/>
        <v>1w</v>
      </c>
      <c r="B566" s="203">
        <f>_xll.qlCalendarAdvance(Calendar,B565,A566,"f",FALSE)</f>
        <v>42831</v>
      </c>
      <c r="C566" s="237">
        <f>_xll.qlCalendarAdvance(Calendar,B566,NDays&amp;"D")</f>
        <v>42835</v>
      </c>
      <c r="D566" s="202">
        <v>9.2755274389639715E-3</v>
      </c>
      <c r="E566" s="202">
        <v>8.4564321025659694E-3</v>
      </c>
      <c r="U566" s="204"/>
    </row>
    <row r="567" spans="1:21" x14ac:dyDescent="0.2">
      <c r="A567" s="64" t="str">
        <f t="shared" si="9"/>
        <v>1w</v>
      </c>
      <c r="B567" s="203">
        <f>_xll.qlCalendarAdvance(Calendar,B566,A567,"f",FALSE)</f>
        <v>42838</v>
      </c>
      <c r="C567" s="237">
        <f>_xll.qlCalendarAdvance(Calendar,B567,NDays&amp;"D")</f>
        <v>42844</v>
      </c>
      <c r="D567" s="202">
        <v>9.3559746649110008E-3</v>
      </c>
      <c r="E567" s="202">
        <v>8.5441431633803688E-3</v>
      </c>
      <c r="U567" s="204"/>
    </row>
    <row r="568" spans="1:21" x14ac:dyDescent="0.2">
      <c r="A568" s="64" t="str">
        <f t="shared" si="9"/>
        <v>1w</v>
      </c>
      <c r="B568" s="203">
        <f>_xll.qlCalendarAdvance(Calendar,B567,A568,"f",FALSE)</f>
        <v>42845</v>
      </c>
      <c r="C568" s="237">
        <f>_xll.qlCalendarAdvance(Calendar,B568,NDays&amp;"D")</f>
        <v>42849</v>
      </c>
      <c r="D568" s="202">
        <v>9.4007210567434857E-3</v>
      </c>
      <c r="E568" s="202">
        <v>8.5914439680134791E-3</v>
      </c>
      <c r="U568" s="204"/>
    </row>
    <row r="569" spans="1:21" x14ac:dyDescent="0.2">
      <c r="A569" s="64" t="str">
        <f t="shared" si="9"/>
        <v>1w</v>
      </c>
      <c r="B569" s="203">
        <f>_xll.qlCalendarAdvance(Calendar,B568,A569,"f",FALSE)</f>
        <v>42852</v>
      </c>
      <c r="C569" s="237">
        <f>_xll.qlCalendarAdvance(Calendar,B569,NDays&amp;"D")</f>
        <v>42857</v>
      </c>
      <c r="D569" s="202">
        <v>9.4772951202820362E-3</v>
      </c>
      <c r="E569" s="202">
        <v>8.6650043043157154E-3</v>
      </c>
      <c r="U569" s="204"/>
    </row>
    <row r="570" spans="1:21" x14ac:dyDescent="0.2">
      <c r="A570" s="64" t="str">
        <f t="shared" si="9"/>
        <v>1w</v>
      </c>
      <c r="B570" s="203">
        <f>_xll.qlCalendarAdvance(Calendar,B569,A570,"f",FALSE)</f>
        <v>42859</v>
      </c>
      <c r="C570" s="237">
        <f>_xll.qlCalendarAdvance(Calendar,B570,NDays&amp;"D")</f>
        <v>42863</v>
      </c>
      <c r="D570" s="202">
        <v>9.5314127923343869E-3</v>
      </c>
      <c r="E570" s="202">
        <v>8.7184614798019311E-3</v>
      </c>
      <c r="U570" s="204"/>
    </row>
    <row r="571" spans="1:21" x14ac:dyDescent="0.2">
      <c r="A571" s="64" t="str">
        <f t="shared" si="9"/>
        <v>1w</v>
      </c>
      <c r="B571" s="203">
        <f>_xll.qlCalendarAdvance(Calendar,B570,A571,"f",FALSE)</f>
        <v>42866</v>
      </c>
      <c r="C571" s="237">
        <f>_xll.qlCalendarAdvance(Calendar,B571,NDays&amp;"D")</f>
        <v>42870</v>
      </c>
      <c r="D571" s="202">
        <v>9.5949031284768022E-3</v>
      </c>
      <c r="E571" s="202">
        <v>8.7789723504361206E-3</v>
      </c>
      <c r="U571" s="204"/>
    </row>
    <row r="572" spans="1:21" x14ac:dyDescent="0.2">
      <c r="A572" s="64" t="str">
        <f t="shared" si="9"/>
        <v>1w</v>
      </c>
      <c r="B572" s="203">
        <f>_xll.qlCalendarAdvance(Calendar,B571,A572,"f",FALSE)</f>
        <v>42873</v>
      </c>
      <c r="C572" s="237">
        <f>_xll.qlCalendarAdvance(Calendar,B572,NDays&amp;"D")</f>
        <v>42877</v>
      </c>
      <c r="D572" s="202">
        <v>9.6588711223169598E-3</v>
      </c>
      <c r="E572" s="202">
        <v>8.8374846294581033E-3</v>
      </c>
      <c r="U572" s="204"/>
    </row>
    <row r="573" spans="1:21" x14ac:dyDescent="0.2">
      <c r="A573" s="64" t="str">
        <f t="shared" si="9"/>
        <v>1w</v>
      </c>
      <c r="B573" s="203">
        <f>_xll.qlCalendarAdvance(Calendar,B572,A573,"f",FALSE)</f>
        <v>42880</v>
      </c>
      <c r="C573" s="237">
        <f>_xll.qlCalendarAdvance(Calendar,B573,NDays&amp;"D")</f>
        <v>42884</v>
      </c>
      <c r="D573" s="202">
        <v>9.7234191071406198E-3</v>
      </c>
      <c r="E573" s="202">
        <v>8.8940074161492078E-3</v>
      </c>
      <c r="U573" s="204"/>
    </row>
    <row r="574" spans="1:21" x14ac:dyDescent="0.2">
      <c r="A574" s="64" t="str">
        <f t="shared" si="9"/>
        <v>1w</v>
      </c>
      <c r="B574" s="203">
        <f>_xll.qlCalendarAdvance(Calendar,B573,A574,"f",FALSE)</f>
        <v>42887</v>
      </c>
      <c r="C574" s="237">
        <f>_xll.qlCalendarAdvance(Calendar,B574,NDays&amp;"D")</f>
        <v>42891</v>
      </c>
      <c r="D574" s="202">
        <v>9.7836066576141283E-3</v>
      </c>
      <c r="E574" s="202">
        <v>8.950051339011722E-3</v>
      </c>
      <c r="U574" s="204"/>
    </row>
    <row r="575" spans="1:21" x14ac:dyDescent="0.2">
      <c r="A575" s="64" t="str">
        <f t="shared" si="9"/>
        <v>1w</v>
      </c>
      <c r="B575" s="203">
        <f>_xll.qlCalendarAdvance(Calendar,B574,A575,"f",FALSE)</f>
        <v>42894</v>
      </c>
      <c r="C575" s="237">
        <f>_xll.qlCalendarAdvance(Calendar,B575,NDays&amp;"D")</f>
        <v>42898</v>
      </c>
      <c r="D575" s="202">
        <v>9.8494517934129798E-3</v>
      </c>
      <c r="E575" s="202">
        <v>9.0067721205233653E-3</v>
      </c>
      <c r="U575" s="204"/>
    </row>
    <row r="576" spans="1:21" x14ac:dyDescent="0.2">
      <c r="A576" s="64" t="str">
        <f t="shared" si="9"/>
        <v>1w</v>
      </c>
      <c r="B576" s="203">
        <f>_xll.qlCalendarAdvance(Calendar,B575,A576,"f",FALSE)</f>
        <v>42901</v>
      </c>
      <c r="C576" s="237">
        <f>_xll.qlCalendarAdvance(Calendar,B576,NDays&amp;"D")</f>
        <v>42905</v>
      </c>
      <c r="D576" s="202">
        <v>9.9159793667373385E-3</v>
      </c>
      <c r="E576" s="202">
        <v>9.0641697609239458E-3</v>
      </c>
      <c r="U576" s="204"/>
    </row>
    <row r="577" spans="1:21" x14ac:dyDescent="0.2">
      <c r="A577" s="64" t="str">
        <f t="shared" si="9"/>
        <v>1w</v>
      </c>
      <c r="B577" s="203">
        <f>_xll.qlCalendarAdvance(Calendar,B576,A577,"f",FALSE)</f>
        <v>42908</v>
      </c>
      <c r="C577" s="237">
        <f>_xll.qlCalendarAdvance(Calendar,B577,NDays&amp;"D")</f>
        <v>42912</v>
      </c>
      <c r="D577" s="202">
        <v>9.9883669088729962E-3</v>
      </c>
      <c r="E577" s="202">
        <v>9.1222442606131438E-3</v>
      </c>
      <c r="U577" s="204"/>
    </row>
    <row r="578" spans="1:21" x14ac:dyDescent="0.2">
      <c r="A578" s="64" t="str">
        <f t="shared" si="9"/>
        <v>1w</v>
      </c>
      <c r="B578" s="203">
        <f>_xll.qlCalendarAdvance(Calendar,B577,A578,"f",FALSE)</f>
        <v>42915</v>
      </c>
      <c r="C578" s="237">
        <f>_xll.qlCalendarAdvance(Calendar,B578,NDays&amp;"D")</f>
        <v>42919</v>
      </c>
      <c r="D578" s="202">
        <v>1.0056310216239341E-2</v>
      </c>
      <c r="E578" s="202">
        <v>9.1809956199107035E-3</v>
      </c>
      <c r="U578" s="204"/>
    </row>
    <row r="579" spans="1:21" x14ac:dyDescent="0.2">
      <c r="A579" s="64" t="str">
        <f t="shared" si="9"/>
        <v>1w</v>
      </c>
      <c r="B579" s="203">
        <f>_xll.qlCalendarAdvance(Calendar,B578,A579,"f",FALSE)</f>
        <v>42922</v>
      </c>
      <c r="C579" s="237">
        <f>_xll.qlCalendarAdvance(Calendar,B579,NDays&amp;"D")</f>
        <v>42926</v>
      </c>
      <c r="D579" s="202">
        <v>1.0124936206499381E-2</v>
      </c>
      <c r="E579" s="202">
        <v>9.2404238391363691E-3</v>
      </c>
      <c r="U579" s="204"/>
    </row>
    <row r="580" spans="1:21" x14ac:dyDescent="0.2">
      <c r="A580" s="64" t="str">
        <f t="shared" si="9"/>
        <v>1w</v>
      </c>
      <c r="B580" s="203">
        <f>_xll.qlCalendarAdvance(Calendar,B579,A580,"f",FALSE)</f>
        <v>42929</v>
      </c>
      <c r="C580" s="237">
        <f>_xll.qlCalendarAdvance(Calendar,B580,NDays&amp;"D")</f>
        <v>42933</v>
      </c>
      <c r="D580" s="202">
        <v>1.0194244950957816E-2</v>
      </c>
      <c r="E580" s="202">
        <v>9.300528918609885E-3</v>
      </c>
      <c r="U580" s="204"/>
    </row>
    <row r="581" spans="1:21" x14ac:dyDescent="0.2">
      <c r="A581" s="64" t="str">
        <f t="shared" si="9"/>
        <v>1w</v>
      </c>
      <c r="B581" s="203">
        <f>_xll.qlCalendarAdvance(Calendar,B580,A581,"f",FALSE)</f>
        <v>42936</v>
      </c>
      <c r="C581" s="237">
        <f>_xll.qlCalendarAdvance(Calendar,B581,NDays&amp;"D")</f>
        <v>42940</v>
      </c>
      <c r="D581" s="202">
        <v>1.0264236521629647E-2</v>
      </c>
      <c r="E581" s="202">
        <v>9.3613108587309313E-3</v>
      </c>
      <c r="U581" s="204"/>
    </row>
    <row r="582" spans="1:21" x14ac:dyDescent="0.2">
      <c r="A582" s="64" t="str">
        <f t="shared" si="9"/>
        <v>1w</v>
      </c>
      <c r="B582" s="203">
        <f>_xll.qlCalendarAdvance(Calendar,B581,A582,"f",FALSE)</f>
        <v>42943</v>
      </c>
      <c r="C582" s="237">
        <f>_xll.qlCalendarAdvance(Calendar,B582,NDays&amp;"D")</f>
        <v>42947</v>
      </c>
      <c r="D582" s="202">
        <v>1.0334910991241486E-2</v>
      </c>
      <c r="E582" s="202">
        <v>9.4227696597393162E-3</v>
      </c>
      <c r="U582" s="204"/>
    </row>
    <row r="583" spans="1:21" x14ac:dyDescent="0.2">
      <c r="A583" s="64" t="str">
        <f t="shared" ref="A583:A646" si="10">A582</f>
        <v>1w</v>
      </c>
      <c r="B583" s="203">
        <f>_xll.qlCalendarAdvance(Calendar,B582,A583,"f",FALSE)</f>
        <v>42950</v>
      </c>
      <c r="C583" s="237">
        <f>_xll.qlCalendarAdvance(Calendar,B583,NDays&amp;"D")</f>
        <v>42954</v>
      </c>
      <c r="D583" s="202">
        <v>1.0406268433231974E-2</v>
      </c>
      <c r="E583" s="202">
        <v>9.4849053220347201E-3</v>
      </c>
      <c r="U583" s="204"/>
    </row>
    <row r="584" spans="1:21" x14ac:dyDescent="0.2">
      <c r="A584" s="64" t="str">
        <f t="shared" si="10"/>
        <v>1w</v>
      </c>
      <c r="B584" s="203">
        <f>_xll.qlCalendarAdvance(Calendar,B583,A584,"f",FALSE)</f>
        <v>42957</v>
      </c>
      <c r="C584" s="237">
        <f>_xll.qlCalendarAdvance(Calendar,B584,NDays&amp;"D")</f>
        <v>42961</v>
      </c>
      <c r="D584" s="202">
        <v>1.0478308921749628E-2</v>
      </c>
      <c r="E584" s="202">
        <v>9.5477178460967593E-3</v>
      </c>
      <c r="U584" s="204"/>
    </row>
    <row r="585" spans="1:21" x14ac:dyDescent="0.2">
      <c r="A585" s="64" t="str">
        <f t="shared" si="10"/>
        <v>1w</v>
      </c>
      <c r="B585" s="203">
        <f>_xll.qlCalendarAdvance(Calendar,B584,A585,"f",FALSE)</f>
        <v>42964</v>
      </c>
      <c r="C585" s="237">
        <f>_xll.qlCalendarAdvance(Calendar,B585,NDays&amp;"D")</f>
        <v>42968</v>
      </c>
      <c r="D585" s="202">
        <v>1.0551032531656302E-2</v>
      </c>
      <c r="E585" s="202">
        <v>9.6112072320053699E-3</v>
      </c>
      <c r="U585" s="204"/>
    </row>
    <row r="586" spans="1:21" x14ac:dyDescent="0.2">
      <c r="A586" s="64" t="str">
        <f t="shared" si="10"/>
        <v>1w</v>
      </c>
      <c r="B586" s="203">
        <f>_xll.qlCalendarAdvance(Calendar,B585,A586,"f",FALSE)</f>
        <v>42971</v>
      </c>
      <c r="C586" s="237">
        <f>_xll.qlCalendarAdvance(Calendar,B586,NDays&amp;"D")</f>
        <v>42975</v>
      </c>
      <c r="D586" s="202">
        <v>1.0624439338524591E-2</v>
      </c>
      <c r="E586" s="202">
        <v>9.6753734803201041E-3</v>
      </c>
      <c r="U586" s="204"/>
    </row>
    <row r="587" spans="1:21" x14ac:dyDescent="0.2">
      <c r="A587" s="64" t="str">
        <f t="shared" si="10"/>
        <v>1w</v>
      </c>
      <c r="B587" s="203">
        <f>_xll.qlCalendarAdvance(Calendar,B586,A587,"f",FALSE)</f>
        <v>42978</v>
      </c>
      <c r="C587" s="237">
        <f>_xll.qlCalendarAdvance(Calendar,B587,NDays&amp;"D")</f>
        <v>42982</v>
      </c>
      <c r="D587" s="202">
        <v>1.0687162988613637E-2</v>
      </c>
      <c r="E587" s="202">
        <v>9.7402165913607064E-3</v>
      </c>
      <c r="U587" s="204"/>
    </row>
    <row r="588" spans="1:21" x14ac:dyDescent="0.2">
      <c r="A588" s="64" t="str">
        <f t="shared" si="10"/>
        <v>1w</v>
      </c>
      <c r="B588" s="203">
        <f>_xll.qlCalendarAdvance(Calendar,B587,A588,"f",FALSE)</f>
        <v>42985</v>
      </c>
      <c r="C588" s="237">
        <f>_xll.qlCalendarAdvance(Calendar,B588,NDays&amp;"D")</f>
        <v>42989</v>
      </c>
      <c r="D588" s="202">
        <v>1.0761834339611941E-2</v>
      </c>
      <c r="E588" s="202">
        <v>9.8057365654469208E-3</v>
      </c>
      <c r="U588" s="204"/>
    </row>
    <row r="589" spans="1:21" x14ac:dyDescent="0.2">
      <c r="A589" s="64" t="str">
        <f t="shared" si="10"/>
        <v>1w</v>
      </c>
      <c r="B589" s="203">
        <f>_xll.qlCalendarAdvance(Calendar,B588,A589,"f",FALSE)</f>
        <v>42992</v>
      </c>
      <c r="C589" s="237">
        <f>_xll.qlCalendarAdvance(Calendar,B589,NDays&amp;"D")</f>
        <v>42996</v>
      </c>
      <c r="D589" s="202">
        <v>1.0837189035428777E-2</v>
      </c>
      <c r="E589" s="202">
        <v>9.8719334030583639E-3</v>
      </c>
      <c r="U589" s="204"/>
    </row>
    <row r="590" spans="1:21" x14ac:dyDescent="0.2">
      <c r="A590" s="64" t="str">
        <f t="shared" si="10"/>
        <v>1w</v>
      </c>
      <c r="B590" s="203">
        <f>_xll.qlCalendarAdvance(Calendar,B589,A590,"f",FALSE)</f>
        <v>42999</v>
      </c>
      <c r="C590" s="237">
        <f>_xll.qlCalendarAdvance(Calendar,B590,NDays&amp;"D")</f>
        <v>43003</v>
      </c>
      <c r="D590" s="202">
        <v>1.0913227153527017E-2</v>
      </c>
      <c r="E590" s="202">
        <v>9.9388071044348436E-3</v>
      </c>
      <c r="U590" s="204"/>
    </row>
    <row r="591" spans="1:21" x14ac:dyDescent="0.2">
      <c r="A591" s="64" t="str">
        <f t="shared" si="10"/>
        <v>1w</v>
      </c>
      <c r="B591" s="203">
        <f>_xll.qlCalendarAdvance(Calendar,B590,A591,"f",FALSE)</f>
        <v>43006</v>
      </c>
      <c r="C591" s="237">
        <f>_xll.qlCalendarAdvance(Calendar,B591,NDays&amp;"D")</f>
        <v>43010</v>
      </c>
      <c r="D591" s="202">
        <v>1.0995833897902371E-2</v>
      </c>
      <c r="E591" s="202">
        <v>1.0006357670055976E-2</v>
      </c>
      <c r="U591" s="204"/>
    </row>
    <row r="592" spans="1:21" x14ac:dyDescent="0.2">
      <c r="A592" s="64" t="str">
        <f t="shared" si="10"/>
        <v>1w</v>
      </c>
      <c r="B592" s="203">
        <f>_xll.qlCalendarAdvance(Calendar,B591,A592,"f",FALSE)</f>
        <v>43013</v>
      </c>
      <c r="C592" s="237">
        <f>_xll.qlCalendarAdvance(Calendar,B592,NDays&amp;"D")</f>
        <v>43017</v>
      </c>
      <c r="D592" s="202">
        <v>1.1067353969935941E-2</v>
      </c>
      <c r="E592" s="202">
        <v>1.0074585100241507E-2</v>
      </c>
      <c r="U592" s="204"/>
    </row>
    <row r="593" spans="1:21" x14ac:dyDescent="0.2">
      <c r="A593" s="64" t="str">
        <f t="shared" si="10"/>
        <v>1w</v>
      </c>
      <c r="B593" s="203">
        <f>_xll.qlCalendarAdvance(Calendar,B592,A593,"f",FALSE)</f>
        <v>43020</v>
      </c>
      <c r="C593" s="237">
        <f>_xll.qlCalendarAdvance(Calendar,B593,NDays&amp;"D")</f>
        <v>43024</v>
      </c>
      <c r="D593" s="202">
        <v>1.1145442826694824E-2</v>
      </c>
      <c r="E593" s="202">
        <v>1.0143489395391114E-2</v>
      </c>
      <c r="U593" s="204"/>
    </row>
    <row r="594" spans="1:21" x14ac:dyDescent="0.2">
      <c r="A594" s="64" t="str">
        <f t="shared" si="10"/>
        <v>1w</v>
      </c>
      <c r="B594" s="203">
        <f>_xll.qlCalendarAdvance(Calendar,B593,A594,"f",FALSE)</f>
        <v>43027</v>
      </c>
      <c r="C594" s="237">
        <f>_xll.qlCalendarAdvance(Calendar,B594,NDays&amp;"D")</f>
        <v>43031</v>
      </c>
      <c r="D594" s="202">
        <v>1.1224215422629316E-2</v>
      </c>
      <c r="E594" s="202">
        <v>1.021307055590448E-2</v>
      </c>
      <c r="U594" s="204"/>
    </row>
    <row r="595" spans="1:21" x14ac:dyDescent="0.2">
      <c r="A595" s="64" t="str">
        <f t="shared" si="10"/>
        <v>1w</v>
      </c>
      <c r="B595" s="203">
        <f>_xll.qlCalendarAdvance(Calendar,B594,A595,"f",FALSE)</f>
        <v>43034</v>
      </c>
      <c r="C595" s="237">
        <f>_xll.qlCalendarAdvance(Calendar,B595,NDays&amp;"D")</f>
        <v>43038</v>
      </c>
      <c r="D595" s="202">
        <v>1.1303671838724744E-2</v>
      </c>
      <c r="E595" s="202">
        <v>1.0283328582101348E-2</v>
      </c>
      <c r="U595" s="204"/>
    </row>
    <row r="596" spans="1:21" x14ac:dyDescent="0.2">
      <c r="A596" s="64" t="str">
        <f t="shared" si="10"/>
        <v>1w</v>
      </c>
      <c r="B596" s="203">
        <f>_xll.qlCalendarAdvance(Calendar,B595,A596,"f",FALSE)</f>
        <v>43041</v>
      </c>
      <c r="C596" s="237">
        <f>_xll.qlCalendarAdvance(Calendar,B596,NDays&amp;"D")</f>
        <v>43045</v>
      </c>
      <c r="D596" s="202">
        <v>1.1383812156673122E-2</v>
      </c>
      <c r="E596" s="202">
        <v>1.035426347454127E-2</v>
      </c>
      <c r="U596" s="204"/>
    </row>
    <row r="597" spans="1:21" x14ac:dyDescent="0.2">
      <c r="A597" s="64" t="str">
        <f t="shared" si="10"/>
        <v>1w</v>
      </c>
      <c r="B597" s="203">
        <f>_xll.qlCalendarAdvance(Calendar,B596,A597,"f",FALSE)</f>
        <v>43048</v>
      </c>
      <c r="C597" s="237">
        <f>_xll.qlCalendarAdvance(Calendar,B597,NDays&amp;"D")</f>
        <v>43052</v>
      </c>
      <c r="D597" s="202">
        <v>1.1464636458870959E-2</v>
      </c>
      <c r="E597" s="202">
        <v>1.0425875233464055E-2</v>
      </c>
      <c r="U597" s="204"/>
    </row>
    <row r="598" spans="1:21" x14ac:dyDescent="0.2">
      <c r="A598" s="64" t="str">
        <f t="shared" si="10"/>
        <v>1w</v>
      </c>
      <c r="B598" s="203">
        <f>_xll.qlCalendarAdvance(Calendar,B597,A598,"f",FALSE)</f>
        <v>43055</v>
      </c>
      <c r="C598" s="237">
        <f>_xll.qlCalendarAdvance(Calendar,B598,NDays&amp;"D")</f>
        <v>43059</v>
      </c>
      <c r="D598" s="202">
        <v>1.1546144828420131E-2</v>
      </c>
      <c r="E598" s="202">
        <v>1.0498163859429255E-2</v>
      </c>
      <c r="U598" s="204"/>
    </row>
    <row r="599" spans="1:21" x14ac:dyDescent="0.2">
      <c r="A599" s="64" t="str">
        <f t="shared" si="10"/>
        <v>1w</v>
      </c>
      <c r="B599" s="203">
        <f>_xll.qlCalendarAdvance(Calendar,B598,A599,"f",FALSE)</f>
        <v>43062</v>
      </c>
      <c r="C599" s="237">
        <f>_xll.qlCalendarAdvance(Calendar,B599,NDays&amp;"D")</f>
        <v>43066</v>
      </c>
      <c r="D599" s="202">
        <v>1.1628337349127887E-2</v>
      </c>
      <c r="E599" s="202">
        <v>1.0571129352676678E-2</v>
      </c>
      <c r="U599" s="204"/>
    </row>
    <row r="600" spans="1:21" x14ac:dyDescent="0.2">
      <c r="A600" s="64" t="str">
        <f t="shared" si="10"/>
        <v>1w</v>
      </c>
      <c r="B600" s="203">
        <f>_xll.qlCalendarAdvance(Calendar,B599,A600,"f",FALSE)</f>
        <v>43069</v>
      </c>
      <c r="C600" s="237">
        <f>_xll.qlCalendarAdvance(Calendar,B600,NDays&amp;"D")</f>
        <v>43073</v>
      </c>
      <c r="D600" s="202">
        <v>1.1711209955152057E-2</v>
      </c>
      <c r="E600" s="202">
        <v>1.0644771713685941E-2</v>
      </c>
      <c r="U600" s="204"/>
    </row>
    <row r="601" spans="1:21" x14ac:dyDescent="0.2">
      <c r="A601" s="64" t="str">
        <f t="shared" si="10"/>
        <v>1w</v>
      </c>
      <c r="B601" s="203">
        <f>_xll.qlCalendarAdvance(Calendar,B600,A601,"f",FALSE)</f>
        <v>43076</v>
      </c>
      <c r="C601" s="237">
        <f>_xll.qlCalendarAdvance(Calendar,B601,NDays&amp;"D")</f>
        <v>43080</v>
      </c>
      <c r="D601" s="202">
        <v>1.179473296650538E-2</v>
      </c>
      <c r="E601" s="202">
        <v>1.071909094293666E-2</v>
      </c>
      <c r="U601" s="204"/>
    </row>
    <row r="602" spans="1:21" x14ac:dyDescent="0.2">
      <c r="A602" s="64" t="str">
        <f t="shared" si="10"/>
        <v>1w</v>
      </c>
      <c r="B602" s="203">
        <f>_xll.qlCalendarAdvance(Calendar,B601,A602,"f",FALSE)</f>
        <v>43083</v>
      </c>
      <c r="C602" s="237">
        <f>_xll.qlCalendarAdvance(Calendar,B602,NDays&amp;"D")</f>
        <v>43087</v>
      </c>
      <c r="D602" s="202">
        <v>1.1878866937016695E-2</v>
      </c>
      <c r="E602" s="202">
        <v>1.0794087040748579E-2</v>
      </c>
      <c r="U602" s="204"/>
    </row>
    <row r="603" spans="1:21" x14ac:dyDescent="0.2">
      <c r="A603" s="64" t="str">
        <f t="shared" si="10"/>
        <v>1w</v>
      </c>
      <c r="B603" s="203">
        <f>_xll.qlCalendarAdvance(Calendar,B602,A603,"f",FALSE)</f>
        <v>43090</v>
      </c>
      <c r="C603" s="237">
        <f>_xll.qlCalendarAdvance(Calendar,B603,NDays&amp;"D")</f>
        <v>43096</v>
      </c>
      <c r="D603" s="202">
        <v>1.1987873397385619E-2</v>
      </c>
      <c r="E603" s="202">
        <v>1.0891505178225458E-2</v>
      </c>
      <c r="U603" s="204"/>
    </row>
    <row r="604" spans="1:21" x14ac:dyDescent="0.2">
      <c r="A604" s="64" t="str">
        <f t="shared" si="10"/>
        <v>1w</v>
      </c>
      <c r="B604" s="203">
        <f>_xll.qlCalendarAdvance(Calendar,B603,A604,"f",FALSE)</f>
        <v>43097</v>
      </c>
      <c r="C604" s="237">
        <f>_xll.qlCalendarAdvance(Calendar,B604,NDays&amp;"D")</f>
        <v>43102</v>
      </c>
      <c r="D604" s="202">
        <v>1.2054535600123324E-2</v>
      </c>
      <c r="E604" s="202">
        <v>1.0957072218023001E-2</v>
      </c>
      <c r="U604" s="204"/>
    </row>
    <row r="605" spans="1:21" x14ac:dyDescent="0.2">
      <c r="A605" s="64" t="str">
        <f t="shared" si="10"/>
        <v>1w</v>
      </c>
      <c r="B605" s="203">
        <f>_xll.qlCalendarAdvance(Calendar,B604,A605,"f",FALSE)</f>
        <v>43104</v>
      </c>
      <c r="C605" s="237">
        <f>_xll.qlCalendarAdvance(Calendar,B605,NDays&amp;"D")</f>
        <v>43108</v>
      </c>
      <c r="D605" s="202">
        <v>1.2134539857442077E-2</v>
      </c>
      <c r="E605" s="202">
        <v>1.1023136550027957E-2</v>
      </c>
      <c r="U605" s="204"/>
    </row>
    <row r="606" spans="1:21" x14ac:dyDescent="0.2">
      <c r="A606" s="64" t="str">
        <f t="shared" si="10"/>
        <v>1w</v>
      </c>
      <c r="B606" s="203">
        <f>_xll.qlCalendarAdvance(Calendar,B605,A606,"f",FALSE)</f>
        <v>43111</v>
      </c>
      <c r="C606" s="237">
        <f>_xll.qlCalendarAdvance(Calendar,B606,NDays&amp;"D")</f>
        <v>43115</v>
      </c>
      <c r="D606" s="202">
        <v>1.2220722887009009E-2</v>
      </c>
      <c r="E606" s="202">
        <v>1.1100840126561096E-2</v>
      </c>
      <c r="U606" s="204"/>
    </row>
    <row r="607" spans="1:21" x14ac:dyDescent="0.2">
      <c r="A607" s="64" t="str">
        <f t="shared" si="10"/>
        <v>1w</v>
      </c>
      <c r="B607" s="203">
        <f>_xll.qlCalendarAdvance(Calendar,B606,A607,"f",FALSE)</f>
        <v>43118</v>
      </c>
      <c r="C607" s="237">
        <f>_xll.qlCalendarAdvance(Calendar,B607,NDays&amp;"D")</f>
        <v>43122</v>
      </c>
      <c r="D607" s="202">
        <v>1.2307319455069941E-2</v>
      </c>
      <c r="E607" s="202">
        <v>1.1179220573813708E-2</v>
      </c>
      <c r="U607" s="204"/>
    </row>
    <row r="608" spans="1:21" x14ac:dyDescent="0.2">
      <c r="A608" s="64" t="str">
        <f t="shared" si="10"/>
        <v>1w</v>
      </c>
      <c r="B608" s="203">
        <f>_xll.qlCalendarAdvance(Calendar,B607,A608,"f",FALSE)</f>
        <v>43125</v>
      </c>
      <c r="C608" s="237">
        <f>_xll.qlCalendarAdvance(Calendar,B608,NDays&amp;"D")</f>
        <v>43129</v>
      </c>
      <c r="D608" s="202">
        <v>1.2394290058033263E-2</v>
      </c>
      <c r="E608" s="202">
        <v>1.1258277892265411E-2</v>
      </c>
      <c r="U608" s="204"/>
    </row>
    <row r="609" spans="1:21" x14ac:dyDescent="0.2">
      <c r="A609" s="64" t="str">
        <f t="shared" si="10"/>
        <v>1w</v>
      </c>
      <c r="B609" s="203">
        <f>_xll.qlCalendarAdvance(Calendar,B608,A609,"f",FALSE)</f>
        <v>43132</v>
      </c>
      <c r="C609" s="237">
        <f>_xll.qlCalendarAdvance(Calendar,B609,NDays&amp;"D")</f>
        <v>43136</v>
      </c>
      <c r="D609" s="202">
        <v>1.2481595185619532E-2</v>
      </c>
      <c r="E609" s="202">
        <v>1.1338012082395821E-2</v>
      </c>
      <c r="U609" s="204"/>
    </row>
    <row r="610" spans="1:21" x14ac:dyDescent="0.2">
      <c r="A610" s="64" t="str">
        <f t="shared" si="10"/>
        <v>1w</v>
      </c>
      <c r="B610" s="203">
        <f>_xll.qlCalendarAdvance(Calendar,B609,A610,"f",FALSE)</f>
        <v>43139</v>
      </c>
      <c r="C610" s="237">
        <f>_xll.qlCalendarAdvance(Calendar,B610,NDays&amp;"D")</f>
        <v>43143</v>
      </c>
      <c r="D610" s="202">
        <v>1.2569195320790753E-2</v>
      </c>
      <c r="E610" s="202">
        <v>1.1418423144604617E-2</v>
      </c>
      <c r="U610" s="204"/>
    </row>
    <row r="611" spans="1:21" x14ac:dyDescent="0.2">
      <c r="A611" s="64" t="str">
        <f t="shared" si="10"/>
        <v>1w</v>
      </c>
      <c r="B611" s="203">
        <f>_xll.qlCalendarAdvance(Calendar,B610,A611,"f",FALSE)</f>
        <v>43146</v>
      </c>
      <c r="C611" s="237">
        <f>_xll.qlCalendarAdvance(Calendar,B611,NDays&amp;"D")</f>
        <v>43150</v>
      </c>
      <c r="D611" s="202">
        <v>1.2657050939691095E-2</v>
      </c>
      <c r="E611" s="202">
        <v>1.149951107929148E-2</v>
      </c>
      <c r="U611" s="204"/>
    </row>
    <row r="612" spans="1:21" x14ac:dyDescent="0.2">
      <c r="A612" s="64" t="str">
        <f t="shared" si="10"/>
        <v>1w</v>
      </c>
      <c r="B612" s="203">
        <f>_xll.qlCalendarAdvance(Calendar,B611,A612,"f",FALSE)</f>
        <v>43153</v>
      </c>
      <c r="C612" s="237">
        <f>_xll.qlCalendarAdvance(Calendar,B612,NDays&amp;"D")</f>
        <v>43157</v>
      </c>
      <c r="D612" s="202">
        <v>1.2745122511587581E-2</v>
      </c>
      <c r="E612" s="202">
        <v>1.1581275887095899E-2</v>
      </c>
      <c r="U612" s="204"/>
    </row>
    <row r="613" spans="1:21" x14ac:dyDescent="0.2">
      <c r="A613" s="64" t="str">
        <f t="shared" si="10"/>
        <v>1w</v>
      </c>
      <c r="B613" s="203">
        <f>_xll.qlCalendarAdvance(Calendar,B612,A613,"f",FALSE)</f>
        <v>43160</v>
      </c>
      <c r="C613" s="237">
        <f>_xll.qlCalendarAdvance(Calendar,B613,NDays&amp;"D")</f>
        <v>43164</v>
      </c>
      <c r="D613" s="202">
        <v>1.2846514061778778E-2</v>
      </c>
      <c r="E613" s="202">
        <v>1.1663717568257681E-2</v>
      </c>
      <c r="U613" s="204"/>
    </row>
    <row r="614" spans="1:21" x14ac:dyDescent="0.2">
      <c r="A614" s="64" t="str">
        <f t="shared" si="10"/>
        <v>1w</v>
      </c>
      <c r="B614" s="203">
        <f>_xll.qlCalendarAdvance(Calendar,B613,A614,"f",FALSE)</f>
        <v>43167</v>
      </c>
      <c r="C614" s="237">
        <f>_xll.qlCalendarAdvance(Calendar,B614,NDays&amp;"D")</f>
        <v>43171</v>
      </c>
      <c r="D614" s="202">
        <v>1.2934885314947875E-2</v>
      </c>
      <c r="E614" s="202">
        <v>1.1746836123416315E-2</v>
      </c>
      <c r="U614" s="204"/>
    </row>
    <row r="615" spans="1:21" x14ac:dyDescent="0.2">
      <c r="A615" s="64" t="str">
        <f t="shared" si="10"/>
        <v>1w</v>
      </c>
      <c r="B615" s="203">
        <f>_xll.qlCalendarAdvance(Calendar,B614,A615,"f",FALSE)</f>
        <v>43174</v>
      </c>
      <c r="C615" s="237">
        <f>_xll.qlCalendarAdvance(Calendar,B615,NDays&amp;"D")</f>
        <v>43178</v>
      </c>
      <c r="D615" s="202">
        <v>1.3023349143205002E-2</v>
      </c>
      <c r="E615" s="202">
        <v>1.1830631552971482E-2</v>
      </c>
      <c r="U615" s="204"/>
    </row>
    <row r="616" spans="1:21" x14ac:dyDescent="0.2">
      <c r="A616" s="64" t="str">
        <f t="shared" si="10"/>
        <v>1w</v>
      </c>
      <c r="B616" s="203">
        <f>_xll.qlCalendarAdvance(Calendar,B615,A616,"f",FALSE)</f>
        <v>43181</v>
      </c>
      <c r="C616" s="237">
        <f>_xll.qlCalendarAdvance(Calendar,B616,NDays&amp;"D")</f>
        <v>43185</v>
      </c>
      <c r="D616" s="202">
        <v>1.3111866414453902E-2</v>
      </c>
      <c r="E616" s="202">
        <v>1.1915103857402798E-2</v>
      </c>
      <c r="U616" s="204"/>
    </row>
    <row r="617" spans="1:21" x14ac:dyDescent="0.2">
      <c r="A617" s="64" t="str">
        <f t="shared" si="10"/>
        <v>1w</v>
      </c>
      <c r="B617" s="203">
        <f>_xll.qlCalendarAdvance(Calendar,B616,A617,"f",FALSE)</f>
        <v>43188</v>
      </c>
      <c r="C617" s="237">
        <f>_xll.qlCalendarAdvance(Calendar,B617,NDays&amp;"D")</f>
        <v>43194</v>
      </c>
      <c r="D617" s="202">
        <v>1.3219163647381528E-2</v>
      </c>
      <c r="E617" s="202">
        <v>1.2024705698365779E-2</v>
      </c>
      <c r="U617" s="204"/>
    </row>
    <row r="618" spans="1:21" x14ac:dyDescent="0.2">
      <c r="A618" s="64" t="str">
        <f t="shared" si="10"/>
        <v>1w</v>
      </c>
      <c r="B618" s="203">
        <f>_xll.qlCalendarAdvance(Calendar,B617,A618,"f",FALSE)</f>
        <v>43195</v>
      </c>
      <c r="C618" s="237">
        <f>_xll.qlCalendarAdvance(Calendar,B618,NDays&amp;"D")</f>
        <v>43199</v>
      </c>
      <c r="D618" s="202">
        <v>1.3282389407766979E-2</v>
      </c>
      <c r="E618" s="202">
        <v>1.2086079092812341E-2</v>
      </c>
      <c r="U618" s="204"/>
    </row>
    <row r="619" spans="1:21" x14ac:dyDescent="0.2">
      <c r="A619" s="64" t="str">
        <f t="shared" si="10"/>
        <v>1w</v>
      </c>
      <c r="B619" s="203">
        <f>_xll.qlCalendarAdvance(Calendar,B618,A619,"f",FALSE)</f>
        <v>43202</v>
      </c>
      <c r="C619" s="237">
        <f>_xll.qlCalendarAdvance(Calendar,B619,NDays&amp;"D")</f>
        <v>43206</v>
      </c>
      <c r="D619" s="202">
        <v>1.3370848700183518E-2</v>
      </c>
      <c r="E619" s="202">
        <v>1.2172582024669865E-2</v>
      </c>
      <c r="U619" s="204"/>
    </row>
    <row r="620" spans="1:21" x14ac:dyDescent="0.2">
      <c r="A620" s="64" t="str">
        <f t="shared" si="10"/>
        <v>1w</v>
      </c>
      <c r="B620" s="203">
        <f>_xll.qlCalendarAdvance(Calendar,B619,A620,"f",FALSE)</f>
        <v>43209</v>
      </c>
      <c r="C620" s="237">
        <f>_xll.qlCalendarAdvance(Calendar,B620,NDays&amp;"D")</f>
        <v>43213</v>
      </c>
      <c r="D620" s="202">
        <v>1.3459206135425561E-2</v>
      </c>
      <c r="E620" s="202">
        <v>1.2259761833401939E-2</v>
      </c>
      <c r="U620" s="204"/>
    </row>
    <row r="621" spans="1:21" x14ac:dyDescent="0.2">
      <c r="A621" s="64" t="str">
        <f t="shared" si="10"/>
        <v>1w</v>
      </c>
      <c r="B621" s="203">
        <f>_xll.qlCalendarAdvance(Calendar,B620,A621,"f",FALSE)</f>
        <v>43216</v>
      </c>
      <c r="C621" s="237">
        <f>_xll.qlCalendarAdvance(Calendar,B621,NDays&amp;"D")</f>
        <v>43220</v>
      </c>
      <c r="D621" s="202">
        <v>1.3553884299976157E-2</v>
      </c>
      <c r="E621" s="202">
        <v>1.2354133596006456E-2</v>
      </c>
      <c r="U621" s="204"/>
    </row>
    <row r="622" spans="1:21" x14ac:dyDescent="0.2">
      <c r="A622" s="64" t="str">
        <f t="shared" si="10"/>
        <v>1w</v>
      </c>
      <c r="B622" s="203">
        <f>_xll.qlCalendarAdvance(Calendar,B621,A622,"f",FALSE)</f>
        <v>43223</v>
      </c>
      <c r="C622" s="237">
        <f>_xll.qlCalendarAdvance(Calendar,B622,NDays&amp;"D")</f>
        <v>43227</v>
      </c>
      <c r="D622" s="202">
        <v>1.3641900061463945E-2</v>
      </c>
      <c r="E622" s="202">
        <v>1.2436152083248331E-2</v>
      </c>
      <c r="U622" s="204"/>
    </row>
    <row r="623" spans="1:21" x14ac:dyDescent="0.2">
      <c r="A623" s="64" t="str">
        <f t="shared" si="10"/>
        <v>1w</v>
      </c>
      <c r="B623" s="203">
        <f>_xll.qlCalendarAdvance(Calendar,B622,A623,"f",FALSE)</f>
        <v>43230</v>
      </c>
      <c r="C623" s="237">
        <f>_xll.qlCalendarAdvance(Calendar,B623,NDays&amp;"D")</f>
        <v>43234</v>
      </c>
      <c r="D623" s="202">
        <v>1.3729695144610046E-2</v>
      </c>
      <c r="E623" s="202">
        <v>1.2525362525401817E-2</v>
      </c>
      <c r="U623" s="204"/>
    </row>
    <row r="624" spans="1:21" x14ac:dyDescent="0.2">
      <c r="A624" s="64" t="str">
        <f t="shared" si="10"/>
        <v>1w</v>
      </c>
      <c r="B624" s="203">
        <f>_xll.qlCalendarAdvance(Calendar,B623,A624,"f",FALSE)</f>
        <v>43237</v>
      </c>
      <c r="C624" s="237">
        <f>_xll.qlCalendarAdvance(Calendar,B624,NDays&amp;"D")</f>
        <v>43241</v>
      </c>
      <c r="D624" s="202">
        <v>1.3817230361329941E-2</v>
      </c>
      <c r="E624" s="202">
        <v>1.2615249846268384E-2</v>
      </c>
      <c r="U624" s="204"/>
    </row>
    <row r="625" spans="1:21" x14ac:dyDescent="0.2">
      <c r="A625" s="64" t="str">
        <f t="shared" si="10"/>
        <v>1w</v>
      </c>
      <c r="B625" s="203">
        <f>_xll.qlCalendarAdvance(Calendar,B624,A625,"f",FALSE)</f>
        <v>43244</v>
      </c>
      <c r="C625" s="237">
        <f>_xll.qlCalendarAdvance(Calendar,B625,NDays&amp;"D")</f>
        <v>43248</v>
      </c>
      <c r="D625" s="202">
        <v>1.3904466516673306E-2</v>
      </c>
      <c r="E625" s="202">
        <v>1.2705814046407582E-2</v>
      </c>
      <c r="U625" s="204"/>
    </row>
    <row r="626" spans="1:21" x14ac:dyDescent="0.2">
      <c r="A626" s="64" t="str">
        <f t="shared" si="10"/>
        <v>1w</v>
      </c>
      <c r="B626" s="203">
        <f>_xll.qlCalendarAdvance(Calendar,B625,A626,"f",FALSE)</f>
        <v>43251</v>
      </c>
      <c r="C626" s="237">
        <f>_xll.qlCalendarAdvance(Calendar,B626,NDays&amp;"D")</f>
        <v>43255</v>
      </c>
      <c r="D626" s="202">
        <v>1.3985010148932917E-2</v>
      </c>
      <c r="E626" s="202">
        <v>1.2796613598204942E-2</v>
      </c>
      <c r="U626" s="204"/>
    </row>
    <row r="627" spans="1:21" x14ac:dyDescent="0.2">
      <c r="A627" s="64" t="str">
        <f t="shared" si="10"/>
        <v>1w</v>
      </c>
      <c r="B627" s="203">
        <f>_xll.qlCalendarAdvance(Calendar,B626,A627,"f",FALSE)</f>
        <v>43258</v>
      </c>
      <c r="C627" s="237">
        <f>_xll.qlCalendarAdvance(Calendar,B627,NDays&amp;"D")</f>
        <v>43262</v>
      </c>
      <c r="D627" s="202">
        <v>1.4071589476678525E-2</v>
      </c>
      <c r="E627" s="202">
        <v>1.288707138610512E-2</v>
      </c>
      <c r="U627" s="204"/>
    </row>
    <row r="628" spans="1:21" x14ac:dyDescent="0.2">
      <c r="A628" s="64" t="str">
        <f t="shared" si="10"/>
        <v>1w</v>
      </c>
      <c r="B628" s="203">
        <f>_xll.qlCalendarAdvance(Calendar,B627,A628,"f",FALSE)</f>
        <v>43265</v>
      </c>
      <c r="C628" s="237">
        <f>_xll.qlCalendarAdvance(Calendar,B628,NDays&amp;"D")</f>
        <v>43269</v>
      </c>
      <c r="D628" s="202">
        <v>1.4157824852167733E-2</v>
      </c>
      <c r="E628" s="202">
        <v>1.2977183933289282E-2</v>
      </c>
      <c r="U628" s="204"/>
    </row>
    <row r="629" spans="1:21" x14ac:dyDescent="0.2">
      <c r="A629" s="64" t="str">
        <f t="shared" si="10"/>
        <v>1w</v>
      </c>
      <c r="B629" s="203">
        <f>_xll.qlCalendarAdvance(Calendar,B628,A629,"f",FALSE)</f>
        <v>43272</v>
      </c>
      <c r="C629" s="237">
        <f>_xll.qlCalendarAdvance(Calendar,B629,NDays&amp;"D")</f>
        <v>43276</v>
      </c>
      <c r="D629" s="202">
        <v>1.4256303874814932E-2</v>
      </c>
      <c r="E629" s="202">
        <v>1.3066951239357749E-2</v>
      </c>
      <c r="U629" s="204"/>
    </row>
    <row r="630" spans="1:21" x14ac:dyDescent="0.2">
      <c r="A630" s="64" t="str">
        <f t="shared" si="10"/>
        <v>1w</v>
      </c>
      <c r="B630" s="203">
        <f>_xll.qlCalendarAdvance(Calendar,B629,A630,"f",FALSE)</f>
        <v>43279</v>
      </c>
      <c r="C630" s="237">
        <f>_xll.qlCalendarAdvance(Calendar,B630,NDays&amp;"D")</f>
        <v>43283</v>
      </c>
      <c r="D630" s="202">
        <v>1.4335537123084519E-2</v>
      </c>
      <c r="E630" s="202">
        <v>1.3156373304230584E-2</v>
      </c>
      <c r="U630" s="204"/>
    </row>
    <row r="631" spans="1:21" x14ac:dyDescent="0.2">
      <c r="A631" s="64" t="str">
        <f t="shared" si="10"/>
        <v>1w</v>
      </c>
      <c r="B631" s="203">
        <f>_xll.qlCalendarAdvance(Calendar,B630,A631,"f",FALSE)</f>
        <v>43286</v>
      </c>
      <c r="C631" s="237">
        <f>_xll.qlCalendarAdvance(Calendar,B631,NDays&amp;"D")</f>
        <v>43290</v>
      </c>
      <c r="D631" s="202">
        <v>1.4420719176627057E-2</v>
      </c>
      <c r="E631" s="202">
        <v>1.3245450127508107E-2</v>
      </c>
      <c r="U631" s="204"/>
    </row>
    <row r="632" spans="1:21" x14ac:dyDescent="0.2">
      <c r="A632" s="64" t="str">
        <f t="shared" si="10"/>
        <v>1w</v>
      </c>
      <c r="B632" s="203">
        <f>_xll.qlCalendarAdvance(Calendar,B631,A632,"f",FALSE)</f>
        <v>43293</v>
      </c>
      <c r="C632" s="237">
        <f>_xll.qlCalendarAdvance(Calendar,B632,NDays&amp;"D")</f>
        <v>43297</v>
      </c>
      <c r="D632" s="202">
        <v>1.4505557101052217E-2</v>
      </c>
      <c r="E632" s="202">
        <v>1.333418170895051E-2</v>
      </c>
      <c r="U632" s="204"/>
    </row>
    <row r="633" spans="1:21" x14ac:dyDescent="0.2">
      <c r="A633" s="64" t="str">
        <f t="shared" si="10"/>
        <v>1w</v>
      </c>
      <c r="B633" s="203">
        <f>_xll.qlCalendarAdvance(Calendar,B632,A633,"f",FALSE)</f>
        <v>43300</v>
      </c>
      <c r="C633" s="237">
        <f>_xll.qlCalendarAdvance(Calendar,B633,NDays&amp;"D")</f>
        <v>43304</v>
      </c>
      <c r="D633" s="202">
        <v>1.4590050851605803E-2</v>
      </c>
      <c r="E633" s="202">
        <v>1.3422568048477856E-2</v>
      </c>
      <c r="U633" s="204"/>
    </row>
    <row r="634" spans="1:21" x14ac:dyDescent="0.2">
      <c r="A634" s="64" t="str">
        <f t="shared" si="10"/>
        <v>1w</v>
      </c>
      <c r="B634" s="203">
        <f>_xll.qlCalendarAdvance(Calendar,B633,A634,"f",FALSE)</f>
        <v>43307</v>
      </c>
      <c r="C634" s="237">
        <f>_xll.qlCalendarAdvance(Calendar,B634,NDays&amp;"D")</f>
        <v>43311</v>
      </c>
      <c r="D634" s="202">
        <v>1.4674200383713034E-2</v>
      </c>
      <c r="E634" s="202">
        <v>1.351060914561053E-2</v>
      </c>
      <c r="U634" s="204"/>
    </row>
    <row r="635" spans="1:21" x14ac:dyDescent="0.2">
      <c r="A635" s="64" t="str">
        <f t="shared" si="10"/>
        <v>1w</v>
      </c>
      <c r="B635" s="203">
        <f>_xll.qlCalendarAdvance(Calendar,B634,A635,"f",FALSE)</f>
        <v>43314</v>
      </c>
      <c r="C635" s="237">
        <f>_xll.qlCalendarAdvance(Calendar,B635,NDays&amp;"D")</f>
        <v>43318</v>
      </c>
      <c r="D635" s="202">
        <v>1.475800565297942E-2</v>
      </c>
      <c r="E635" s="202">
        <v>1.3598305000108724E-2</v>
      </c>
      <c r="U635" s="204"/>
    </row>
    <row r="636" spans="1:21" x14ac:dyDescent="0.2">
      <c r="A636" s="64" t="str">
        <f t="shared" si="10"/>
        <v>1w</v>
      </c>
      <c r="B636" s="203">
        <f>_xll.qlCalendarAdvance(Calendar,B635,A636,"f",FALSE)</f>
        <v>43321</v>
      </c>
      <c r="C636" s="237">
        <f>_xll.qlCalendarAdvance(Calendar,B636,NDays&amp;"D")</f>
        <v>43325</v>
      </c>
      <c r="D636" s="202">
        <v>1.4841466615192069E-2</v>
      </c>
      <c r="E636" s="202">
        <v>1.36856556118925E-2</v>
      </c>
      <c r="U636" s="204"/>
    </row>
    <row r="637" spans="1:21" x14ac:dyDescent="0.2">
      <c r="A637" s="64" t="str">
        <f t="shared" si="10"/>
        <v>1w</v>
      </c>
      <c r="B637" s="203">
        <f>_xll.qlCalendarAdvance(Calendar,B636,A637,"f",FALSE)</f>
        <v>43328</v>
      </c>
      <c r="C637" s="237">
        <f>_xll.qlCalendarAdvance(Calendar,B637,NDays&amp;"D")</f>
        <v>43332</v>
      </c>
      <c r="D637" s="202">
        <v>1.4924583226316639E-2</v>
      </c>
      <c r="E637" s="202">
        <v>1.3772660980562179E-2</v>
      </c>
      <c r="U637" s="204"/>
    </row>
    <row r="638" spans="1:21" x14ac:dyDescent="0.2">
      <c r="A638" s="64" t="str">
        <f t="shared" si="10"/>
        <v>1w</v>
      </c>
      <c r="B638" s="203">
        <f>_xll.qlCalendarAdvance(Calendar,B637,A638,"f",FALSE)</f>
        <v>43335</v>
      </c>
      <c r="C638" s="237">
        <f>_xll.qlCalendarAdvance(Calendar,B638,NDays&amp;"D")</f>
        <v>43339</v>
      </c>
      <c r="D638" s="202">
        <v>1.5007355442500817E-2</v>
      </c>
      <c r="E638" s="202">
        <v>1.3859321105957889E-2</v>
      </c>
      <c r="U638" s="204"/>
    </row>
    <row r="639" spans="1:21" x14ac:dyDescent="0.2">
      <c r="A639" s="64" t="str">
        <f t="shared" si="10"/>
        <v>1w</v>
      </c>
      <c r="B639" s="203">
        <f>_xll.qlCalendarAdvance(Calendar,B638,A639,"f",FALSE)</f>
        <v>43342</v>
      </c>
      <c r="C639" s="237">
        <f>_xll.qlCalendarAdvance(Calendar,B639,NDays&amp;"D")</f>
        <v>43346</v>
      </c>
      <c r="D639" s="202">
        <v>1.5077615566521438E-2</v>
      </c>
      <c r="E639" s="202">
        <v>1.3945635987759886E-2</v>
      </c>
      <c r="U639" s="204"/>
    </row>
    <row r="640" spans="1:21" x14ac:dyDescent="0.2">
      <c r="A640" s="64" t="str">
        <f t="shared" si="10"/>
        <v>1w</v>
      </c>
      <c r="B640" s="203">
        <f>_xll.qlCalendarAdvance(Calendar,B639,A640,"f",FALSE)</f>
        <v>43349</v>
      </c>
      <c r="C640" s="237">
        <f>_xll.qlCalendarAdvance(Calendar,B640,NDays&amp;"D")</f>
        <v>43353</v>
      </c>
      <c r="D640" s="202">
        <v>1.5159741213383831E-2</v>
      </c>
      <c r="E640" s="202">
        <v>1.4031605625808297E-2</v>
      </c>
      <c r="U640" s="204"/>
    </row>
    <row r="641" spans="1:21" x14ac:dyDescent="0.2">
      <c r="A641" s="64" t="str">
        <f t="shared" si="10"/>
        <v>1w</v>
      </c>
      <c r="B641" s="203">
        <f>_xll.qlCalendarAdvance(Calendar,B640,A641,"f",FALSE)</f>
        <v>43356</v>
      </c>
      <c r="C641" s="237">
        <f>_xll.qlCalendarAdvance(Calendar,B641,NDays&amp;"D")</f>
        <v>43360</v>
      </c>
      <c r="D641" s="202">
        <v>1.5241522332841817E-2</v>
      </c>
      <c r="E641" s="202">
        <v>1.4117230019703442E-2</v>
      </c>
      <c r="U641" s="204"/>
    </row>
    <row r="642" spans="1:21" x14ac:dyDescent="0.2">
      <c r="A642" s="64" t="str">
        <f t="shared" si="10"/>
        <v>1w</v>
      </c>
      <c r="B642" s="203">
        <f>_xll.qlCalendarAdvance(Calendar,B641,A642,"f",FALSE)</f>
        <v>43363</v>
      </c>
      <c r="C642" s="237">
        <f>_xll.qlCalendarAdvance(Calendar,B642,NDays&amp;"D")</f>
        <v>43367</v>
      </c>
      <c r="D642" s="202">
        <v>1.5322958882211735E-2</v>
      </c>
      <c r="E642" s="202">
        <v>1.4202509169365385E-2</v>
      </c>
      <c r="U642" s="204"/>
    </row>
    <row r="643" spans="1:21" x14ac:dyDescent="0.2">
      <c r="A643" s="64" t="str">
        <f t="shared" si="10"/>
        <v>1w</v>
      </c>
      <c r="B643" s="203">
        <f>_xll.qlCalendarAdvance(Calendar,B642,A643,"f",FALSE)</f>
        <v>43370</v>
      </c>
      <c r="C643" s="237">
        <f>_xll.qlCalendarAdvance(Calendar,B643,NDays&amp;"D")</f>
        <v>43374</v>
      </c>
      <c r="D643" s="202">
        <v>1.5404050818985611E-2</v>
      </c>
      <c r="E643" s="202">
        <v>1.4287443074474382E-2</v>
      </c>
      <c r="U643" s="204"/>
    </row>
    <row r="644" spans="1:21" x14ac:dyDescent="0.2">
      <c r="A644" s="64" t="str">
        <f t="shared" si="10"/>
        <v>1w</v>
      </c>
      <c r="B644" s="203">
        <f>_xll.qlCalendarAdvance(Calendar,B643,A644,"f",FALSE)</f>
        <v>43377</v>
      </c>
      <c r="C644" s="237">
        <f>_xll.qlCalendarAdvance(Calendar,B644,NDays&amp;"D")</f>
        <v>43381</v>
      </c>
      <c r="D644" s="202">
        <v>1.5484798100835548E-2</v>
      </c>
      <c r="E644" s="202">
        <v>1.4372031734710689E-2</v>
      </c>
      <c r="U644" s="204"/>
    </row>
    <row r="645" spans="1:21" x14ac:dyDescent="0.2">
      <c r="A645" s="64" t="str">
        <f t="shared" si="10"/>
        <v>1w</v>
      </c>
      <c r="B645" s="203">
        <f>_xll.qlCalendarAdvance(Calendar,B644,A645,"f",FALSE)</f>
        <v>43384</v>
      </c>
      <c r="C645" s="237">
        <f>_xll.qlCalendarAdvance(Calendar,B645,NDays&amp;"D")</f>
        <v>43388</v>
      </c>
      <c r="D645" s="202">
        <v>1.5565200685612839E-2</v>
      </c>
      <c r="E645" s="202">
        <v>1.4456275149994369E-2</v>
      </c>
      <c r="U645" s="204"/>
    </row>
    <row r="646" spans="1:21" x14ac:dyDescent="0.2">
      <c r="A646" s="64" t="str">
        <f t="shared" si="10"/>
        <v>1w</v>
      </c>
      <c r="B646" s="203">
        <f>_xll.qlCalendarAdvance(Calendar,B645,A646,"f",FALSE)</f>
        <v>43391</v>
      </c>
      <c r="C646" s="237">
        <f>_xll.qlCalendarAdvance(Calendar,B646,NDays&amp;"D")</f>
        <v>43395</v>
      </c>
      <c r="D646" s="202">
        <v>1.565119506987081E-2</v>
      </c>
      <c r="E646" s="202">
        <v>1.4540173319925742E-2</v>
      </c>
      <c r="U646" s="204"/>
    </row>
    <row r="647" spans="1:21" x14ac:dyDescent="0.2">
      <c r="A647" s="64" t="str">
        <f t="shared" ref="A647:A710" si="11">A646</f>
        <v>1w</v>
      </c>
      <c r="B647" s="203">
        <f>_xll.qlCalendarAdvance(Calendar,B646,A647,"f",FALSE)</f>
        <v>43398</v>
      </c>
      <c r="C647" s="237">
        <f>_xll.qlCalendarAdvance(Calendar,B647,NDays&amp;"D")</f>
        <v>43402</v>
      </c>
      <c r="D647" s="202">
        <v>1.572497159624496E-2</v>
      </c>
      <c r="E647" s="202">
        <v>1.4623726244424873E-2</v>
      </c>
      <c r="U647" s="204"/>
    </row>
    <row r="648" spans="1:21" x14ac:dyDescent="0.2">
      <c r="A648" s="64" t="str">
        <f t="shared" si="11"/>
        <v>1w</v>
      </c>
      <c r="B648" s="203">
        <f>_xll.qlCalendarAdvance(Calendar,B647,A648,"f",FALSE)</f>
        <v>43405</v>
      </c>
      <c r="C648" s="237">
        <f>_xll.qlCalendarAdvance(Calendar,B648,NDays&amp;"D")</f>
        <v>43409</v>
      </c>
      <c r="D648" s="202">
        <v>1.5804339838695738E-2</v>
      </c>
      <c r="E648" s="202">
        <v>1.470693392309208E-2</v>
      </c>
      <c r="U648" s="204"/>
    </row>
    <row r="649" spans="1:21" x14ac:dyDescent="0.2">
      <c r="A649" s="64" t="str">
        <f t="shared" si="11"/>
        <v>1w</v>
      </c>
      <c r="B649" s="203">
        <f>_xll.qlCalendarAdvance(Calendar,B648,A649,"f",FALSE)</f>
        <v>43412</v>
      </c>
      <c r="C649" s="237">
        <f>_xll.qlCalendarAdvance(Calendar,B649,NDays&amp;"D")</f>
        <v>43416</v>
      </c>
      <c r="D649" s="202">
        <v>1.5883363217264451E-2</v>
      </c>
      <c r="E649" s="202">
        <v>1.4789796355767493E-2</v>
      </c>
      <c r="U649" s="204"/>
    </row>
    <row r="650" spans="1:21" x14ac:dyDescent="0.2">
      <c r="A650" s="64" t="str">
        <f t="shared" si="11"/>
        <v>1w</v>
      </c>
      <c r="B650" s="203">
        <f>_xll.qlCalendarAdvance(Calendar,B649,A650,"f",FALSE)</f>
        <v>43419</v>
      </c>
      <c r="C650" s="237">
        <f>_xll.qlCalendarAdvance(Calendar,B650,NDays&amp;"D")</f>
        <v>43423</v>
      </c>
      <c r="D650" s="202">
        <v>1.5962041690697062E-2</v>
      </c>
      <c r="E650" s="202">
        <v>1.4872313542211302E-2</v>
      </c>
      <c r="U650" s="204"/>
    </row>
    <row r="651" spans="1:21" x14ac:dyDescent="0.2">
      <c r="A651" s="64" t="str">
        <f t="shared" si="11"/>
        <v>1w</v>
      </c>
      <c r="B651" s="203">
        <f>_xll.qlCalendarAdvance(Calendar,B650,A651,"f",FALSE)</f>
        <v>43426</v>
      </c>
      <c r="C651" s="237">
        <f>_xll.qlCalendarAdvance(Calendar,B651,NDays&amp;"D")</f>
        <v>43430</v>
      </c>
      <c r="D651" s="202">
        <v>1.6040375217916101E-2</v>
      </c>
      <c r="E651" s="202">
        <v>1.4954485482183699E-2</v>
      </c>
      <c r="U651" s="204"/>
    </row>
    <row r="652" spans="1:21" x14ac:dyDescent="0.2">
      <c r="A652" s="64" t="str">
        <f t="shared" si="11"/>
        <v>1w</v>
      </c>
      <c r="B652" s="203">
        <f>_xll.qlCalendarAdvance(Calendar,B651,A652,"f",FALSE)</f>
        <v>43433</v>
      </c>
      <c r="C652" s="237">
        <f>_xll.qlCalendarAdvance(Calendar,B652,NDays&amp;"D")</f>
        <v>43437</v>
      </c>
      <c r="D652" s="202">
        <v>1.6118364338375327E-2</v>
      </c>
      <c r="E652" s="202">
        <v>1.5036312175364941E-2</v>
      </c>
      <c r="U652" s="204"/>
    </row>
    <row r="653" spans="1:21" x14ac:dyDescent="0.2">
      <c r="A653" s="64" t="str">
        <f t="shared" si="11"/>
        <v>1w</v>
      </c>
      <c r="B653" s="203">
        <f>_xll.qlCalendarAdvance(Calendar,B652,A653,"f",FALSE)</f>
        <v>43440</v>
      </c>
      <c r="C653" s="237">
        <f>_xll.qlCalendarAdvance(Calendar,B653,NDays&amp;"D")</f>
        <v>43444</v>
      </c>
      <c r="D653" s="202">
        <v>1.6196015293374524E-2</v>
      </c>
      <c r="E653" s="202">
        <v>1.5117793621755027E-2</v>
      </c>
      <c r="U653" s="204"/>
    </row>
    <row r="654" spans="1:21" x14ac:dyDescent="0.2">
      <c r="A654" s="64" t="str">
        <f t="shared" si="11"/>
        <v>1w</v>
      </c>
      <c r="B654" s="203">
        <f>_xll.qlCalendarAdvance(Calendar,B653,A654,"f",FALSE)</f>
        <v>43447</v>
      </c>
      <c r="C654" s="237">
        <f>_xll.qlCalendarAdvance(Calendar,B654,NDays&amp;"D")</f>
        <v>43451</v>
      </c>
      <c r="D654" s="202">
        <v>1.6273337561644896E-2</v>
      </c>
      <c r="E654" s="202">
        <v>1.5198929820874341E-2</v>
      </c>
      <c r="U654" s="204"/>
    </row>
    <row r="655" spans="1:21" x14ac:dyDescent="0.2">
      <c r="A655" s="64" t="str">
        <f t="shared" si="11"/>
        <v>1w</v>
      </c>
      <c r="B655" s="203">
        <f>_xll.qlCalendarAdvance(Calendar,B654,A655,"f",FALSE)</f>
        <v>43454</v>
      </c>
      <c r="C655" s="237">
        <f>_xll.qlCalendarAdvance(Calendar,B655,NDays&amp;"D")</f>
        <v>43458</v>
      </c>
      <c r="D655" s="202">
        <v>1.63503406607086E-2</v>
      </c>
      <c r="E655" s="202">
        <v>1.529188131894621E-2</v>
      </c>
      <c r="U655" s="204"/>
    </row>
    <row r="656" spans="1:21" x14ac:dyDescent="0.2">
      <c r="A656" s="64" t="str">
        <f t="shared" si="11"/>
        <v>1w</v>
      </c>
      <c r="B656" s="203">
        <f>_xll.qlCalendarAdvance(Calendar,B655,A656,"f",FALSE)</f>
        <v>43461</v>
      </c>
      <c r="C656" s="237">
        <f>_xll.qlCalendarAdvance(Calendar,B656,NDays&amp;"D")</f>
        <v>43465</v>
      </c>
      <c r="D656" s="202">
        <v>1.6409809295437863E-2</v>
      </c>
      <c r="E656" s="202">
        <v>1.536622643823371E-2</v>
      </c>
      <c r="U656" s="204"/>
    </row>
    <row r="657" spans="1:21" x14ac:dyDescent="0.2">
      <c r="A657" s="64" t="str">
        <f t="shared" si="11"/>
        <v>1w</v>
      </c>
      <c r="B657" s="203">
        <f>_xll.qlCalendarAdvance(Calendar,B656,A657,"f",FALSE)</f>
        <v>43468</v>
      </c>
      <c r="C657" s="237">
        <f>_xll.qlCalendarAdvance(Calendar,B657,NDays&amp;"D")</f>
        <v>43472</v>
      </c>
      <c r="D657" s="202">
        <v>1.6503427429448436E-2</v>
      </c>
      <c r="E657" s="202">
        <v>1.5440266932689184E-2</v>
      </c>
      <c r="U657" s="204"/>
    </row>
    <row r="658" spans="1:21" x14ac:dyDescent="0.2">
      <c r="A658" s="64" t="str">
        <f t="shared" si="11"/>
        <v>1w</v>
      </c>
      <c r="B658" s="203">
        <f>_xll.qlCalendarAdvance(Calendar,B657,A658,"f",FALSE)</f>
        <v>43475</v>
      </c>
      <c r="C658" s="237">
        <f>_xll.qlCalendarAdvance(Calendar,B658,NDays&amp;"D")</f>
        <v>43479</v>
      </c>
      <c r="D658" s="202">
        <v>1.6579530142267897E-2</v>
      </c>
      <c r="E658" s="202">
        <v>1.5520022140806944E-2</v>
      </c>
      <c r="U658" s="204"/>
    </row>
    <row r="659" spans="1:21" x14ac:dyDescent="0.2">
      <c r="A659" s="64" t="str">
        <f t="shared" si="11"/>
        <v>1w</v>
      </c>
      <c r="B659" s="203">
        <f>_xll.qlCalendarAdvance(Calendar,B658,A659,"f",FALSE)</f>
        <v>43482</v>
      </c>
      <c r="C659" s="237">
        <f>_xll.qlCalendarAdvance(Calendar,B659,NDays&amp;"D")</f>
        <v>43486</v>
      </c>
      <c r="D659" s="202">
        <v>1.6655351772140548E-2</v>
      </c>
      <c r="E659" s="202">
        <v>1.5599432100454891E-2</v>
      </c>
      <c r="U659" s="204"/>
    </row>
    <row r="660" spans="1:21" x14ac:dyDescent="0.2">
      <c r="A660" s="64" t="str">
        <f t="shared" si="11"/>
        <v>1w</v>
      </c>
      <c r="B660" s="203">
        <f>_xll.qlCalendarAdvance(Calendar,B659,A660,"f",FALSE)</f>
        <v>43489</v>
      </c>
      <c r="C660" s="237">
        <f>_xll.qlCalendarAdvance(Calendar,B660,NDays&amp;"D")</f>
        <v>43493</v>
      </c>
      <c r="D660" s="202">
        <v>1.6730901844601919E-2</v>
      </c>
      <c r="E660" s="202">
        <v>1.5678496811633025E-2</v>
      </c>
      <c r="U660" s="204"/>
    </row>
    <row r="661" spans="1:21" x14ac:dyDescent="0.2">
      <c r="A661" s="64" t="str">
        <f t="shared" si="11"/>
        <v>1w</v>
      </c>
      <c r="B661" s="203">
        <f>_xll.qlCalendarAdvance(Calendar,B660,A661,"f",FALSE)</f>
        <v>43496</v>
      </c>
      <c r="C661" s="237">
        <f>_xll.qlCalendarAdvance(Calendar,B661,NDays&amp;"D")</f>
        <v>43500</v>
      </c>
      <c r="D661" s="202">
        <v>1.6806189886750676E-2</v>
      </c>
      <c r="E661" s="202">
        <v>1.5757216274021602E-2</v>
      </c>
      <c r="U661" s="204"/>
    </row>
    <row r="662" spans="1:21" x14ac:dyDescent="0.2">
      <c r="A662" s="64" t="str">
        <f t="shared" si="11"/>
        <v>1w</v>
      </c>
      <c r="B662" s="203">
        <f>_xll.qlCalendarAdvance(Calendar,B661,A662,"f",FALSE)</f>
        <v>43503</v>
      </c>
      <c r="C662" s="237">
        <f>_xll.qlCalendarAdvance(Calendar,B662,NDays&amp;"D")</f>
        <v>43507</v>
      </c>
      <c r="D662" s="202">
        <v>1.68812254272337E-2</v>
      </c>
      <c r="E662" s="202">
        <v>1.5835590487300877E-2</v>
      </c>
      <c r="U662" s="204"/>
    </row>
    <row r="663" spans="1:21" x14ac:dyDescent="0.2">
      <c r="A663" s="64" t="str">
        <f t="shared" si="11"/>
        <v>1w</v>
      </c>
      <c r="B663" s="203">
        <f>_xll.qlCalendarAdvance(Calendar,B662,A663,"f",FALSE)</f>
        <v>43510</v>
      </c>
      <c r="C663" s="237">
        <f>_xll.qlCalendarAdvance(Calendar,B663,NDays&amp;"D")</f>
        <v>43514</v>
      </c>
      <c r="D663" s="202">
        <v>1.6956017996233794E-2</v>
      </c>
      <c r="E663" s="202">
        <v>1.5913619451390915E-2</v>
      </c>
      <c r="U663" s="204"/>
    </row>
    <row r="664" spans="1:21" x14ac:dyDescent="0.2">
      <c r="A664" s="64" t="str">
        <f t="shared" si="11"/>
        <v>1w</v>
      </c>
      <c r="B664" s="203">
        <f>_xll.qlCalendarAdvance(Calendar,B663,A664,"f",FALSE)</f>
        <v>43517</v>
      </c>
      <c r="C664" s="237">
        <f>_xll.qlCalendarAdvance(Calendar,B664,NDays&amp;"D")</f>
        <v>43521</v>
      </c>
      <c r="D664" s="202">
        <v>1.7030577125459561E-2</v>
      </c>
      <c r="E664" s="202">
        <v>1.5991303165971971E-2</v>
      </c>
      <c r="U664" s="204"/>
    </row>
    <row r="665" spans="1:21" x14ac:dyDescent="0.2">
      <c r="A665" s="64" t="str">
        <f t="shared" si="11"/>
        <v>1w</v>
      </c>
      <c r="B665" s="203">
        <f>_xll.qlCalendarAdvance(Calendar,B664,A665,"f",FALSE)</f>
        <v>43524</v>
      </c>
      <c r="C665" s="237">
        <f>_xll.qlCalendarAdvance(Calendar,B665,NDays&amp;"D")</f>
        <v>43528</v>
      </c>
      <c r="D665" s="202">
        <v>1.7116193536538166E-2</v>
      </c>
      <c r="E665" s="202">
        <v>1.6068641630884173E-2</v>
      </c>
      <c r="U665" s="204"/>
    </row>
    <row r="666" spans="1:21" x14ac:dyDescent="0.2">
      <c r="A666" s="64" t="str">
        <f t="shared" si="11"/>
        <v>1w</v>
      </c>
      <c r="B666" s="203">
        <f>_xll.qlCalendarAdvance(Calendar,B665,A666,"f",FALSE)</f>
        <v>43531</v>
      </c>
      <c r="C666" s="237">
        <f>_xll.qlCalendarAdvance(Calendar,B666,NDays&amp;"D")</f>
        <v>43535</v>
      </c>
      <c r="D666" s="202">
        <v>1.7190300344452712E-2</v>
      </c>
      <c r="E666" s="202">
        <v>1.6145634845887713E-2</v>
      </c>
      <c r="U666" s="204"/>
    </row>
    <row r="667" spans="1:21" x14ac:dyDescent="0.2">
      <c r="A667" s="64" t="str">
        <f t="shared" si="11"/>
        <v>1w</v>
      </c>
      <c r="B667" s="203">
        <f>_xll.qlCalendarAdvance(Calendar,B666,A667,"f",FALSE)</f>
        <v>43538</v>
      </c>
      <c r="C667" s="237">
        <f>_xll.qlCalendarAdvance(Calendar,B667,NDays&amp;"D")</f>
        <v>43542</v>
      </c>
      <c r="D667" s="202">
        <v>1.7264203497658941E-2</v>
      </c>
      <c r="E667" s="202">
        <v>1.6222282810662847E-2</v>
      </c>
      <c r="U667" s="204"/>
    </row>
    <row r="668" spans="1:21" x14ac:dyDescent="0.2">
      <c r="A668" s="64" t="str">
        <f t="shared" si="11"/>
        <v>1w</v>
      </c>
      <c r="B668" s="203">
        <f>_xll.qlCalendarAdvance(Calendar,B667,A668,"f",FALSE)</f>
        <v>43545</v>
      </c>
      <c r="C668" s="237">
        <f>_xll.qlCalendarAdvance(Calendar,B668,NDays&amp;"D")</f>
        <v>43549</v>
      </c>
      <c r="D668" s="202">
        <v>1.7337912430774729E-2</v>
      </c>
      <c r="E668" s="202">
        <v>1.6298585525129639E-2</v>
      </c>
      <c r="U668" s="204"/>
    </row>
    <row r="669" spans="1:21" x14ac:dyDescent="0.2">
      <c r="A669" s="64" t="str">
        <f t="shared" si="11"/>
        <v>1w</v>
      </c>
      <c r="B669" s="203">
        <f>_xll.qlCalendarAdvance(Calendar,B668,A669,"f",FALSE)</f>
        <v>43552</v>
      </c>
      <c r="C669" s="237">
        <f>_xll.qlCalendarAdvance(Calendar,B669,NDays&amp;"D")</f>
        <v>43556</v>
      </c>
      <c r="D669" s="202">
        <v>1.7405820837362262E-2</v>
      </c>
      <c r="E669" s="202">
        <v>1.637454298904828E-2</v>
      </c>
      <c r="U669" s="204"/>
    </row>
    <row r="670" spans="1:21" x14ac:dyDescent="0.2">
      <c r="A670" s="64" t="str">
        <f t="shared" si="11"/>
        <v>1w</v>
      </c>
      <c r="B670" s="203">
        <f>_xll.qlCalendarAdvance(Calendar,B669,A670,"f",FALSE)</f>
        <v>43559</v>
      </c>
      <c r="C670" s="237">
        <f>_xll.qlCalendarAdvance(Calendar,B670,NDays&amp;"D")</f>
        <v>43563</v>
      </c>
      <c r="D670" s="202">
        <v>1.7479174599609151E-2</v>
      </c>
      <c r="E670" s="202">
        <v>1.6450155202178962E-2</v>
      </c>
      <c r="U670" s="204"/>
    </row>
    <row r="671" spans="1:21" x14ac:dyDescent="0.2">
      <c r="A671" s="64" t="str">
        <f t="shared" si="11"/>
        <v>1w</v>
      </c>
      <c r="B671" s="203">
        <f>_xll.qlCalendarAdvance(Calendar,B670,A671,"f",FALSE)</f>
        <v>43566</v>
      </c>
      <c r="C671" s="237">
        <f>_xll.qlCalendarAdvance(Calendar,B671,NDays&amp;"D")</f>
        <v>43570</v>
      </c>
      <c r="D671" s="202">
        <v>1.7552362072172815E-2</v>
      </c>
      <c r="E671" s="202">
        <v>1.6525422164201942E-2</v>
      </c>
      <c r="U671" s="204"/>
    </row>
    <row r="672" spans="1:21" x14ac:dyDescent="0.2">
      <c r="A672" s="64" t="str">
        <f t="shared" si="11"/>
        <v>1w</v>
      </c>
      <c r="B672" s="203">
        <f>_xll.qlCalendarAdvance(Calendar,B671,A672,"f",FALSE)</f>
        <v>43573</v>
      </c>
      <c r="C672" s="237">
        <f>_xll.qlCalendarAdvance(Calendar,B672,NDays&amp;"D")</f>
        <v>43579</v>
      </c>
      <c r="D672" s="202">
        <v>1.7646231182616781E-2</v>
      </c>
      <c r="E672" s="202">
        <v>1.6621686664652913E-2</v>
      </c>
      <c r="U672" s="204"/>
    </row>
    <row r="673" spans="1:21" x14ac:dyDescent="0.2">
      <c r="A673" s="64" t="str">
        <f t="shared" si="11"/>
        <v>1w</v>
      </c>
      <c r="B673" s="203">
        <f>_xll.qlCalendarAdvance(Calendar,B672,A673,"f",FALSE)</f>
        <v>43580</v>
      </c>
      <c r="C673" s="237">
        <f>_xll.qlCalendarAdvance(Calendar,B673,NDays&amp;"D")</f>
        <v>43584</v>
      </c>
      <c r="D673" s="202">
        <v>1.7698276116536904E-2</v>
      </c>
      <c r="E673" s="202">
        <v>1.6674920334445176E-2</v>
      </c>
      <c r="U673" s="204"/>
    </row>
    <row r="674" spans="1:21" x14ac:dyDescent="0.2">
      <c r="A674" s="64" t="str">
        <f t="shared" si="11"/>
        <v>1w</v>
      </c>
      <c r="B674" s="203">
        <f>_xll.qlCalendarAdvance(Calendar,B673,A674,"f",FALSE)</f>
        <v>43587</v>
      </c>
      <c r="C674" s="237">
        <f>_xll.qlCalendarAdvance(Calendar,B674,NDays&amp;"D")</f>
        <v>43591</v>
      </c>
      <c r="D674" s="202">
        <v>1.7776615930495954E-2</v>
      </c>
      <c r="E674" s="202">
        <v>1.6749151542185814E-2</v>
      </c>
      <c r="U674" s="204"/>
    </row>
    <row r="675" spans="1:21" x14ac:dyDescent="0.2">
      <c r="A675" s="64" t="str">
        <f t="shared" si="11"/>
        <v>1w</v>
      </c>
      <c r="B675" s="203">
        <f>_xll.qlCalendarAdvance(Calendar,B674,A675,"f",FALSE)</f>
        <v>43594</v>
      </c>
      <c r="C675" s="237">
        <f>_xll.qlCalendarAdvance(Calendar,B675,NDays&amp;"D")</f>
        <v>43598</v>
      </c>
      <c r="D675" s="202">
        <v>1.7849229614818777E-2</v>
      </c>
      <c r="E675" s="202">
        <v>1.6823037498019389E-2</v>
      </c>
      <c r="U675" s="204"/>
    </row>
    <row r="676" spans="1:21" x14ac:dyDescent="0.2">
      <c r="A676" s="64" t="str">
        <f t="shared" si="11"/>
        <v>1w</v>
      </c>
      <c r="B676" s="203">
        <f>_xll.qlCalendarAdvance(Calendar,B675,A676,"f",FALSE)</f>
        <v>43601</v>
      </c>
      <c r="C676" s="237">
        <f>_xll.qlCalendarAdvance(Calendar,B676,NDays&amp;"D")</f>
        <v>43605</v>
      </c>
      <c r="D676" s="202">
        <v>1.7921724608274466E-2</v>
      </c>
      <c r="E676" s="202">
        <v>1.6896578201786028E-2</v>
      </c>
      <c r="U676" s="204"/>
    </row>
    <row r="677" spans="1:21" x14ac:dyDescent="0.2">
      <c r="A677" s="64" t="str">
        <f t="shared" si="11"/>
        <v>1w</v>
      </c>
      <c r="B677" s="203">
        <f>_xll.qlCalendarAdvance(Calendar,B676,A677,"f",FALSE)</f>
        <v>43608</v>
      </c>
      <c r="C677" s="237">
        <f>_xll.qlCalendarAdvance(Calendar,B677,NDays&amp;"D")</f>
        <v>43612</v>
      </c>
      <c r="D677" s="202">
        <v>1.7994110358438349E-2</v>
      </c>
      <c r="E677" s="202">
        <v>1.6969773653245923E-2</v>
      </c>
      <c r="U677" s="204"/>
    </row>
    <row r="678" spans="1:21" x14ac:dyDescent="0.2">
      <c r="A678" s="64" t="str">
        <f t="shared" si="11"/>
        <v>1w</v>
      </c>
      <c r="B678" s="203">
        <f>_xll.qlCalendarAdvance(Calendar,B677,A678,"f",FALSE)</f>
        <v>43615</v>
      </c>
      <c r="C678" s="237">
        <f>_xll.qlCalendarAdvance(Calendar,B678,NDays&amp;"D")</f>
        <v>43619</v>
      </c>
      <c r="D678" s="202">
        <v>1.8060815175335393E-2</v>
      </c>
      <c r="E678" s="202">
        <v>1.7042700128264698E-2</v>
      </c>
      <c r="U678" s="204"/>
    </row>
    <row r="679" spans="1:21" x14ac:dyDescent="0.2">
      <c r="A679" s="64" t="str">
        <f t="shared" si="11"/>
        <v>1w</v>
      </c>
      <c r="B679" s="203">
        <f>_xll.qlCalendarAdvance(Calendar,B678,A679,"f",FALSE)</f>
        <v>43622</v>
      </c>
      <c r="C679" s="237">
        <f>_xll.qlCalendarAdvance(Calendar,B679,NDays&amp;"D")</f>
        <v>43626</v>
      </c>
      <c r="D679" s="202">
        <v>1.8133006742401096E-2</v>
      </c>
      <c r="E679" s="202">
        <v>1.7115521913666498E-2</v>
      </c>
      <c r="U679" s="204"/>
    </row>
    <row r="680" spans="1:21" x14ac:dyDescent="0.2">
      <c r="A680" s="64" t="str">
        <f t="shared" si="11"/>
        <v>1w</v>
      </c>
      <c r="B680" s="203">
        <f>_xll.qlCalendarAdvance(Calendar,B679,A680,"f",FALSE)</f>
        <v>43629</v>
      </c>
      <c r="C680" s="237">
        <f>_xll.qlCalendarAdvance(Calendar,B680,NDays&amp;"D")</f>
        <v>43633</v>
      </c>
      <c r="D680" s="202">
        <v>1.8205101187728823E-2</v>
      </c>
      <c r="E680" s="202">
        <v>1.7188244876917835E-2</v>
      </c>
      <c r="U680" s="204"/>
    </row>
    <row r="681" spans="1:21" x14ac:dyDescent="0.2">
      <c r="A681" s="64" t="str">
        <f t="shared" si="11"/>
        <v>1w</v>
      </c>
      <c r="B681" s="203">
        <f>_xll.qlCalendarAdvance(Calendar,B680,A681,"f",FALSE)</f>
        <v>43636</v>
      </c>
      <c r="C681" s="237">
        <f>_xll.qlCalendarAdvance(Calendar,B681,NDays&amp;"D")</f>
        <v>43640</v>
      </c>
      <c r="D681" s="202">
        <v>1.8277098500547741E-2</v>
      </c>
      <c r="E681" s="202">
        <v>1.7260869017858838E-2</v>
      </c>
      <c r="U681" s="204"/>
    </row>
    <row r="682" spans="1:21" x14ac:dyDescent="0.2">
      <c r="A682" s="64" t="str">
        <f t="shared" si="11"/>
        <v>1w</v>
      </c>
      <c r="B682" s="203">
        <f>_xll.qlCalendarAdvance(Calendar,B681,A682,"f",FALSE)</f>
        <v>43643</v>
      </c>
      <c r="C682" s="237">
        <f>_xll.qlCalendarAdvance(Calendar,B682,NDays&amp;"D")</f>
        <v>43647</v>
      </c>
      <c r="D682" s="202">
        <v>1.8360133171612277E-2</v>
      </c>
      <c r="E682" s="202">
        <v>1.7333394336409569E-2</v>
      </c>
      <c r="U682" s="204"/>
    </row>
    <row r="683" spans="1:21" x14ac:dyDescent="0.2">
      <c r="A683" s="64" t="str">
        <f t="shared" si="11"/>
        <v>1w</v>
      </c>
      <c r="B683" s="203">
        <f>_xll.qlCalendarAdvance(Calendar,B682,A683,"f",FALSE)</f>
        <v>43650</v>
      </c>
      <c r="C683" s="237">
        <f>_xll.qlCalendarAdvance(Calendar,B683,NDays&amp;"D")</f>
        <v>43654</v>
      </c>
      <c r="D683" s="202">
        <v>1.8426365711913927E-2</v>
      </c>
      <c r="E683" s="202">
        <v>1.7405820832490093E-2</v>
      </c>
      <c r="U683" s="204"/>
    </row>
    <row r="684" spans="1:21" x14ac:dyDescent="0.2">
      <c r="A684" s="64" t="str">
        <f t="shared" si="11"/>
        <v>1w</v>
      </c>
      <c r="B684" s="203">
        <f>_xll.qlCalendarAdvance(Calendar,B683,A684,"f",FALSE)</f>
        <v>43657</v>
      </c>
      <c r="C684" s="237">
        <f>_xll.qlCalendarAdvance(Calendar,B684,NDays&amp;"D")</f>
        <v>43661</v>
      </c>
      <c r="D684" s="202">
        <v>1.8498068280705902E-2</v>
      </c>
      <c r="E684" s="202">
        <v>1.7478148506180347E-2</v>
      </c>
      <c r="U684" s="204"/>
    </row>
    <row r="685" spans="1:21" x14ac:dyDescent="0.2">
      <c r="A685" s="64" t="str">
        <f t="shared" si="11"/>
        <v>1w</v>
      </c>
      <c r="B685" s="203">
        <f>_xll.qlCalendarAdvance(Calendar,B684,A685,"f",FALSE)</f>
        <v>43664</v>
      </c>
      <c r="C685" s="237">
        <f>_xll.qlCalendarAdvance(Calendar,B685,NDays&amp;"D")</f>
        <v>43668</v>
      </c>
      <c r="D685" s="202">
        <v>1.8569673682442171E-2</v>
      </c>
      <c r="E685" s="202">
        <v>1.7550377357240521E-2</v>
      </c>
      <c r="U685" s="204"/>
    </row>
    <row r="686" spans="1:21" x14ac:dyDescent="0.2">
      <c r="A686" s="64" t="str">
        <f t="shared" si="11"/>
        <v>1w</v>
      </c>
      <c r="B686" s="203">
        <f>_xll.qlCalendarAdvance(Calendar,B685,A686,"f",FALSE)</f>
        <v>43671</v>
      </c>
      <c r="C686" s="237">
        <f>_xll.qlCalendarAdvance(Calendar,B686,NDays&amp;"D")</f>
        <v>43675</v>
      </c>
      <c r="D686" s="202">
        <v>1.8641181906366121E-2</v>
      </c>
      <c r="E686" s="202">
        <v>1.7622507385750552E-2</v>
      </c>
      <c r="U686" s="204"/>
    </row>
    <row r="687" spans="1:21" x14ac:dyDescent="0.2">
      <c r="A687" s="64" t="str">
        <f t="shared" si="11"/>
        <v>1w</v>
      </c>
      <c r="B687" s="203">
        <f>_xll.qlCalendarAdvance(Calendar,B686,A687,"f",FALSE)</f>
        <v>43678</v>
      </c>
      <c r="C687" s="237">
        <f>_xll.qlCalendarAdvance(Calendar,B687,NDays&amp;"D")</f>
        <v>43682</v>
      </c>
      <c r="D687" s="202">
        <v>1.8712592941735474E-2</v>
      </c>
      <c r="E687" s="202">
        <v>1.7694538591550568E-2</v>
      </c>
      <c r="U687" s="204"/>
    </row>
    <row r="688" spans="1:21" x14ac:dyDescent="0.2">
      <c r="A688" s="64" t="str">
        <f t="shared" si="11"/>
        <v>1w</v>
      </c>
      <c r="B688" s="203">
        <f>_xll.qlCalendarAdvance(Calendar,B687,A688,"f",FALSE)</f>
        <v>43685</v>
      </c>
      <c r="C688" s="237">
        <f>_xll.qlCalendarAdvance(Calendar,B688,NDays&amp;"D")</f>
        <v>43689</v>
      </c>
      <c r="D688" s="202">
        <v>1.8783906777821425E-2</v>
      </c>
      <c r="E688" s="202">
        <v>1.7766470974720505E-2</v>
      </c>
      <c r="U688" s="204"/>
    </row>
    <row r="689" spans="1:21" x14ac:dyDescent="0.2">
      <c r="A689" s="64" t="str">
        <f t="shared" si="11"/>
        <v>1w</v>
      </c>
      <c r="B689" s="203">
        <f>_xll.qlCalendarAdvance(Calendar,B688,A689,"f",FALSE)</f>
        <v>43692</v>
      </c>
      <c r="C689" s="237">
        <f>_xll.qlCalendarAdvance(Calendar,B689,NDays&amp;"D")</f>
        <v>43696</v>
      </c>
      <c r="D689" s="202">
        <v>1.8855123403909498E-2</v>
      </c>
      <c r="E689" s="202">
        <v>1.7838304535020555E-2</v>
      </c>
      <c r="U689" s="204"/>
    </row>
    <row r="690" spans="1:21" x14ac:dyDescent="0.2">
      <c r="A690" s="64" t="str">
        <f t="shared" si="11"/>
        <v>1w</v>
      </c>
      <c r="B690" s="203">
        <f>_xll.qlCalendarAdvance(Calendar,B689,A690,"f",FALSE)</f>
        <v>43699</v>
      </c>
      <c r="C690" s="237">
        <f>_xll.qlCalendarAdvance(Calendar,B690,NDays&amp;"D")</f>
        <v>43703</v>
      </c>
      <c r="D690" s="202">
        <v>1.8926242809299991E-2</v>
      </c>
      <c r="E690" s="202">
        <v>1.7910039272450717E-2</v>
      </c>
      <c r="U690" s="204"/>
    </row>
    <row r="691" spans="1:21" x14ac:dyDescent="0.2">
      <c r="A691" s="64" t="str">
        <f t="shared" si="11"/>
        <v>1w</v>
      </c>
      <c r="B691" s="203">
        <f>_xll.qlCalendarAdvance(Calendar,B690,A691,"f",FALSE)</f>
        <v>43706</v>
      </c>
      <c r="C691" s="237">
        <f>_xll.qlCalendarAdvance(Calendar,B691,NDays&amp;"D")</f>
        <v>43710</v>
      </c>
      <c r="D691" s="202">
        <v>1.8986188859878513E-2</v>
      </c>
      <c r="E691" s="202">
        <v>1.7981675187090929E-2</v>
      </c>
      <c r="U691" s="204"/>
    </row>
    <row r="692" spans="1:21" x14ac:dyDescent="0.2">
      <c r="A692" s="64" t="str">
        <f t="shared" si="11"/>
        <v>1w</v>
      </c>
      <c r="B692" s="203">
        <f>_xll.qlCalendarAdvance(Calendar,B691,A692,"f",FALSE)</f>
        <v>43713</v>
      </c>
      <c r="C692" s="237">
        <f>_xll.qlCalendarAdvance(Calendar,B692,NDays&amp;"D")</f>
        <v>43717</v>
      </c>
      <c r="D692" s="202">
        <v>1.9057120226124151E-2</v>
      </c>
      <c r="E692" s="202">
        <v>1.805321227870138E-2</v>
      </c>
      <c r="U692" s="204"/>
    </row>
    <row r="693" spans="1:21" x14ac:dyDescent="0.2">
      <c r="A693" s="64" t="str">
        <f t="shared" si="11"/>
        <v>1w</v>
      </c>
      <c r="B693" s="203">
        <f>_xll.qlCalendarAdvance(Calendar,B692,A693,"f",FALSE)</f>
        <v>43720</v>
      </c>
      <c r="C693" s="237">
        <f>_xll.qlCalendarAdvance(Calendar,B693,NDays&amp;"D")</f>
        <v>43724</v>
      </c>
      <c r="D693" s="202">
        <v>1.9127954323777053E-2</v>
      </c>
      <c r="E693" s="202">
        <v>1.8124650547282073E-2</v>
      </c>
      <c r="U693" s="204"/>
    </row>
    <row r="694" spans="1:21" x14ac:dyDescent="0.2">
      <c r="A694" s="64" t="str">
        <f t="shared" si="11"/>
        <v>1w</v>
      </c>
      <c r="B694" s="203">
        <f>_xll.qlCalendarAdvance(Calendar,B693,A694,"f",FALSE)</f>
        <v>43727</v>
      </c>
      <c r="C694" s="237">
        <f>_xll.qlCalendarAdvance(Calendar,B694,NDays&amp;"D")</f>
        <v>43731</v>
      </c>
      <c r="D694" s="202">
        <v>1.9198691142308492E-2</v>
      </c>
      <c r="E694" s="202">
        <v>1.8195989992833006E-2</v>
      </c>
      <c r="U694" s="204"/>
    </row>
    <row r="695" spans="1:21" x14ac:dyDescent="0.2">
      <c r="A695" s="64" t="str">
        <f t="shared" si="11"/>
        <v>1w</v>
      </c>
      <c r="B695" s="203">
        <f>_xll.qlCalendarAdvance(Calendar,B694,A695,"f",FALSE)</f>
        <v>43734</v>
      </c>
      <c r="C695" s="237">
        <f>_xll.qlCalendarAdvance(Calendar,B695,NDays&amp;"D")</f>
        <v>43738</v>
      </c>
      <c r="D695" s="202">
        <v>1.9274855968763865E-2</v>
      </c>
      <c r="E695" s="202">
        <v>1.8267230615194308E-2</v>
      </c>
      <c r="U695" s="204"/>
    </row>
    <row r="696" spans="1:21" x14ac:dyDescent="0.2">
      <c r="A696" s="64" t="str">
        <f t="shared" si="11"/>
        <v>1w</v>
      </c>
      <c r="B696" s="203">
        <f>_xll.qlCalendarAdvance(Calendar,B695,A696,"f",FALSE)</f>
        <v>43741</v>
      </c>
      <c r="C696" s="237">
        <f>_xll.qlCalendarAdvance(Calendar,B696,NDays&amp;"D")</f>
        <v>43745</v>
      </c>
      <c r="D696" s="202">
        <v>1.9345395011129318E-2</v>
      </c>
      <c r="E696" s="202">
        <v>1.8338372414445914E-2</v>
      </c>
      <c r="U696" s="204"/>
    </row>
    <row r="697" spans="1:21" x14ac:dyDescent="0.2">
      <c r="A697" s="64" t="str">
        <f t="shared" si="11"/>
        <v>1w</v>
      </c>
      <c r="B697" s="203">
        <f>_xll.qlCalendarAdvance(Calendar,B696,A697,"f",FALSE)</f>
        <v>43748</v>
      </c>
      <c r="C697" s="237">
        <f>_xll.qlCalendarAdvance(Calendar,B697,NDays&amp;"D")</f>
        <v>43752</v>
      </c>
      <c r="D697" s="202">
        <v>1.9415836750590242E-2</v>
      </c>
      <c r="E697" s="202">
        <v>1.8409415390427952E-2</v>
      </c>
      <c r="U697" s="204"/>
    </row>
    <row r="698" spans="1:21" x14ac:dyDescent="0.2">
      <c r="A698" s="64" t="str">
        <f t="shared" si="11"/>
        <v>1w</v>
      </c>
      <c r="B698" s="203">
        <f>_xll.qlCalendarAdvance(Calendar,B697,A698,"f",FALSE)</f>
        <v>43755</v>
      </c>
      <c r="C698" s="237">
        <f>_xll.qlCalendarAdvance(Calendar,B698,NDays&amp;"D")</f>
        <v>43759</v>
      </c>
      <c r="D698" s="202">
        <v>1.9486181176618225E-2</v>
      </c>
      <c r="E698" s="202">
        <v>1.8480359542980551E-2</v>
      </c>
      <c r="U698" s="204"/>
    </row>
    <row r="699" spans="1:21" x14ac:dyDescent="0.2">
      <c r="A699" s="64" t="str">
        <f t="shared" si="11"/>
        <v>1w</v>
      </c>
      <c r="B699" s="203">
        <f>_xll.qlCalendarAdvance(Calendar,B698,A699,"f",FALSE)</f>
        <v>43762</v>
      </c>
      <c r="C699" s="237">
        <f>_xll.qlCalendarAdvance(Calendar,B699,NDays&amp;"D")</f>
        <v>43766</v>
      </c>
      <c r="D699" s="202">
        <v>1.955642827869971E-2</v>
      </c>
      <c r="E699" s="202">
        <v>1.8551204872263583E-2</v>
      </c>
      <c r="U699" s="204"/>
    </row>
    <row r="700" spans="1:21" x14ac:dyDescent="0.2">
      <c r="A700" s="64" t="str">
        <f t="shared" si="11"/>
        <v>1w</v>
      </c>
      <c r="B700" s="203">
        <f>_xll.qlCalendarAdvance(Calendar,B699,A700,"f",FALSE)</f>
        <v>43769</v>
      </c>
      <c r="C700" s="237">
        <f>_xll.qlCalendarAdvance(Calendar,B700,NDays&amp;"D")</f>
        <v>43773</v>
      </c>
      <c r="D700" s="202">
        <v>1.9621068604140143E-2</v>
      </c>
      <c r="E700" s="202">
        <v>1.8621951378117174E-2</v>
      </c>
      <c r="U700" s="204"/>
    </row>
    <row r="701" spans="1:21" x14ac:dyDescent="0.2">
      <c r="A701" s="64" t="str">
        <f t="shared" si="11"/>
        <v>1w</v>
      </c>
      <c r="B701" s="203">
        <f>_xll.qlCalendarAdvance(Calendar,B700,A701,"f",FALSE)</f>
        <v>43776</v>
      </c>
      <c r="C701" s="237">
        <f>_xll.qlCalendarAdvance(Calendar,B701,NDays&amp;"D")</f>
        <v>43780</v>
      </c>
      <c r="D701" s="202">
        <v>1.9691124175215333E-2</v>
      </c>
      <c r="E701" s="202">
        <v>1.869259906046139E-2</v>
      </c>
      <c r="U701" s="204"/>
    </row>
    <row r="702" spans="1:21" x14ac:dyDescent="0.2">
      <c r="A702" s="64" t="str">
        <f t="shared" si="11"/>
        <v>1w</v>
      </c>
      <c r="B702" s="203">
        <f>_xll.qlCalendarAdvance(Calendar,B701,A702,"f",FALSE)</f>
        <v>43783</v>
      </c>
      <c r="C702" s="237">
        <f>_xll.qlCalendarAdvance(Calendar,B702,NDays&amp;"D")</f>
        <v>43787</v>
      </c>
      <c r="D702" s="202">
        <v>1.9761082383452731E-2</v>
      </c>
      <c r="E702" s="202">
        <v>1.876314791929623E-2</v>
      </c>
      <c r="U702" s="204"/>
    </row>
    <row r="703" spans="1:21" x14ac:dyDescent="0.2">
      <c r="A703" s="64" t="str">
        <f t="shared" si="11"/>
        <v>1w</v>
      </c>
      <c r="B703" s="203">
        <f>_xll.qlCalendarAdvance(Calendar,B702,A703,"f",FALSE)</f>
        <v>43790</v>
      </c>
      <c r="C703" s="237">
        <f>_xll.qlCalendarAdvance(Calendar,B703,NDays&amp;"D")</f>
        <v>43794</v>
      </c>
      <c r="D703" s="202">
        <v>1.9830943218450546E-2</v>
      </c>
      <c r="E703" s="202">
        <v>1.8833597954541759E-2</v>
      </c>
      <c r="U703" s="204"/>
    </row>
    <row r="704" spans="1:21" x14ac:dyDescent="0.2">
      <c r="A704" s="64" t="str">
        <f t="shared" si="11"/>
        <v>1w</v>
      </c>
      <c r="B704" s="203">
        <f>_xll.qlCalendarAdvance(Calendar,B703,A704,"f",FALSE)</f>
        <v>43797</v>
      </c>
      <c r="C704" s="237">
        <f>_xll.qlCalendarAdvance(Calendar,B704,NDays&amp;"D")</f>
        <v>43801</v>
      </c>
      <c r="D704" s="202">
        <v>1.9906203444970808E-2</v>
      </c>
      <c r="E704" s="202">
        <v>1.8903949166038103E-2</v>
      </c>
      <c r="U704" s="204"/>
    </row>
    <row r="705" spans="1:21" x14ac:dyDescent="0.2">
      <c r="A705" s="64" t="str">
        <f t="shared" si="11"/>
        <v>1w</v>
      </c>
      <c r="B705" s="203">
        <f>_xll.qlCalendarAdvance(Calendar,B704,A705,"f",FALSE)</f>
        <v>43804</v>
      </c>
      <c r="C705" s="237">
        <f>_xll.qlCalendarAdvance(Calendar,B705,NDays&amp;"D")</f>
        <v>43808</v>
      </c>
      <c r="D705" s="202">
        <v>1.99758640484579E-2</v>
      </c>
      <c r="E705" s="202">
        <v>1.89742015538652E-2</v>
      </c>
      <c r="U705" s="204"/>
    </row>
    <row r="706" spans="1:21" x14ac:dyDescent="0.2">
      <c r="A706" s="64" t="str">
        <f t="shared" si="11"/>
        <v>1w</v>
      </c>
      <c r="B706" s="203">
        <f>_xll.qlCalendarAdvance(Calendar,B705,A706,"f",FALSE)</f>
        <v>43811</v>
      </c>
      <c r="C706" s="237">
        <f>_xll.qlCalendarAdvance(Calendar,B706,NDays&amp;"D")</f>
        <v>43815</v>
      </c>
      <c r="D706" s="202">
        <v>2.0045421294593468E-2</v>
      </c>
      <c r="E706" s="202">
        <v>1.9044355117943113E-2</v>
      </c>
      <c r="U706" s="204"/>
    </row>
    <row r="707" spans="1:21" x14ac:dyDescent="0.2">
      <c r="A707" s="64" t="str">
        <f t="shared" si="11"/>
        <v>1w</v>
      </c>
      <c r="B707" s="203">
        <f>_xll.qlCalendarAdvance(Calendar,B706,A707,"f",FALSE)</f>
        <v>43818</v>
      </c>
      <c r="C707" s="237">
        <f>_xll.qlCalendarAdvance(Calendar,B707,NDays&amp;"D")</f>
        <v>43822</v>
      </c>
      <c r="D707" s="202">
        <v>2.0114871379466E-2</v>
      </c>
      <c r="E707" s="202">
        <v>1.9114409858191905E-2</v>
      </c>
      <c r="U707" s="204"/>
    </row>
    <row r="708" spans="1:21" x14ac:dyDescent="0.2">
      <c r="A708" s="64" t="str">
        <f t="shared" si="11"/>
        <v>1w</v>
      </c>
      <c r="B708" s="203">
        <f>_xll.qlCalendarAdvance(Calendar,B707,A708,"f",FALSE)</f>
        <v>43826</v>
      </c>
      <c r="C708" s="237">
        <f>_xll.qlCalendarAdvance(Calendar,B708,NDays&amp;"D")</f>
        <v>43830</v>
      </c>
      <c r="D708" s="202">
        <v>2.0188628300898202E-2</v>
      </c>
      <c r="E708" s="202">
        <v>1.9199855183646974E-2</v>
      </c>
      <c r="U708" s="204"/>
    </row>
    <row r="709" spans="1:21" x14ac:dyDescent="0.2">
      <c r="A709" s="64" t="str">
        <f t="shared" si="11"/>
        <v>1w</v>
      </c>
      <c r="B709" s="203">
        <f>_xll.qlCalendarAdvance(Calendar,B708,A709,"f",FALSE)</f>
        <v>43833</v>
      </c>
      <c r="C709" s="237">
        <f>_xll.qlCalendarAdvance(Calendar,B709,NDays&amp;"D")</f>
        <v>43837</v>
      </c>
      <c r="D709" s="202">
        <v>2.0257841553493812E-2</v>
      </c>
      <c r="E709" s="202">
        <v>1.9264194384254196E-2</v>
      </c>
      <c r="U709" s="204"/>
    </row>
    <row r="710" spans="1:21" x14ac:dyDescent="0.2">
      <c r="A710" s="64" t="str">
        <f t="shared" si="11"/>
        <v>1w</v>
      </c>
      <c r="B710" s="203">
        <f>_xll.qlCalendarAdvance(Calendar,B709,A710,"f",FALSE)</f>
        <v>43840</v>
      </c>
      <c r="C710" s="237">
        <f>_xll.qlCalendarAdvance(Calendar,B710,NDays&amp;"D")</f>
        <v>43844</v>
      </c>
      <c r="D710" s="202">
        <v>2.0326936106582493E-2</v>
      </c>
      <c r="E710" s="202">
        <v>1.9333938534948913E-2</v>
      </c>
      <c r="U710" s="204"/>
    </row>
    <row r="711" spans="1:21" x14ac:dyDescent="0.2">
      <c r="A711" s="64" t="str">
        <f t="shared" ref="A711:A774" si="12">A710</f>
        <v>1w</v>
      </c>
      <c r="B711" s="203">
        <f>_xll.qlCalendarAdvance(Calendar,B710,A711,"f",FALSE)</f>
        <v>43847</v>
      </c>
      <c r="C711" s="237">
        <f>_xll.qlCalendarAdvance(Calendar,B711,NDays&amp;"D")</f>
        <v>43851</v>
      </c>
      <c r="D711" s="202">
        <v>2.0395908133633067E-2</v>
      </c>
      <c r="E711" s="202">
        <v>1.9403583861494766E-2</v>
      </c>
      <c r="U711" s="204"/>
    </row>
    <row r="712" spans="1:21" x14ac:dyDescent="0.2">
      <c r="A712" s="64" t="str">
        <f t="shared" si="12"/>
        <v>1w</v>
      </c>
      <c r="B712" s="203">
        <f>_xll.qlCalendarAdvance(Calendar,B711,A712,"f",FALSE)</f>
        <v>43854</v>
      </c>
      <c r="C712" s="237">
        <f>_xll.qlCalendarAdvance(Calendar,B712,NDays&amp;"D")</f>
        <v>43858</v>
      </c>
      <c r="D712" s="202">
        <v>2.0464753807610144E-2</v>
      </c>
      <c r="E712" s="202">
        <v>1.9473130363891755E-2</v>
      </c>
      <c r="U712" s="204"/>
    </row>
    <row r="713" spans="1:21" x14ac:dyDescent="0.2">
      <c r="A713" s="64" t="str">
        <f t="shared" si="12"/>
        <v>1w</v>
      </c>
      <c r="B713" s="203">
        <f>_xll.qlCalendarAdvance(Calendar,B712,A713,"f",FALSE)</f>
        <v>43861</v>
      </c>
      <c r="C713" s="237">
        <f>_xll.qlCalendarAdvance(Calendar,B713,NDays&amp;"D")</f>
        <v>43865</v>
      </c>
      <c r="D713" s="202">
        <v>2.0533469300975875E-2</v>
      </c>
      <c r="E713" s="202">
        <v>1.9542578042219816E-2</v>
      </c>
      <c r="U713" s="204"/>
    </row>
    <row r="714" spans="1:21" x14ac:dyDescent="0.2">
      <c r="A714" s="64" t="str">
        <f t="shared" si="12"/>
        <v>1w</v>
      </c>
      <c r="B714" s="203">
        <f>_xll.qlCalendarAdvance(Calendar,B713,A714,"f",FALSE)</f>
        <v>43868</v>
      </c>
      <c r="C714" s="237">
        <f>_xll.qlCalendarAdvance(Calendar,B714,NDays&amp;"D")</f>
        <v>43872</v>
      </c>
      <c r="D714" s="202">
        <v>2.0602050785692591E-2</v>
      </c>
      <c r="E714" s="202">
        <v>1.961192689623914E-2</v>
      </c>
      <c r="U714" s="204"/>
    </row>
    <row r="715" spans="1:21" x14ac:dyDescent="0.2">
      <c r="A715" s="64" t="str">
        <f t="shared" si="12"/>
        <v>1w</v>
      </c>
      <c r="B715" s="203">
        <f>_xll.qlCalendarAdvance(Calendar,B714,A715,"f",FALSE)</f>
        <v>43875</v>
      </c>
      <c r="C715" s="237">
        <f>_xll.qlCalendarAdvance(Calendar,B715,NDays&amp;"D")</f>
        <v>43879</v>
      </c>
      <c r="D715" s="202">
        <v>2.0670494433225446E-2</v>
      </c>
      <c r="E715" s="202">
        <v>1.9681176925949728E-2</v>
      </c>
      <c r="U715" s="204"/>
    </row>
    <row r="716" spans="1:21" x14ac:dyDescent="0.2">
      <c r="A716" s="64" t="str">
        <f t="shared" si="12"/>
        <v>1w</v>
      </c>
      <c r="B716" s="203">
        <f>_xll.qlCalendarAdvance(Calendar,B715,A716,"f",FALSE)</f>
        <v>43882</v>
      </c>
      <c r="C716" s="237">
        <f>_xll.qlCalendarAdvance(Calendar,B716,NDays&amp;"D")</f>
        <v>43886</v>
      </c>
      <c r="D716" s="202">
        <v>2.0738796414545912E-2</v>
      </c>
      <c r="E716" s="202">
        <v>1.975032813135158E-2</v>
      </c>
      <c r="U716" s="204"/>
    </row>
    <row r="717" spans="1:21" x14ac:dyDescent="0.2">
      <c r="A717" s="64" t="str">
        <f t="shared" si="12"/>
        <v>1w</v>
      </c>
      <c r="B717" s="203">
        <f>_xll.qlCalendarAdvance(Calendar,B716,A717,"f",FALSE)</f>
        <v>43889</v>
      </c>
      <c r="C717" s="237">
        <f>_xll.qlCalendarAdvance(Calendar,B717,NDays&amp;"D")</f>
        <v>43893</v>
      </c>
      <c r="D717" s="202">
        <v>2.081778141827852E-2</v>
      </c>
      <c r="E717" s="202">
        <v>1.9819380512284823E-2</v>
      </c>
      <c r="U717" s="204"/>
    </row>
    <row r="718" spans="1:21" x14ac:dyDescent="0.2">
      <c r="A718" s="64" t="str">
        <f t="shared" si="12"/>
        <v>1w</v>
      </c>
      <c r="B718" s="203">
        <f>_xll.qlCalendarAdvance(Calendar,B717,A718,"f",FALSE)</f>
        <v>43896</v>
      </c>
      <c r="C718" s="237">
        <f>_xll.qlCalendarAdvance(Calendar,B718,NDays&amp;"D")</f>
        <v>43900</v>
      </c>
      <c r="D718" s="202">
        <v>2.0885771253787072E-2</v>
      </c>
      <c r="E718" s="202">
        <v>1.9888334068749458E-2</v>
      </c>
      <c r="U718" s="204"/>
    </row>
    <row r="719" spans="1:21" x14ac:dyDescent="0.2">
      <c r="A719" s="64" t="str">
        <f t="shared" si="12"/>
        <v>1w</v>
      </c>
      <c r="B719" s="203">
        <f>_xll.qlCalendarAdvance(Calendar,B718,A719,"f",FALSE)</f>
        <v>43903</v>
      </c>
      <c r="C719" s="237">
        <f>_xll.qlCalendarAdvance(Calendar,B719,NDays&amp;"D")</f>
        <v>43907</v>
      </c>
      <c r="D719" s="202">
        <v>2.0953607464279874E-2</v>
      </c>
      <c r="E719" s="202">
        <v>1.9957188800665548E-2</v>
      </c>
      <c r="U719" s="204"/>
    </row>
    <row r="720" spans="1:21" x14ac:dyDescent="0.2">
      <c r="A720" s="64" t="str">
        <f t="shared" si="12"/>
        <v>1w</v>
      </c>
      <c r="B720" s="203">
        <f>_xll.qlCalendarAdvance(Calendar,B719,A720,"f",FALSE)</f>
        <v>43910</v>
      </c>
      <c r="C720" s="237">
        <f>_xll.qlCalendarAdvance(Calendar,B720,NDays&amp;"D")</f>
        <v>43914</v>
      </c>
      <c r="D720" s="202">
        <v>2.1021286259574844E-2</v>
      </c>
      <c r="E720" s="202">
        <v>2.0025944708033094E-2</v>
      </c>
      <c r="U720" s="204"/>
    </row>
    <row r="721" spans="1:21" x14ac:dyDescent="0.2">
      <c r="A721" s="64" t="str">
        <f t="shared" si="12"/>
        <v>1w</v>
      </c>
      <c r="B721" s="203">
        <f>_xll.qlCalendarAdvance(Calendar,B720,A721,"f",FALSE)</f>
        <v>43917</v>
      </c>
      <c r="C721" s="237">
        <f>_xll.qlCalendarAdvance(Calendar,B721,NDays&amp;"D")</f>
        <v>43921</v>
      </c>
      <c r="D721" s="202">
        <v>2.1083425934099276E-2</v>
      </c>
      <c r="E721" s="202">
        <v>2.009460179077216E-2</v>
      </c>
      <c r="U721" s="204"/>
    </row>
    <row r="722" spans="1:21" x14ac:dyDescent="0.2">
      <c r="A722" s="64" t="str">
        <f t="shared" si="12"/>
        <v>1w</v>
      </c>
      <c r="B722" s="203">
        <f>_xll.qlCalendarAdvance(Calendar,B721,A722,"f",FALSE)</f>
        <v>43924</v>
      </c>
      <c r="C722" s="237">
        <f>_xll.qlCalendarAdvance(Calendar,B722,NDays&amp;"D")</f>
        <v>43928</v>
      </c>
      <c r="D722" s="202">
        <v>2.1150788007266413E-2</v>
      </c>
      <c r="E722" s="202">
        <v>2.0163160048802808E-2</v>
      </c>
      <c r="U722" s="204"/>
    </row>
    <row r="723" spans="1:21" x14ac:dyDescent="0.2">
      <c r="A723" s="64" t="str">
        <f t="shared" si="12"/>
        <v>1w</v>
      </c>
      <c r="B723" s="203">
        <f>_xll.qlCalendarAdvance(Calendar,B722,A723,"f",FALSE)</f>
        <v>43935</v>
      </c>
      <c r="C723" s="237">
        <f>_xll.qlCalendarAdvance(Calendar,B723,NDays&amp;"D")</f>
        <v>43937</v>
      </c>
      <c r="D723" s="202">
        <v>2.1237148060931164E-2</v>
      </c>
      <c r="E723" s="202">
        <v>2.0251161168634013E-2</v>
      </c>
      <c r="U723" s="204"/>
    </row>
    <row r="724" spans="1:21" x14ac:dyDescent="0.2">
      <c r="A724" s="64" t="str">
        <f t="shared" si="12"/>
        <v>1w</v>
      </c>
      <c r="B724" s="203">
        <f>_xll.qlCalendarAdvance(Calendar,B723,A724,"f",FALSE)</f>
        <v>43942</v>
      </c>
      <c r="C724" s="237">
        <f>_xll.qlCalendarAdvance(Calendar,B724,NDays&amp;"D")</f>
        <v>43944</v>
      </c>
      <c r="D724" s="202">
        <v>2.1304119076988547E-2</v>
      </c>
      <c r="E724" s="202">
        <v>2.0319493541434142E-2</v>
      </c>
      <c r="U724" s="204"/>
    </row>
    <row r="725" spans="1:21" x14ac:dyDescent="0.2">
      <c r="A725" s="64" t="str">
        <f t="shared" si="12"/>
        <v>1w</v>
      </c>
      <c r="B725" s="203">
        <f>_xll.qlCalendarAdvance(Calendar,B724,A725,"f",FALSE)</f>
        <v>43949</v>
      </c>
      <c r="C725" s="237">
        <f>_xll.qlCalendarAdvance(Calendar,B725,NDays&amp;"D")</f>
        <v>43951</v>
      </c>
      <c r="D725" s="202">
        <v>2.1370912741721922E-2</v>
      </c>
      <c r="E725" s="202">
        <v>2.0404068908284057E-2</v>
      </c>
      <c r="U725" s="204"/>
    </row>
    <row r="726" spans="1:21" x14ac:dyDescent="0.2">
      <c r="A726" s="64" t="str">
        <f t="shared" si="12"/>
        <v>1w</v>
      </c>
      <c r="B726" s="203">
        <f>_xll.qlCalendarAdvance(Calendar,B725,A726,"f",FALSE)</f>
        <v>43956</v>
      </c>
      <c r="C726" s="237">
        <f>_xll.qlCalendarAdvance(Calendar,B726,NDays&amp;"D")</f>
        <v>43958</v>
      </c>
      <c r="D726" s="202">
        <v>2.1453501955248571E-2</v>
      </c>
      <c r="E726" s="202">
        <v>2.045586181226966E-2</v>
      </c>
      <c r="U726" s="204"/>
    </row>
    <row r="727" spans="1:21" x14ac:dyDescent="0.2">
      <c r="A727" s="64" t="str">
        <f t="shared" si="12"/>
        <v>1w</v>
      </c>
      <c r="B727" s="203">
        <f>_xll.qlCalendarAdvance(Calendar,B726,A727,"f",FALSE)</f>
        <v>43963</v>
      </c>
      <c r="C727" s="237">
        <f>_xll.qlCalendarAdvance(Calendar,B727,NDays&amp;"D")</f>
        <v>43965</v>
      </c>
      <c r="D727" s="202">
        <v>2.1519899312140333E-2</v>
      </c>
      <c r="E727" s="202">
        <v>2.0523897710225114E-2</v>
      </c>
      <c r="U727" s="204"/>
    </row>
    <row r="728" spans="1:21" x14ac:dyDescent="0.2">
      <c r="A728" s="64" t="str">
        <f t="shared" si="12"/>
        <v>1w</v>
      </c>
      <c r="B728" s="203">
        <f>_xll.qlCalendarAdvance(Calendar,B727,A728,"f",FALSE)</f>
        <v>43970</v>
      </c>
      <c r="C728" s="237">
        <f>_xll.qlCalendarAdvance(Calendar,B728,NDays&amp;"D")</f>
        <v>43972</v>
      </c>
      <c r="D728" s="202">
        <v>2.1586107743213449E-2</v>
      </c>
      <c r="E728" s="202">
        <v>2.0591834783152407E-2</v>
      </c>
      <c r="U728" s="204"/>
    </row>
    <row r="729" spans="1:21" x14ac:dyDescent="0.2">
      <c r="A729" s="64" t="str">
        <f t="shared" si="12"/>
        <v>1w</v>
      </c>
      <c r="B729" s="203">
        <f>_xll.qlCalendarAdvance(Calendar,B728,A729,"f",FALSE)</f>
        <v>43977</v>
      </c>
      <c r="C729" s="237">
        <f>_xll.qlCalendarAdvance(Calendar,B729,NDays&amp;"D")</f>
        <v>43979</v>
      </c>
      <c r="D729" s="202">
        <v>2.1652123493874728E-2</v>
      </c>
      <c r="E729" s="202">
        <v>2.0659673030971604E-2</v>
      </c>
      <c r="U729" s="204"/>
    </row>
    <row r="730" spans="1:21" x14ac:dyDescent="0.2">
      <c r="A730" s="64" t="str">
        <f t="shared" si="12"/>
        <v>1w</v>
      </c>
      <c r="B730" s="203">
        <f>_xll.qlCalendarAdvance(Calendar,B729,A730,"f",FALSE)</f>
        <v>43984</v>
      </c>
      <c r="C730" s="237">
        <f>_xll.qlCalendarAdvance(Calendar,B730,NDays&amp;"D")</f>
        <v>43986</v>
      </c>
      <c r="D730" s="202">
        <v>2.1702087707703745E-2</v>
      </c>
      <c r="E730" s="202">
        <v>2.0727370051600857E-2</v>
      </c>
      <c r="U730" s="204"/>
    </row>
    <row r="731" spans="1:21" x14ac:dyDescent="0.2">
      <c r="A731" s="64" t="str">
        <f t="shared" si="12"/>
        <v>1w</v>
      </c>
      <c r="B731" s="203">
        <f>_xll.qlCalendarAdvance(Calendar,B730,A731,"f",FALSE)</f>
        <v>43991</v>
      </c>
      <c r="C731" s="237">
        <f>_xll.qlCalendarAdvance(Calendar,B731,NDays&amp;"D")</f>
        <v>43993</v>
      </c>
      <c r="D731" s="202">
        <v>2.1767740820426686E-2</v>
      </c>
      <c r="E731" s="202">
        <v>2.0794870421934064E-2</v>
      </c>
      <c r="U731" s="204"/>
    </row>
    <row r="732" spans="1:21" x14ac:dyDescent="0.2">
      <c r="A732" s="64" t="str">
        <f t="shared" si="12"/>
        <v>1w</v>
      </c>
      <c r="B732" s="203">
        <f>_xll.qlCalendarAdvance(Calendar,B731,A732,"f",FALSE)</f>
        <v>43998</v>
      </c>
      <c r="C732" s="237">
        <f>_xll.qlCalendarAdvance(Calendar,B732,NDays&amp;"D")</f>
        <v>44000</v>
      </c>
      <c r="D732" s="202">
        <v>2.183319692851975E-2</v>
      </c>
      <c r="E732" s="202">
        <v>2.0862173807998374E-2</v>
      </c>
      <c r="U732" s="204"/>
    </row>
    <row r="733" spans="1:21" x14ac:dyDescent="0.2">
      <c r="A733" s="64" t="str">
        <f t="shared" si="12"/>
        <v>1w</v>
      </c>
      <c r="B733" s="203">
        <f>_xll.qlCalendarAdvance(Calendar,B732,A733,"f",FALSE)</f>
        <v>44005</v>
      </c>
      <c r="C733" s="237">
        <f>_xll.qlCalendarAdvance(Calendar,B733,NDays&amp;"D")</f>
        <v>44007</v>
      </c>
      <c r="D733" s="202">
        <v>2.1914220314350499E-2</v>
      </c>
      <c r="E733" s="202">
        <v>2.092928020955398E-2</v>
      </c>
      <c r="U733" s="204"/>
    </row>
    <row r="734" spans="1:21" x14ac:dyDescent="0.2">
      <c r="A734" s="64" t="str">
        <f t="shared" si="12"/>
        <v>1w</v>
      </c>
      <c r="B734" s="203">
        <f>_xll.qlCalendarAdvance(Calendar,B733,A734,"f",FALSE)</f>
        <v>44012</v>
      </c>
      <c r="C734" s="237">
        <f>_xll.qlCalendarAdvance(Calendar,B734,NDays&amp;"D")</f>
        <v>44014</v>
      </c>
      <c r="D734" s="202">
        <v>2.1979251947737224E-2</v>
      </c>
      <c r="E734" s="202">
        <v>2.0996189626600881E-2</v>
      </c>
      <c r="U734" s="204"/>
    </row>
    <row r="735" spans="1:21" x14ac:dyDescent="0.2">
      <c r="A735" s="64" t="str">
        <f t="shared" si="12"/>
        <v>1w</v>
      </c>
      <c r="B735" s="203">
        <f>_xll.qlCalendarAdvance(Calendar,B734,A735,"f",FALSE)</f>
        <v>44019</v>
      </c>
      <c r="C735" s="237">
        <f>_xll.qlCalendarAdvance(Calendar,B735,NDays&amp;"D")</f>
        <v>44021</v>
      </c>
      <c r="D735" s="202">
        <v>2.204408651259256E-2</v>
      </c>
      <c r="E735" s="202">
        <v>2.1062902059139077E-2</v>
      </c>
      <c r="U735" s="204"/>
    </row>
    <row r="736" spans="1:21" x14ac:dyDescent="0.2">
      <c r="A736" s="64" t="str">
        <f t="shared" si="12"/>
        <v>1w</v>
      </c>
      <c r="B736" s="203">
        <f>_xll.qlCalendarAdvance(Calendar,B735,A736,"f",FALSE)</f>
        <v>44026</v>
      </c>
      <c r="C736" s="237">
        <f>_xll.qlCalendarAdvance(Calendar,B736,NDays&amp;"D")</f>
        <v>44028</v>
      </c>
      <c r="D736" s="202">
        <v>2.2108723989191215E-2</v>
      </c>
      <c r="E736" s="202">
        <v>2.1129417506768888E-2</v>
      </c>
      <c r="U736" s="204"/>
    </row>
    <row r="737" spans="1:21" x14ac:dyDescent="0.2">
      <c r="A737" s="64" t="str">
        <f t="shared" si="12"/>
        <v>1w</v>
      </c>
      <c r="B737" s="203">
        <f>_xll.qlCalendarAdvance(Calendar,B736,A737,"f",FALSE)</f>
        <v>44033</v>
      </c>
      <c r="C737" s="237">
        <f>_xll.qlCalendarAdvance(Calendar,B737,NDays&amp;"D")</f>
        <v>44035</v>
      </c>
      <c r="D737" s="202">
        <v>2.2173164357868487E-2</v>
      </c>
      <c r="E737" s="202">
        <v>2.1195735969650187E-2</v>
      </c>
      <c r="U737" s="204"/>
    </row>
    <row r="738" spans="1:21" x14ac:dyDescent="0.2">
      <c r="A738" s="64" t="str">
        <f t="shared" si="12"/>
        <v>1w</v>
      </c>
      <c r="B738" s="203">
        <f>_xll.qlCalendarAdvance(Calendar,B737,A738,"f",FALSE)</f>
        <v>44040</v>
      </c>
      <c r="C738" s="237">
        <f>_xll.qlCalendarAdvance(Calendar,B738,NDays&amp;"D")</f>
        <v>44042</v>
      </c>
      <c r="D738" s="202">
        <v>2.2221795386773616E-2</v>
      </c>
      <c r="E738" s="202">
        <v>2.1261857447543164E-2</v>
      </c>
      <c r="U738" s="204"/>
    </row>
    <row r="739" spans="1:21" x14ac:dyDescent="0.2">
      <c r="A739" s="64" t="str">
        <f t="shared" si="12"/>
        <v>1w</v>
      </c>
      <c r="B739" s="203">
        <f>_xll.qlCalendarAdvance(Calendar,B738,A739,"f",FALSE)</f>
        <v>44047</v>
      </c>
      <c r="C739" s="237">
        <f>_xll.qlCalendarAdvance(Calendar,B739,NDays&amp;"D")</f>
        <v>44049</v>
      </c>
      <c r="D739" s="202">
        <v>2.2301453693094903E-2</v>
      </c>
      <c r="E739" s="202">
        <v>2.1327781940367885E-2</v>
      </c>
      <c r="U739" s="204"/>
    </row>
    <row r="740" spans="1:21" x14ac:dyDescent="0.2">
      <c r="A740" s="64" t="str">
        <f t="shared" si="12"/>
        <v>1w</v>
      </c>
      <c r="B740" s="203">
        <f>_xll.qlCalendarAdvance(Calendar,B739,A740,"f",FALSE)</f>
        <v>44054</v>
      </c>
      <c r="C740" s="237">
        <f>_xll.qlCalendarAdvance(Calendar,B740,NDays&amp;"D")</f>
        <v>44056</v>
      </c>
      <c r="D740" s="202">
        <v>2.2365302620611611E-2</v>
      </c>
      <c r="E740" s="202">
        <v>2.1393509447964476E-2</v>
      </c>
      <c r="U740" s="204"/>
    </row>
    <row r="741" spans="1:21" x14ac:dyDescent="0.2">
      <c r="A741" s="64" t="str">
        <f t="shared" si="12"/>
        <v>1w</v>
      </c>
      <c r="B741" s="203">
        <f>_xll.qlCalendarAdvance(Calendar,B740,A741,"f",FALSE)</f>
        <v>44061</v>
      </c>
      <c r="C741" s="237">
        <f>_xll.qlCalendarAdvance(Calendar,B741,NDays&amp;"D")</f>
        <v>44063</v>
      </c>
      <c r="D741" s="202">
        <v>2.2428954362141641E-2</v>
      </c>
      <c r="E741" s="202">
        <v>2.1459039970332938E-2</v>
      </c>
      <c r="U741" s="204"/>
    </row>
    <row r="742" spans="1:21" x14ac:dyDescent="0.2">
      <c r="A742" s="64" t="str">
        <f t="shared" si="12"/>
        <v>1w</v>
      </c>
      <c r="B742" s="203">
        <f>_xll.qlCalendarAdvance(Calendar,B741,A742,"f",FALSE)</f>
        <v>44068</v>
      </c>
      <c r="C742" s="237">
        <f>_xll.qlCalendarAdvance(Calendar,B742,NDays&amp;"D")</f>
        <v>44070</v>
      </c>
      <c r="D742" s="202">
        <v>2.2476918473470338E-2</v>
      </c>
      <c r="E742" s="202">
        <v>2.1524373507313399E-2</v>
      </c>
      <c r="U742" s="204"/>
    </row>
    <row r="743" spans="1:21" x14ac:dyDescent="0.2">
      <c r="A743" s="64" t="str">
        <f t="shared" si="12"/>
        <v>1w</v>
      </c>
      <c r="B743" s="203">
        <f>_xll.qlCalendarAdvance(Calendar,B742,A743,"f",FALSE)</f>
        <v>44075</v>
      </c>
      <c r="C743" s="237">
        <f>_xll.qlCalendarAdvance(Calendar,B743,NDays&amp;"D")</f>
        <v>44077</v>
      </c>
      <c r="D743" s="202">
        <v>2.2529895800909874E-2</v>
      </c>
      <c r="E743" s="202">
        <v>2.1589510058745986E-2</v>
      </c>
      <c r="U743" s="204"/>
    </row>
    <row r="744" spans="1:21" x14ac:dyDescent="0.2">
      <c r="A744" s="64" t="str">
        <f t="shared" si="12"/>
        <v>1w</v>
      </c>
      <c r="B744" s="203">
        <f>_xll.qlCalendarAdvance(Calendar,B743,A744,"f",FALSE)</f>
        <v>44082</v>
      </c>
      <c r="C744" s="237">
        <f>_xll.qlCalendarAdvance(Calendar,B744,NDays&amp;"D")</f>
        <v>44084</v>
      </c>
      <c r="D744" s="202">
        <v>2.2593006657250572E-2</v>
      </c>
      <c r="E744" s="202">
        <v>2.1654449624550764E-2</v>
      </c>
      <c r="U744" s="204"/>
    </row>
    <row r="745" spans="1:21" x14ac:dyDescent="0.2">
      <c r="A745" s="64" t="str">
        <f t="shared" si="12"/>
        <v>1w</v>
      </c>
      <c r="B745" s="203">
        <f>_xll.qlCalendarAdvance(Calendar,B744,A745,"f",FALSE)</f>
        <v>44089</v>
      </c>
      <c r="C745" s="237">
        <f>_xll.qlCalendarAdvance(Calendar,B745,NDays&amp;"D")</f>
        <v>44091</v>
      </c>
      <c r="D745" s="202">
        <v>2.265592026431977E-2</v>
      </c>
      <c r="E745" s="202">
        <v>2.1719192204727733E-2</v>
      </c>
      <c r="U745" s="204"/>
    </row>
    <row r="746" spans="1:21" x14ac:dyDescent="0.2">
      <c r="A746" s="64" t="str">
        <f t="shared" si="12"/>
        <v>1w</v>
      </c>
      <c r="B746" s="203">
        <f>_xll.qlCalendarAdvance(Calendar,B745,A746,"f",FALSE)</f>
        <v>44096</v>
      </c>
      <c r="C746" s="237">
        <f>_xll.qlCalendarAdvance(Calendar,B746,NDays&amp;"D")</f>
        <v>44098</v>
      </c>
      <c r="D746" s="202">
        <v>2.2718636603485297E-2</v>
      </c>
      <c r="E746" s="202">
        <v>2.1783737799037084E-2</v>
      </c>
      <c r="U746" s="204"/>
    </row>
    <row r="747" spans="1:21" x14ac:dyDescent="0.2">
      <c r="A747" s="64" t="str">
        <f t="shared" si="12"/>
        <v>1w</v>
      </c>
      <c r="B747" s="203">
        <f>_xll.qlCalendarAdvance(Calendar,B746,A747,"f",FALSE)</f>
        <v>44103</v>
      </c>
      <c r="C747" s="237">
        <f>_xll.qlCalendarAdvance(Calendar,B747,NDays&amp;"D")</f>
        <v>44105</v>
      </c>
      <c r="D747" s="202">
        <v>2.278627061470238E-2</v>
      </c>
      <c r="E747" s="202">
        <v>2.1848086407398881E-2</v>
      </c>
      <c r="U747" s="204"/>
    </row>
    <row r="748" spans="1:21" x14ac:dyDescent="0.2">
      <c r="A748" s="64" t="str">
        <f t="shared" si="12"/>
        <v>1w</v>
      </c>
      <c r="B748" s="203">
        <f>_xll.qlCalendarAdvance(Calendar,B747,A748,"f",FALSE)</f>
        <v>44110</v>
      </c>
      <c r="C748" s="237">
        <f>_xll.qlCalendarAdvance(Calendar,B748,NDays&amp;"D")</f>
        <v>44112</v>
      </c>
      <c r="D748" s="202">
        <v>2.2848582193261319E-2</v>
      </c>
      <c r="E748" s="202">
        <v>2.1912238029733189E-2</v>
      </c>
      <c r="U748" s="204"/>
    </row>
    <row r="749" spans="1:21" x14ac:dyDescent="0.2">
      <c r="A749" s="64" t="str">
        <f t="shared" si="12"/>
        <v>1w</v>
      </c>
      <c r="B749" s="203">
        <f>_xll.qlCalendarAdvance(Calendar,B748,A749,"f",FALSE)</f>
        <v>44117</v>
      </c>
      <c r="C749" s="237">
        <f>_xll.qlCalendarAdvance(Calendar,B749,NDays&amp;"D")</f>
        <v>44119</v>
      </c>
      <c r="D749" s="202">
        <v>2.2910696445236613E-2</v>
      </c>
      <c r="E749" s="202">
        <v>2.197619266596007E-2</v>
      </c>
      <c r="U749" s="204"/>
    </row>
    <row r="750" spans="1:21" x14ac:dyDescent="0.2">
      <c r="A750" s="64" t="str">
        <f t="shared" si="12"/>
        <v>1w</v>
      </c>
      <c r="B750" s="203">
        <f>_xll.qlCalendarAdvance(Calendar,B749,A750,"f",FALSE)</f>
        <v>44124</v>
      </c>
      <c r="C750" s="237">
        <f>_xll.qlCalendarAdvance(Calendar,B750,NDays&amp;"D")</f>
        <v>44126</v>
      </c>
      <c r="D750" s="202">
        <v>2.297261335213141E-2</v>
      </c>
      <c r="E750" s="202">
        <v>2.2039950315919654E-2</v>
      </c>
      <c r="U750" s="204"/>
    </row>
    <row r="751" spans="1:21" x14ac:dyDescent="0.2">
      <c r="A751" s="64" t="str">
        <f t="shared" si="12"/>
        <v>1w</v>
      </c>
      <c r="B751" s="203">
        <f>_xll.qlCalendarAdvance(Calendar,B750,A751,"f",FALSE)</f>
        <v>44131</v>
      </c>
      <c r="C751" s="237">
        <f>_xll.qlCalendarAdvance(Calendar,B751,NDays&amp;"D")</f>
        <v>44133</v>
      </c>
      <c r="D751" s="202">
        <v>2.3034332895506833E-2</v>
      </c>
      <c r="E751" s="202">
        <v>2.2103510979532004E-2</v>
      </c>
      <c r="U751" s="204"/>
    </row>
    <row r="752" spans="1:21" x14ac:dyDescent="0.2">
      <c r="A752" s="64" t="str">
        <f t="shared" si="12"/>
        <v>1w</v>
      </c>
      <c r="B752" s="203">
        <f>_xll.qlCalendarAdvance(Calendar,B751,A752,"f",FALSE)</f>
        <v>44138</v>
      </c>
      <c r="C752" s="237">
        <f>_xll.qlCalendarAdvance(Calendar,B752,NDays&amp;"D")</f>
        <v>44140</v>
      </c>
      <c r="D752" s="202">
        <v>2.3090790976468708E-2</v>
      </c>
      <c r="E752" s="202">
        <v>2.2166874656717184E-2</v>
      </c>
      <c r="U752" s="204"/>
    </row>
    <row r="753" spans="1:21" x14ac:dyDescent="0.2">
      <c r="A753" s="64" t="str">
        <f t="shared" si="12"/>
        <v>1w</v>
      </c>
      <c r="B753" s="203">
        <f>_xll.qlCalendarAdvance(Calendar,B752,A753,"f",FALSE)</f>
        <v>44145</v>
      </c>
      <c r="C753" s="237">
        <f>_xll.qlCalendarAdvance(Calendar,B753,NDays&amp;"D")</f>
        <v>44147</v>
      </c>
      <c r="D753" s="202">
        <v>2.3152125923509567E-2</v>
      </c>
      <c r="E753" s="202">
        <v>2.2230041347315321E-2</v>
      </c>
      <c r="U753" s="204"/>
    </row>
    <row r="754" spans="1:21" x14ac:dyDescent="0.2">
      <c r="A754" s="64" t="str">
        <f t="shared" si="12"/>
        <v>1w</v>
      </c>
      <c r="B754" s="203">
        <f>_xll.qlCalendarAdvance(Calendar,B753,A754,"f",FALSE)</f>
        <v>44152</v>
      </c>
      <c r="C754" s="237">
        <f>_xll.qlCalendarAdvance(Calendar,B754,NDays&amp;"D")</f>
        <v>44154</v>
      </c>
      <c r="D754" s="202">
        <v>2.3213263455686303E-2</v>
      </c>
      <c r="E754" s="202">
        <v>2.2293011051246481E-2</v>
      </c>
      <c r="U754" s="204"/>
    </row>
    <row r="755" spans="1:21" x14ac:dyDescent="0.2">
      <c r="A755" s="64" t="str">
        <f t="shared" si="12"/>
        <v>1w</v>
      </c>
      <c r="B755" s="203">
        <f>_xll.qlCalendarAdvance(Calendar,B754,A755,"f",FALSE)</f>
        <v>44159</v>
      </c>
      <c r="C755" s="237">
        <f>_xll.qlCalendarAdvance(Calendar,B755,NDays&amp;"D")</f>
        <v>44161</v>
      </c>
      <c r="D755" s="202">
        <v>2.327420355489053E-2</v>
      </c>
      <c r="E755" s="202">
        <v>2.2355783768430726E-2</v>
      </c>
      <c r="U755" s="204"/>
    </row>
    <row r="756" spans="1:21" x14ac:dyDescent="0.2">
      <c r="A756" s="64" t="str">
        <f t="shared" si="12"/>
        <v>1w</v>
      </c>
      <c r="B756" s="203">
        <f>_xll.qlCalendarAdvance(Calendar,B755,A756,"f",FALSE)</f>
        <v>44166</v>
      </c>
      <c r="C756" s="237">
        <f>_xll.qlCalendarAdvance(Calendar,B756,NDays&amp;"D")</f>
        <v>44168</v>
      </c>
      <c r="D756" s="202">
        <v>2.333996944891216E-2</v>
      </c>
      <c r="E756" s="202">
        <v>2.2418359498708185E-2</v>
      </c>
      <c r="U756" s="204"/>
    </row>
    <row r="757" spans="1:21" x14ac:dyDescent="0.2">
      <c r="A757" s="64" t="str">
        <f t="shared" si="12"/>
        <v>1w</v>
      </c>
      <c r="B757" s="203">
        <f>_xll.qlCalendarAdvance(Calendar,B756,A757,"f",FALSE)</f>
        <v>44173</v>
      </c>
      <c r="C757" s="237">
        <f>_xll.qlCalendarAdvance(Calendar,B757,NDays&amp;"D")</f>
        <v>44175</v>
      </c>
      <c r="D757" s="202">
        <v>2.3400501926384865E-2</v>
      </c>
      <c r="E757" s="202">
        <v>2.2480738242078857E-2</v>
      </c>
      <c r="U757" s="204"/>
    </row>
    <row r="758" spans="1:21" x14ac:dyDescent="0.2">
      <c r="A758" s="64" t="str">
        <f t="shared" si="12"/>
        <v>1w</v>
      </c>
      <c r="B758" s="203">
        <f>_xll.qlCalendarAdvance(Calendar,B757,A758,"f",FALSE)</f>
        <v>44180</v>
      </c>
      <c r="C758" s="237">
        <f>_xll.qlCalendarAdvance(Calendar,B758,NDays&amp;"D")</f>
        <v>44182</v>
      </c>
      <c r="D758" s="202">
        <v>2.3460829356052461E-2</v>
      </c>
      <c r="E758" s="202">
        <v>2.2542919998302935E-2</v>
      </c>
      <c r="U758" s="204"/>
    </row>
    <row r="759" spans="1:21" x14ac:dyDescent="0.2">
      <c r="A759" s="64" t="str">
        <f t="shared" si="12"/>
        <v>1w</v>
      </c>
      <c r="B759" s="203">
        <f>_xll.qlCalendarAdvance(Calendar,B758,A759,"f",FALSE)</f>
        <v>44187</v>
      </c>
      <c r="C759" s="237">
        <f>_xll.qlCalendarAdvance(Calendar,B759,NDays&amp;"D")</f>
        <v>44189</v>
      </c>
      <c r="D759" s="202">
        <v>2.3520946429416253E-2</v>
      </c>
      <c r="E759" s="202">
        <v>2.2620290754085115E-2</v>
      </c>
      <c r="U759" s="204"/>
    </row>
    <row r="760" spans="1:21" x14ac:dyDescent="0.2">
      <c r="A760" s="64" t="str">
        <f t="shared" si="12"/>
        <v>1w</v>
      </c>
      <c r="B760" s="203">
        <f>_xll.qlCalendarAdvance(Calendar,B759,A760,"f",FALSE)</f>
        <v>44194</v>
      </c>
      <c r="C760" s="237">
        <f>_xll.qlCalendarAdvance(Calendar,B760,NDays&amp;"D")</f>
        <v>44196</v>
      </c>
      <c r="D760" s="202">
        <v>2.3575872145434031E-2</v>
      </c>
      <c r="E760" s="202">
        <v>2.2682047979059039E-2</v>
      </c>
      <c r="U760" s="204"/>
    </row>
    <row r="761" spans="1:21" x14ac:dyDescent="0.2">
      <c r="A761" s="64" t="str">
        <f t="shared" si="12"/>
        <v>1w</v>
      </c>
      <c r="B761" s="203">
        <f>_xll.qlCalendarAdvance(Calendar,B760,A761,"f",FALSE)</f>
        <v>44201</v>
      </c>
      <c r="C761" s="237">
        <f>_xll.qlCalendarAdvance(Calendar,B761,NDays&amp;"D")</f>
        <v>44203</v>
      </c>
      <c r="D761" s="202">
        <v>2.3635566135019229E-2</v>
      </c>
      <c r="E761" s="202">
        <v>2.2728283343775857E-2</v>
      </c>
      <c r="U761" s="204"/>
    </row>
    <row r="762" spans="1:21" x14ac:dyDescent="0.2">
      <c r="A762" s="64" t="str">
        <f t="shared" si="12"/>
        <v>1w</v>
      </c>
      <c r="B762" s="203">
        <f>_xll.qlCalendarAdvance(Calendar,B761,A762,"f",FALSE)</f>
        <v>44208</v>
      </c>
      <c r="C762" s="237">
        <f>_xll.qlCalendarAdvance(Calendar,B762,NDays&amp;"D")</f>
        <v>44210</v>
      </c>
      <c r="D762" s="202">
        <v>2.3695034447175859E-2</v>
      </c>
      <c r="E762" s="202">
        <v>2.2789677150694132E-2</v>
      </c>
      <c r="U762" s="204"/>
    </row>
    <row r="763" spans="1:21" x14ac:dyDescent="0.2">
      <c r="A763" s="64" t="str">
        <f t="shared" si="12"/>
        <v>1w</v>
      </c>
      <c r="B763" s="203">
        <f>_xll.qlCalendarAdvance(Calendar,B762,A763,"f",FALSE)</f>
        <v>44215</v>
      </c>
      <c r="C763" s="237">
        <f>_xll.qlCalendarAdvance(Calendar,B763,NDays&amp;"D")</f>
        <v>44217</v>
      </c>
      <c r="D763" s="202">
        <v>2.3754271742449075E-2</v>
      </c>
      <c r="E763" s="202">
        <v>2.2850873970066132E-2</v>
      </c>
      <c r="U763" s="204"/>
    </row>
    <row r="764" spans="1:21" x14ac:dyDescent="0.2">
      <c r="A764" s="64" t="str">
        <f t="shared" si="12"/>
        <v>1w</v>
      </c>
      <c r="B764" s="203">
        <f>_xll.qlCalendarAdvance(Calendar,B763,A764,"f",FALSE)</f>
        <v>44222</v>
      </c>
      <c r="C764" s="237">
        <f>_xll.qlCalendarAdvance(Calendar,B764,NDays&amp;"D")</f>
        <v>44224</v>
      </c>
      <c r="D764" s="202">
        <v>2.3813272680835964E-2</v>
      </c>
      <c r="E764" s="202">
        <v>2.2911873801811922E-2</v>
      </c>
      <c r="U764" s="204"/>
    </row>
    <row r="765" spans="1:21" x14ac:dyDescent="0.2">
      <c r="A765" s="64" t="str">
        <f t="shared" si="12"/>
        <v>1w</v>
      </c>
      <c r="B765" s="203">
        <f>_xll.qlCalendarAdvance(Calendar,B764,A765,"f",FALSE)</f>
        <v>44229</v>
      </c>
      <c r="C765" s="237">
        <f>_xll.qlCalendarAdvance(Calendar,B765,NDays&amp;"D")</f>
        <v>44231</v>
      </c>
      <c r="D765" s="202">
        <v>2.3872031921792165E-2</v>
      </c>
      <c r="E765" s="202">
        <v>2.2972676645771628E-2</v>
      </c>
      <c r="U765" s="204"/>
    </row>
    <row r="766" spans="1:21" x14ac:dyDescent="0.2">
      <c r="A766" s="64" t="str">
        <f t="shared" si="12"/>
        <v>1w</v>
      </c>
      <c r="B766" s="203">
        <f>_xll.qlCalendarAdvance(Calendar,B765,A766,"f",FALSE)</f>
        <v>44236</v>
      </c>
      <c r="C766" s="237">
        <f>_xll.qlCalendarAdvance(Calendar,B766,NDays&amp;"D")</f>
        <v>44238</v>
      </c>
      <c r="D766" s="202">
        <v>2.3930544124237611E-2</v>
      </c>
      <c r="E766" s="202">
        <v>2.3033282501785379E-2</v>
      </c>
      <c r="U766" s="204"/>
    </row>
    <row r="767" spans="1:21" x14ac:dyDescent="0.2">
      <c r="A767" s="64" t="str">
        <f t="shared" si="12"/>
        <v>1w</v>
      </c>
      <c r="B767" s="203">
        <f>_xll.qlCalendarAdvance(Calendar,B766,A767,"f",FALSE)</f>
        <v>44243</v>
      </c>
      <c r="C767" s="237">
        <f>_xll.qlCalendarAdvance(Calendar,B767,NDays&amp;"D")</f>
        <v>44245</v>
      </c>
      <c r="D767" s="202">
        <v>2.3988803946563605E-2</v>
      </c>
      <c r="E767" s="202">
        <v>2.3093691369853175E-2</v>
      </c>
      <c r="U767" s="204"/>
    </row>
    <row r="768" spans="1:21" x14ac:dyDescent="0.2">
      <c r="A768" s="64" t="str">
        <f t="shared" si="12"/>
        <v>1w</v>
      </c>
      <c r="B768" s="203">
        <f>_xll.qlCalendarAdvance(Calendar,B767,A768,"f",FALSE)</f>
        <v>44250</v>
      </c>
      <c r="C768" s="237">
        <f>_xll.qlCalendarAdvance(Calendar,B768,NDays&amp;"D")</f>
        <v>44252</v>
      </c>
      <c r="D768" s="202">
        <v>2.4046806046639425E-2</v>
      </c>
      <c r="E768" s="202">
        <v>2.315390324989508E-2</v>
      </c>
      <c r="U768" s="204"/>
    </row>
    <row r="769" spans="1:21" x14ac:dyDescent="0.2">
      <c r="A769" s="64" t="str">
        <f t="shared" si="12"/>
        <v>1w</v>
      </c>
      <c r="B769" s="203">
        <f>_xll.qlCalendarAdvance(Calendar,B768,A769,"f",FALSE)</f>
        <v>44257</v>
      </c>
      <c r="C769" s="237">
        <f>_xll.qlCalendarAdvance(Calendar,B769,NDays&amp;"D")</f>
        <v>44259</v>
      </c>
      <c r="D769" s="202">
        <v>2.4128700072982411E-2</v>
      </c>
      <c r="E769" s="202">
        <v>2.3213918141671286E-2</v>
      </c>
      <c r="U769" s="204"/>
    </row>
    <row r="770" spans="1:21" x14ac:dyDescent="0.2">
      <c r="A770" s="64" t="str">
        <f t="shared" si="12"/>
        <v>1w</v>
      </c>
      <c r="B770" s="203">
        <f>_xll.qlCalendarAdvance(Calendar,B769,A770,"f",FALSE)</f>
        <v>44264</v>
      </c>
      <c r="C770" s="237">
        <f>_xll.qlCalendarAdvance(Calendar,B770,NDays&amp;"D")</f>
        <v>44266</v>
      </c>
      <c r="D770" s="202">
        <v>2.4186080490974978E-2</v>
      </c>
      <c r="E770" s="202">
        <v>2.3273736045181792E-2</v>
      </c>
      <c r="U770" s="204"/>
    </row>
    <row r="771" spans="1:21" x14ac:dyDescent="0.2">
      <c r="A771" s="64" t="str">
        <f t="shared" si="12"/>
        <v>1w</v>
      </c>
      <c r="B771" s="203">
        <f>_xll.qlCalendarAdvance(Calendar,B770,A771,"f",FALSE)</f>
        <v>44271</v>
      </c>
      <c r="C771" s="237">
        <f>_xll.qlCalendarAdvance(Calendar,B771,NDays&amp;"D")</f>
        <v>44273</v>
      </c>
      <c r="D771" s="202">
        <v>2.4243185446237065E-2</v>
      </c>
      <c r="E771" s="202">
        <v>2.3333356960346663E-2</v>
      </c>
      <c r="U771" s="204"/>
    </row>
    <row r="772" spans="1:21" x14ac:dyDescent="0.2">
      <c r="A772" s="64" t="str">
        <f t="shared" si="12"/>
        <v>1w</v>
      </c>
      <c r="B772" s="203">
        <f>_xll.qlCalendarAdvance(Calendar,B771,A772,"f",FALSE)</f>
        <v>44278</v>
      </c>
      <c r="C772" s="237">
        <f>_xll.qlCalendarAdvance(Calendar,B772,NDays&amp;"D")</f>
        <v>44280</v>
      </c>
      <c r="D772" s="202">
        <v>2.4300009735107094E-2</v>
      </c>
      <c r="E772" s="202">
        <v>2.3392780887006026E-2</v>
      </c>
      <c r="U772" s="204"/>
    </row>
    <row r="773" spans="1:21" x14ac:dyDescent="0.2">
      <c r="A773" s="64" t="str">
        <f t="shared" si="12"/>
        <v>1w</v>
      </c>
      <c r="B773" s="203">
        <f>_xll.qlCalendarAdvance(Calendar,B772,A773,"f",FALSE)</f>
        <v>44285</v>
      </c>
      <c r="C773" s="237">
        <f>_xll.qlCalendarAdvance(Calendar,B773,NDays&amp;"D")</f>
        <v>44287</v>
      </c>
      <c r="D773" s="202">
        <v>2.43422825415004E-2</v>
      </c>
      <c r="E773" s="202">
        <v>2.3471949742669196E-2</v>
      </c>
      <c r="U773" s="204"/>
    </row>
    <row r="774" spans="1:21" x14ac:dyDescent="0.2">
      <c r="A774" s="64" t="str">
        <f t="shared" si="12"/>
        <v>1w</v>
      </c>
      <c r="B774" s="203">
        <f>_xll.qlCalendarAdvance(Calendar,B773,A774,"f",FALSE)</f>
        <v>44292</v>
      </c>
      <c r="C774" s="237">
        <f>_xll.qlCalendarAdvance(Calendar,B774,NDays&amp;"D")</f>
        <v>44294</v>
      </c>
      <c r="D774" s="202">
        <v>2.4398587646794662E-2</v>
      </c>
      <c r="E774" s="202">
        <v>2.3511037774568422E-2</v>
      </c>
      <c r="U774" s="204"/>
    </row>
    <row r="775" spans="1:21" x14ac:dyDescent="0.2">
      <c r="A775" s="64" t="str">
        <f t="shared" ref="A775:A838" si="13">A774</f>
        <v>1w</v>
      </c>
      <c r="B775" s="203">
        <f>_xll.qlCalendarAdvance(Calendar,B774,A775,"f",FALSE)</f>
        <v>44299</v>
      </c>
      <c r="C775" s="237">
        <f>_xll.qlCalendarAdvance(Calendar,B775,NDays&amp;"D")</f>
        <v>44301</v>
      </c>
      <c r="D775" s="202">
        <v>2.4454597154320586E-2</v>
      </c>
      <c r="E775" s="202">
        <v>2.3569870735311582E-2</v>
      </c>
      <c r="U775" s="204"/>
    </row>
    <row r="776" spans="1:21" x14ac:dyDescent="0.2">
      <c r="A776" s="64" t="str">
        <f t="shared" si="13"/>
        <v>1w</v>
      </c>
      <c r="B776" s="203">
        <f>_xll.qlCalendarAdvance(Calendar,B775,A776,"f",FALSE)</f>
        <v>44306</v>
      </c>
      <c r="C776" s="237">
        <f>_xll.qlCalendarAdvance(Calendar,B776,NDays&amp;"D")</f>
        <v>44308</v>
      </c>
      <c r="D776" s="202">
        <v>2.4510305775156081E-2</v>
      </c>
      <c r="E776" s="202">
        <v>2.3628506707149555E-2</v>
      </c>
      <c r="U776" s="204"/>
    </row>
    <row r="777" spans="1:21" x14ac:dyDescent="0.2">
      <c r="A777" s="64" t="str">
        <f t="shared" si="13"/>
        <v>1w</v>
      </c>
      <c r="B777" s="203">
        <f>_xll.qlCalendarAdvance(Calendar,B776,A777,"f",FALSE)</f>
        <v>44313</v>
      </c>
      <c r="C777" s="237">
        <f>_xll.qlCalendarAdvance(Calendar,B777,NDays&amp;"D")</f>
        <v>44315</v>
      </c>
      <c r="D777" s="202">
        <v>2.45657082199226E-2</v>
      </c>
      <c r="E777" s="202">
        <v>2.3686945690002403E-2</v>
      </c>
      <c r="U777" s="204"/>
    </row>
    <row r="778" spans="1:21" x14ac:dyDescent="0.2">
      <c r="A778" s="64" t="str">
        <f t="shared" si="13"/>
        <v>1w</v>
      </c>
      <c r="B778" s="203">
        <f>_xll.qlCalendarAdvance(Calendar,B777,A778,"f",FALSE)</f>
        <v>44320</v>
      </c>
      <c r="C778" s="237">
        <f>_xll.qlCalendarAdvance(Calendar,B778,NDays&amp;"D")</f>
        <v>44322</v>
      </c>
      <c r="D778" s="202">
        <v>2.4634770009373617E-2</v>
      </c>
      <c r="E778" s="202">
        <v>2.3745187683870128E-2</v>
      </c>
      <c r="U778" s="204"/>
    </row>
    <row r="779" spans="1:21" x14ac:dyDescent="0.2">
      <c r="A779" s="64" t="str">
        <f t="shared" si="13"/>
        <v>1w</v>
      </c>
      <c r="B779" s="203">
        <f>_xll.qlCalendarAdvance(Calendar,B778,A779,"f",FALSE)</f>
        <v>44327</v>
      </c>
      <c r="C779" s="237">
        <f>_xll.qlCalendarAdvance(Calendar,B779,NDays&amp;"D")</f>
        <v>44329</v>
      </c>
      <c r="D779" s="202">
        <v>2.4689483891506107E-2</v>
      </c>
      <c r="E779" s="202">
        <v>2.3803232688512921E-2</v>
      </c>
      <c r="U779" s="204"/>
    </row>
    <row r="780" spans="1:21" x14ac:dyDescent="0.2">
      <c r="A780" s="64" t="str">
        <f t="shared" si="13"/>
        <v>1w</v>
      </c>
      <c r="B780" s="203">
        <f>_xll.qlCalendarAdvance(Calendar,B779,A780,"f",FALSE)</f>
        <v>44334</v>
      </c>
      <c r="C780" s="237">
        <f>_xll.qlCalendarAdvance(Calendar,B780,NDays&amp;"D")</f>
        <v>44336</v>
      </c>
      <c r="D780" s="202">
        <v>2.4743875461270402E-2</v>
      </c>
      <c r="E780" s="202">
        <v>2.3861080704010718E-2</v>
      </c>
      <c r="U780" s="204"/>
    </row>
    <row r="781" spans="1:21" x14ac:dyDescent="0.2">
      <c r="A781" s="64" t="str">
        <f t="shared" si="13"/>
        <v>1w</v>
      </c>
      <c r="B781" s="203">
        <f>_xll.qlCalendarAdvance(Calendar,B780,A781,"f",FALSE)</f>
        <v>44341</v>
      </c>
      <c r="C781" s="237">
        <f>_xll.qlCalendarAdvance(Calendar,B781,NDays&amp;"D")</f>
        <v>44343</v>
      </c>
      <c r="D781" s="202">
        <v>2.4797939510952247E-2</v>
      </c>
      <c r="E781" s="202">
        <v>2.3918731730043774E-2</v>
      </c>
      <c r="U781" s="204"/>
    </row>
    <row r="782" spans="1:21" x14ac:dyDescent="0.2">
      <c r="A782" s="64" t="str">
        <f t="shared" si="13"/>
        <v>1w</v>
      </c>
      <c r="B782" s="203">
        <f>_xll.qlCalendarAdvance(Calendar,B781,A782,"f",FALSE)</f>
        <v>44348</v>
      </c>
      <c r="C782" s="237">
        <f>_xll.qlCalendarAdvance(Calendar,B782,NDays&amp;"D")</f>
        <v>44350</v>
      </c>
      <c r="D782" s="202">
        <v>2.4837942712837843E-2</v>
      </c>
      <c r="E782" s="202">
        <v>2.3976168660055919E-2</v>
      </c>
      <c r="U782" s="204"/>
    </row>
    <row r="783" spans="1:21" x14ac:dyDescent="0.2">
      <c r="A783" s="64" t="str">
        <f t="shared" si="13"/>
        <v>1w</v>
      </c>
      <c r="B783" s="203">
        <f>_xll.qlCalendarAdvance(Calendar,B782,A783,"f",FALSE)</f>
        <v>44355</v>
      </c>
      <c r="C783" s="237">
        <f>_xll.qlCalendarAdvance(Calendar,B783,NDays&amp;"D")</f>
        <v>44357</v>
      </c>
      <c r="D783" s="202">
        <v>2.4891399489063545E-2</v>
      </c>
      <c r="E783" s="202">
        <v>2.403328977837127E-2</v>
      </c>
      <c r="U783" s="204"/>
    </row>
    <row r="784" spans="1:21" x14ac:dyDescent="0.2">
      <c r="A784" s="64" t="str">
        <f t="shared" si="13"/>
        <v>1w</v>
      </c>
      <c r="B784" s="203">
        <f>_xll.qlCalendarAdvance(Calendar,B783,A784,"f",FALSE)</f>
        <v>44362</v>
      </c>
      <c r="C784" s="237">
        <f>_xll.qlCalendarAdvance(Calendar,B784,NDays&amp;"D")</f>
        <v>44364</v>
      </c>
      <c r="D784" s="202">
        <v>2.4944520573179942E-2</v>
      </c>
      <c r="E784" s="202">
        <v>2.4090077978113911E-2</v>
      </c>
      <c r="U784" s="204"/>
    </row>
    <row r="785" spans="1:21" x14ac:dyDescent="0.2">
      <c r="A785" s="64" t="str">
        <f t="shared" si="13"/>
        <v>1w</v>
      </c>
      <c r="B785" s="203">
        <f>_xll.qlCalendarAdvance(Calendar,B784,A785,"f",FALSE)</f>
        <v>44369</v>
      </c>
      <c r="C785" s="237">
        <f>_xll.qlCalendarAdvance(Calendar,B785,NDays&amp;"D")</f>
        <v>44371</v>
      </c>
      <c r="D785" s="202">
        <v>2.4997305938256015E-2</v>
      </c>
      <c r="E785" s="202">
        <v>2.4146533259203906E-2</v>
      </c>
      <c r="U785" s="204"/>
    </row>
    <row r="786" spans="1:21" x14ac:dyDescent="0.2">
      <c r="A786" s="64" t="str">
        <f t="shared" si="13"/>
        <v>1w</v>
      </c>
      <c r="B786" s="203">
        <f>_xll.qlCalendarAdvance(Calendar,B785,A786,"f",FALSE)</f>
        <v>44376</v>
      </c>
      <c r="C786" s="237">
        <f>_xll.qlCalendarAdvance(Calendar,B786,NDays&amp;"D")</f>
        <v>44378</v>
      </c>
      <c r="D786" s="202">
        <v>2.5063239665859278E-2</v>
      </c>
      <c r="E786" s="202">
        <v>2.4202655621401448E-2</v>
      </c>
      <c r="U786" s="204"/>
    </row>
    <row r="787" spans="1:21" x14ac:dyDescent="0.2">
      <c r="A787" s="64" t="str">
        <f t="shared" si="13"/>
        <v>1w</v>
      </c>
      <c r="B787" s="203">
        <f>_xll.qlCalendarAdvance(Calendar,B786,A787,"f",FALSE)</f>
        <v>44383</v>
      </c>
      <c r="C787" s="237">
        <f>_xll.qlCalendarAdvance(Calendar,B787,NDays&amp;"D")</f>
        <v>44385</v>
      </c>
      <c r="D787" s="202">
        <v>2.5115292361757378E-2</v>
      </c>
      <c r="E787" s="202">
        <v>2.4258445064706535E-2</v>
      </c>
      <c r="U787" s="204"/>
    </row>
    <row r="788" spans="1:21" x14ac:dyDescent="0.2">
      <c r="A788" s="64" t="str">
        <f t="shared" si="13"/>
        <v>1w</v>
      </c>
      <c r="B788" s="203">
        <f>_xll.qlCalendarAdvance(Calendar,B787,A788,"f",FALSE)</f>
        <v>44390</v>
      </c>
      <c r="C788" s="237">
        <f>_xll.qlCalendarAdvance(Calendar,B788,NDays&amp;"D")</f>
        <v>44392</v>
      </c>
      <c r="D788" s="202">
        <v>2.5167009205564399E-2</v>
      </c>
      <c r="E788" s="202">
        <v>2.4313901588799425E-2</v>
      </c>
      <c r="U788" s="204"/>
    </row>
    <row r="789" spans="1:21" x14ac:dyDescent="0.2">
      <c r="A789" s="64" t="str">
        <f t="shared" si="13"/>
        <v>1w</v>
      </c>
      <c r="B789" s="203">
        <f>_xll.qlCalendarAdvance(Calendar,B788,A789,"f",FALSE)</f>
        <v>44397</v>
      </c>
      <c r="C789" s="237">
        <f>_xll.qlCalendarAdvance(Calendar,B789,NDays&amp;"D")</f>
        <v>44399</v>
      </c>
      <c r="D789" s="202">
        <v>2.5218390170630253E-2</v>
      </c>
      <c r="E789" s="202">
        <v>2.4369025193520244E-2</v>
      </c>
      <c r="U789" s="204"/>
    </row>
    <row r="790" spans="1:21" x14ac:dyDescent="0.2">
      <c r="A790" s="64" t="str">
        <f t="shared" si="13"/>
        <v>1w</v>
      </c>
      <c r="B790" s="203">
        <f>_xll.qlCalendarAdvance(Calendar,B789,A790,"f",FALSE)</f>
        <v>44404</v>
      </c>
      <c r="C790" s="237">
        <f>_xll.qlCalendarAdvance(Calendar,B790,NDays&amp;"D")</f>
        <v>44406</v>
      </c>
      <c r="D790" s="202">
        <v>2.5269435230477626E-2</v>
      </c>
      <c r="E790" s="202">
        <v>2.4423815878948929E-2</v>
      </c>
      <c r="U790" s="204"/>
    </row>
    <row r="791" spans="1:21" x14ac:dyDescent="0.2">
      <c r="A791" s="64" t="str">
        <f t="shared" si="13"/>
        <v>1w</v>
      </c>
      <c r="B791" s="203">
        <f>_xll.qlCalendarAdvance(Calendar,B790,A791,"f",FALSE)</f>
        <v>44411</v>
      </c>
      <c r="C791" s="237">
        <f>_xll.qlCalendarAdvance(Calendar,B791,NDays&amp;"D")</f>
        <v>44413</v>
      </c>
      <c r="D791" s="202">
        <v>2.5320144358801543E-2</v>
      </c>
      <c r="E791" s="202">
        <v>2.4478273644605864E-2</v>
      </c>
      <c r="U791" s="204"/>
    </row>
    <row r="792" spans="1:21" x14ac:dyDescent="0.2">
      <c r="A792" s="64" t="str">
        <f t="shared" si="13"/>
        <v>1w</v>
      </c>
      <c r="B792" s="203">
        <f>_xll.qlCalendarAdvance(Calendar,B791,A792,"f",FALSE)</f>
        <v>44418</v>
      </c>
      <c r="C792" s="237">
        <f>_xll.qlCalendarAdvance(Calendar,B792,NDays&amp;"D")</f>
        <v>44420</v>
      </c>
      <c r="D792" s="202">
        <v>2.5370517529470647E-2</v>
      </c>
      <c r="E792" s="202">
        <v>2.4532398490570984E-2</v>
      </c>
      <c r="U792" s="204"/>
    </row>
    <row r="793" spans="1:21" x14ac:dyDescent="0.2">
      <c r="A793" s="64" t="str">
        <f t="shared" si="13"/>
        <v>1w</v>
      </c>
      <c r="B793" s="203">
        <f>_xll.qlCalendarAdvance(Calendar,B792,A793,"f",FALSE)</f>
        <v>44425</v>
      </c>
      <c r="C793" s="237">
        <f>_xll.qlCalendarAdvance(Calendar,B793,NDays&amp;"D")</f>
        <v>44427</v>
      </c>
      <c r="D793" s="202">
        <v>2.5420554716524196E-2</v>
      </c>
      <c r="E793" s="202">
        <v>2.4586190416604481E-2</v>
      </c>
      <c r="U793" s="204"/>
    </row>
    <row r="794" spans="1:21" x14ac:dyDescent="0.2">
      <c r="A794" s="64" t="str">
        <f t="shared" si="13"/>
        <v>1w</v>
      </c>
      <c r="B794" s="203">
        <f>_xll.qlCalendarAdvance(Calendar,B793,A794,"f",FALSE)</f>
        <v>44432</v>
      </c>
      <c r="C794" s="237">
        <f>_xll.qlCalendarAdvance(Calendar,B794,NDays&amp;"D")</f>
        <v>44434</v>
      </c>
      <c r="D794" s="202">
        <v>2.5470255894176366E-2</v>
      </c>
      <c r="E794" s="202">
        <v>2.4639649422546483E-2</v>
      </c>
      <c r="U794" s="204"/>
    </row>
    <row r="795" spans="1:21" x14ac:dyDescent="0.2">
      <c r="A795" s="64" t="str">
        <f t="shared" si="13"/>
        <v>1w</v>
      </c>
      <c r="B795" s="203">
        <f>_xll.qlCalendarAdvance(Calendar,B794,A795,"f",FALSE)</f>
        <v>44439</v>
      </c>
      <c r="C795" s="237">
        <f>_xll.qlCalendarAdvance(Calendar,B795,NDays&amp;"D")</f>
        <v>44441</v>
      </c>
      <c r="D795" s="202">
        <v>2.5498059212368519E-2</v>
      </c>
      <c r="E795" s="202">
        <v>2.4692775508396991E-2</v>
      </c>
      <c r="U795" s="204"/>
    </row>
    <row r="796" spans="1:21" x14ac:dyDescent="0.2">
      <c r="A796" s="64" t="str">
        <f t="shared" si="13"/>
        <v>1w</v>
      </c>
      <c r="B796" s="203">
        <f>_xll.qlCalendarAdvance(Calendar,B795,A796,"f",FALSE)</f>
        <v>44446</v>
      </c>
      <c r="C796" s="237">
        <f>_xll.qlCalendarAdvance(Calendar,B796,NDays&amp;"D")</f>
        <v>44448</v>
      </c>
      <c r="D796" s="202">
        <v>2.554719102370126E-2</v>
      </c>
      <c r="E796" s="202">
        <v>2.4745568673756324E-2</v>
      </c>
      <c r="U796" s="204"/>
    </row>
    <row r="797" spans="1:21" x14ac:dyDescent="0.2">
      <c r="A797" s="64" t="str">
        <f t="shared" si="13"/>
        <v>1w</v>
      </c>
      <c r="B797" s="203">
        <f>_xll.qlCalendarAdvance(Calendar,B796,A797,"f",FALSE)</f>
        <v>44453</v>
      </c>
      <c r="C797" s="237">
        <f>_xll.qlCalendarAdvance(Calendar,B797,NDays&amp;"D")</f>
        <v>44455</v>
      </c>
      <c r="D797" s="202">
        <v>2.5595986843813739E-2</v>
      </c>
      <c r="E797" s="202">
        <v>2.4798028918704418E-2</v>
      </c>
      <c r="U797" s="204"/>
    </row>
    <row r="798" spans="1:21" x14ac:dyDescent="0.2">
      <c r="A798" s="64" t="str">
        <f t="shared" si="13"/>
        <v>1w</v>
      </c>
      <c r="B798" s="203">
        <f>_xll.qlCalendarAdvance(Calendar,B797,A798,"f",FALSE)</f>
        <v>44460</v>
      </c>
      <c r="C798" s="237">
        <f>_xll.qlCalendarAdvance(Calendar,B798,NDays&amp;"D")</f>
        <v>44462</v>
      </c>
      <c r="D798" s="202">
        <v>2.5644446648233159E-2</v>
      </c>
      <c r="E798" s="202">
        <v>2.4850156243001464E-2</v>
      </c>
      <c r="U798" s="204"/>
    </row>
    <row r="799" spans="1:21" x14ac:dyDescent="0.2">
      <c r="A799" s="64" t="str">
        <f t="shared" si="13"/>
        <v>1w</v>
      </c>
      <c r="B799" s="203">
        <f>_xll.qlCalendarAdvance(Calendar,B798,A799,"f",FALSE)</f>
        <v>44467</v>
      </c>
      <c r="C799" s="237">
        <f>_xll.qlCalendarAdvance(Calendar,B799,NDays&amp;"D")</f>
        <v>44469</v>
      </c>
      <c r="D799" s="202">
        <v>2.5696804030055195E-2</v>
      </c>
      <c r="E799" s="202">
        <v>2.4901950646487592E-2</v>
      </c>
      <c r="U799" s="204"/>
    </row>
    <row r="800" spans="1:21" x14ac:dyDescent="0.2">
      <c r="A800" s="64" t="str">
        <f t="shared" si="13"/>
        <v>1w</v>
      </c>
      <c r="B800" s="203">
        <f>_xll.qlCalendarAdvance(Calendar,B799,A800,"f",FALSE)</f>
        <v>44474</v>
      </c>
      <c r="C800" s="237">
        <f>_xll.qlCalendarAdvance(Calendar,B800,NDays&amp;"D")</f>
        <v>44476</v>
      </c>
      <c r="D800" s="202">
        <v>2.5744571113038302E-2</v>
      </c>
      <c r="E800" s="202">
        <v>2.4953412129002928E-2</v>
      </c>
      <c r="U800" s="204"/>
    </row>
    <row r="801" spans="1:21" x14ac:dyDescent="0.2">
      <c r="A801" s="64" t="str">
        <f t="shared" si="13"/>
        <v>1w</v>
      </c>
      <c r="B801" s="203">
        <f>_xll.qlCalendarAdvance(Calendar,B800,A801,"f",FALSE)</f>
        <v>44481</v>
      </c>
      <c r="C801" s="237">
        <f>_xll.qlCalendarAdvance(Calendar,B801,NDays&amp;"D")</f>
        <v>44483</v>
      </c>
      <c r="D801" s="202">
        <v>2.5792002088561302E-2</v>
      </c>
      <c r="E801" s="202">
        <v>2.5004540690467536E-2</v>
      </c>
      <c r="U801" s="204"/>
    </row>
    <row r="802" spans="1:21" x14ac:dyDescent="0.2">
      <c r="A802" s="64" t="str">
        <f t="shared" si="13"/>
        <v>1w</v>
      </c>
      <c r="B802" s="203">
        <f>_xll.qlCalendarAdvance(Calendar,B801,A802,"f",FALSE)</f>
        <v>44488</v>
      </c>
      <c r="C802" s="237">
        <f>_xll.qlCalendarAdvance(Calendar,B802,NDays&amp;"D")</f>
        <v>44490</v>
      </c>
      <c r="D802" s="202">
        <v>2.5839096932701797E-2</v>
      </c>
      <c r="E802" s="202">
        <v>2.5055336330721545E-2</v>
      </c>
      <c r="U802" s="204"/>
    </row>
    <row r="803" spans="1:21" x14ac:dyDescent="0.2">
      <c r="A803" s="64" t="str">
        <f t="shared" si="13"/>
        <v>1w</v>
      </c>
      <c r="B803" s="203">
        <f>_xll.qlCalendarAdvance(Calendar,B802,A803,"f",FALSE)</f>
        <v>44495</v>
      </c>
      <c r="C803" s="237">
        <f>_xll.qlCalendarAdvance(Calendar,B803,NDays&amp;"D")</f>
        <v>44497</v>
      </c>
      <c r="D803" s="202">
        <v>2.5885855621708233E-2</v>
      </c>
      <c r="E803" s="202">
        <v>2.5105799049525146E-2</v>
      </c>
      <c r="U803" s="204"/>
    </row>
    <row r="804" spans="1:21" x14ac:dyDescent="0.2">
      <c r="A804" s="64" t="str">
        <f t="shared" si="13"/>
        <v>1w</v>
      </c>
      <c r="B804" s="203">
        <f>_xll.qlCalendarAdvance(Calendar,B803,A804,"f",FALSE)</f>
        <v>44502</v>
      </c>
      <c r="C804" s="237">
        <f>_xll.qlCalendarAdvance(Calendar,B804,NDays&amp;"D")</f>
        <v>44504</v>
      </c>
      <c r="D804" s="202">
        <v>2.5928147795873879E-2</v>
      </c>
      <c r="E804" s="202">
        <v>2.5155928846878339E-2</v>
      </c>
      <c r="U804" s="204"/>
    </row>
    <row r="805" spans="1:21" x14ac:dyDescent="0.2">
      <c r="A805" s="64" t="str">
        <f t="shared" si="13"/>
        <v>1w</v>
      </c>
      <c r="B805" s="203">
        <f>_xll.qlCalendarAdvance(Calendar,B804,A805,"f",FALSE)</f>
        <v>44509</v>
      </c>
      <c r="C805" s="237">
        <f>_xll.qlCalendarAdvance(Calendar,B805,NDays&amp;"D")</f>
        <v>44511</v>
      </c>
      <c r="D805" s="202">
        <v>2.5974254819313314E-2</v>
      </c>
      <c r="E805" s="202">
        <v>2.5205725722621253E-2</v>
      </c>
      <c r="U805" s="204"/>
    </row>
    <row r="806" spans="1:21" x14ac:dyDescent="0.2">
      <c r="A806" s="64" t="str">
        <f t="shared" si="13"/>
        <v>1w</v>
      </c>
      <c r="B806" s="203">
        <f>_xll.qlCalendarAdvance(Calendar,B805,A806,"f",FALSE)</f>
        <v>44516</v>
      </c>
      <c r="C806" s="237">
        <f>_xll.qlCalendarAdvance(Calendar,B806,NDays&amp;"D")</f>
        <v>44518</v>
      </c>
      <c r="D806" s="202">
        <v>2.602002563732814E-2</v>
      </c>
      <c r="E806" s="202">
        <v>2.5255189676594014E-2</v>
      </c>
      <c r="U806" s="204"/>
    </row>
    <row r="807" spans="1:21" x14ac:dyDescent="0.2">
      <c r="A807" s="64" t="str">
        <f t="shared" si="13"/>
        <v>1w</v>
      </c>
      <c r="B807" s="203">
        <f>_xll.qlCalendarAdvance(Calendar,B806,A807,"f",FALSE)</f>
        <v>44523</v>
      </c>
      <c r="C807" s="237">
        <f>_xll.qlCalendarAdvance(Calendar,B807,NDays&amp;"D")</f>
        <v>44525</v>
      </c>
      <c r="D807" s="202">
        <v>2.6065460226957726E-2</v>
      </c>
      <c r="E807" s="202">
        <v>2.5304320708636752E-2</v>
      </c>
      <c r="U807" s="204"/>
    </row>
    <row r="808" spans="1:21" x14ac:dyDescent="0.2">
      <c r="A808" s="64" t="str">
        <f t="shared" si="13"/>
        <v>1w</v>
      </c>
      <c r="B808" s="203">
        <f>_xll.qlCalendarAdvance(Calendar,B807,A808,"f",FALSE)</f>
        <v>44530</v>
      </c>
      <c r="C808" s="237">
        <f>_xll.qlCalendarAdvance(Calendar,B808,NDays&amp;"D")</f>
        <v>44532</v>
      </c>
      <c r="D808" s="202">
        <v>2.6114605906183995E-2</v>
      </c>
      <c r="E808" s="202">
        <v>2.5353118818589593E-2</v>
      </c>
      <c r="U808" s="204"/>
    </row>
    <row r="809" spans="1:21" x14ac:dyDescent="0.2">
      <c r="A809" s="64" t="str">
        <f t="shared" si="13"/>
        <v>1w</v>
      </c>
      <c r="B809" s="203">
        <f>_xll.qlCalendarAdvance(Calendar,B808,A809,"f",FALSE)</f>
        <v>44537</v>
      </c>
      <c r="C809" s="237">
        <f>_xll.qlCalendarAdvance(Calendar,B809,NDays&amp;"D")</f>
        <v>44539</v>
      </c>
      <c r="D809" s="202">
        <v>2.6159346668844407E-2</v>
      </c>
      <c r="E809" s="202">
        <v>2.5401584006372602E-2</v>
      </c>
      <c r="U809" s="204"/>
    </row>
    <row r="810" spans="1:21" x14ac:dyDescent="0.2">
      <c r="A810" s="64" t="str">
        <f t="shared" si="13"/>
        <v>1w</v>
      </c>
      <c r="B810" s="203">
        <f>_xll.qlCalendarAdvance(Calendar,B809,A810,"f",FALSE)</f>
        <v>44544</v>
      </c>
      <c r="C810" s="237">
        <f>_xll.qlCalendarAdvance(Calendar,B810,NDays&amp;"D")</f>
        <v>44546</v>
      </c>
      <c r="D810" s="202">
        <v>2.6203749585222882E-2</v>
      </c>
      <c r="E810" s="202">
        <v>2.5449716271905842E-2</v>
      </c>
      <c r="U810" s="204"/>
    </row>
    <row r="811" spans="1:21" x14ac:dyDescent="0.2">
      <c r="A811" s="64" t="str">
        <f t="shared" si="13"/>
        <v>1w</v>
      </c>
      <c r="B811" s="203">
        <f>_xll.qlCalendarAdvance(Calendar,B810,A811,"f",FALSE)</f>
        <v>44551</v>
      </c>
      <c r="C811" s="237">
        <f>_xll.qlCalendarAdvance(Calendar,B811,NDays&amp;"D")</f>
        <v>44553</v>
      </c>
      <c r="D811" s="202">
        <v>2.6247813562079194E-2</v>
      </c>
      <c r="E811" s="202">
        <v>2.549751561486957E-2</v>
      </c>
      <c r="U811" s="204"/>
    </row>
    <row r="812" spans="1:21" x14ac:dyDescent="0.2">
      <c r="A812" s="64" t="str">
        <f t="shared" si="13"/>
        <v>1w</v>
      </c>
      <c r="B812" s="203">
        <f>_xll.qlCalendarAdvance(Calendar,B811,A812,"f",FALSE)</f>
        <v>44558</v>
      </c>
      <c r="C812" s="237">
        <f>_xll.qlCalendarAdvance(Calendar,B812,NDays&amp;"D")</f>
        <v>44560</v>
      </c>
      <c r="D812" s="202">
        <v>2.6291537506251739E-2</v>
      </c>
      <c r="E812" s="202">
        <v>2.5544982035343722E-2</v>
      </c>
      <c r="U812" s="204"/>
    </row>
    <row r="813" spans="1:21" x14ac:dyDescent="0.2">
      <c r="A813" s="64" t="str">
        <f t="shared" si="13"/>
        <v>1w</v>
      </c>
      <c r="B813" s="203">
        <f>_xll.qlCalendarAdvance(Calendar,B812,A813,"f",FALSE)</f>
        <v>44565</v>
      </c>
      <c r="C813" s="237">
        <f>_xll.qlCalendarAdvance(Calendar,B813,NDays&amp;"D")</f>
        <v>44567</v>
      </c>
      <c r="D813" s="202">
        <v>2.633097920550348E-2</v>
      </c>
      <c r="E813" s="202">
        <v>2.5592115533008553E-2</v>
      </c>
      <c r="U813" s="204"/>
    </row>
    <row r="814" spans="1:21" x14ac:dyDescent="0.2">
      <c r="A814" s="64" t="str">
        <f t="shared" si="13"/>
        <v>1w</v>
      </c>
      <c r="B814" s="203">
        <f>_xll.qlCalendarAdvance(Calendar,B813,A814,"f",FALSE)</f>
        <v>44572</v>
      </c>
      <c r="C814" s="237">
        <f>_xll.qlCalendarAdvance(Calendar,B814,NDays&amp;"D")</f>
        <v>44574</v>
      </c>
      <c r="D814" s="202">
        <v>2.6374041502199477E-2</v>
      </c>
      <c r="E814" s="202">
        <v>2.5638916107864063E-2</v>
      </c>
      <c r="U814" s="204"/>
    </row>
    <row r="815" spans="1:21" x14ac:dyDescent="0.2">
      <c r="A815" s="64" t="str">
        <f t="shared" si="13"/>
        <v>1w</v>
      </c>
      <c r="B815" s="203">
        <f>_xll.qlCalendarAdvance(Calendar,B814,A815,"f",FALSE)</f>
        <v>44579</v>
      </c>
      <c r="C815" s="237">
        <f>_xll.qlCalendarAdvance(Calendar,B815,NDays&amp;"D")</f>
        <v>44581</v>
      </c>
      <c r="D815" s="202">
        <v>2.6416760624499613E-2</v>
      </c>
      <c r="E815" s="202">
        <v>2.5685383759670444E-2</v>
      </c>
      <c r="U815" s="204"/>
    </row>
    <row r="816" spans="1:21" x14ac:dyDescent="0.2">
      <c r="A816" s="64" t="str">
        <f t="shared" si="13"/>
        <v>1w</v>
      </c>
      <c r="B816" s="203">
        <f>_xll.qlCalendarAdvance(Calendar,B815,A816,"f",FALSE)</f>
        <v>44586</v>
      </c>
      <c r="C816" s="237">
        <f>_xll.qlCalendarAdvance(Calendar,B816,NDays&amp;"D")</f>
        <v>44588</v>
      </c>
      <c r="D816" s="202">
        <v>2.6459135473851918E-2</v>
      </c>
      <c r="E816" s="202">
        <v>2.5731518488507632E-2</v>
      </c>
      <c r="U816" s="204"/>
    </row>
    <row r="817" spans="1:21" x14ac:dyDescent="0.2">
      <c r="A817" s="64" t="str">
        <f t="shared" si="13"/>
        <v>1w</v>
      </c>
      <c r="B817" s="203">
        <f>_xll.qlCalendarAdvance(Calendar,B816,A817,"f",FALSE)</f>
        <v>44593</v>
      </c>
      <c r="C817" s="237">
        <f>_xll.qlCalendarAdvance(Calendar,B817,NDays&amp;"D")</f>
        <v>44595</v>
      </c>
      <c r="D817" s="202">
        <v>2.6501164951787014E-2</v>
      </c>
      <c r="E817" s="202">
        <v>2.5777320293975947E-2</v>
      </c>
      <c r="U817" s="204"/>
    </row>
    <row r="818" spans="1:21" x14ac:dyDescent="0.2">
      <c r="A818" s="64" t="str">
        <f t="shared" si="13"/>
        <v>1w</v>
      </c>
      <c r="B818" s="203">
        <f>_xll.qlCalendarAdvance(Calendar,B817,A818,"f",FALSE)</f>
        <v>44600</v>
      </c>
      <c r="C818" s="237">
        <f>_xll.qlCalendarAdvance(Calendar,B818,NDays&amp;"D")</f>
        <v>44602</v>
      </c>
      <c r="D818" s="202">
        <v>2.6542847959924728E-2</v>
      </c>
      <c r="E818" s="202">
        <v>2.5822789176155325E-2</v>
      </c>
      <c r="U818" s="204"/>
    </row>
    <row r="819" spans="1:21" x14ac:dyDescent="0.2">
      <c r="A819" s="64" t="str">
        <f t="shared" si="13"/>
        <v>1w</v>
      </c>
      <c r="B819" s="203">
        <f>_xll.qlCalendarAdvance(Calendar,B818,A819,"f",FALSE)</f>
        <v>44607</v>
      </c>
      <c r="C819" s="237">
        <f>_xll.qlCalendarAdvance(Calendar,B819,NDays&amp;"D")</f>
        <v>44609</v>
      </c>
      <c r="D819" s="202">
        <v>2.6584183399973656E-2</v>
      </c>
      <c r="E819" s="202">
        <v>2.5867925134805958E-2</v>
      </c>
      <c r="U819" s="204"/>
    </row>
    <row r="820" spans="1:21" x14ac:dyDescent="0.2">
      <c r="A820" s="64" t="str">
        <f t="shared" si="13"/>
        <v>1w</v>
      </c>
      <c r="B820" s="203">
        <f>_xll.qlCalendarAdvance(Calendar,B819,A820,"f",FALSE)</f>
        <v>44614</v>
      </c>
      <c r="C820" s="237">
        <f>_xll.qlCalendarAdvance(Calendar,B820,NDays&amp;"D")</f>
        <v>44616</v>
      </c>
      <c r="D820" s="202">
        <v>2.6625170173733372E-2</v>
      </c>
      <c r="E820" s="202">
        <v>2.5912728169847909E-2</v>
      </c>
      <c r="U820" s="204"/>
    </row>
    <row r="821" spans="1:21" x14ac:dyDescent="0.2">
      <c r="A821" s="64" t="str">
        <f t="shared" si="13"/>
        <v>1w</v>
      </c>
      <c r="B821" s="203">
        <f>_xll.qlCalendarAdvance(Calendar,B820,A821,"f",FALSE)</f>
        <v>44621</v>
      </c>
      <c r="C821" s="237">
        <f>_xll.qlCalendarAdvance(Calendar,B821,NDays&amp;"D")</f>
        <v>44623</v>
      </c>
      <c r="D821" s="202">
        <v>2.668460724956143E-2</v>
      </c>
      <c r="E821" s="202">
        <v>2.5957198281121308E-2</v>
      </c>
      <c r="U821" s="204"/>
    </row>
    <row r="822" spans="1:21" x14ac:dyDescent="0.2">
      <c r="A822" s="64" t="str">
        <f t="shared" si="13"/>
        <v>1w</v>
      </c>
      <c r="B822" s="203">
        <f>_xll.qlCalendarAdvance(Calendar,B821,A822,"f",FALSE)</f>
        <v>44628</v>
      </c>
      <c r="C822" s="237">
        <f>_xll.qlCalendarAdvance(Calendar,B822,NDays&amp;"D")</f>
        <v>44630</v>
      </c>
      <c r="D822" s="202">
        <v>2.6724780143455903E-2</v>
      </c>
      <c r="E822" s="202">
        <v>2.6001335468626152E-2</v>
      </c>
      <c r="U822" s="204"/>
    </row>
    <row r="823" spans="1:21" x14ac:dyDescent="0.2">
      <c r="A823" s="64" t="str">
        <f t="shared" si="13"/>
        <v>1w</v>
      </c>
      <c r="B823" s="203">
        <f>_xll.qlCalendarAdvance(Calendar,B822,A823,"f",FALSE)</f>
        <v>44635</v>
      </c>
      <c r="C823" s="237">
        <f>_xll.qlCalendarAdvance(Calendar,B823,NDays&amp;"D")</f>
        <v>44637</v>
      </c>
      <c r="D823" s="202">
        <v>2.6764600626580565E-2</v>
      </c>
      <c r="E823" s="202">
        <v>2.6045139732042699E-2</v>
      </c>
      <c r="U823" s="204"/>
    </row>
    <row r="824" spans="1:21" x14ac:dyDescent="0.2">
      <c r="A824" s="64" t="str">
        <f t="shared" si="13"/>
        <v>1w</v>
      </c>
      <c r="B824" s="203">
        <f>_xll.qlCalendarAdvance(Calendar,B823,A824,"f",FALSE)</f>
        <v>44642</v>
      </c>
      <c r="C824" s="237">
        <f>_xll.qlCalendarAdvance(Calendar,B824,NDays&amp;"D")</f>
        <v>44644</v>
      </c>
      <c r="D824" s="202">
        <v>2.6804067629133531E-2</v>
      </c>
      <c r="E824" s="202">
        <v>2.6088611071370948E-2</v>
      </c>
      <c r="U824" s="204"/>
    </row>
    <row r="825" spans="1:21" x14ac:dyDescent="0.2">
      <c r="A825" s="64" t="str">
        <f t="shared" si="13"/>
        <v>1w</v>
      </c>
      <c r="B825" s="203">
        <f>_xll.qlCalendarAdvance(Calendar,B824,A825,"f",FALSE)</f>
        <v>44649</v>
      </c>
      <c r="C825" s="237">
        <f>_xll.qlCalendarAdvance(Calendar,B825,NDays&amp;"D")</f>
        <v>44651</v>
      </c>
      <c r="D825" s="202">
        <v>2.6832179492523745E-2</v>
      </c>
      <c r="E825" s="202">
        <v>2.6131749486530964E-2</v>
      </c>
      <c r="U825" s="204"/>
    </row>
    <row r="826" spans="1:21" x14ac:dyDescent="0.2">
      <c r="A826" s="64" t="str">
        <f t="shared" si="13"/>
        <v>1w</v>
      </c>
      <c r="B826" s="203">
        <f>_xll.qlCalendarAdvance(Calendar,B825,A826,"f",FALSE)</f>
        <v>44656</v>
      </c>
      <c r="C826" s="237">
        <f>_xll.qlCalendarAdvance(Calendar,B826,NDays&amp;"D")</f>
        <v>44658</v>
      </c>
      <c r="D826" s="202">
        <v>2.6871005272691033E-2</v>
      </c>
      <c r="E826" s="202">
        <v>2.6174554977282938E-2</v>
      </c>
      <c r="U826" s="204"/>
    </row>
    <row r="827" spans="1:21" x14ac:dyDescent="0.2">
      <c r="A827" s="64" t="str">
        <f t="shared" si="13"/>
        <v>1w</v>
      </c>
      <c r="B827" s="203">
        <f>_xll.qlCalendarAdvance(Calendar,B826,A827,"f",FALSE)</f>
        <v>44663</v>
      </c>
      <c r="C827" s="237">
        <f>_xll.qlCalendarAdvance(Calendar,B827,NDays&amp;"D")</f>
        <v>44665</v>
      </c>
      <c r="D827" s="202">
        <v>2.690947456517043E-2</v>
      </c>
      <c r="E827" s="202">
        <v>2.6232916927115824E-2</v>
      </c>
      <c r="U827" s="204"/>
    </row>
    <row r="828" spans="1:21" x14ac:dyDescent="0.2">
      <c r="A828" s="64" t="str">
        <f t="shared" si="13"/>
        <v>1w</v>
      </c>
      <c r="B828" s="203">
        <f>_xll.qlCalendarAdvance(Calendar,B827,A828,"f",FALSE)</f>
        <v>44670</v>
      </c>
      <c r="C828" s="237">
        <f>_xll.qlCalendarAdvance(Calendar,B828,NDays&amp;"D")</f>
        <v>44672</v>
      </c>
      <c r="D828" s="202">
        <v>2.6947586283959823E-2</v>
      </c>
      <c r="E828" s="202">
        <v>2.6259167185243015E-2</v>
      </c>
      <c r="U828" s="204"/>
    </row>
    <row r="829" spans="1:21" x14ac:dyDescent="0.2">
      <c r="A829" s="64" t="str">
        <f t="shared" si="13"/>
        <v>1w</v>
      </c>
      <c r="B829" s="203">
        <f>_xll.qlCalendarAdvance(Calendar,B828,A829,"f",FALSE)</f>
        <v>44677</v>
      </c>
      <c r="C829" s="237">
        <f>_xll.qlCalendarAdvance(Calendar,B829,NDays&amp;"D")</f>
        <v>44679</v>
      </c>
      <c r="D829" s="202">
        <v>2.6985339343170239E-2</v>
      </c>
      <c r="E829" s="202">
        <v>2.6300973902291247E-2</v>
      </c>
      <c r="U829" s="204"/>
    </row>
    <row r="830" spans="1:21" x14ac:dyDescent="0.2">
      <c r="A830" s="64" t="str">
        <f t="shared" si="13"/>
        <v>1w</v>
      </c>
      <c r="B830" s="203">
        <f>_xll.qlCalendarAdvance(Calendar,B829,A830,"f",FALSE)</f>
        <v>44684</v>
      </c>
      <c r="C830" s="237">
        <f>_xll.qlCalendarAdvance(Calendar,B830,NDays&amp;"D")</f>
        <v>44686</v>
      </c>
      <c r="D830" s="202">
        <v>2.7033386657231356E-2</v>
      </c>
      <c r="E830" s="202">
        <v>2.634244769445182E-2</v>
      </c>
      <c r="U830" s="204"/>
    </row>
    <row r="831" spans="1:21" x14ac:dyDescent="0.2">
      <c r="A831" s="64" t="str">
        <f t="shared" si="13"/>
        <v>1w</v>
      </c>
      <c r="B831" s="203">
        <f>_xll.qlCalendarAdvance(Calendar,B830,A831,"f",FALSE)</f>
        <v>44691</v>
      </c>
      <c r="C831" s="237">
        <f>_xll.qlCalendarAdvance(Calendar,B831,NDays&amp;"D")</f>
        <v>44693</v>
      </c>
      <c r="D831" s="202">
        <v>2.7070349350526719E-2</v>
      </c>
      <c r="E831" s="202">
        <v>2.6383588561724736E-2</v>
      </c>
      <c r="U831" s="204"/>
    </row>
    <row r="832" spans="1:21" x14ac:dyDescent="0.2">
      <c r="A832" s="64" t="str">
        <f t="shared" si="13"/>
        <v>1w</v>
      </c>
      <c r="B832" s="203">
        <f>_xll.qlCalendarAdvance(Calendar,B831,A832,"f",FALSE)</f>
        <v>44698</v>
      </c>
      <c r="C832" s="237">
        <f>_xll.qlCalendarAdvance(Calendar,B832,NDays&amp;"D")</f>
        <v>44700</v>
      </c>
      <c r="D832" s="202">
        <v>2.710695000883042E-2</v>
      </c>
      <c r="E832" s="202">
        <v>2.6424396503950121E-2</v>
      </c>
      <c r="U832" s="204"/>
    </row>
    <row r="833" spans="1:21" x14ac:dyDescent="0.2">
      <c r="A833" s="64" t="str">
        <f t="shared" si="13"/>
        <v>1w</v>
      </c>
      <c r="B833" s="203">
        <f>_xll.qlCalendarAdvance(Calendar,B832,A833,"f",FALSE)</f>
        <v>44705</v>
      </c>
      <c r="C833" s="237">
        <f>_xll.qlCalendarAdvance(Calendar,B833,NDays&amp;"D")</f>
        <v>44707</v>
      </c>
      <c r="D833" s="202">
        <v>2.7143187563368143E-2</v>
      </c>
      <c r="E833" s="202">
        <v>2.6464871520968103E-2</v>
      </c>
      <c r="U833" s="204"/>
    </row>
    <row r="834" spans="1:21" x14ac:dyDescent="0.2">
      <c r="A834" s="64" t="str">
        <f t="shared" si="13"/>
        <v>1w</v>
      </c>
      <c r="B834" s="203">
        <f>_xll.qlCalendarAdvance(Calendar,B833,A834,"f",FALSE)</f>
        <v>44712</v>
      </c>
      <c r="C834" s="237">
        <f>_xll.qlCalendarAdvance(Calendar,B834,NDays&amp;"D")</f>
        <v>44714</v>
      </c>
      <c r="D834" s="202">
        <v>2.7168686761322131E-2</v>
      </c>
      <c r="E834" s="202">
        <v>2.650501015482476E-2</v>
      </c>
      <c r="U834" s="204"/>
    </row>
    <row r="835" spans="1:21" x14ac:dyDescent="0.2">
      <c r="A835" s="64" t="str">
        <f t="shared" si="13"/>
        <v>1w</v>
      </c>
      <c r="B835" s="203">
        <f>_xll.qlCalendarAdvance(Calendar,B834,A835,"f",FALSE)</f>
        <v>44719</v>
      </c>
      <c r="C835" s="237">
        <f>_xll.qlCalendarAdvance(Calendar,B835,NDays&amp;"D")</f>
        <v>44721</v>
      </c>
      <c r="D835" s="202">
        <v>2.7204265569536909E-2</v>
      </c>
      <c r="E835" s="202">
        <v>2.6544791844527182E-2</v>
      </c>
      <c r="U835" s="204"/>
    </row>
    <row r="836" spans="1:21" x14ac:dyDescent="0.2">
      <c r="A836" s="64" t="str">
        <f t="shared" si="13"/>
        <v>1w</v>
      </c>
      <c r="B836" s="203">
        <f>_xll.qlCalendarAdvance(Calendar,B835,A836,"f",FALSE)</f>
        <v>44726</v>
      </c>
      <c r="C836" s="237">
        <f>_xll.qlCalendarAdvance(Calendar,B836,NDays&amp;"D")</f>
        <v>44728</v>
      </c>
      <c r="D836" s="202">
        <v>2.7239479642352644E-2</v>
      </c>
      <c r="E836" s="202">
        <v>2.6584213132041512E-2</v>
      </c>
      <c r="U836" s="204"/>
    </row>
    <row r="837" spans="1:21" x14ac:dyDescent="0.2">
      <c r="A837" s="64" t="str">
        <f t="shared" si="13"/>
        <v>1w</v>
      </c>
      <c r="B837" s="203">
        <f>_xll.qlCalendarAdvance(Calendar,B836,A837,"f",FALSE)</f>
        <v>44733</v>
      </c>
      <c r="C837" s="237">
        <f>_xll.qlCalendarAdvance(Calendar,B837,NDays&amp;"D")</f>
        <v>44735</v>
      </c>
      <c r="D837" s="202">
        <v>2.7274328960426562E-2</v>
      </c>
      <c r="E837" s="202">
        <v>2.6623274017207876E-2</v>
      </c>
      <c r="U837" s="204"/>
    </row>
    <row r="838" spans="1:21" x14ac:dyDescent="0.2">
      <c r="A838" s="64" t="str">
        <f t="shared" si="13"/>
        <v>1w</v>
      </c>
      <c r="B838" s="203">
        <f>_xll.qlCalendarAdvance(Calendar,B837,A838,"f",FALSE)</f>
        <v>44740</v>
      </c>
      <c r="C838" s="237">
        <f>_xll.qlCalendarAdvance(Calendar,B838,NDays&amp;"D")</f>
        <v>44742</v>
      </c>
      <c r="D838" s="202">
        <v>2.7308813504617682E-2</v>
      </c>
      <c r="E838" s="202">
        <v>2.6661974499946339E-2</v>
      </c>
      <c r="U838" s="204"/>
    </row>
    <row r="839" spans="1:21" x14ac:dyDescent="0.2">
      <c r="A839" s="64" t="str">
        <f t="shared" ref="A839:A902" si="14">A838</f>
        <v>1w</v>
      </c>
      <c r="B839" s="203">
        <f>_xll.qlCalendarAdvance(Calendar,B838,A839,"f",FALSE)</f>
        <v>44747</v>
      </c>
      <c r="C839" s="237">
        <f>_xll.qlCalendarAdvance(Calendar,B839,NDays&amp;"D")</f>
        <v>44749</v>
      </c>
      <c r="D839" s="202">
        <v>2.7352955834676982E-2</v>
      </c>
      <c r="E839" s="202">
        <v>2.6700314580097029E-2</v>
      </c>
      <c r="U839" s="204"/>
    </row>
    <row r="840" spans="1:21" x14ac:dyDescent="0.2">
      <c r="A840" s="64" t="str">
        <f t="shared" si="14"/>
        <v>1w</v>
      </c>
      <c r="B840" s="203">
        <f>_xll.qlCalendarAdvance(Calendar,B839,A840,"f",FALSE)</f>
        <v>44754</v>
      </c>
      <c r="C840" s="237">
        <f>_xll.qlCalendarAdvance(Calendar,B840,NDays&amp;"D")</f>
        <v>44756</v>
      </c>
      <c r="D840" s="202">
        <v>2.7386640220455283E-2</v>
      </c>
      <c r="E840" s="202">
        <v>2.6738294257580009E-2</v>
      </c>
      <c r="U840" s="204"/>
    </row>
    <row r="841" spans="1:21" x14ac:dyDescent="0.2">
      <c r="A841" s="64" t="str">
        <f t="shared" si="14"/>
        <v>1w</v>
      </c>
      <c r="B841" s="203">
        <f>_xll.qlCalendarAdvance(Calendar,B840,A841,"f",FALSE)</f>
        <v>44761</v>
      </c>
      <c r="C841" s="237">
        <f>_xll.qlCalendarAdvance(Calendar,B841,NDays&amp;"D")</f>
        <v>44763</v>
      </c>
      <c r="D841" s="202">
        <v>2.7419959698775781E-2</v>
      </c>
      <c r="E841" s="202">
        <v>2.6775913532315343E-2</v>
      </c>
      <c r="U841" s="204"/>
    </row>
    <row r="842" spans="1:21" x14ac:dyDescent="0.2">
      <c r="A842" s="64" t="str">
        <f t="shared" si="14"/>
        <v>1w</v>
      </c>
      <c r="B842" s="203">
        <f>_xll.qlCalendarAdvance(Calendar,B841,A842,"f",FALSE)</f>
        <v>44768</v>
      </c>
      <c r="C842" s="237">
        <f>_xll.qlCalendarAdvance(Calendar,B842,NDays&amp;"D")</f>
        <v>44770</v>
      </c>
      <c r="D842" s="202">
        <v>2.7452914251035732E-2</v>
      </c>
      <c r="E842" s="202">
        <v>2.6813172404063224E-2</v>
      </c>
      <c r="U842" s="204"/>
    </row>
    <row r="843" spans="1:21" x14ac:dyDescent="0.2">
      <c r="A843" s="64" t="str">
        <f t="shared" si="14"/>
        <v>1w</v>
      </c>
      <c r="B843" s="203">
        <f>_xll.qlCalendarAdvance(Calendar,B842,A843,"f",FALSE)</f>
        <v>44775</v>
      </c>
      <c r="C843" s="237">
        <f>_xll.qlCalendarAdvance(Calendar,B843,NDays&amp;"D")</f>
        <v>44777</v>
      </c>
      <c r="D843" s="202">
        <v>2.748550385883694E-2</v>
      </c>
      <c r="E843" s="202">
        <v>2.6850070872903586E-2</v>
      </c>
      <c r="U843" s="204"/>
    </row>
    <row r="844" spans="1:21" x14ac:dyDescent="0.2">
      <c r="A844" s="64" t="str">
        <f t="shared" si="14"/>
        <v>1w</v>
      </c>
      <c r="B844" s="203">
        <f>_xll.qlCalendarAdvance(Calendar,B843,A844,"f",FALSE)</f>
        <v>44782</v>
      </c>
      <c r="C844" s="237">
        <f>_xll.qlCalendarAdvance(Calendar,B844,NDays&amp;"D")</f>
        <v>44784</v>
      </c>
      <c r="D844" s="202">
        <v>2.7517728503984075E-2</v>
      </c>
      <c r="E844" s="202">
        <v>2.6886608938596623E-2</v>
      </c>
      <c r="U844" s="204"/>
    </row>
    <row r="845" spans="1:21" x14ac:dyDescent="0.2">
      <c r="A845" s="64" t="str">
        <f t="shared" si="14"/>
        <v>1w</v>
      </c>
      <c r="B845" s="203">
        <f>_xll.qlCalendarAdvance(Calendar,B844,A845,"f",FALSE)</f>
        <v>44789</v>
      </c>
      <c r="C845" s="237">
        <f>_xll.qlCalendarAdvance(Calendar,B845,NDays&amp;"D")</f>
        <v>44791</v>
      </c>
      <c r="D845" s="202">
        <v>2.75495881684855E-2</v>
      </c>
      <c r="E845" s="202">
        <v>2.6922786600982462E-2</v>
      </c>
      <c r="U845" s="204"/>
    </row>
    <row r="846" spans="1:21" x14ac:dyDescent="0.2">
      <c r="A846" s="64" t="str">
        <f t="shared" si="14"/>
        <v>1w</v>
      </c>
      <c r="B846" s="203">
        <f>_xll.qlCalendarAdvance(Calendar,B845,A846,"f",FALSE)</f>
        <v>44796</v>
      </c>
      <c r="C846" s="237">
        <f>_xll.qlCalendarAdvance(Calendar,B846,NDays&amp;"D")</f>
        <v>44798</v>
      </c>
      <c r="D846" s="202">
        <v>2.7581082834552868E-2</v>
      </c>
      <c r="E846" s="202">
        <v>2.6958603860141039E-2</v>
      </c>
      <c r="U846" s="204"/>
    </row>
    <row r="847" spans="1:21" x14ac:dyDescent="0.2">
      <c r="A847" s="64" t="str">
        <f t="shared" si="14"/>
        <v>1w</v>
      </c>
      <c r="B847" s="203">
        <f>_xll.qlCalendarAdvance(Calendar,B846,A847,"f",FALSE)</f>
        <v>44803</v>
      </c>
      <c r="C847" s="237">
        <f>_xll.qlCalendarAdvance(Calendar,B847,NDays&amp;"D")</f>
        <v>44805</v>
      </c>
      <c r="D847" s="202">
        <v>2.7596441989178967E-2</v>
      </c>
      <c r="E847" s="202">
        <v>2.699406071575261E-2</v>
      </c>
      <c r="U847" s="204"/>
    </row>
    <row r="848" spans="1:21" x14ac:dyDescent="0.2">
      <c r="A848" s="64" t="str">
        <f t="shared" si="14"/>
        <v>1w</v>
      </c>
      <c r="B848" s="203">
        <f>_xll.qlCalendarAdvance(Calendar,B847,A848,"f",FALSE)</f>
        <v>44810</v>
      </c>
      <c r="C848" s="237">
        <f>_xll.qlCalendarAdvance(Calendar,B848,NDays&amp;"D")</f>
        <v>44812</v>
      </c>
      <c r="D848" s="202">
        <v>2.7627325221406429E-2</v>
      </c>
      <c r="E848" s="202">
        <v>2.7029157167897111E-2</v>
      </c>
      <c r="U848" s="204"/>
    </row>
    <row r="849" spans="1:21" x14ac:dyDescent="0.2">
      <c r="A849" s="64" t="str">
        <f t="shared" si="14"/>
        <v>1w</v>
      </c>
      <c r="B849" s="203">
        <f>_xll.qlCalendarAdvance(Calendar,B848,A849,"f",FALSE)</f>
        <v>44817</v>
      </c>
      <c r="C849" s="237">
        <f>_xll.qlCalendarAdvance(Calendar,B849,NDays&amp;"D")</f>
        <v>44819</v>
      </c>
      <c r="D849" s="202">
        <v>2.7657843535232984E-2</v>
      </c>
      <c r="E849" s="202">
        <v>2.7063893216334733E-2</v>
      </c>
      <c r="U849" s="204"/>
    </row>
    <row r="850" spans="1:21" x14ac:dyDescent="0.2">
      <c r="A850" s="64" t="str">
        <f t="shared" si="14"/>
        <v>1w</v>
      </c>
      <c r="B850" s="203">
        <f>_xll.qlCalendarAdvance(Calendar,B849,A850,"f",FALSE)</f>
        <v>44824</v>
      </c>
      <c r="C850" s="237">
        <f>_xll.qlCalendarAdvance(Calendar,B850,NDays&amp;"D")</f>
        <v>44826</v>
      </c>
      <c r="D850" s="202">
        <v>2.7687996914076529E-2</v>
      </c>
      <c r="E850" s="202">
        <v>2.7098268860985542E-2</v>
      </c>
      <c r="U850" s="204"/>
    </row>
    <row r="851" spans="1:21" x14ac:dyDescent="0.2">
      <c r="A851" s="64" t="str">
        <f t="shared" si="14"/>
        <v>1w</v>
      </c>
      <c r="B851" s="203">
        <f>_xll.qlCalendarAdvance(Calendar,B850,A851,"f",FALSE)</f>
        <v>44831</v>
      </c>
      <c r="C851" s="237">
        <f>_xll.qlCalendarAdvance(Calendar,B851,NDays&amp;"D")</f>
        <v>44833</v>
      </c>
      <c r="D851" s="202">
        <v>2.7717785341552826E-2</v>
      </c>
      <c r="E851" s="202">
        <v>2.7132284101769599E-2</v>
      </c>
      <c r="U851" s="204"/>
    </row>
    <row r="852" spans="1:21" x14ac:dyDescent="0.2">
      <c r="A852" s="64" t="str">
        <f t="shared" si="14"/>
        <v>1w</v>
      </c>
      <c r="B852" s="203">
        <f>_xll.qlCalendarAdvance(Calendar,B851,A852,"f",FALSE)</f>
        <v>44838</v>
      </c>
      <c r="C852" s="237">
        <f>_xll.qlCalendarAdvance(Calendar,B852,NDays&amp;"D")</f>
        <v>44840</v>
      </c>
      <c r="D852" s="202">
        <v>2.7750248275749154E-2</v>
      </c>
      <c r="E852" s="202">
        <v>2.7165938938606971E-2</v>
      </c>
      <c r="U852" s="204"/>
    </row>
    <row r="853" spans="1:21" x14ac:dyDescent="0.2">
      <c r="A853" s="64" t="str">
        <f t="shared" si="14"/>
        <v>1w</v>
      </c>
      <c r="B853" s="203">
        <f>_xll.qlCalendarAdvance(Calendar,B852,A853,"f",FALSE)</f>
        <v>44845</v>
      </c>
      <c r="C853" s="237">
        <f>_xll.qlCalendarAdvance(Calendar,B853,NDays&amp;"D")</f>
        <v>44847</v>
      </c>
      <c r="D853" s="202">
        <v>2.7779282903271175E-2</v>
      </c>
      <c r="E853" s="202">
        <v>2.7199233371417719E-2</v>
      </c>
      <c r="U853" s="204"/>
    </row>
    <row r="854" spans="1:21" x14ac:dyDescent="0.2">
      <c r="A854" s="64" t="str">
        <f t="shared" si="14"/>
        <v>1w</v>
      </c>
      <c r="B854" s="203">
        <f>_xll.qlCalendarAdvance(Calendar,B853,A854,"f",FALSE)</f>
        <v>44852</v>
      </c>
      <c r="C854" s="237">
        <f>_xll.qlCalendarAdvance(Calendar,B854,NDays&amp;"D")</f>
        <v>44854</v>
      </c>
      <c r="D854" s="202">
        <v>2.7807952504673536E-2</v>
      </c>
      <c r="E854" s="202">
        <v>2.7232167400041973E-2</v>
      </c>
      <c r="U854" s="204"/>
    </row>
    <row r="855" spans="1:21" x14ac:dyDescent="0.2">
      <c r="A855" s="64" t="str">
        <f t="shared" si="14"/>
        <v>1w</v>
      </c>
      <c r="B855" s="203">
        <f>_xll.qlCalendarAdvance(Calendar,B854,A855,"f",FALSE)</f>
        <v>44859</v>
      </c>
      <c r="C855" s="237">
        <f>_xll.qlCalendarAdvance(Calendar,B855,NDays&amp;"D")</f>
        <v>44861</v>
      </c>
      <c r="D855" s="202">
        <v>2.7836257064293157E-2</v>
      </c>
      <c r="E855" s="202">
        <v>2.7264741024319861E-2</v>
      </c>
      <c r="U855" s="204"/>
    </row>
    <row r="856" spans="1:21" x14ac:dyDescent="0.2">
      <c r="A856" s="64" t="str">
        <f t="shared" si="14"/>
        <v>1w</v>
      </c>
      <c r="B856" s="203">
        <f>_xll.qlCalendarAdvance(Calendar,B855,A856,"f",FALSE)</f>
        <v>44866</v>
      </c>
      <c r="C856" s="237">
        <f>_xll.qlCalendarAdvance(Calendar,B856,NDays&amp;"D")</f>
        <v>44868</v>
      </c>
      <c r="D856" s="202">
        <v>2.7861252648868334E-2</v>
      </c>
      <c r="E856" s="202">
        <v>2.7296954244331317E-2</v>
      </c>
      <c r="U856" s="204"/>
    </row>
    <row r="857" spans="1:21" x14ac:dyDescent="0.2">
      <c r="A857" s="64" t="str">
        <f t="shared" si="14"/>
        <v>1w</v>
      </c>
      <c r="B857" s="203">
        <f>_xll.qlCalendarAdvance(Calendar,B856,A857,"f",FALSE)</f>
        <v>44873</v>
      </c>
      <c r="C857" s="237">
        <f>_xll.qlCalendarAdvance(Calendar,B857,NDays&amp;"D")</f>
        <v>44875</v>
      </c>
      <c r="D857" s="202">
        <v>2.7888851035180084E-2</v>
      </c>
      <c r="E857" s="202">
        <v>2.7328807059836535E-2</v>
      </c>
      <c r="U857" s="204"/>
    </row>
    <row r="858" spans="1:21" x14ac:dyDescent="0.2">
      <c r="A858" s="64" t="str">
        <f t="shared" si="14"/>
        <v>1w</v>
      </c>
      <c r="B858" s="203">
        <f>_xll.qlCalendarAdvance(Calendar,B857,A858,"f",FALSE)</f>
        <v>44880</v>
      </c>
      <c r="C858" s="237">
        <f>_xll.qlCalendarAdvance(Calendar,B858,NDays&amp;"D")</f>
        <v>44882</v>
      </c>
      <c r="D858" s="202">
        <v>2.7916084360986689E-2</v>
      </c>
      <c r="E858" s="202">
        <v>2.7360299470835514E-2</v>
      </c>
      <c r="U858" s="204"/>
    </row>
    <row r="859" spans="1:21" x14ac:dyDescent="0.2">
      <c r="A859" s="64" t="str">
        <f t="shared" si="14"/>
        <v>1w</v>
      </c>
      <c r="B859" s="203">
        <f>_xll.qlCalendarAdvance(Calendar,B858,A859,"f",FALSE)</f>
        <v>44887</v>
      </c>
      <c r="C859" s="237">
        <f>_xll.qlCalendarAdvance(Calendar,B859,NDays&amp;"D")</f>
        <v>44889</v>
      </c>
      <c r="D859" s="202">
        <v>2.7942952611489828E-2</v>
      </c>
      <c r="E859" s="202">
        <v>2.7391431477088446E-2</v>
      </c>
      <c r="U859" s="204"/>
    </row>
    <row r="860" spans="1:21" x14ac:dyDescent="0.2">
      <c r="A860" s="64" t="str">
        <f t="shared" si="14"/>
        <v>1w</v>
      </c>
      <c r="B860" s="203">
        <f>_xll.qlCalendarAdvance(Calendar,B859,A860,"f",FALSE)</f>
        <v>44894</v>
      </c>
      <c r="C860" s="237">
        <f>_xll.qlCalendarAdvance(Calendar,B860,NDays&amp;"D")</f>
        <v>44896</v>
      </c>
      <c r="D860" s="202">
        <v>2.797230392513643E-2</v>
      </c>
      <c r="E860" s="202">
        <v>2.7422203078595331E-2</v>
      </c>
      <c r="U860" s="204"/>
    </row>
    <row r="861" spans="1:21" x14ac:dyDescent="0.2">
      <c r="A861" s="64" t="str">
        <f t="shared" si="14"/>
        <v>1w</v>
      </c>
      <c r="B861" s="203">
        <f>_xll.qlCalendarAdvance(Calendar,B860,A861,"f",FALSE)</f>
        <v>44901</v>
      </c>
      <c r="C861" s="237">
        <f>_xll.qlCalendarAdvance(Calendar,B861,NDays&amp;"D")</f>
        <v>44903</v>
      </c>
      <c r="D861" s="202">
        <v>2.7998425981305562E-2</v>
      </c>
      <c r="E861" s="202">
        <v>2.7452614275276233E-2</v>
      </c>
      <c r="U861" s="204"/>
    </row>
    <row r="862" spans="1:21" x14ac:dyDescent="0.2">
      <c r="A862" s="64" t="str">
        <f t="shared" si="14"/>
        <v>1w</v>
      </c>
      <c r="B862" s="203">
        <f>_xll.qlCalendarAdvance(Calendar,B861,A862,"f",FALSE)</f>
        <v>44908</v>
      </c>
      <c r="C862" s="237">
        <f>_xll.qlCalendarAdvance(Calendar,B862,NDays&amp;"D")</f>
        <v>44910</v>
      </c>
      <c r="D862" s="202">
        <v>2.8024207261313556E-2</v>
      </c>
      <c r="E862" s="202">
        <v>2.7482665067131151E-2</v>
      </c>
      <c r="U862" s="204"/>
    </row>
    <row r="863" spans="1:21" x14ac:dyDescent="0.2">
      <c r="A863" s="64" t="str">
        <f t="shared" si="14"/>
        <v>1w</v>
      </c>
      <c r="B863" s="203">
        <f>_xll.qlCalendarAdvance(Calendar,B862,A863,"f",FALSE)</f>
        <v>44915</v>
      </c>
      <c r="C863" s="237">
        <f>_xll.qlCalendarAdvance(Calendar,B863,NDays&amp;"D")</f>
        <v>44917</v>
      </c>
      <c r="D863" s="202">
        <v>2.8049664810868558E-2</v>
      </c>
      <c r="E863" s="202">
        <v>2.7512355453840343E-2</v>
      </c>
      <c r="U863" s="204"/>
    </row>
    <row r="864" spans="1:21" x14ac:dyDescent="0.2">
      <c r="A864" s="64" t="str">
        <f t="shared" si="14"/>
        <v>1w</v>
      </c>
      <c r="B864" s="203">
        <f>_xll.qlCalendarAdvance(Calendar,B863,A864,"f",FALSE)</f>
        <v>44922</v>
      </c>
      <c r="C864" s="237">
        <f>_xll.qlCalendarAdvance(Calendar,B864,NDays&amp;"D")</f>
        <v>44924</v>
      </c>
      <c r="D864" s="202">
        <v>2.8074815676706454E-2</v>
      </c>
      <c r="E864" s="202">
        <v>2.7541685435483743E-2</v>
      </c>
      <c r="U864" s="204"/>
    </row>
    <row r="865" spans="1:21" x14ac:dyDescent="0.2">
      <c r="A865" s="64" t="str">
        <f t="shared" si="14"/>
        <v>1w</v>
      </c>
      <c r="B865" s="203">
        <f>_xll.qlCalendarAdvance(Calendar,B864,A865,"f",FALSE)</f>
        <v>44929</v>
      </c>
      <c r="C865" s="237">
        <f>_xll.qlCalendarAdvance(Calendar,B865,NDays&amp;"D")</f>
        <v>44931</v>
      </c>
      <c r="D865" s="202">
        <v>2.8096916891535043E-2</v>
      </c>
      <c r="E865" s="202">
        <v>2.7570655011901479E-2</v>
      </c>
      <c r="U865" s="204"/>
    </row>
    <row r="866" spans="1:21" x14ac:dyDescent="0.2">
      <c r="A866" s="64" t="str">
        <f t="shared" si="14"/>
        <v>1w</v>
      </c>
      <c r="B866" s="203">
        <f>_xll.qlCalendarAdvance(Calendar,B865,A866,"f",FALSE)</f>
        <v>44936</v>
      </c>
      <c r="C866" s="237">
        <f>_xll.qlCalendarAdvance(Calendar,B866,NDays&amp;"D")</f>
        <v>44938</v>
      </c>
      <c r="D866" s="202">
        <v>2.8121517020826894E-2</v>
      </c>
      <c r="E866" s="202">
        <v>2.7599264183093553E-2</v>
      </c>
      <c r="U866" s="204"/>
    </row>
    <row r="867" spans="1:21" x14ac:dyDescent="0.2">
      <c r="A867" s="64" t="str">
        <f t="shared" si="14"/>
        <v>1w</v>
      </c>
      <c r="B867" s="203">
        <f>_xll.qlCalendarAdvance(Calendar,B866,A867,"f",FALSE)</f>
        <v>44943</v>
      </c>
      <c r="C867" s="237">
        <f>_xll.qlCalendarAdvance(Calendar,B867,NDays&amp;"D")</f>
        <v>44945</v>
      </c>
      <c r="D867" s="202">
        <v>2.814585978672627E-2</v>
      </c>
      <c r="E867" s="202">
        <v>2.7627512948820154E-2</v>
      </c>
      <c r="U867" s="204"/>
    </row>
    <row r="868" spans="1:21" x14ac:dyDescent="0.2">
      <c r="A868" s="64" t="str">
        <f t="shared" si="14"/>
        <v>1w</v>
      </c>
      <c r="B868" s="203">
        <f>_xll.qlCalendarAdvance(Calendar,B867,A868,"f",FALSE)</f>
        <v>44950</v>
      </c>
      <c r="C868" s="237">
        <f>_xll.qlCalendarAdvance(Calendar,B868,NDays&amp;"D")</f>
        <v>44952</v>
      </c>
      <c r="D868" s="202">
        <v>2.8169962332717589E-2</v>
      </c>
      <c r="E868" s="202">
        <v>2.7655401309161221E-2</v>
      </c>
      <c r="U868" s="204"/>
    </row>
    <row r="869" spans="1:21" x14ac:dyDescent="0.2">
      <c r="A869" s="64" t="str">
        <f t="shared" si="14"/>
        <v>1w</v>
      </c>
      <c r="B869" s="203">
        <f>_xll.qlCalendarAdvance(Calendar,B868,A869,"f",FALSE)</f>
        <v>44957</v>
      </c>
      <c r="C869" s="237">
        <f>_xll.qlCalendarAdvance(Calendar,B869,NDays&amp;"D")</f>
        <v>44959</v>
      </c>
      <c r="D869" s="202">
        <v>2.8193841803192839E-2</v>
      </c>
      <c r="E869" s="202">
        <v>2.7682929263956879E-2</v>
      </c>
      <c r="U869" s="204"/>
    </row>
    <row r="870" spans="1:21" x14ac:dyDescent="0.2">
      <c r="A870" s="64" t="str">
        <f t="shared" si="14"/>
        <v>1w</v>
      </c>
      <c r="B870" s="203">
        <f>_xll.qlCalendarAdvance(Calendar,B869,A870,"f",FALSE)</f>
        <v>44964</v>
      </c>
      <c r="C870" s="237">
        <f>_xll.qlCalendarAdvance(Calendar,B870,NDays&amp;"D")</f>
        <v>44966</v>
      </c>
      <c r="D870" s="202">
        <v>2.8217515343436108E-2</v>
      </c>
      <c r="E870" s="202">
        <v>2.7710096813127194E-2</v>
      </c>
      <c r="U870" s="204"/>
    </row>
    <row r="871" spans="1:21" x14ac:dyDescent="0.2">
      <c r="A871" s="64" t="str">
        <f t="shared" si="14"/>
        <v>1w</v>
      </c>
      <c r="B871" s="203">
        <f>_xll.qlCalendarAdvance(Calendar,B870,A871,"f",FALSE)</f>
        <v>44971</v>
      </c>
      <c r="C871" s="237">
        <f>_xll.qlCalendarAdvance(Calendar,B871,NDays&amp;"D")</f>
        <v>44973</v>
      </c>
      <c r="D871" s="202">
        <v>2.8241000099602388E-2</v>
      </c>
      <c r="E871" s="202">
        <v>2.7736903956592229E-2</v>
      </c>
      <c r="U871" s="204"/>
    </row>
    <row r="872" spans="1:21" x14ac:dyDescent="0.2">
      <c r="A872" s="64" t="str">
        <f t="shared" si="14"/>
        <v>1w</v>
      </c>
      <c r="B872" s="203">
        <f>_xll.qlCalendarAdvance(Calendar,B871,A872,"f",FALSE)</f>
        <v>44978</v>
      </c>
      <c r="C872" s="237">
        <f>_xll.qlCalendarAdvance(Calendar,B872,NDays&amp;"D")</f>
        <v>44980</v>
      </c>
      <c r="D872" s="202">
        <v>2.8264313218702118E-2</v>
      </c>
      <c r="E872" s="202">
        <v>2.7763350694272049E-2</v>
      </c>
      <c r="U872" s="204"/>
    </row>
    <row r="873" spans="1:21" x14ac:dyDescent="0.2">
      <c r="A873" s="64" t="str">
        <f t="shared" si="14"/>
        <v>1w</v>
      </c>
      <c r="B873" s="203">
        <f>_xll.qlCalendarAdvance(Calendar,B872,A873,"f",FALSE)</f>
        <v>44985</v>
      </c>
      <c r="C873" s="237">
        <f>_xll.qlCalendarAdvance(Calendar,B873,NDays&amp;"D")</f>
        <v>44987</v>
      </c>
      <c r="D873" s="202">
        <v>2.8301047110564446E-2</v>
      </c>
      <c r="E873" s="202">
        <v>2.778943702600678E-2</v>
      </c>
      <c r="U873" s="204"/>
    </row>
    <row r="874" spans="1:21" x14ac:dyDescent="0.2">
      <c r="A874" s="64" t="str">
        <f t="shared" si="14"/>
        <v>1w</v>
      </c>
      <c r="B874" s="203">
        <f>_xll.qlCalendarAdvance(Calendar,B873,A874,"f",FALSE)</f>
        <v>44992</v>
      </c>
      <c r="C874" s="237">
        <f>_xll.qlCalendarAdvance(Calendar,B874,NDays&amp;"D")</f>
        <v>44994</v>
      </c>
      <c r="D874" s="202">
        <v>2.832407173417344E-2</v>
      </c>
      <c r="E874" s="202">
        <v>2.781516295187636E-2</v>
      </c>
      <c r="U874" s="204"/>
    </row>
    <row r="875" spans="1:21" x14ac:dyDescent="0.2">
      <c r="A875" s="64" t="str">
        <f t="shared" si="14"/>
        <v>1w</v>
      </c>
      <c r="B875" s="203">
        <f>_xll.qlCalendarAdvance(Calendar,B874,A875,"f",FALSE)</f>
        <v>44999</v>
      </c>
      <c r="C875" s="237">
        <f>_xll.qlCalendarAdvance(Calendar,B875,NDays&amp;"D")</f>
        <v>45001</v>
      </c>
      <c r="D875" s="202">
        <v>2.8346981464484115E-2</v>
      </c>
      <c r="E875" s="202">
        <v>2.7840528471720916E-2</v>
      </c>
      <c r="U875" s="204"/>
    </row>
    <row r="876" spans="1:21" x14ac:dyDescent="0.2">
      <c r="A876" s="64" t="str">
        <f t="shared" si="14"/>
        <v>1w</v>
      </c>
      <c r="B876" s="203">
        <f>_xll.qlCalendarAdvance(Calendar,B875,A876,"f",FALSE)</f>
        <v>45006</v>
      </c>
      <c r="C876" s="237">
        <f>_xll.qlCalendarAdvance(Calendar,B876,NDays&amp;"D")</f>
        <v>45008</v>
      </c>
      <c r="D876" s="202">
        <v>2.8369792997318836E-2</v>
      </c>
      <c r="E876" s="202">
        <v>2.7865533585540447E-2</v>
      </c>
      <c r="U876" s="204"/>
    </row>
    <row r="877" spans="1:21" x14ac:dyDescent="0.2">
      <c r="A877" s="64" t="str">
        <f t="shared" si="14"/>
        <v>1w</v>
      </c>
      <c r="B877" s="203">
        <f>_xll.qlCalendarAdvance(Calendar,B876,A877,"f",FALSE)</f>
        <v>45013</v>
      </c>
      <c r="C877" s="237">
        <f>_xll.qlCalendarAdvance(Calendar,B877,NDays&amp;"D")</f>
        <v>45015</v>
      </c>
      <c r="D877" s="202">
        <v>2.8384349678403926E-2</v>
      </c>
      <c r="E877" s="202">
        <v>2.7890178293095147E-2</v>
      </c>
      <c r="U877" s="204"/>
    </row>
    <row r="878" spans="1:21" x14ac:dyDescent="0.2">
      <c r="A878" s="64" t="str">
        <f t="shared" si="14"/>
        <v>1w</v>
      </c>
      <c r="B878" s="203">
        <f>_xll.qlCalendarAdvance(Calendar,B877,A878,"f",FALSE)</f>
        <v>45020</v>
      </c>
      <c r="C878" s="237">
        <f>_xll.qlCalendarAdvance(Calendar,B878,NDays&amp;"D")</f>
        <v>45022</v>
      </c>
      <c r="D878" s="202">
        <v>2.8407001726948152E-2</v>
      </c>
      <c r="E878" s="202">
        <v>2.7925658863864555E-2</v>
      </c>
      <c r="U878" s="204"/>
    </row>
    <row r="879" spans="1:21" x14ac:dyDescent="0.2">
      <c r="A879" s="64" t="str">
        <f t="shared" si="14"/>
        <v>1w</v>
      </c>
      <c r="B879" s="203">
        <f>_xll.qlCalendarAdvance(Calendar,B878,A879,"f",FALSE)</f>
        <v>45027</v>
      </c>
      <c r="C879" s="237">
        <f>_xll.qlCalendarAdvance(Calendar,B879,NDays&amp;"D")</f>
        <v>45029</v>
      </c>
      <c r="D879" s="202">
        <v>2.8429603604852711E-2</v>
      </c>
      <c r="E879" s="202">
        <v>2.7938386489489986E-2</v>
      </c>
      <c r="U879" s="204"/>
    </row>
    <row r="880" spans="1:21" x14ac:dyDescent="0.2">
      <c r="A880" s="64" t="str">
        <f t="shared" si="14"/>
        <v>1w</v>
      </c>
      <c r="B880" s="203">
        <f>_xll.qlCalendarAdvance(Calendar,B879,A880,"f",FALSE)</f>
        <v>45034</v>
      </c>
      <c r="C880" s="237">
        <f>_xll.qlCalendarAdvance(Calendar,B880,NDays&amp;"D")</f>
        <v>45036</v>
      </c>
      <c r="D880" s="202">
        <v>2.8452172280772722E-2</v>
      </c>
      <c r="E880" s="202">
        <v>2.7961949978090317E-2</v>
      </c>
      <c r="U880" s="204"/>
    </row>
    <row r="881" spans="1:21" x14ac:dyDescent="0.2">
      <c r="A881" s="64" t="str">
        <f t="shared" si="14"/>
        <v>1w</v>
      </c>
      <c r="B881" s="203">
        <f>_xll.qlCalendarAdvance(Calendar,B880,A881,"f",FALSE)</f>
        <v>45041</v>
      </c>
      <c r="C881" s="237">
        <f>_xll.qlCalendarAdvance(Calendar,B881,NDays&amp;"D")</f>
        <v>45043</v>
      </c>
      <c r="D881" s="202">
        <v>2.847472472413121E-2</v>
      </c>
      <c r="E881" s="202">
        <v>2.7985153060265944E-2</v>
      </c>
      <c r="U881" s="204"/>
    </row>
    <row r="882" spans="1:21" x14ac:dyDescent="0.2">
      <c r="A882" s="64" t="str">
        <f t="shared" si="14"/>
        <v>1w</v>
      </c>
      <c r="B882" s="203">
        <f>_xll.qlCalendarAdvance(Calendar,B881,A882,"f",FALSE)</f>
        <v>45048</v>
      </c>
      <c r="C882" s="237">
        <f>_xll.qlCalendarAdvance(Calendar,B882,NDays&amp;"D")</f>
        <v>45050</v>
      </c>
      <c r="D882" s="202">
        <v>2.8505535112421928E-2</v>
      </c>
      <c r="E882" s="202">
        <v>2.8007995735856994E-2</v>
      </c>
      <c r="U882" s="204"/>
    </row>
    <row r="883" spans="1:21" x14ac:dyDescent="0.2">
      <c r="A883" s="64" t="str">
        <f t="shared" si="14"/>
        <v>1w</v>
      </c>
      <c r="B883" s="203">
        <f>_xll.qlCalendarAdvance(Calendar,B882,A883,"f",FALSE)</f>
        <v>45055</v>
      </c>
      <c r="C883" s="237">
        <f>_xll.qlCalendarAdvance(Calendar,B883,NDays&amp;"D")</f>
        <v>45057</v>
      </c>
      <c r="D883" s="202">
        <v>2.8528126811747833E-2</v>
      </c>
      <c r="E883" s="202">
        <v>2.8030478004863468E-2</v>
      </c>
      <c r="U883" s="204"/>
    </row>
    <row r="884" spans="1:21" x14ac:dyDescent="0.2">
      <c r="A884" s="64" t="str">
        <f t="shared" si="14"/>
        <v>1w</v>
      </c>
      <c r="B884" s="203">
        <f>_xll.qlCalendarAdvance(Calendar,B883,A884,"f",FALSE)</f>
        <v>45062</v>
      </c>
      <c r="C884" s="237">
        <f>_xll.qlCalendarAdvance(Calendar,B884,NDays&amp;"D")</f>
        <v>45064</v>
      </c>
      <c r="D884" s="202">
        <v>2.855075390824581E-2</v>
      </c>
      <c r="E884" s="202">
        <v>2.8052599867285366E-2</v>
      </c>
      <c r="U884" s="204"/>
    </row>
    <row r="885" spans="1:21" x14ac:dyDescent="0.2">
      <c r="A885" s="64" t="str">
        <f t="shared" si="14"/>
        <v>1w</v>
      </c>
      <c r="B885" s="203">
        <f>_xll.qlCalendarAdvance(Calendar,B884,A885,"f",FALSE)</f>
        <v>45069</v>
      </c>
      <c r="C885" s="237">
        <f>_xll.qlCalendarAdvance(Calendar,B885,NDays&amp;"D")</f>
        <v>45071</v>
      </c>
      <c r="D885" s="202">
        <v>2.857343310471544E-2</v>
      </c>
      <c r="E885" s="202">
        <v>2.8074361322882879E-2</v>
      </c>
      <c r="U885" s="204"/>
    </row>
    <row r="886" spans="1:21" x14ac:dyDescent="0.2">
      <c r="A886" s="64" t="str">
        <f t="shared" si="14"/>
        <v>1w</v>
      </c>
      <c r="B886" s="203">
        <f>_xll.qlCalendarAdvance(Calendar,B885,A886,"f",FALSE)</f>
        <v>45076</v>
      </c>
      <c r="C886" s="237">
        <f>_xll.qlCalendarAdvance(Calendar,B886,NDays&amp;"D")</f>
        <v>45078</v>
      </c>
      <c r="D886" s="202">
        <v>2.8587837213409628E-2</v>
      </c>
      <c r="E886" s="202">
        <v>2.8095817413946733E-2</v>
      </c>
      <c r="U886" s="204"/>
    </row>
    <row r="887" spans="1:21" x14ac:dyDescent="0.2">
      <c r="A887" s="64" t="str">
        <f t="shared" si="14"/>
        <v>1w</v>
      </c>
      <c r="B887" s="203">
        <f>_xll.qlCalendarAdvance(Calendar,B886,A887,"f",FALSE)</f>
        <v>45083</v>
      </c>
      <c r="C887" s="237">
        <f>_xll.qlCalendarAdvance(Calendar,B887,NDays&amp;"D")</f>
        <v>45085</v>
      </c>
      <c r="D887" s="202">
        <v>2.8610640638281722E-2</v>
      </c>
      <c r="E887" s="202">
        <v>2.8117295418761401E-2</v>
      </c>
      <c r="U887" s="204"/>
    </row>
    <row r="888" spans="1:21" x14ac:dyDescent="0.2">
      <c r="A888" s="64" t="str">
        <f t="shared" si="14"/>
        <v>1w</v>
      </c>
      <c r="B888" s="203">
        <f>_xll.qlCalendarAdvance(Calendar,B887,A888,"f",FALSE)</f>
        <v>45090</v>
      </c>
      <c r="C888" s="237">
        <f>_xll.qlCalendarAdvance(Calendar,B888,NDays&amp;"D")</f>
        <v>45092</v>
      </c>
      <c r="D888" s="202">
        <v>2.8633522392357044E-2</v>
      </c>
      <c r="E888" s="202">
        <v>2.8138850379457736E-2</v>
      </c>
      <c r="U888" s="204"/>
    </row>
    <row r="889" spans="1:21" x14ac:dyDescent="0.2">
      <c r="A889" s="64" t="str">
        <f t="shared" si="14"/>
        <v>1w</v>
      </c>
      <c r="B889" s="203">
        <f>_xll.qlCalendarAdvance(Calendar,B888,A889,"f",FALSE)</f>
        <v>45097</v>
      </c>
      <c r="C889" s="237">
        <f>_xll.qlCalendarAdvance(Calendar,B889,NDays&amp;"D")</f>
        <v>45099</v>
      </c>
      <c r="D889" s="202">
        <v>2.8656482478323288E-2</v>
      </c>
      <c r="E889" s="202">
        <v>2.8160482296115674E-2</v>
      </c>
      <c r="U889" s="204"/>
    </row>
    <row r="890" spans="1:21" x14ac:dyDescent="0.2">
      <c r="A890" s="64" t="str">
        <f t="shared" si="14"/>
        <v>1w</v>
      </c>
      <c r="B890" s="203">
        <f>_xll.qlCalendarAdvance(Calendar,B889,A890,"f",FALSE)</f>
        <v>45104</v>
      </c>
      <c r="C890" s="237">
        <f>_xll.qlCalendarAdvance(Calendar,B890,NDays&amp;"D")</f>
        <v>45106</v>
      </c>
      <c r="D890" s="202">
        <v>2.8679520898878184E-2</v>
      </c>
      <c r="E890" s="202">
        <v>2.8182191168735216E-2</v>
      </c>
      <c r="U890" s="204"/>
    </row>
    <row r="891" spans="1:21" x14ac:dyDescent="0.2">
      <c r="A891" s="64" t="str">
        <f t="shared" si="14"/>
        <v>1w</v>
      </c>
      <c r="B891" s="203">
        <f>_xll.qlCalendarAdvance(Calendar,B890,A891,"f",FALSE)</f>
        <v>45111</v>
      </c>
      <c r="C891" s="237">
        <f>_xll.qlCalendarAdvance(Calendar,B891,NDays&amp;"D")</f>
        <v>45113</v>
      </c>
      <c r="D891" s="202">
        <v>2.8711092496226706E-2</v>
      </c>
      <c r="E891" s="202">
        <v>2.820397699731636E-2</v>
      </c>
      <c r="U891" s="204"/>
    </row>
    <row r="892" spans="1:21" x14ac:dyDescent="0.2">
      <c r="A892" s="64" t="str">
        <f t="shared" si="14"/>
        <v>1w</v>
      </c>
      <c r="B892" s="203">
        <f>_xll.qlCalendarAdvance(Calendar,B891,A892,"f",FALSE)</f>
        <v>45118</v>
      </c>
      <c r="C892" s="237">
        <f>_xll.qlCalendarAdvance(Calendar,B892,NDays&amp;"D")</f>
        <v>45120</v>
      </c>
      <c r="D892" s="202">
        <v>2.8734309898175658E-2</v>
      </c>
      <c r="E892" s="202">
        <v>2.8225839781859108E-2</v>
      </c>
      <c r="U892" s="204"/>
    </row>
    <row r="893" spans="1:21" x14ac:dyDescent="0.2">
      <c r="A893" s="64" t="str">
        <f t="shared" si="14"/>
        <v>1w</v>
      </c>
      <c r="B893" s="203">
        <f>_xll.qlCalendarAdvance(Calendar,B892,A893,"f",FALSE)</f>
        <v>45125</v>
      </c>
      <c r="C893" s="237">
        <f>_xll.qlCalendarAdvance(Calendar,B893,NDays&amp;"D")</f>
        <v>45127</v>
      </c>
      <c r="D893" s="202">
        <v>2.8757605666514113E-2</v>
      </c>
      <c r="E893" s="202">
        <v>2.8247779522523331E-2</v>
      </c>
      <c r="U893" s="204"/>
    </row>
    <row r="894" spans="1:21" x14ac:dyDescent="0.2">
      <c r="A894" s="64" t="str">
        <f t="shared" si="14"/>
        <v>1w</v>
      </c>
      <c r="B894" s="203">
        <f>_xll.qlCalendarAdvance(Calendar,B893,A894,"f",FALSE)</f>
        <v>45132</v>
      </c>
      <c r="C894" s="237">
        <f>_xll.qlCalendarAdvance(Calendar,B894,NDays&amp;"D")</f>
        <v>45134</v>
      </c>
      <c r="D894" s="202">
        <v>2.8780979804022652E-2</v>
      </c>
      <c r="E894" s="202">
        <v>2.8269796219149157E-2</v>
      </c>
      <c r="U894" s="204"/>
    </row>
    <row r="895" spans="1:21" x14ac:dyDescent="0.2">
      <c r="A895" s="64" t="str">
        <f t="shared" si="14"/>
        <v>1w</v>
      </c>
      <c r="B895" s="203">
        <f>_xll.qlCalendarAdvance(Calendar,B894,A895,"f",FALSE)</f>
        <v>45139</v>
      </c>
      <c r="C895" s="237">
        <f>_xll.qlCalendarAdvance(Calendar,B895,NDays&amp;"D")</f>
        <v>45141</v>
      </c>
      <c r="D895" s="202">
        <v>2.8804432313493011E-2</v>
      </c>
      <c r="E895" s="202">
        <v>2.8291889871816522E-2</v>
      </c>
      <c r="U895" s="204"/>
    </row>
    <row r="896" spans="1:21" x14ac:dyDescent="0.2">
      <c r="A896" s="64" t="str">
        <f t="shared" si="14"/>
        <v>1w</v>
      </c>
      <c r="B896" s="203">
        <f>_xll.qlCalendarAdvance(Calendar,B895,A896,"f",FALSE)</f>
        <v>45146</v>
      </c>
      <c r="C896" s="237">
        <f>_xll.qlCalendarAdvance(Calendar,B896,NDays&amp;"D")</f>
        <v>45148</v>
      </c>
      <c r="D896" s="202">
        <v>2.8827963197726823E-2</v>
      </c>
      <c r="E896" s="202">
        <v>2.8314060480525427E-2</v>
      </c>
      <c r="U896" s="204"/>
    </row>
    <row r="897" spans="1:21" x14ac:dyDescent="0.2">
      <c r="A897" s="64" t="str">
        <f t="shared" si="14"/>
        <v>1w</v>
      </c>
      <c r="B897" s="203">
        <f>_xll.qlCalendarAdvance(Calendar,B896,A897,"f",FALSE)</f>
        <v>45153</v>
      </c>
      <c r="C897" s="237">
        <f>_xll.qlCalendarAdvance(Calendar,B897,NDays&amp;"D")</f>
        <v>45155</v>
      </c>
      <c r="D897" s="202">
        <v>2.8851572459532165E-2</v>
      </c>
      <c r="E897" s="202">
        <v>2.8336308045355807E-2</v>
      </c>
      <c r="U897" s="204"/>
    </row>
    <row r="898" spans="1:21" x14ac:dyDescent="0.2">
      <c r="A898" s="64" t="str">
        <f t="shared" si="14"/>
        <v>1w</v>
      </c>
      <c r="B898" s="203">
        <f>_xll.qlCalendarAdvance(Calendar,B897,A898,"f",FALSE)</f>
        <v>45160</v>
      </c>
      <c r="C898" s="237">
        <f>_xll.qlCalendarAdvance(Calendar,B898,NDays&amp;"D")</f>
        <v>45162</v>
      </c>
      <c r="D898" s="202">
        <v>2.8875260101729146E-2</v>
      </c>
      <c r="E898" s="202">
        <v>2.8358632566227726E-2</v>
      </c>
      <c r="U898" s="204"/>
    </row>
    <row r="899" spans="1:21" x14ac:dyDescent="0.2">
      <c r="A899" s="64" t="str">
        <f t="shared" si="14"/>
        <v>1w</v>
      </c>
      <c r="B899" s="203">
        <f>_xll.qlCalendarAdvance(Calendar,B898,A899,"f",FALSE)</f>
        <v>45167</v>
      </c>
      <c r="C899" s="237">
        <f>_xll.qlCalendarAdvance(Calendar,B899,NDays&amp;"D")</f>
        <v>45169</v>
      </c>
      <c r="D899" s="202">
        <v>2.8887515948225712E-2</v>
      </c>
      <c r="E899" s="202">
        <v>2.8381034043141184E-2</v>
      </c>
      <c r="U899" s="204"/>
    </row>
    <row r="900" spans="1:21" x14ac:dyDescent="0.2">
      <c r="A900" s="64" t="str">
        <f t="shared" si="14"/>
        <v>1w</v>
      </c>
      <c r="B900" s="203">
        <f>_xll.qlCalendarAdvance(Calendar,B899,A900,"f",FALSE)</f>
        <v>45174</v>
      </c>
      <c r="C900" s="237">
        <f>_xll.qlCalendarAdvance(Calendar,B900,NDays&amp;"D")</f>
        <v>45176</v>
      </c>
      <c r="D900" s="202">
        <v>2.8911330369399663E-2</v>
      </c>
      <c r="E900" s="202">
        <v>2.8403512476176118E-2</v>
      </c>
      <c r="U900" s="204"/>
    </row>
    <row r="901" spans="1:21" x14ac:dyDescent="0.2">
      <c r="A901" s="64" t="str">
        <f t="shared" si="14"/>
        <v>1w</v>
      </c>
      <c r="B901" s="203">
        <f>_xll.qlCalendarAdvance(Calendar,B900,A901,"f",FALSE)</f>
        <v>45181</v>
      </c>
      <c r="C901" s="237">
        <f>_xll.qlCalendarAdvance(Calendar,B901,NDays&amp;"D")</f>
        <v>45183</v>
      </c>
      <c r="D901" s="202">
        <v>2.8935223147435712E-2</v>
      </c>
      <c r="E901" s="202">
        <v>2.8426067865412463E-2</v>
      </c>
      <c r="U901" s="204"/>
    </row>
    <row r="902" spans="1:21" x14ac:dyDescent="0.2">
      <c r="A902" s="64" t="str">
        <f t="shared" si="14"/>
        <v>1w</v>
      </c>
      <c r="B902" s="203">
        <f>_xll.qlCalendarAdvance(Calendar,B901,A902,"f",FALSE)</f>
        <v>45188</v>
      </c>
      <c r="C902" s="237">
        <f>_xll.qlCalendarAdvance(Calendar,B902,NDays&amp;"D")</f>
        <v>45190</v>
      </c>
      <c r="D902" s="202">
        <v>2.8959194285125035E-2</v>
      </c>
      <c r="E902" s="202">
        <v>2.8448700210690347E-2</v>
      </c>
      <c r="U902" s="204"/>
    </row>
    <row r="903" spans="1:21" x14ac:dyDescent="0.2">
      <c r="A903" s="64" t="str">
        <f t="shared" ref="A903:A966" si="15">A902</f>
        <v>1w</v>
      </c>
      <c r="B903" s="203">
        <f>_xll.qlCalendarAdvance(Calendar,B902,A903,"f",FALSE)</f>
        <v>45195</v>
      </c>
      <c r="C903" s="237">
        <f>_xll.qlCalendarAdvance(Calendar,B903,NDays&amp;"D")</f>
        <v>45197</v>
      </c>
      <c r="D903" s="202">
        <v>2.8983243785268026E-2</v>
      </c>
      <c r="E903" s="202">
        <v>2.8471409512169643E-2</v>
      </c>
      <c r="U903" s="204"/>
    </row>
    <row r="904" spans="1:21" x14ac:dyDescent="0.2">
      <c r="A904" s="64" t="str">
        <f t="shared" si="15"/>
        <v>1w</v>
      </c>
      <c r="B904" s="203">
        <f>_xll.qlCalendarAdvance(Calendar,B903,A904,"f",FALSE)</f>
        <v>45202</v>
      </c>
      <c r="C904" s="237">
        <f>_xll.qlCalendarAdvance(Calendar,B904,NDays&amp;"D")</f>
        <v>45204</v>
      </c>
      <c r="D904" s="202">
        <v>2.9010285450897517E-2</v>
      </c>
      <c r="E904" s="202">
        <v>2.849419576985035E-2</v>
      </c>
      <c r="U904" s="204"/>
    </row>
    <row r="905" spans="1:21" x14ac:dyDescent="0.2">
      <c r="A905" s="64" t="str">
        <f t="shared" si="15"/>
        <v>1w</v>
      </c>
      <c r="B905" s="203">
        <f>_xll.qlCalendarAdvance(Calendar,B904,A905,"f",FALSE)</f>
        <v>45209</v>
      </c>
      <c r="C905" s="237">
        <f>_xll.qlCalendarAdvance(Calendar,B905,NDays&amp;"D")</f>
        <v>45211</v>
      </c>
      <c r="D905" s="202">
        <v>2.9034499220232463E-2</v>
      </c>
      <c r="E905" s="202">
        <v>2.8517058983652532E-2</v>
      </c>
      <c r="U905" s="204"/>
    </row>
    <row r="906" spans="1:21" x14ac:dyDescent="0.2">
      <c r="A906" s="64" t="str">
        <f t="shared" si="15"/>
        <v>1w</v>
      </c>
      <c r="B906" s="203">
        <f>_xll.qlCalendarAdvance(Calendar,B905,A906,"f",FALSE)</f>
        <v>45216</v>
      </c>
      <c r="C906" s="237">
        <f>_xll.qlCalendarAdvance(Calendar,B906,NDays&amp;"D")</f>
        <v>45218</v>
      </c>
      <c r="D906" s="202">
        <v>2.9058791368568183E-2</v>
      </c>
      <c r="E906" s="202">
        <v>2.8539999153656126E-2</v>
      </c>
      <c r="U906" s="204"/>
    </row>
    <row r="907" spans="1:21" x14ac:dyDescent="0.2">
      <c r="A907" s="64" t="str">
        <f t="shared" si="15"/>
        <v>1w</v>
      </c>
      <c r="B907" s="203">
        <f>_xll.qlCalendarAdvance(Calendar,B906,A907,"f",FALSE)</f>
        <v>45223</v>
      </c>
      <c r="C907" s="237">
        <f>_xll.qlCalendarAdvance(Calendar,B907,NDays&amp;"D")</f>
        <v>45225</v>
      </c>
      <c r="D907" s="202">
        <v>2.9083161898758356E-2</v>
      </c>
      <c r="E907" s="202">
        <v>2.8563016279861131E-2</v>
      </c>
      <c r="U907" s="204"/>
    </row>
    <row r="908" spans="1:21" x14ac:dyDescent="0.2">
      <c r="A908" s="64" t="str">
        <f t="shared" si="15"/>
        <v>1w</v>
      </c>
      <c r="B908" s="203">
        <f>_xll.qlCalendarAdvance(Calendar,B907,A908,"f",FALSE)</f>
        <v>45230</v>
      </c>
      <c r="C908" s="237">
        <f>_xll.qlCalendarAdvance(Calendar,B908,NDays&amp;"D")</f>
        <v>45232</v>
      </c>
      <c r="D908" s="202">
        <v>2.9104666821474782E-2</v>
      </c>
      <c r="E908" s="202">
        <v>2.8586110362347483E-2</v>
      </c>
      <c r="U908" s="204"/>
    </row>
    <row r="909" spans="1:21" x14ac:dyDescent="0.2">
      <c r="A909" s="64" t="str">
        <f t="shared" si="15"/>
        <v>1w</v>
      </c>
      <c r="B909" s="203">
        <f>_xll.qlCalendarAdvance(Calendar,B908,A909,"f",FALSE)</f>
        <v>45237</v>
      </c>
      <c r="C909" s="237">
        <f>_xll.qlCalendarAdvance(Calendar,B909,NDays&amp;"D")</f>
        <v>45239</v>
      </c>
      <c r="D909" s="202">
        <v>2.9129186555677814E-2</v>
      </c>
      <c r="E909" s="202">
        <v>2.8609281401035247E-2</v>
      </c>
      <c r="U909" s="204"/>
    </row>
    <row r="910" spans="1:21" x14ac:dyDescent="0.2">
      <c r="A910" s="64" t="str">
        <f t="shared" si="15"/>
        <v>1w</v>
      </c>
      <c r="B910" s="203">
        <f>_xll.qlCalendarAdvance(Calendar,B909,A910,"f",FALSE)</f>
        <v>45244</v>
      </c>
      <c r="C910" s="237">
        <f>_xll.qlCalendarAdvance(Calendar,B910,NDays&amp;"D")</f>
        <v>45246</v>
      </c>
      <c r="D910" s="202">
        <v>2.9153784672199506E-2</v>
      </c>
      <c r="E910" s="202">
        <v>2.8632529396004358E-2</v>
      </c>
      <c r="U910" s="204"/>
    </row>
    <row r="911" spans="1:21" x14ac:dyDescent="0.2">
      <c r="A911" s="64" t="str">
        <f t="shared" si="15"/>
        <v>1w</v>
      </c>
      <c r="B911" s="203">
        <f>_xll.qlCalendarAdvance(Calendar,B910,A911,"f",FALSE)</f>
        <v>45251</v>
      </c>
      <c r="C911" s="237">
        <f>_xll.qlCalendarAdvance(Calendar,B911,NDays&amp;"D")</f>
        <v>45253</v>
      </c>
      <c r="D911" s="202">
        <v>2.9178461173913157E-2</v>
      </c>
      <c r="E911" s="202">
        <v>2.8655854347174881E-2</v>
      </c>
      <c r="U911" s="204"/>
    </row>
    <row r="912" spans="1:21" x14ac:dyDescent="0.2">
      <c r="A912" s="64" t="str">
        <f t="shared" si="15"/>
        <v>1w</v>
      </c>
      <c r="B912" s="203">
        <f>_xll.qlCalendarAdvance(Calendar,B911,A912,"f",FALSE)</f>
        <v>45258</v>
      </c>
      <c r="C912" s="237">
        <f>_xll.qlCalendarAdvance(Calendar,B912,NDays&amp;"D")</f>
        <v>45260</v>
      </c>
      <c r="D912" s="202">
        <v>2.9206190332753911E-2</v>
      </c>
      <c r="E912" s="202">
        <v>2.8679256254706686E-2</v>
      </c>
      <c r="U912" s="204"/>
    </row>
    <row r="913" spans="1:21" x14ac:dyDescent="0.2">
      <c r="A913" s="64" t="str">
        <f t="shared" si="15"/>
        <v>1w</v>
      </c>
      <c r="B913" s="203">
        <f>_xll.qlCalendarAdvance(Calendar,B912,A913,"f",FALSE)</f>
        <v>45265</v>
      </c>
      <c r="C913" s="237">
        <f>_xll.qlCalendarAdvance(Calendar,B913,NDays&amp;"D")</f>
        <v>45267</v>
      </c>
      <c r="D913" s="202">
        <v>2.9231027130067356E-2</v>
      </c>
      <c r="E913" s="202">
        <v>2.870273511851984E-2</v>
      </c>
      <c r="U913" s="204"/>
    </row>
    <row r="914" spans="1:21" x14ac:dyDescent="0.2">
      <c r="A914" s="64" t="str">
        <f t="shared" si="15"/>
        <v>1w</v>
      </c>
      <c r="B914" s="203">
        <f>_xll.qlCalendarAdvance(Calendar,B913,A914,"f",FALSE)</f>
        <v>45272</v>
      </c>
      <c r="C914" s="237">
        <f>_xll.qlCalendarAdvance(Calendar,B914,NDays&amp;"D")</f>
        <v>45274</v>
      </c>
      <c r="D914" s="202">
        <v>2.9255927339612769E-2</v>
      </c>
      <c r="E914" s="202">
        <v>2.8726290938694277E-2</v>
      </c>
      <c r="U914" s="204"/>
    </row>
    <row r="915" spans="1:21" x14ac:dyDescent="0.2">
      <c r="A915" s="64" t="str">
        <f t="shared" si="15"/>
        <v>1w</v>
      </c>
      <c r="B915" s="203">
        <f>_xll.qlCalendarAdvance(Calendar,B914,A915,"f",FALSE)</f>
        <v>45279</v>
      </c>
      <c r="C915" s="237">
        <f>_xll.qlCalendarAdvance(Calendar,B915,NDays&amp;"D")</f>
        <v>45281</v>
      </c>
      <c r="D915" s="202">
        <v>2.928087930490934E-2</v>
      </c>
      <c r="E915" s="202">
        <v>2.8749923715070125E-2</v>
      </c>
      <c r="U915" s="204"/>
    </row>
    <row r="916" spans="1:21" x14ac:dyDescent="0.2">
      <c r="A916" s="64" t="str">
        <f t="shared" si="15"/>
        <v>1w</v>
      </c>
      <c r="B916" s="203">
        <f>_xll.qlCalendarAdvance(Calendar,B915,A916,"f",FALSE)</f>
        <v>45287</v>
      </c>
      <c r="C916" s="237">
        <f>_xll.qlCalendarAdvance(Calendar,B916,NDays&amp;"D")</f>
        <v>45289</v>
      </c>
      <c r="D916" s="202">
        <v>2.9306453383224743E-2</v>
      </c>
      <c r="E916" s="202">
        <v>2.8785572735585685E-2</v>
      </c>
      <c r="U916" s="204"/>
    </row>
    <row r="917" spans="1:21" x14ac:dyDescent="0.2">
      <c r="A917" s="64" t="str">
        <f t="shared" si="15"/>
        <v>1w</v>
      </c>
      <c r="B917" s="203">
        <f>_xll.qlCalendarAdvance(Calendar,B916,A917,"f",FALSE)</f>
        <v>45294</v>
      </c>
      <c r="C917" s="237">
        <f>_xll.qlCalendarAdvance(Calendar,B917,NDays&amp;"D")</f>
        <v>45296</v>
      </c>
      <c r="D917" s="202">
        <v>2.9331476729383868E-2</v>
      </c>
      <c r="E917" s="202">
        <v>2.8806535730732108E-2</v>
      </c>
      <c r="U917" s="204"/>
    </row>
    <row r="918" spans="1:21" x14ac:dyDescent="0.2">
      <c r="A918" s="64" t="str">
        <f t="shared" si="15"/>
        <v>1w</v>
      </c>
      <c r="B918" s="203">
        <f>_xll.qlCalendarAdvance(Calendar,B917,A918,"f",FALSE)</f>
        <v>45301</v>
      </c>
      <c r="C918" s="237">
        <f>_xll.qlCalendarAdvance(Calendar,B918,NDays&amp;"D")</f>
        <v>45303</v>
      </c>
      <c r="D918" s="202">
        <v>2.9356516516848015E-2</v>
      </c>
      <c r="E918" s="202">
        <v>2.8830425187758024E-2</v>
      </c>
      <c r="U918" s="204"/>
    </row>
    <row r="919" spans="1:21" x14ac:dyDescent="0.2">
      <c r="A919" s="64" t="str">
        <f t="shared" si="15"/>
        <v>1w</v>
      </c>
      <c r="B919" s="203">
        <f>_xll.qlCalendarAdvance(Calendar,B918,A919,"f",FALSE)</f>
        <v>45308</v>
      </c>
      <c r="C919" s="237">
        <f>_xll.qlCalendarAdvance(Calendar,B919,NDays&amp;"D")</f>
        <v>45310</v>
      </c>
      <c r="D919" s="202">
        <v>2.9381561023669376E-2</v>
      </c>
      <c r="E919" s="202">
        <v>2.8854391616759401E-2</v>
      </c>
      <c r="U919" s="204"/>
    </row>
    <row r="920" spans="1:21" x14ac:dyDescent="0.2">
      <c r="A920" s="64" t="str">
        <f t="shared" si="15"/>
        <v>1w</v>
      </c>
      <c r="B920" s="203">
        <f>_xll.qlCalendarAdvance(Calendar,B919,A920,"f",FALSE)</f>
        <v>45315</v>
      </c>
      <c r="C920" s="237">
        <f>_xll.qlCalendarAdvance(Calendar,B920,NDays&amp;"D")</f>
        <v>45317</v>
      </c>
      <c r="D920" s="202">
        <v>2.9406598527315992E-2</v>
      </c>
      <c r="E920" s="202">
        <v>2.8878435017656301E-2</v>
      </c>
      <c r="U920" s="204"/>
    </row>
    <row r="921" spans="1:21" x14ac:dyDescent="0.2">
      <c r="A921" s="64" t="str">
        <f t="shared" si="15"/>
        <v>1w</v>
      </c>
      <c r="B921" s="203">
        <f>_xll.qlCalendarAdvance(Calendar,B920,A921,"f",FALSE)</f>
        <v>45322</v>
      </c>
      <c r="C921" s="237">
        <f>_xll.qlCalendarAdvance(Calendar,B921,NDays&amp;"D")</f>
        <v>45324</v>
      </c>
      <c r="D921" s="202">
        <v>2.943161730467176E-2</v>
      </c>
      <c r="E921" s="202">
        <v>2.8902555390555307E-2</v>
      </c>
      <c r="U921" s="204"/>
    </row>
    <row r="922" spans="1:21" x14ac:dyDescent="0.2">
      <c r="A922" s="64" t="str">
        <f t="shared" si="15"/>
        <v>1w</v>
      </c>
      <c r="B922" s="203">
        <f>_xll.qlCalendarAdvance(Calendar,B921,A922,"f",FALSE)</f>
        <v>45329</v>
      </c>
      <c r="C922" s="237">
        <f>_xll.qlCalendarAdvance(Calendar,B922,NDays&amp;"D")</f>
        <v>45331</v>
      </c>
      <c r="D922" s="202">
        <v>2.9456605632035549E-2</v>
      </c>
      <c r="E922" s="202">
        <v>2.8926752735509709E-2</v>
      </c>
      <c r="U922" s="204"/>
    </row>
    <row r="923" spans="1:21" x14ac:dyDescent="0.2">
      <c r="A923" s="64" t="str">
        <f t="shared" si="15"/>
        <v>1w</v>
      </c>
      <c r="B923" s="203">
        <f>_xll.qlCalendarAdvance(Calendar,B922,A923,"f",FALSE)</f>
        <v>45336</v>
      </c>
      <c r="C923" s="237">
        <f>_xll.qlCalendarAdvance(Calendar,B923,NDays&amp;"D")</f>
        <v>45338</v>
      </c>
      <c r="D923" s="202">
        <v>2.9481551785123399E-2</v>
      </c>
      <c r="E923" s="202">
        <v>2.8951027052519507E-2</v>
      </c>
      <c r="U923" s="204"/>
    </row>
    <row r="924" spans="1:21" x14ac:dyDescent="0.2">
      <c r="A924" s="64" t="str">
        <f t="shared" si="15"/>
        <v>1w</v>
      </c>
      <c r="B924" s="203">
        <f>_xll.qlCalendarAdvance(Calendar,B923,A924,"f",FALSE)</f>
        <v>45343</v>
      </c>
      <c r="C924" s="237">
        <f>_xll.qlCalendarAdvance(Calendar,B924,NDays&amp;"D")</f>
        <v>45345</v>
      </c>
      <c r="D924" s="202">
        <v>2.950644403907203E-2</v>
      </c>
      <c r="E924" s="202">
        <v>2.8975378341691282E-2</v>
      </c>
      <c r="U924" s="204"/>
    </row>
    <row r="925" spans="1:21" x14ac:dyDescent="0.2">
      <c r="A925" s="64" t="str">
        <f t="shared" si="15"/>
        <v>1w</v>
      </c>
      <c r="B925" s="203">
        <f>_xll.qlCalendarAdvance(Calendar,B924,A925,"f",FALSE)</f>
        <v>45350</v>
      </c>
      <c r="C925" s="237">
        <f>_xll.qlCalendarAdvance(Calendar,B925,NDays&amp;"D")</f>
        <v>45352</v>
      </c>
      <c r="D925" s="202">
        <v>2.954012062428478E-2</v>
      </c>
      <c r="E925" s="202">
        <v>2.8999806603025036E-2</v>
      </c>
      <c r="U925" s="204"/>
    </row>
    <row r="926" spans="1:21" x14ac:dyDescent="0.2">
      <c r="A926" s="64" t="str">
        <f t="shared" si="15"/>
        <v>1w</v>
      </c>
      <c r="B926" s="203">
        <f>_xll.qlCalendarAdvance(Calendar,B925,A926,"f",FALSE)</f>
        <v>45357</v>
      </c>
      <c r="C926" s="237">
        <f>_xll.qlCalendarAdvance(Calendar,B926,NDays&amp;"D")</f>
        <v>45359</v>
      </c>
      <c r="D926" s="202">
        <v>2.9564841616561154E-2</v>
      </c>
      <c r="E926" s="202">
        <v>2.9024311836600702E-2</v>
      </c>
      <c r="U926" s="204"/>
    </row>
    <row r="927" spans="1:21" x14ac:dyDescent="0.2">
      <c r="A927" s="64" t="str">
        <f t="shared" si="15"/>
        <v>1w</v>
      </c>
      <c r="B927" s="203">
        <f>_xll.qlCalendarAdvance(Calendar,B926,A927,"f",FALSE)</f>
        <v>45364</v>
      </c>
      <c r="C927" s="237">
        <f>_xll.qlCalendarAdvance(Calendar,B927,NDays&amp;"D")</f>
        <v>45366</v>
      </c>
      <c r="D927" s="202">
        <v>2.9589471286188627E-2</v>
      </c>
      <c r="E927" s="202">
        <v>2.9048894042444928E-2</v>
      </c>
      <c r="U927" s="204"/>
    </row>
    <row r="928" spans="1:21" x14ac:dyDescent="0.2">
      <c r="A928" s="64" t="str">
        <f t="shared" si="15"/>
        <v>1w</v>
      </c>
      <c r="B928" s="203">
        <f>_xll.qlCalendarAdvance(Calendar,B927,A928,"f",FALSE)</f>
        <v>45371</v>
      </c>
      <c r="C928" s="237">
        <f>_xll.qlCalendarAdvance(Calendar,B928,NDays&amp;"D")</f>
        <v>45373</v>
      </c>
      <c r="D928" s="202">
        <v>2.9613998093144637E-2</v>
      </c>
      <c r="E928" s="202">
        <v>2.9073553220584358E-2</v>
      </c>
      <c r="U928" s="204"/>
    </row>
    <row r="929" spans="1:21" x14ac:dyDescent="0.2">
      <c r="A929" s="64" t="str">
        <f t="shared" si="15"/>
        <v>1w</v>
      </c>
      <c r="B929" s="203">
        <f>_xll.qlCalendarAdvance(Calendar,B928,A929,"f",FALSE)</f>
        <v>45378</v>
      </c>
      <c r="C929" s="237">
        <f>_xll.qlCalendarAdvance(Calendar,B929,NDays&amp;"D")</f>
        <v>45384</v>
      </c>
      <c r="D929" s="202">
        <v>2.9646503355596879E-2</v>
      </c>
      <c r="E929" s="202">
        <v>2.9106560243779001E-2</v>
      </c>
      <c r="U929" s="204"/>
    </row>
    <row r="930" spans="1:21" x14ac:dyDescent="0.2">
      <c r="A930" s="64" t="str">
        <f t="shared" si="15"/>
        <v>1w</v>
      </c>
      <c r="B930" s="203">
        <f>_xll.qlCalendarAdvance(Calendar,B929,A930,"f",FALSE)</f>
        <v>45385</v>
      </c>
      <c r="C930" s="237">
        <f>_xll.qlCalendarAdvance(Calendar,B930,NDays&amp;"D")</f>
        <v>45387</v>
      </c>
      <c r="D930" s="202">
        <v>2.9662696956171127E-2</v>
      </c>
      <c r="E930" s="202">
        <v>2.9123102494068576E-2</v>
      </c>
      <c r="U930" s="204"/>
    </row>
    <row r="931" spans="1:21" x14ac:dyDescent="0.2">
      <c r="A931" s="64" t="str">
        <f t="shared" si="15"/>
        <v>1w</v>
      </c>
      <c r="B931" s="203">
        <f>_xll.qlCalendarAdvance(Calendar,B930,A931,"f",FALSE)</f>
        <v>45392</v>
      </c>
      <c r="C931" s="237">
        <f>_xll.qlCalendarAdvance(Calendar,B931,NDays&amp;"D")</f>
        <v>45394</v>
      </c>
      <c r="D931" s="202">
        <v>2.9686845929433291E-2</v>
      </c>
      <c r="E931" s="202">
        <v>2.9147992589493299E-2</v>
      </c>
      <c r="U931" s="204"/>
    </row>
    <row r="932" spans="1:21" x14ac:dyDescent="0.2">
      <c r="A932" s="64" t="str">
        <f t="shared" si="15"/>
        <v>1w</v>
      </c>
      <c r="B932" s="203">
        <f>_xll.qlCalendarAdvance(Calendar,B931,A932,"f",FALSE)</f>
        <v>45399</v>
      </c>
      <c r="C932" s="237">
        <f>_xll.qlCalendarAdvance(Calendar,B932,NDays&amp;"D")</f>
        <v>45401</v>
      </c>
      <c r="D932" s="202">
        <v>2.9710845874422059E-2</v>
      </c>
      <c r="E932" s="202">
        <v>2.9172959657399744E-2</v>
      </c>
      <c r="U932" s="204"/>
    </row>
    <row r="933" spans="1:21" x14ac:dyDescent="0.2">
      <c r="A933" s="64" t="str">
        <f t="shared" si="15"/>
        <v>1w</v>
      </c>
      <c r="B933" s="203">
        <f>_xll.qlCalendarAdvance(Calendar,B932,A933,"f",FALSE)</f>
        <v>45406</v>
      </c>
      <c r="C933" s="237">
        <f>_xll.qlCalendarAdvance(Calendar,B933,NDays&amp;"D")</f>
        <v>45408</v>
      </c>
      <c r="D933" s="202">
        <v>2.9734685248395745E-2</v>
      </c>
      <c r="E933" s="202">
        <v>2.9198003697867847E-2</v>
      </c>
      <c r="U933" s="204"/>
    </row>
    <row r="934" spans="1:21" x14ac:dyDescent="0.2">
      <c r="A934" s="64" t="str">
        <f t="shared" si="15"/>
        <v>1w</v>
      </c>
      <c r="B934" s="203">
        <f>_xll.qlCalendarAdvance(Calendar,B933,A934,"f",FALSE)</f>
        <v>45414</v>
      </c>
      <c r="C934" s="237">
        <f>_xll.qlCalendarAdvance(Calendar,B934,NDays&amp;"D")</f>
        <v>45418</v>
      </c>
      <c r="D934" s="202">
        <v>2.9765603794932077E-2</v>
      </c>
      <c r="E934" s="202">
        <v>2.9227942713774269E-2</v>
      </c>
      <c r="U934" s="204"/>
    </row>
    <row r="935" spans="1:21" x14ac:dyDescent="0.2">
      <c r="A935" s="64" t="str">
        <f t="shared" si="15"/>
        <v>1w</v>
      </c>
      <c r="B935" s="203">
        <f>_xll.qlCalendarAdvance(Calendar,B934,A935,"f",FALSE)</f>
        <v>45421</v>
      </c>
      <c r="C935" s="237">
        <f>_xll.qlCalendarAdvance(Calendar,B935,NDays&amp;"D")</f>
        <v>45425</v>
      </c>
      <c r="D935" s="202">
        <v>2.9789019164510579E-2</v>
      </c>
      <c r="E935" s="202">
        <v>2.9253158595317075E-2</v>
      </c>
      <c r="U935" s="204"/>
    </row>
    <row r="936" spans="1:21" x14ac:dyDescent="0.2">
      <c r="A936" s="64" t="str">
        <f t="shared" si="15"/>
        <v>1w</v>
      </c>
      <c r="B936" s="203">
        <f>_xll.qlCalendarAdvance(Calendar,B935,A936,"f",FALSE)</f>
        <v>45428</v>
      </c>
      <c r="C936" s="237">
        <f>_xll.qlCalendarAdvance(Calendar,B936,NDays&amp;"D")</f>
        <v>45432</v>
      </c>
      <c r="D936" s="202">
        <v>2.9812234542877659E-2</v>
      </c>
      <c r="E936" s="202">
        <v>2.9278451433460972E-2</v>
      </c>
      <c r="U936" s="204"/>
    </row>
    <row r="937" spans="1:21" x14ac:dyDescent="0.2">
      <c r="A937" s="64" t="str">
        <f t="shared" si="15"/>
        <v>1w</v>
      </c>
      <c r="B937" s="203">
        <f>_xll.qlCalendarAdvance(Calendar,B936,A937,"f",FALSE)</f>
        <v>45435</v>
      </c>
      <c r="C937" s="237">
        <f>_xll.qlCalendarAdvance(Calendar,B937,NDays&amp;"D")</f>
        <v>45439</v>
      </c>
      <c r="D937" s="202">
        <v>2.9835238323365092E-2</v>
      </c>
      <c r="E937" s="202">
        <v>2.9303821228365834E-2</v>
      </c>
      <c r="U937" s="204"/>
    </row>
    <row r="938" spans="1:21" x14ac:dyDescent="0.2">
      <c r="A938" s="64" t="str">
        <f t="shared" si="15"/>
        <v>1w</v>
      </c>
      <c r="B938" s="203">
        <f>_xll.qlCalendarAdvance(Calendar,B937,A938,"f",FALSE)</f>
        <v>45442</v>
      </c>
      <c r="C938" s="237">
        <f>_xll.qlCalendarAdvance(Calendar,B938,NDays&amp;"D")</f>
        <v>45446</v>
      </c>
      <c r="D938" s="202">
        <v>2.9855238868210038E-2</v>
      </c>
      <c r="E938" s="202">
        <v>2.9329175014476405E-2</v>
      </c>
      <c r="U938" s="204"/>
    </row>
    <row r="939" spans="1:21" x14ac:dyDescent="0.2">
      <c r="A939" s="64" t="str">
        <f t="shared" si="15"/>
        <v>1w</v>
      </c>
      <c r="B939" s="203">
        <f>_xll.qlCalendarAdvance(Calendar,B938,A939,"f",FALSE)</f>
        <v>45449</v>
      </c>
      <c r="C939" s="237">
        <f>_xll.qlCalendarAdvance(Calendar,B939,NDays&amp;"D")</f>
        <v>45453</v>
      </c>
      <c r="D939" s="202">
        <v>2.9877807989530707E-2</v>
      </c>
      <c r="E939" s="202">
        <v>2.9354312558602658E-2</v>
      </c>
      <c r="U939" s="204"/>
    </row>
    <row r="940" spans="1:21" x14ac:dyDescent="0.2">
      <c r="A940" s="64" t="str">
        <f t="shared" si="15"/>
        <v>1w</v>
      </c>
      <c r="B940" s="203">
        <f>_xll.qlCalendarAdvance(Calendar,B939,A940,"f",FALSE)</f>
        <v>45456</v>
      </c>
      <c r="C940" s="237">
        <f>_xll.qlCalendarAdvance(Calendar,B940,NDays&amp;"D")</f>
        <v>45460</v>
      </c>
      <c r="D940" s="202">
        <v>2.9900150593999322E-2</v>
      </c>
      <c r="E940" s="202">
        <v>2.9379226709504991E-2</v>
      </c>
      <c r="U940" s="204"/>
    </row>
    <row r="941" spans="1:21" x14ac:dyDescent="0.2">
      <c r="A941" s="64" t="str">
        <f t="shared" si="15"/>
        <v>1w</v>
      </c>
      <c r="B941" s="203">
        <f>_xll.qlCalendarAdvance(Calendar,B940,A941,"f",FALSE)</f>
        <v>45463</v>
      </c>
      <c r="C941" s="237">
        <f>_xll.qlCalendarAdvance(Calendar,B941,NDays&amp;"D")</f>
        <v>45467</v>
      </c>
      <c r="D941" s="202">
        <v>2.9922266674006236E-2</v>
      </c>
      <c r="E941" s="202">
        <v>2.9403917467263341E-2</v>
      </c>
      <c r="U941" s="204"/>
    </row>
    <row r="942" spans="1:21" x14ac:dyDescent="0.2">
      <c r="A942" s="64" t="str">
        <f t="shared" si="15"/>
        <v>1w</v>
      </c>
      <c r="B942" s="203">
        <f>_xll.qlCalendarAdvance(Calendar,B941,A942,"f",FALSE)</f>
        <v>45470</v>
      </c>
      <c r="C942" s="237">
        <f>_xll.qlCalendarAdvance(Calendar,B942,NDays&amp;"D")</f>
        <v>45474</v>
      </c>
      <c r="D942" s="202">
        <v>2.9949601664464354E-2</v>
      </c>
      <c r="E942" s="202">
        <v>2.9428384831557963E-2</v>
      </c>
      <c r="U942" s="204"/>
    </row>
    <row r="943" spans="1:21" x14ac:dyDescent="0.2">
      <c r="A943" s="64" t="str">
        <f t="shared" si="15"/>
        <v>1w</v>
      </c>
      <c r="B943" s="203">
        <f>_xll.qlCalendarAdvance(Calendar,B942,A943,"f",FALSE)</f>
        <v>45477</v>
      </c>
      <c r="C943" s="237">
        <f>_xll.qlCalendarAdvance(Calendar,B943,NDays&amp;"D")</f>
        <v>45481</v>
      </c>
      <c r="D943" s="202">
        <v>2.9968528171400024E-2</v>
      </c>
      <c r="E943" s="202">
        <v>2.9452628802628666E-2</v>
      </c>
      <c r="U943" s="204"/>
    </row>
    <row r="944" spans="1:21" x14ac:dyDescent="0.2">
      <c r="A944" s="64" t="str">
        <f t="shared" si="15"/>
        <v>1w</v>
      </c>
      <c r="B944" s="203">
        <f>_xll.qlCalendarAdvance(Calendar,B943,A944,"f",FALSE)</f>
        <v>45484</v>
      </c>
      <c r="C944" s="237">
        <f>_xll.qlCalendarAdvance(Calendar,B944,NDays&amp;"D")</f>
        <v>45488</v>
      </c>
      <c r="D944" s="202">
        <v>2.9989950220522438E-2</v>
      </c>
      <c r="E944" s="202">
        <v>2.9476649380315578E-2</v>
      </c>
      <c r="U944" s="204"/>
    </row>
    <row r="945" spans="1:21" x14ac:dyDescent="0.2">
      <c r="A945" s="64" t="str">
        <f t="shared" si="15"/>
        <v>1w</v>
      </c>
      <c r="B945" s="203">
        <f>_xll.qlCalendarAdvance(Calendar,B944,A945,"f",FALSE)</f>
        <v>45491</v>
      </c>
      <c r="C945" s="237">
        <f>_xll.qlCalendarAdvance(Calendar,B945,NDays&amp;"D")</f>
        <v>45495</v>
      </c>
      <c r="D945" s="202">
        <v>3.0011145697522917E-2</v>
      </c>
      <c r="E945" s="202">
        <v>2.9500446564458827E-2</v>
      </c>
      <c r="U945" s="204"/>
    </row>
    <row r="946" spans="1:21" x14ac:dyDescent="0.2">
      <c r="A946" s="64" t="str">
        <f t="shared" si="15"/>
        <v>1w</v>
      </c>
      <c r="B946" s="203">
        <f>_xll.qlCalendarAdvance(Calendar,B945,A946,"f",FALSE)</f>
        <v>45498</v>
      </c>
      <c r="C946" s="237">
        <f>_xll.qlCalendarAdvance(Calendar,B946,NDays&amp;"D")</f>
        <v>45502</v>
      </c>
      <c r="D946" s="202">
        <v>3.0032114595144228E-2</v>
      </c>
      <c r="E946" s="202">
        <v>2.9524020355138347E-2</v>
      </c>
      <c r="U946" s="204"/>
    </row>
    <row r="947" spans="1:21" x14ac:dyDescent="0.2">
      <c r="A947" s="64" t="str">
        <f t="shared" si="15"/>
        <v>1w</v>
      </c>
      <c r="B947" s="203">
        <f>_xll.qlCalendarAdvance(Calendar,B946,A947,"f",FALSE)</f>
        <v>45505</v>
      </c>
      <c r="C947" s="237">
        <f>_xll.qlCalendarAdvance(Calendar,B947,NDays&amp;"D")</f>
        <v>45509</v>
      </c>
      <c r="D947" s="202">
        <v>3.0052856906205586E-2</v>
      </c>
      <c r="E947" s="202">
        <v>2.9547370752274205E-2</v>
      </c>
      <c r="U947" s="204"/>
    </row>
    <row r="948" spans="1:21" x14ac:dyDescent="0.2">
      <c r="A948" s="64" t="str">
        <f t="shared" si="15"/>
        <v>1w</v>
      </c>
      <c r="B948" s="203">
        <f>_xll.qlCalendarAdvance(Calendar,B947,A948,"f",FALSE)</f>
        <v>45512</v>
      </c>
      <c r="C948" s="237">
        <f>_xll.qlCalendarAdvance(Calendar,B948,NDays&amp;"D")</f>
        <v>45516</v>
      </c>
      <c r="D948" s="202">
        <v>3.0073372623606588E-2</v>
      </c>
      <c r="E948" s="202">
        <v>2.9570497755946334E-2</v>
      </c>
      <c r="U948" s="204"/>
    </row>
    <row r="949" spans="1:21" x14ac:dyDescent="0.2">
      <c r="A949" s="64" t="str">
        <f t="shared" si="15"/>
        <v>1w</v>
      </c>
      <c r="B949" s="203">
        <f>_xll.qlCalendarAdvance(Calendar,B948,A949,"f",FALSE)</f>
        <v>45519</v>
      </c>
      <c r="C949" s="237">
        <f>_xll.qlCalendarAdvance(Calendar,B949,NDays&amp;"D")</f>
        <v>45523</v>
      </c>
      <c r="D949" s="202">
        <v>3.009366174032068E-2</v>
      </c>
      <c r="E949" s="202">
        <v>2.9593401365834993E-2</v>
      </c>
      <c r="U949" s="204"/>
    </row>
    <row r="950" spans="1:21" x14ac:dyDescent="0.2">
      <c r="A950" s="64" t="str">
        <f t="shared" si="15"/>
        <v>1w</v>
      </c>
      <c r="B950" s="203">
        <f>_xll.qlCalendarAdvance(Calendar,B949,A950,"f",FALSE)</f>
        <v>45526</v>
      </c>
      <c r="C950" s="237">
        <f>_xll.qlCalendarAdvance(Calendar,B950,NDays&amp;"D")</f>
        <v>45530</v>
      </c>
      <c r="D950" s="202">
        <v>3.0113724249402115E-2</v>
      </c>
      <c r="E950" s="202">
        <v>2.9616081582259923E-2</v>
      </c>
      <c r="U950" s="204"/>
    </row>
    <row r="951" spans="1:21" x14ac:dyDescent="0.2">
      <c r="A951" s="64" t="str">
        <f t="shared" si="15"/>
        <v>1w</v>
      </c>
      <c r="B951" s="203">
        <f>_xll.qlCalendarAdvance(Calendar,B950,A951,"f",FALSE)</f>
        <v>45533</v>
      </c>
      <c r="C951" s="237">
        <f>_xll.qlCalendarAdvance(Calendar,B951,NDays&amp;"D")</f>
        <v>45537</v>
      </c>
      <c r="D951" s="202">
        <v>3.0128372626155316E-2</v>
      </c>
      <c r="E951" s="202">
        <v>2.9638538404821446E-2</v>
      </c>
      <c r="U951" s="204"/>
    </row>
    <row r="952" spans="1:21" x14ac:dyDescent="0.2">
      <c r="A952" s="64" t="str">
        <f t="shared" si="15"/>
        <v>1w</v>
      </c>
      <c r="B952" s="203">
        <f>_xll.qlCalendarAdvance(Calendar,B951,A952,"f",FALSE)</f>
        <v>45540</v>
      </c>
      <c r="C952" s="237">
        <f>_xll.qlCalendarAdvance(Calendar,B952,NDays&amp;"D")</f>
        <v>45544</v>
      </c>
      <c r="D952" s="202">
        <v>3.0148011012104393E-2</v>
      </c>
      <c r="E952" s="202">
        <v>2.9660771833679433E-2</v>
      </c>
      <c r="U952" s="204"/>
    </row>
    <row r="953" spans="1:21" x14ac:dyDescent="0.2">
      <c r="A953" s="64" t="str">
        <f t="shared" si="15"/>
        <v>1w</v>
      </c>
      <c r="B953" s="203">
        <f>_xll.qlCalendarAdvance(Calendar,B952,A953,"f",FALSE)</f>
        <v>45547</v>
      </c>
      <c r="C953" s="237">
        <f>_xll.qlCalendarAdvance(Calendar,B953,NDays&amp;"D")</f>
        <v>45551</v>
      </c>
      <c r="D953" s="202">
        <v>3.0167422806564162E-2</v>
      </c>
      <c r="E953" s="202">
        <v>2.9682781868753949E-2</v>
      </c>
      <c r="U953" s="204"/>
    </row>
    <row r="954" spans="1:21" x14ac:dyDescent="0.2">
      <c r="A954" s="64" t="str">
        <f t="shared" si="15"/>
        <v>1w</v>
      </c>
      <c r="B954" s="203">
        <f>_xll.qlCalendarAdvance(Calendar,B953,A954,"f",FALSE)</f>
        <v>45554</v>
      </c>
      <c r="C954" s="237">
        <f>_xll.qlCalendarAdvance(Calendar,B954,NDays&amp;"D")</f>
        <v>45558</v>
      </c>
      <c r="D954" s="202">
        <v>3.0186608002960538E-2</v>
      </c>
      <c r="E954" s="202">
        <v>2.9704568510044993E-2</v>
      </c>
      <c r="U954" s="204"/>
    </row>
    <row r="955" spans="1:21" x14ac:dyDescent="0.2">
      <c r="A955" s="64" t="str">
        <f t="shared" si="15"/>
        <v>1w</v>
      </c>
      <c r="B955" s="203">
        <f>_xll.qlCalendarAdvance(Calendar,B954,A955,"f",FALSE)</f>
        <v>45561</v>
      </c>
      <c r="C955" s="237">
        <f>_xll.qlCalendarAdvance(Calendar,B955,NDays&amp;"D")</f>
        <v>45565</v>
      </c>
      <c r="D955" s="202">
        <v>3.0205566594795428E-2</v>
      </c>
      <c r="E955" s="202">
        <v>2.9726131757472629E-2</v>
      </c>
      <c r="U955" s="204"/>
    </row>
    <row r="956" spans="1:21" x14ac:dyDescent="0.2">
      <c r="A956" s="64" t="str">
        <f t="shared" si="15"/>
        <v>1w</v>
      </c>
      <c r="B956" s="203">
        <f>_xll.qlCalendarAdvance(Calendar,B955,A956,"f",FALSE)</f>
        <v>45568</v>
      </c>
      <c r="C956" s="237">
        <f>_xll.qlCalendarAdvance(Calendar,B956,NDays&amp;"D")</f>
        <v>45572</v>
      </c>
      <c r="D956" s="202">
        <v>3.0224298575646711E-2</v>
      </c>
      <c r="E956" s="202">
        <v>2.9747471610956921E-2</v>
      </c>
      <c r="U956" s="204"/>
    </row>
    <row r="957" spans="1:21" x14ac:dyDescent="0.2">
      <c r="A957" s="64" t="str">
        <f t="shared" si="15"/>
        <v>1w</v>
      </c>
      <c r="B957" s="203">
        <f>_xll.qlCalendarAdvance(Calendar,B956,A957,"f",FALSE)</f>
        <v>45575</v>
      </c>
      <c r="C957" s="237">
        <f>_xll.qlCalendarAdvance(Calendar,B957,NDays&amp;"D")</f>
        <v>45579</v>
      </c>
      <c r="D957" s="202">
        <v>3.0242803939170896E-2</v>
      </c>
      <c r="E957" s="202">
        <v>2.9768588070577806E-2</v>
      </c>
      <c r="U957" s="204"/>
    </row>
    <row r="958" spans="1:21" x14ac:dyDescent="0.2">
      <c r="A958" s="64" t="str">
        <f t="shared" si="15"/>
        <v>1w</v>
      </c>
      <c r="B958" s="203">
        <f>_xll.qlCalendarAdvance(Calendar,B957,A958,"f",FALSE)</f>
        <v>45582</v>
      </c>
      <c r="C958" s="237">
        <f>_xll.qlCalendarAdvance(Calendar,B958,NDays&amp;"D")</f>
        <v>45586</v>
      </c>
      <c r="D958" s="202">
        <v>3.0263574792735112E-2</v>
      </c>
      <c r="E958" s="202">
        <v>2.9789481136095475E-2</v>
      </c>
      <c r="U958" s="204"/>
    </row>
    <row r="959" spans="1:21" x14ac:dyDescent="0.2">
      <c r="A959" s="64" t="str">
        <f t="shared" si="15"/>
        <v>1w</v>
      </c>
      <c r="B959" s="203">
        <f>_xll.qlCalendarAdvance(Calendar,B958,A959,"f",FALSE)</f>
        <v>45589</v>
      </c>
      <c r="C959" s="237">
        <f>_xll.qlCalendarAdvance(Calendar,B959,NDays&amp;"D")</f>
        <v>45593</v>
      </c>
      <c r="D959" s="202">
        <v>3.0279134789242129E-2</v>
      </c>
      <c r="E959" s="202">
        <v>2.98101508076698E-2</v>
      </c>
      <c r="U959" s="204"/>
    </row>
    <row r="960" spans="1:21" x14ac:dyDescent="0.2">
      <c r="A960" s="64" t="str">
        <f t="shared" si="15"/>
        <v>1w</v>
      </c>
      <c r="B960" s="203">
        <f>_xll.qlCalendarAdvance(Calendar,B959,A960,"f",FALSE)</f>
        <v>45596</v>
      </c>
      <c r="C960" s="237">
        <f>_xll.qlCalendarAdvance(Calendar,B960,NDays&amp;"D")</f>
        <v>45600</v>
      </c>
      <c r="D960" s="202">
        <v>3.0296960263483417E-2</v>
      </c>
      <c r="E960" s="202">
        <v>2.9830597085060973E-2</v>
      </c>
      <c r="U960" s="204"/>
    </row>
    <row r="961" spans="1:21" x14ac:dyDescent="0.2">
      <c r="A961" s="64" t="str">
        <f t="shared" si="15"/>
        <v>1w</v>
      </c>
      <c r="B961" s="203">
        <f>_xll.qlCalendarAdvance(Calendar,B960,A961,"f",FALSE)</f>
        <v>45603</v>
      </c>
      <c r="C961" s="237">
        <f>_xll.qlCalendarAdvance(Calendar,B961,NDays&amp;"D")</f>
        <v>45607</v>
      </c>
      <c r="D961" s="202">
        <v>3.0314559095786082E-2</v>
      </c>
      <c r="E961" s="202">
        <v>2.9850819968508802E-2</v>
      </c>
      <c r="U961" s="204"/>
    </row>
    <row r="962" spans="1:21" x14ac:dyDescent="0.2">
      <c r="A962" s="64" t="str">
        <f t="shared" si="15"/>
        <v>1w</v>
      </c>
      <c r="B962" s="203">
        <f>_xll.qlCalendarAdvance(Calendar,B961,A962,"f",FALSE)</f>
        <v>45610</v>
      </c>
      <c r="C962" s="237">
        <f>_xll.qlCalendarAdvance(Calendar,B962,NDays&amp;"D")</f>
        <v>45614</v>
      </c>
      <c r="D962" s="202">
        <v>3.0331931280190058E-2</v>
      </c>
      <c r="E962" s="202">
        <v>2.9870819457773479E-2</v>
      </c>
      <c r="U962" s="204"/>
    </row>
    <row r="963" spans="1:21" x14ac:dyDescent="0.2">
      <c r="A963" s="64" t="str">
        <f t="shared" si="15"/>
        <v>1w</v>
      </c>
      <c r="B963" s="203">
        <f>_xll.qlCalendarAdvance(Calendar,B962,A963,"f",FALSE)</f>
        <v>45617</v>
      </c>
      <c r="C963" s="237">
        <f>_xll.qlCalendarAdvance(Calendar,B963,NDays&amp;"D")</f>
        <v>45621</v>
      </c>
      <c r="D963" s="202">
        <v>3.0349076810809939E-2</v>
      </c>
      <c r="E963" s="202">
        <v>2.9890595552855004E-2</v>
      </c>
      <c r="U963" s="204"/>
    </row>
    <row r="964" spans="1:21" x14ac:dyDescent="0.2">
      <c r="A964" s="64" t="str">
        <f t="shared" si="15"/>
        <v>1w</v>
      </c>
      <c r="B964" s="203">
        <f>_xll.qlCalendarAdvance(Calendar,B963,A964,"f",FALSE)</f>
        <v>45624</v>
      </c>
      <c r="C964" s="237">
        <f>_xll.qlCalendarAdvance(Calendar,B964,NDays&amp;"D")</f>
        <v>45628</v>
      </c>
      <c r="D964" s="202">
        <v>3.0365995727886067E-2</v>
      </c>
      <c r="E964" s="202">
        <v>2.9910148253673441E-2</v>
      </c>
      <c r="U964" s="204"/>
    </row>
    <row r="965" spans="1:21" x14ac:dyDescent="0.2">
      <c r="A965" s="64" t="str">
        <f t="shared" si="15"/>
        <v>1w</v>
      </c>
      <c r="B965" s="203">
        <f>_xll.qlCalendarAdvance(Calendar,B964,A965,"f",FALSE)</f>
        <v>45631</v>
      </c>
      <c r="C965" s="237">
        <f>_xll.qlCalendarAdvance(Calendar,B965,NDays&amp;"D")</f>
        <v>45635</v>
      </c>
      <c r="D965" s="202">
        <v>3.0382688845190346E-2</v>
      </c>
      <c r="E965" s="202">
        <v>2.9929477560308726E-2</v>
      </c>
      <c r="U965" s="204"/>
    </row>
    <row r="966" spans="1:21" x14ac:dyDescent="0.2">
      <c r="A966" s="64" t="str">
        <f t="shared" si="15"/>
        <v>1w</v>
      </c>
      <c r="B966" s="203">
        <f>_xll.qlCalendarAdvance(Calendar,B965,A966,"f",FALSE)</f>
        <v>45638</v>
      </c>
      <c r="C966" s="237">
        <f>_xll.qlCalendarAdvance(Calendar,B966,NDays&amp;"D")</f>
        <v>45642</v>
      </c>
      <c r="D966" s="202">
        <v>3.0399157618390453E-2</v>
      </c>
      <c r="E966" s="202">
        <v>2.9948583472600987E-2</v>
      </c>
      <c r="U966" s="204"/>
    </row>
    <row r="967" spans="1:21" x14ac:dyDescent="0.2">
      <c r="A967" s="64" t="str">
        <f t="shared" ref="A967:A1030" si="16">A966</f>
        <v>1w</v>
      </c>
      <c r="B967" s="203">
        <f>_xll.qlCalendarAdvance(Calendar,B966,A967,"f",FALSE)</f>
        <v>45645</v>
      </c>
      <c r="C967" s="237">
        <f>_xll.qlCalendarAdvance(Calendar,B967,NDays&amp;"D")</f>
        <v>45649</v>
      </c>
      <c r="D967" s="202">
        <v>3.041540352270326E-2</v>
      </c>
      <c r="E967" s="202">
        <v>2.9967465990550224E-2</v>
      </c>
      <c r="U967" s="204"/>
    </row>
    <row r="968" spans="1:21" x14ac:dyDescent="0.2">
      <c r="A968" s="64" t="str">
        <f t="shared" si="16"/>
        <v>1w</v>
      </c>
      <c r="B968" s="203">
        <f>_xll.qlCalendarAdvance(Calendar,B967,A968,"f",FALSE)</f>
        <v>45653</v>
      </c>
      <c r="C968" s="237">
        <f>_xll.qlCalendarAdvance(Calendar,B968,NDays&amp;"D")</f>
        <v>45657</v>
      </c>
      <c r="D968" s="202">
        <v>3.0431353497334741E-2</v>
      </c>
      <c r="E968" s="202">
        <v>2.9991343038568985E-2</v>
      </c>
      <c r="U968" s="204"/>
    </row>
    <row r="969" spans="1:21" x14ac:dyDescent="0.2">
      <c r="A969" s="64" t="str">
        <f t="shared" si="16"/>
        <v>1w</v>
      </c>
      <c r="B969" s="203">
        <f>_xll.qlCalendarAdvance(Calendar,B968,A969,"f",FALSE)</f>
        <v>45660</v>
      </c>
      <c r="C969" s="237">
        <f>_xll.qlCalendarAdvance(Calendar,B969,NDays&amp;"D")</f>
        <v>45664</v>
      </c>
      <c r="D969" s="202">
        <v>3.0447140679151156E-2</v>
      </c>
      <c r="E969" s="202">
        <v>3.0007176282804693E-2</v>
      </c>
      <c r="U969" s="204"/>
    </row>
    <row r="970" spans="1:21" x14ac:dyDescent="0.2">
      <c r="A970" s="64" t="str">
        <f t="shared" si="16"/>
        <v>1w</v>
      </c>
      <c r="B970" s="203">
        <f>_xll.qlCalendarAdvance(Calendar,B969,A970,"f",FALSE)</f>
        <v>45667</v>
      </c>
      <c r="C970" s="237">
        <f>_xll.qlCalendarAdvance(Calendar,B970,NDays&amp;"D")</f>
        <v>45671</v>
      </c>
      <c r="D970" s="202">
        <v>3.0462709481320387E-2</v>
      </c>
      <c r="E970" s="202">
        <v>3.0025356704133088E-2</v>
      </c>
      <c r="U970" s="204"/>
    </row>
    <row r="971" spans="1:21" x14ac:dyDescent="0.2">
      <c r="A971" s="64" t="str">
        <f t="shared" si="16"/>
        <v>1w</v>
      </c>
      <c r="B971" s="203">
        <f>_xll.qlCalendarAdvance(Calendar,B970,A971,"f",FALSE)</f>
        <v>45674</v>
      </c>
      <c r="C971" s="237">
        <f>_xll.qlCalendarAdvance(Calendar,B971,NDays&amp;"D")</f>
        <v>45678</v>
      </c>
      <c r="D971" s="202">
        <v>3.0478061387631438E-2</v>
      </c>
      <c r="E971" s="202">
        <v>3.0043313731038523E-2</v>
      </c>
      <c r="U971" s="204"/>
    </row>
    <row r="972" spans="1:21" x14ac:dyDescent="0.2">
      <c r="A972" s="64" t="str">
        <f t="shared" si="16"/>
        <v>1w</v>
      </c>
      <c r="B972" s="203">
        <f>_xll.qlCalendarAdvance(Calendar,B971,A972,"f",FALSE)</f>
        <v>45681</v>
      </c>
      <c r="C972" s="237">
        <f>_xll.qlCalendarAdvance(Calendar,B972,NDays&amp;"D")</f>
        <v>45685</v>
      </c>
      <c r="D972" s="202">
        <v>3.0493197881988579E-2</v>
      </c>
      <c r="E972" s="202">
        <v>3.0061047363441062E-2</v>
      </c>
      <c r="U972" s="204"/>
    </row>
    <row r="973" spans="1:21" x14ac:dyDescent="0.2">
      <c r="A973" s="64" t="str">
        <f t="shared" si="16"/>
        <v>1w</v>
      </c>
      <c r="B973" s="203">
        <f>_xll.qlCalendarAdvance(Calendar,B972,A973,"f",FALSE)</f>
        <v>45688</v>
      </c>
      <c r="C973" s="237">
        <f>_xll.qlCalendarAdvance(Calendar,B973,NDays&amp;"D")</f>
        <v>45692</v>
      </c>
      <c r="D973" s="202">
        <v>3.0508120448410465E-2</v>
      </c>
      <c r="E973" s="202">
        <v>3.0078557601260769E-2</v>
      </c>
      <c r="U973" s="204"/>
    </row>
    <row r="974" spans="1:21" x14ac:dyDescent="0.2">
      <c r="A974" s="64" t="str">
        <f t="shared" si="16"/>
        <v>1w</v>
      </c>
      <c r="B974" s="203">
        <f>_xll.qlCalendarAdvance(Calendar,B973,A974,"f",FALSE)</f>
        <v>45695</v>
      </c>
      <c r="C974" s="237">
        <f>_xll.qlCalendarAdvance(Calendar,B974,NDays&amp;"D")</f>
        <v>45699</v>
      </c>
      <c r="D974" s="202">
        <v>3.0522830571029249E-2</v>
      </c>
      <c r="E974" s="202">
        <v>3.009584444457758E-2</v>
      </c>
      <c r="U974" s="204"/>
    </row>
    <row r="975" spans="1:21" x14ac:dyDescent="0.2">
      <c r="A975" s="64" t="str">
        <f t="shared" si="16"/>
        <v>1w</v>
      </c>
      <c r="B975" s="203">
        <f>_xll.qlCalendarAdvance(Calendar,B974,A975,"f",FALSE)</f>
        <v>45702</v>
      </c>
      <c r="C975" s="237">
        <f>_xll.qlCalendarAdvance(Calendar,B975,NDays&amp;"D")</f>
        <v>45706</v>
      </c>
      <c r="D975" s="202">
        <v>3.0537329734085288E-2</v>
      </c>
      <c r="E975" s="202">
        <v>3.0112907893311558E-2</v>
      </c>
      <c r="U975" s="204"/>
    </row>
    <row r="976" spans="1:21" x14ac:dyDescent="0.2">
      <c r="A976" s="64" t="str">
        <f t="shared" si="16"/>
        <v>1w</v>
      </c>
      <c r="B976" s="203">
        <f>_xll.qlCalendarAdvance(Calendar,B975,A976,"f",FALSE)</f>
        <v>45709</v>
      </c>
      <c r="C976" s="237">
        <f>_xll.qlCalendarAdvance(Calendar,B976,NDays&amp;"D")</f>
        <v>45713</v>
      </c>
      <c r="D976" s="202">
        <v>3.0551619421929341E-2</v>
      </c>
      <c r="E976" s="202">
        <v>3.0129747947302832E-2</v>
      </c>
      <c r="U976" s="204"/>
    </row>
    <row r="977" spans="1:21" x14ac:dyDescent="0.2">
      <c r="A977" s="64" t="str">
        <f t="shared" si="16"/>
        <v>1w</v>
      </c>
      <c r="B977" s="203">
        <f>_xll.qlCalendarAdvance(Calendar,B976,A977,"f",FALSE)</f>
        <v>45716</v>
      </c>
      <c r="C977" s="237">
        <f>_xll.qlCalendarAdvance(Calendar,B977,NDays&amp;"D")</f>
        <v>45720</v>
      </c>
      <c r="D977" s="202">
        <v>3.0572374213148602E-2</v>
      </c>
      <c r="E977" s="202">
        <v>3.0146364606791209E-2</v>
      </c>
      <c r="U977" s="204"/>
    </row>
    <row r="978" spans="1:21" x14ac:dyDescent="0.2">
      <c r="A978" s="64" t="str">
        <f t="shared" si="16"/>
        <v>1w</v>
      </c>
      <c r="B978" s="203">
        <f>_xll.qlCalendarAdvance(Calendar,B977,A978,"f",FALSE)</f>
        <v>45723</v>
      </c>
      <c r="C978" s="237">
        <f>_xll.qlCalendarAdvance(Calendar,B978,NDays&amp;"D")</f>
        <v>45727</v>
      </c>
      <c r="D978" s="202">
        <v>3.0586210881908056E-2</v>
      </c>
      <c r="E978" s="202">
        <v>3.0162757871456947E-2</v>
      </c>
      <c r="U978" s="204"/>
    </row>
    <row r="979" spans="1:21" x14ac:dyDescent="0.2">
      <c r="A979" s="64" t="str">
        <f t="shared" si="16"/>
        <v>1w</v>
      </c>
      <c r="B979" s="203">
        <f>_xll.qlCalendarAdvance(Calendar,B978,A979,"f",FALSE)</f>
        <v>45730</v>
      </c>
      <c r="C979" s="237">
        <f>_xll.qlCalendarAdvance(Calendar,B979,NDays&amp;"D")</f>
        <v>45734</v>
      </c>
      <c r="D979" s="202">
        <v>3.0599842752026422E-2</v>
      </c>
      <c r="E979" s="202">
        <v>3.0178927741459916E-2</v>
      </c>
      <c r="U979" s="204"/>
    </row>
    <row r="980" spans="1:21" x14ac:dyDescent="0.2">
      <c r="A980" s="64" t="str">
        <f t="shared" si="16"/>
        <v>1w</v>
      </c>
      <c r="B980" s="203">
        <f>_xll.qlCalendarAdvance(Calendar,B979,A980,"f",FALSE)</f>
        <v>45737</v>
      </c>
      <c r="C980" s="237">
        <f>_xll.qlCalendarAdvance(Calendar,B980,NDays&amp;"D")</f>
        <v>45741</v>
      </c>
      <c r="D980" s="202">
        <v>3.0613271284320384E-2</v>
      </c>
      <c r="E980" s="202">
        <v>3.019487421672018E-2</v>
      </c>
      <c r="U980" s="204"/>
    </row>
    <row r="981" spans="1:21" x14ac:dyDescent="0.2">
      <c r="A981" s="64" t="str">
        <f t="shared" si="16"/>
        <v>1w</v>
      </c>
      <c r="B981" s="203">
        <f>_xll.qlCalendarAdvance(Calendar,B980,A981,"f",FALSE)</f>
        <v>45744</v>
      </c>
      <c r="C981" s="237">
        <f>_xll.qlCalendarAdvance(Calendar,B981,NDays&amp;"D")</f>
        <v>45748</v>
      </c>
      <c r="D981" s="202">
        <v>3.0624325592141236E-2</v>
      </c>
      <c r="E981" s="202">
        <v>3.021059729723774E-2</v>
      </c>
      <c r="U981" s="204"/>
    </row>
    <row r="982" spans="1:21" x14ac:dyDescent="0.2">
      <c r="A982" s="64" t="str">
        <f t="shared" si="16"/>
        <v>1w</v>
      </c>
      <c r="B982" s="203">
        <f>_xll.qlCalendarAdvance(Calendar,B981,A982,"f",FALSE)</f>
        <v>45751</v>
      </c>
      <c r="C982" s="237">
        <f>_xll.qlCalendarAdvance(Calendar,B982,NDays&amp;"D")</f>
        <v>45755</v>
      </c>
      <c r="D982" s="202">
        <v>3.0637364422592857E-2</v>
      </c>
      <c r="E982" s="202">
        <v>3.0226096982852724E-2</v>
      </c>
      <c r="U982" s="204"/>
    </row>
    <row r="983" spans="1:21" x14ac:dyDescent="0.2">
      <c r="A983" s="64" t="str">
        <f t="shared" si="16"/>
        <v>1w</v>
      </c>
      <c r="B983" s="203">
        <f>_xll.qlCalendarAdvance(Calendar,B982,A983,"f",FALSE)</f>
        <v>45758</v>
      </c>
      <c r="C983" s="237">
        <f>_xll.qlCalendarAdvance(Calendar,B983,NDays&amp;"D")</f>
        <v>45762</v>
      </c>
      <c r="D983" s="202">
        <v>3.0650204256564423E-2</v>
      </c>
      <c r="E983" s="202">
        <v>3.0241373273725003E-2</v>
      </c>
      <c r="U983" s="204"/>
    </row>
    <row r="984" spans="1:21" x14ac:dyDescent="0.2">
      <c r="A984" s="64" t="str">
        <f t="shared" si="16"/>
        <v>1w</v>
      </c>
      <c r="B984" s="203">
        <f>_xll.qlCalendarAdvance(Calendar,B983,A984,"f",FALSE)</f>
        <v>45769</v>
      </c>
      <c r="C984" s="237">
        <f>_xll.qlCalendarAdvance(Calendar,B984,NDays&amp;"D")</f>
        <v>45771</v>
      </c>
      <c r="D984" s="202">
        <v>3.0666422575836905E-2</v>
      </c>
      <c r="E984" s="202">
        <v>3.0260685965410872E-2</v>
      </c>
      <c r="U984" s="204"/>
    </row>
    <row r="985" spans="1:21" x14ac:dyDescent="0.2">
      <c r="A985" s="64" t="str">
        <f t="shared" si="16"/>
        <v>1w</v>
      </c>
      <c r="B985" s="203">
        <f>_xll.qlCalendarAdvance(Calendar,B984,A985,"f",FALSE)</f>
        <v>45776</v>
      </c>
      <c r="C985" s="237">
        <f>_xll.qlCalendarAdvance(Calendar,B985,NDays&amp;"D")</f>
        <v>45779</v>
      </c>
      <c r="D985" s="202">
        <v>3.0684799905527384E-2</v>
      </c>
      <c r="E985" s="202">
        <v>3.0282174745206447E-2</v>
      </c>
      <c r="U985" s="204"/>
    </row>
    <row r="986" spans="1:21" x14ac:dyDescent="0.2">
      <c r="A986" s="64" t="str">
        <f t="shared" si="16"/>
        <v>1w</v>
      </c>
      <c r="B986" s="203">
        <f>_xll.qlCalendarAdvance(Calendar,B985,A986,"f",FALSE)</f>
        <v>45783</v>
      </c>
      <c r="C986" s="237">
        <f>_xll.qlCalendarAdvance(Calendar,B986,NDays&amp;"D")</f>
        <v>45785</v>
      </c>
      <c r="D986" s="202">
        <v>3.0697324703925423E-2</v>
      </c>
      <c r="E986" s="202">
        <v>3.0289993918435343E-2</v>
      </c>
      <c r="U986" s="204"/>
    </row>
    <row r="987" spans="1:21" x14ac:dyDescent="0.2">
      <c r="A987" s="64" t="str">
        <f t="shared" si="16"/>
        <v>1w</v>
      </c>
      <c r="B987" s="203">
        <f>_xll.qlCalendarAdvance(Calendar,B986,A987,"f",FALSE)</f>
        <v>45790</v>
      </c>
      <c r="C987" s="237">
        <f>_xll.qlCalendarAdvance(Calendar,B987,NDays&amp;"D")</f>
        <v>45792</v>
      </c>
      <c r="D987" s="202">
        <v>3.0709290951660917E-2</v>
      </c>
      <c r="E987" s="202">
        <v>3.0304312802513778E-2</v>
      </c>
      <c r="U987" s="204"/>
    </row>
    <row r="988" spans="1:21" x14ac:dyDescent="0.2">
      <c r="A988" s="64" t="str">
        <f t="shared" si="16"/>
        <v>1w</v>
      </c>
      <c r="B988" s="203">
        <f>_xll.qlCalendarAdvance(Calendar,B987,A988,"f",FALSE)</f>
        <v>45797</v>
      </c>
      <c r="C988" s="237">
        <f>_xll.qlCalendarAdvance(Calendar,B988,NDays&amp;"D")</f>
        <v>45799</v>
      </c>
      <c r="D988" s="202">
        <v>3.0721065968723388E-2</v>
      </c>
      <c r="E988" s="202">
        <v>3.03184082916097E-2</v>
      </c>
      <c r="U988" s="204"/>
    </row>
    <row r="989" spans="1:21" x14ac:dyDescent="0.2">
      <c r="A989" s="64" t="str">
        <f t="shared" si="16"/>
        <v>1w</v>
      </c>
      <c r="B989" s="203">
        <f>_xll.qlCalendarAdvance(Calendar,B988,A989,"f",FALSE)</f>
        <v>45804</v>
      </c>
      <c r="C989" s="237">
        <f>_xll.qlCalendarAdvance(Calendar,B989,NDays&amp;"D")</f>
        <v>45806</v>
      </c>
      <c r="D989" s="202">
        <v>3.0726448088755111E-2</v>
      </c>
      <c r="E989" s="202">
        <v>3.0332280514739907E-2</v>
      </c>
      <c r="U989" s="204"/>
    </row>
    <row r="990" spans="1:21" x14ac:dyDescent="0.2">
      <c r="A990" s="64" t="str">
        <f t="shared" si="16"/>
        <v>1w</v>
      </c>
      <c r="B990" s="203">
        <f>_xll.qlCalendarAdvance(Calendar,B989,A990,"f",FALSE)</f>
        <v>45811</v>
      </c>
      <c r="C990" s="237">
        <f>_xll.qlCalendarAdvance(Calendar,B990,NDays&amp;"D")</f>
        <v>45813</v>
      </c>
      <c r="D990" s="202">
        <v>3.0737882194962537E-2</v>
      </c>
      <c r="E990" s="202">
        <v>3.0345950881898176E-2</v>
      </c>
      <c r="U990" s="204"/>
    </row>
    <row r="991" spans="1:21" x14ac:dyDescent="0.2">
      <c r="A991" s="64" t="str">
        <f t="shared" si="16"/>
        <v>1w</v>
      </c>
      <c r="B991" s="203">
        <f>_xll.qlCalendarAdvance(Calendar,B990,A991,"f",FALSE)</f>
        <v>45818</v>
      </c>
      <c r="C991" s="237">
        <f>_xll.qlCalendarAdvance(Calendar,B991,NDays&amp;"D")</f>
        <v>45820</v>
      </c>
      <c r="D991" s="202">
        <v>3.0749128007146093E-2</v>
      </c>
      <c r="E991" s="202">
        <v>3.0359435773501531E-2</v>
      </c>
      <c r="U991" s="204"/>
    </row>
    <row r="992" spans="1:21" x14ac:dyDescent="0.2">
      <c r="A992" s="64" t="str">
        <f t="shared" si="16"/>
        <v>1w</v>
      </c>
      <c r="B992" s="203">
        <f>_xll.qlCalendarAdvance(Calendar,B991,A992,"f",FALSE)</f>
        <v>45825</v>
      </c>
      <c r="C992" s="237">
        <f>_xll.qlCalendarAdvance(Calendar,B992,NDays&amp;"D")</f>
        <v>45827</v>
      </c>
      <c r="D992" s="202">
        <v>3.0760185522125373E-2</v>
      </c>
      <c r="E992" s="202">
        <v>3.0372735189390099E-2</v>
      </c>
      <c r="U992" s="204"/>
    </row>
    <row r="993" spans="1:21" x14ac:dyDescent="0.2">
      <c r="A993" s="64" t="str">
        <f t="shared" si="16"/>
        <v>1w</v>
      </c>
      <c r="B993" s="203">
        <f>_xll.qlCalendarAdvance(Calendar,B992,A993,"f",FALSE)</f>
        <v>45832</v>
      </c>
      <c r="C993" s="237">
        <f>_xll.qlCalendarAdvance(Calendar,B993,NDays&amp;"D")</f>
        <v>45834</v>
      </c>
      <c r="D993" s="202">
        <v>3.0777107750280277E-2</v>
      </c>
      <c r="E993" s="202">
        <v>3.038584912956388E-2</v>
      </c>
      <c r="U993" s="204"/>
    </row>
    <row r="994" spans="1:21" x14ac:dyDescent="0.2">
      <c r="A994" s="64" t="str">
        <f t="shared" si="16"/>
        <v>1w</v>
      </c>
      <c r="B994" s="203">
        <f>_xll.qlCalendarAdvance(Calendar,B993,A994,"f",FALSE)</f>
        <v>45839</v>
      </c>
      <c r="C994" s="237">
        <f>_xll.qlCalendarAdvance(Calendar,B994,NDays&amp;"D")</f>
        <v>45841</v>
      </c>
      <c r="D994" s="202">
        <v>3.0787751017840894E-2</v>
      </c>
      <c r="E994" s="202">
        <v>3.039877759410281E-2</v>
      </c>
      <c r="U994" s="204"/>
    </row>
    <row r="995" spans="1:21" x14ac:dyDescent="0.2">
      <c r="A995" s="64" t="str">
        <f t="shared" si="16"/>
        <v>1w</v>
      </c>
      <c r="B995" s="203">
        <f>_xll.qlCalendarAdvance(Calendar,B994,A995,"f",FALSE)</f>
        <v>45846</v>
      </c>
      <c r="C995" s="237">
        <f>_xll.qlCalendarAdvance(Calendar,B995,NDays&amp;"D")</f>
        <v>45848</v>
      </c>
      <c r="D995" s="202">
        <v>3.0798205931326379E-2</v>
      </c>
      <c r="E995" s="202">
        <v>3.0411520582767082E-2</v>
      </c>
      <c r="U995" s="204"/>
    </row>
    <row r="996" spans="1:21" x14ac:dyDescent="0.2">
      <c r="A996" s="64" t="str">
        <f t="shared" si="16"/>
        <v>1w</v>
      </c>
      <c r="B996" s="203">
        <f>_xll.qlCalendarAdvance(Calendar,B995,A996,"f",FALSE)</f>
        <v>45853</v>
      </c>
      <c r="C996" s="237">
        <f>_xll.qlCalendarAdvance(Calendar,B996,NDays&amp;"D")</f>
        <v>45855</v>
      </c>
      <c r="D996" s="202">
        <v>3.080847248773225E-2</v>
      </c>
      <c r="E996" s="202">
        <v>3.0424078095716567E-2</v>
      </c>
      <c r="U996" s="204"/>
    </row>
    <row r="997" spans="1:21" x14ac:dyDescent="0.2">
      <c r="A997" s="64" t="str">
        <f t="shared" si="16"/>
        <v>1w</v>
      </c>
      <c r="B997" s="203">
        <f>_xll.qlCalendarAdvance(Calendar,B996,A997,"f",FALSE)</f>
        <v>45860</v>
      </c>
      <c r="C997" s="237">
        <f>_xll.qlCalendarAdvance(Calendar,B997,NDays&amp;"D")</f>
        <v>45862</v>
      </c>
      <c r="D997" s="202">
        <v>3.0818550684106896E-2</v>
      </c>
      <c r="E997" s="202">
        <v>3.0436450132791393E-2</v>
      </c>
      <c r="U997" s="204"/>
    </row>
    <row r="998" spans="1:21" x14ac:dyDescent="0.2">
      <c r="A998" s="64" t="str">
        <f t="shared" si="16"/>
        <v>1w</v>
      </c>
      <c r="B998" s="203">
        <f>_xll.qlCalendarAdvance(Calendar,B997,A998,"f",FALSE)</f>
        <v>45867</v>
      </c>
      <c r="C998" s="237">
        <f>_xll.qlCalendarAdvance(Calendar,B998,NDays&amp;"D")</f>
        <v>45869</v>
      </c>
      <c r="D998" s="202">
        <v>3.082257619933226E-2</v>
      </c>
      <c r="E998" s="202">
        <v>3.0448636694151432E-2</v>
      </c>
      <c r="U998" s="204"/>
    </row>
    <row r="999" spans="1:21" x14ac:dyDescent="0.2">
      <c r="A999" s="64" t="str">
        <f t="shared" si="16"/>
        <v>1w</v>
      </c>
      <c r="B999" s="203">
        <f>_xll.qlCalendarAdvance(Calendar,B998,A999,"f",FALSE)</f>
        <v>45874</v>
      </c>
      <c r="C999" s="237">
        <f>_xll.qlCalendarAdvance(Calendar,B999,NDays&amp;"D")</f>
        <v>45876</v>
      </c>
      <c r="D999" s="202">
        <v>3.0838141985230653E-2</v>
      </c>
      <c r="E999" s="202">
        <v>3.0460637779556876E-2</v>
      </c>
      <c r="U999" s="204"/>
    </row>
    <row r="1000" spans="1:21" x14ac:dyDescent="0.2">
      <c r="A1000" s="64" t="str">
        <f t="shared" si="16"/>
        <v>1w</v>
      </c>
      <c r="B1000" s="203">
        <f>_xll.qlCalendarAdvance(Calendar,B999,A1000,"f",FALSE)</f>
        <v>45881</v>
      </c>
      <c r="C1000" s="237">
        <f>_xll.qlCalendarAdvance(Calendar,B1000,NDays&amp;"D")</f>
        <v>45883</v>
      </c>
      <c r="D1000" s="202">
        <v>3.0847655084347708E-2</v>
      </c>
      <c r="E1000" s="202">
        <v>3.0472453389167597E-2</v>
      </c>
      <c r="U1000" s="204"/>
    </row>
    <row r="1001" spans="1:21" x14ac:dyDescent="0.2">
      <c r="A1001" s="64" t="str">
        <f t="shared" si="16"/>
        <v>1w</v>
      </c>
      <c r="B1001" s="203">
        <f>_xll.qlCalendarAdvance(Calendar,B1000,A1001,"f",FALSE)</f>
        <v>45888</v>
      </c>
      <c r="C1001" s="237">
        <f>_xll.qlCalendarAdvance(Calendar,B1001,NDays&amp;"D")</f>
        <v>45890</v>
      </c>
      <c r="D1001" s="202">
        <v>3.0856979812171146E-2</v>
      </c>
      <c r="E1001" s="202">
        <v>3.048408352290366E-2</v>
      </c>
      <c r="U1001" s="204"/>
    </row>
    <row r="1002" spans="1:21" x14ac:dyDescent="0.2">
      <c r="A1002" s="64" t="str">
        <f t="shared" si="16"/>
        <v>1w</v>
      </c>
      <c r="B1002" s="203">
        <f>_xll.qlCalendarAdvance(Calendar,B1001,A1002,"f",FALSE)</f>
        <v>45895</v>
      </c>
      <c r="C1002" s="237">
        <f>_xll.qlCalendarAdvance(Calendar,B1002,NDays&amp;"D")</f>
        <v>45897</v>
      </c>
      <c r="D1002" s="202">
        <v>3.0860403664109849E-2</v>
      </c>
      <c r="E1002" s="202">
        <v>3.0495528180765064E-2</v>
      </c>
      <c r="U1002" s="204"/>
    </row>
    <row r="1003" spans="1:21" x14ac:dyDescent="0.2">
      <c r="A1003" s="64" t="str">
        <f t="shared" si="16"/>
        <v>1w</v>
      </c>
      <c r="B1003" s="203">
        <f>_xll.qlCalendarAdvance(Calendar,B1002,A1003,"f",FALSE)</f>
        <v>45902</v>
      </c>
      <c r="C1003" s="237">
        <f>_xll.qlCalendarAdvance(Calendar,B1003,NDays&amp;"D")</f>
        <v>45904</v>
      </c>
      <c r="D1003" s="202">
        <v>3.0865601220658508E-2</v>
      </c>
      <c r="E1003" s="202">
        <v>3.0506787362751808E-2</v>
      </c>
      <c r="U1003" s="204"/>
    </row>
    <row r="1004" spans="1:21" x14ac:dyDescent="0.2">
      <c r="A1004" s="64" t="str">
        <f t="shared" si="16"/>
        <v>1w</v>
      </c>
      <c r="B1004" s="203">
        <f>_xll.qlCalendarAdvance(Calendar,B1003,A1004,"f",FALSE)</f>
        <v>45909</v>
      </c>
      <c r="C1004" s="237">
        <f>_xll.qlCalendarAdvance(Calendar,B1004,NDays&amp;"D")</f>
        <v>45911</v>
      </c>
      <c r="D1004" s="202">
        <v>3.0874424343966273E-2</v>
      </c>
      <c r="E1004" s="202">
        <v>3.0517861068783958E-2</v>
      </c>
      <c r="U1004" s="204"/>
    </row>
    <row r="1005" spans="1:21" x14ac:dyDescent="0.2">
      <c r="A1005" s="64" t="str">
        <f t="shared" si="16"/>
        <v>1w</v>
      </c>
      <c r="B1005" s="203">
        <f>_xll.qlCalendarAdvance(Calendar,B1004,A1005,"f",FALSE)</f>
        <v>45916</v>
      </c>
      <c r="C1005" s="237">
        <f>_xll.qlCalendarAdvance(Calendar,B1005,NDays&amp;"D")</f>
        <v>45918</v>
      </c>
      <c r="D1005" s="202">
        <v>3.0883059165548447E-2</v>
      </c>
      <c r="E1005" s="202">
        <v>3.0528749298861513E-2</v>
      </c>
      <c r="U1005" s="204"/>
    </row>
    <row r="1006" spans="1:21" x14ac:dyDescent="0.2">
      <c r="A1006" s="64" t="str">
        <f t="shared" si="16"/>
        <v>1w</v>
      </c>
      <c r="B1006" s="203">
        <f>_xll.qlCalendarAdvance(Calendar,B1005,A1006,"f",FALSE)</f>
        <v>45923</v>
      </c>
      <c r="C1006" s="237">
        <f>_xll.qlCalendarAdvance(Calendar,B1006,NDays&amp;"D")</f>
        <v>45925</v>
      </c>
      <c r="D1006" s="202">
        <v>3.0891505682990608E-2</v>
      </c>
      <c r="E1006" s="202">
        <v>3.0539452052984473E-2</v>
      </c>
      <c r="U1006" s="204"/>
    </row>
    <row r="1007" spans="1:21" x14ac:dyDescent="0.2">
      <c r="A1007" s="64" t="str">
        <f t="shared" si="16"/>
        <v>1w</v>
      </c>
      <c r="B1007" s="203">
        <f>_xll.qlCalendarAdvance(Calendar,B1006,A1007,"f",FALSE)</f>
        <v>45930</v>
      </c>
      <c r="C1007" s="237">
        <f>_xll.qlCalendarAdvance(Calendar,B1007,NDays&amp;"D")</f>
        <v>45932</v>
      </c>
      <c r="D1007" s="202">
        <v>3.0901607796775674E-2</v>
      </c>
      <c r="E1007" s="202">
        <v>3.0549969331152838E-2</v>
      </c>
      <c r="U1007" s="204"/>
    </row>
    <row r="1008" spans="1:21" x14ac:dyDescent="0.2">
      <c r="A1008" s="64" t="str">
        <f t="shared" si="16"/>
        <v>1w</v>
      </c>
      <c r="B1008" s="203">
        <f>_xll.qlCalendarAdvance(Calendar,B1007,A1008,"f",FALSE)</f>
        <v>45937</v>
      </c>
      <c r="C1008" s="237">
        <f>_xll.qlCalendarAdvance(Calendar,B1008,NDays&amp;"D")</f>
        <v>45939</v>
      </c>
      <c r="D1008" s="202">
        <v>3.0909664934273079E-2</v>
      </c>
      <c r="E1008" s="202">
        <v>3.0560301133366607E-2</v>
      </c>
      <c r="U1008" s="204"/>
    </row>
    <row r="1009" spans="1:21" x14ac:dyDescent="0.2">
      <c r="A1009" s="64" t="str">
        <f t="shared" si="16"/>
        <v>1w</v>
      </c>
      <c r="B1009" s="203">
        <f>_xll.qlCalendarAdvance(Calendar,B1008,A1009,"f",FALSE)</f>
        <v>45944</v>
      </c>
      <c r="C1009" s="237">
        <f>_xll.qlCalendarAdvance(Calendar,B1009,NDays&amp;"D")</f>
        <v>45946</v>
      </c>
      <c r="D1009" s="202">
        <v>3.0917533744675468E-2</v>
      </c>
      <c r="E1009" s="202">
        <v>3.057044745946591E-2</v>
      </c>
      <c r="U1009" s="204"/>
    </row>
    <row r="1010" spans="1:21" x14ac:dyDescent="0.2">
      <c r="A1010" s="64" t="str">
        <f t="shared" si="16"/>
        <v>1w</v>
      </c>
      <c r="B1010" s="203">
        <f>_xll.qlCalendarAdvance(Calendar,B1009,A1010,"f",FALSE)</f>
        <v>45951</v>
      </c>
      <c r="C1010" s="237">
        <f>_xll.qlCalendarAdvance(Calendar,B1010,NDays&amp;"D")</f>
        <v>45953</v>
      </c>
      <c r="D1010" s="202">
        <v>3.0925214225770103E-2</v>
      </c>
      <c r="E1010" s="202">
        <v>3.0580408309610618E-2</v>
      </c>
      <c r="U1010" s="204"/>
    </row>
    <row r="1011" spans="1:21" x14ac:dyDescent="0.2">
      <c r="A1011" s="64" t="str">
        <f t="shared" si="16"/>
        <v>1w</v>
      </c>
      <c r="B1011" s="203">
        <f>_xll.qlCalendarAdvance(Calendar,B1010,A1011,"f",FALSE)</f>
        <v>45958</v>
      </c>
      <c r="C1011" s="237">
        <f>_xll.qlCalendarAdvance(Calendar,B1011,NDays&amp;"D")</f>
        <v>45960</v>
      </c>
      <c r="D1011" s="202">
        <v>3.0932706375396076E-2</v>
      </c>
      <c r="E1011" s="202">
        <v>3.0590183683720795E-2</v>
      </c>
      <c r="U1011" s="204"/>
    </row>
    <row r="1012" spans="1:21" x14ac:dyDescent="0.2">
      <c r="A1012" s="64" t="str">
        <f t="shared" si="16"/>
        <v>1w</v>
      </c>
      <c r="B1012" s="203">
        <f>_xll.qlCalendarAdvance(Calendar,B1011,A1012,"f",FALSE)</f>
        <v>45965</v>
      </c>
      <c r="C1012" s="237">
        <f>_xll.qlCalendarAdvance(Calendar,B1012,NDays&amp;"D")</f>
        <v>45967</v>
      </c>
      <c r="D1012" s="202">
        <v>3.0938230272072865E-2</v>
      </c>
      <c r="E1012" s="202">
        <v>3.0599773581796441E-2</v>
      </c>
      <c r="U1012" s="204"/>
    </row>
    <row r="1013" spans="1:21" x14ac:dyDescent="0.2">
      <c r="A1013" s="64" t="str">
        <f t="shared" si="16"/>
        <v>1w</v>
      </c>
      <c r="B1013" s="203">
        <f>_xll.qlCalendarAdvance(Calendar,B1012,A1013,"f",FALSE)</f>
        <v>45972</v>
      </c>
      <c r="C1013" s="237">
        <f>_xll.qlCalendarAdvance(Calendar,B1013,NDays&amp;"D")</f>
        <v>45974</v>
      </c>
      <c r="D1013" s="202">
        <v>3.0945358597327572E-2</v>
      </c>
      <c r="E1013" s="202">
        <v>3.060917800375762E-2</v>
      </c>
      <c r="U1013" s="204"/>
    </row>
    <row r="1014" spans="1:21" x14ac:dyDescent="0.2">
      <c r="A1014" s="64" t="str">
        <f t="shared" si="16"/>
        <v>1w</v>
      </c>
      <c r="B1014" s="203">
        <f>_xll.qlCalendarAdvance(Calendar,B1013,A1014,"f",FALSE)</f>
        <v>45979</v>
      </c>
      <c r="C1014" s="237">
        <f>_xll.qlCalendarAdvance(Calendar,B1014,NDays&amp;"D")</f>
        <v>45981</v>
      </c>
      <c r="D1014" s="202">
        <v>3.0952298601015324E-2</v>
      </c>
      <c r="E1014" s="202">
        <v>3.0618396949764204E-2</v>
      </c>
      <c r="U1014" s="204"/>
    </row>
    <row r="1015" spans="1:21" x14ac:dyDescent="0.2">
      <c r="A1015" s="64" t="str">
        <f t="shared" si="16"/>
        <v>1w</v>
      </c>
      <c r="B1015" s="203">
        <f>_xll.qlCalendarAdvance(Calendar,B1014,A1015,"f",FALSE)</f>
        <v>45986</v>
      </c>
      <c r="C1015" s="237">
        <f>_xll.qlCalendarAdvance(Calendar,B1015,NDays&amp;"D")</f>
        <v>45988</v>
      </c>
      <c r="D1015" s="202">
        <v>3.0959050281194684E-2</v>
      </c>
      <c r="E1015" s="202">
        <v>3.0627430419496449E-2</v>
      </c>
      <c r="U1015" s="204"/>
    </row>
    <row r="1016" spans="1:21" x14ac:dyDescent="0.2">
      <c r="A1016" s="64" t="str">
        <f t="shared" si="16"/>
        <v>1w</v>
      </c>
      <c r="B1016" s="203">
        <f>_xll.qlCalendarAdvance(Calendar,B1015,A1016,"f",FALSE)</f>
        <v>45993</v>
      </c>
      <c r="C1016" s="237">
        <f>_xll.qlCalendarAdvance(Calendar,B1016,NDays&amp;"D")</f>
        <v>45995</v>
      </c>
      <c r="D1016" s="202">
        <v>3.096734303970991E-2</v>
      </c>
      <c r="E1016" s="202">
        <v>3.0636278413274098E-2</v>
      </c>
      <c r="U1016" s="204"/>
    </row>
    <row r="1017" spans="1:21" x14ac:dyDescent="0.2">
      <c r="A1017" s="64" t="str">
        <f t="shared" si="16"/>
        <v>1w</v>
      </c>
      <c r="B1017" s="203">
        <f>_xll.qlCalendarAdvance(Calendar,B1016,A1017,"f",FALSE)</f>
        <v>46000</v>
      </c>
      <c r="C1017" s="237">
        <f>_xll.qlCalendarAdvance(Calendar,B1017,NDays&amp;"D")</f>
        <v>46002</v>
      </c>
      <c r="D1017" s="202">
        <v>3.0973713963589351E-2</v>
      </c>
      <c r="E1017" s="202">
        <v>3.0644940930777409E-2</v>
      </c>
      <c r="U1017" s="204"/>
    </row>
    <row r="1018" spans="1:21" x14ac:dyDescent="0.2">
      <c r="A1018" s="64" t="str">
        <f t="shared" si="16"/>
        <v>1w</v>
      </c>
      <c r="B1018" s="203">
        <f>_xll.qlCalendarAdvance(Calendar,B1017,A1018,"f",FALSE)</f>
        <v>46007</v>
      </c>
      <c r="C1018" s="237">
        <f>_xll.qlCalendarAdvance(Calendar,B1018,NDays&amp;"D")</f>
        <v>46009</v>
      </c>
      <c r="D1018" s="202">
        <v>3.0979913531092227E-2</v>
      </c>
      <c r="E1018" s="202">
        <v>3.0653417972246189E-2</v>
      </c>
      <c r="U1018" s="204"/>
    </row>
    <row r="1019" spans="1:21" x14ac:dyDescent="0.2">
      <c r="A1019" s="64" t="str">
        <f t="shared" si="16"/>
        <v>1w</v>
      </c>
      <c r="B1019" s="203">
        <f>_xll.qlCalendarAdvance(Calendar,B1018,A1019,"f",FALSE)</f>
        <v>46014</v>
      </c>
      <c r="C1019" s="237">
        <f>_xll.qlCalendarAdvance(Calendar,B1019,NDays&amp;"D")</f>
        <v>46020</v>
      </c>
      <c r="D1019" s="202">
        <v>3.0989331497681245E-2</v>
      </c>
      <c r="E1019" s="202">
        <v>3.0666364299856141E-2</v>
      </c>
      <c r="U1019" s="204"/>
    </row>
    <row r="1020" spans="1:21" x14ac:dyDescent="0.2">
      <c r="A1020" s="64" t="str">
        <f t="shared" si="16"/>
        <v>1w</v>
      </c>
      <c r="B1020" s="203">
        <f>_xll.qlCalendarAdvance(Calendar,B1019,A1020,"f",FALSE)</f>
        <v>46021</v>
      </c>
      <c r="C1020" s="237">
        <f>_xll.qlCalendarAdvance(Calendar,B1020,NDays&amp;"D")</f>
        <v>46024</v>
      </c>
      <c r="D1020" s="202">
        <v>3.0990974052500252E-2</v>
      </c>
      <c r="E1020" s="202">
        <v>3.0674709668332412E-2</v>
      </c>
      <c r="U1020" s="204"/>
    </row>
    <row r="1021" spans="1:21" x14ac:dyDescent="0.2">
      <c r="A1021" s="64" t="str">
        <f t="shared" si="16"/>
        <v>1w</v>
      </c>
      <c r="B1021" s="203">
        <f>_xll.qlCalendarAdvance(Calendar,B1020,A1021,"f",FALSE)</f>
        <v>46028</v>
      </c>
      <c r="C1021" s="237">
        <f>_xll.qlCalendarAdvance(Calendar,B1021,NDays&amp;"D")</f>
        <v>46030</v>
      </c>
      <c r="D1021" s="202">
        <v>3.0995891494336961E-2</v>
      </c>
      <c r="E1021" s="202">
        <v>3.0677736239566045E-2</v>
      </c>
      <c r="U1021" s="204"/>
    </row>
    <row r="1022" spans="1:21" x14ac:dyDescent="0.2">
      <c r="A1022" s="64" t="str">
        <f t="shared" si="16"/>
        <v>1w</v>
      </c>
      <c r="B1022" s="203">
        <f>_xll.qlCalendarAdvance(Calendar,B1021,A1022,"f",FALSE)</f>
        <v>46035</v>
      </c>
      <c r="C1022" s="237">
        <f>_xll.qlCalendarAdvance(Calendar,B1022,NDays&amp;"D")</f>
        <v>46037</v>
      </c>
      <c r="D1022" s="202">
        <v>3.1001502837633279E-2</v>
      </c>
      <c r="E1022" s="202">
        <v>3.0685471376337148E-2</v>
      </c>
      <c r="U1022" s="204"/>
    </row>
    <row r="1023" spans="1:21" x14ac:dyDescent="0.2">
      <c r="A1023" s="64" t="str">
        <f t="shared" si="16"/>
        <v>1w</v>
      </c>
      <c r="B1023" s="203">
        <f>_xll.qlCalendarAdvance(Calendar,B1022,A1023,"f",FALSE)</f>
        <v>46042</v>
      </c>
      <c r="C1023" s="237">
        <f>_xll.qlCalendarAdvance(Calendar,B1023,NDays&amp;"D")</f>
        <v>46044</v>
      </c>
      <c r="D1023" s="202">
        <v>3.1006987600235382E-2</v>
      </c>
      <c r="E1023" s="202">
        <v>3.0693021036913848E-2</v>
      </c>
      <c r="U1023" s="204"/>
    </row>
    <row r="1024" spans="1:21" x14ac:dyDescent="0.2">
      <c r="A1024" s="64" t="str">
        <f t="shared" si="16"/>
        <v>1w</v>
      </c>
      <c r="B1024" s="203">
        <f>_xll.qlCalendarAdvance(Calendar,B1023,A1024,"f",FALSE)</f>
        <v>46049</v>
      </c>
      <c r="C1024" s="237">
        <f>_xll.qlCalendarAdvance(Calendar,B1024,NDays&amp;"D")</f>
        <v>46051</v>
      </c>
      <c r="D1024" s="202">
        <v>3.1012354978769939E-2</v>
      </c>
      <c r="E1024" s="202">
        <v>3.0700385221296145E-2</v>
      </c>
      <c r="U1024" s="204"/>
    </row>
    <row r="1025" spans="1:21" x14ac:dyDescent="0.2">
      <c r="A1025" s="64" t="str">
        <f t="shared" si="16"/>
        <v>1w</v>
      </c>
      <c r="B1025" s="203">
        <f>_xll.qlCalendarAdvance(Calendar,B1024,A1025,"f",FALSE)</f>
        <v>46056</v>
      </c>
      <c r="C1025" s="237">
        <f>_xll.qlCalendarAdvance(Calendar,B1025,NDays&amp;"D")</f>
        <v>46058</v>
      </c>
      <c r="D1025" s="202">
        <v>3.1017614169982409E-2</v>
      </c>
      <c r="E1025" s="202">
        <v>3.0707563929404103E-2</v>
      </c>
      <c r="U1025" s="204"/>
    </row>
    <row r="1026" spans="1:21" x14ac:dyDescent="0.2">
      <c r="A1026" s="64" t="str">
        <f t="shared" si="16"/>
        <v>1w</v>
      </c>
      <c r="B1026" s="203">
        <f>_xll.qlCalendarAdvance(Calendar,B1025,A1026,"f",FALSE)</f>
        <v>46063</v>
      </c>
      <c r="C1026" s="237">
        <f>_xll.qlCalendarAdvance(Calendar,B1026,NDays&amp;"D")</f>
        <v>46065</v>
      </c>
      <c r="D1026" s="202">
        <v>3.1022774370732201E-2</v>
      </c>
      <c r="E1026" s="202">
        <v>3.0714557161237721E-2</v>
      </c>
      <c r="U1026" s="204"/>
    </row>
    <row r="1027" spans="1:21" x14ac:dyDescent="0.2">
      <c r="A1027" s="64" t="str">
        <f t="shared" si="16"/>
        <v>1w</v>
      </c>
      <c r="B1027" s="203">
        <f>_xll.qlCalendarAdvance(Calendar,B1026,A1027,"f",FALSE)</f>
        <v>46070</v>
      </c>
      <c r="C1027" s="237">
        <f>_xll.qlCalendarAdvance(Calendar,B1027,NDays&amp;"D")</f>
        <v>46072</v>
      </c>
      <c r="D1027" s="202">
        <v>3.102784477798869E-2</v>
      </c>
      <c r="E1027" s="202">
        <v>3.0721364916956873E-2</v>
      </c>
      <c r="U1027" s="204"/>
    </row>
    <row r="1028" spans="1:21" x14ac:dyDescent="0.2">
      <c r="A1028" s="64" t="str">
        <f t="shared" si="16"/>
        <v>1w</v>
      </c>
      <c r="B1028" s="203">
        <f>_xll.qlCalendarAdvance(Calendar,B1027,A1028,"f",FALSE)</f>
        <v>46077</v>
      </c>
      <c r="C1028" s="237">
        <f>_xll.qlCalendarAdvance(Calendar,B1028,NDays&amp;"D")</f>
        <v>46079</v>
      </c>
      <c r="D1028" s="202">
        <v>3.1032834588825914E-2</v>
      </c>
      <c r="E1028" s="202">
        <v>3.0727987196321749E-2</v>
      </c>
      <c r="U1028" s="204"/>
    </row>
    <row r="1029" spans="1:21" x14ac:dyDescent="0.2">
      <c r="A1029" s="64" t="str">
        <f t="shared" si="16"/>
        <v>1w</v>
      </c>
      <c r="B1029" s="203">
        <f>_xll.qlCalendarAdvance(Calendar,B1028,A1029,"f",FALSE)</f>
        <v>46084</v>
      </c>
      <c r="C1029" s="237">
        <f>_xll.qlCalendarAdvance(Calendar,B1029,NDays&amp;"D")</f>
        <v>46086</v>
      </c>
      <c r="D1029" s="202">
        <v>3.1046066882387247E-2</v>
      </c>
      <c r="E1029" s="202">
        <v>3.0734423999412286E-2</v>
      </c>
      <c r="U1029" s="204"/>
    </row>
    <row r="1030" spans="1:21" x14ac:dyDescent="0.2">
      <c r="A1030" s="64" t="str">
        <f t="shared" si="16"/>
        <v>1w</v>
      </c>
      <c r="B1030" s="203">
        <f>_xll.qlCalendarAdvance(Calendar,B1029,A1030,"f",FALSE)</f>
        <v>46091</v>
      </c>
      <c r="C1030" s="237">
        <f>_xll.qlCalendarAdvance(Calendar,B1030,NDays&amp;"D")</f>
        <v>46093</v>
      </c>
      <c r="D1030" s="202">
        <v>3.1050926074877777E-2</v>
      </c>
      <c r="E1030" s="202">
        <v>3.074067532630842E-2</v>
      </c>
      <c r="U1030" s="204"/>
    </row>
    <row r="1031" spans="1:21" x14ac:dyDescent="0.2">
      <c r="A1031" s="64" t="str">
        <f t="shared" ref="A1031:A1094" si="17">A1030</f>
        <v>1w</v>
      </c>
      <c r="B1031" s="203">
        <f>_xll.qlCalendarAdvance(Calendar,B1030,A1031,"f",FALSE)</f>
        <v>46098</v>
      </c>
      <c r="C1031" s="237">
        <f>_xll.qlCalendarAdvance(Calendar,B1031,NDays&amp;"D")</f>
        <v>46100</v>
      </c>
      <c r="D1031" s="202">
        <v>3.1055734996652547E-2</v>
      </c>
      <c r="E1031" s="202">
        <v>3.0746741176850279E-2</v>
      </c>
      <c r="U1031" s="204"/>
    </row>
    <row r="1032" spans="1:21" x14ac:dyDescent="0.2">
      <c r="A1032" s="64" t="str">
        <f t="shared" si="17"/>
        <v>1w</v>
      </c>
      <c r="B1032" s="203">
        <f>_xll.qlCalendarAdvance(Calendar,B1031,A1032,"f",FALSE)</f>
        <v>46105</v>
      </c>
      <c r="C1032" s="237">
        <f>_xll.qlCalendarAdvance(Calendar,B1032,NDays&amp;"D")</f>
        <v>46107</v>
      </c>
      <c r="D1032" s="202">
        <v>3.1060502601766255E-2</v>
      </c>
      <c r="E1032" s="202">
        <v>3.0752621551117798E-2</v>
      </c>
      <c r="U1032" s="204"/>
    </row>
    <row r="1033" spans="1:21" x14ac:dyDescent="0.2">
      <c r="A1033" s="64" t="str">
        <f t="shared" si="17"/>
        <v>1w</v>
      </c>
      <c r="B1033" s="203">
        <f>_xll.qlCalendarAdvance(Calendar,B1032,A1033,"f",FALSE)</f>
        <v>46112</v>
      </c>
      <c r="C1033" s="237">
        <f>_xll.qlCalendarAdvance(Calendar,B1033,NDays&amp;"D")</f>
        <v>46114</v>
      </c>
      <c r="D1033" s="202">
        <v>3.1060231833684112E-2</v>
      </c>
      <c r="E1033" s="202">
        <v>3.0765162669693424E-2</v>
      </c>
      <c r="U1033" s="204"/>
    </row>
    <row r="1034" spans="1:21" x14ac:dyDescent="0.2">
      <c r="A1034" s="64" t="str">
        <f t="shared" si="17"/>
        <v>1w</v>
      </c>
      <c r="B1034" s="203">
        <f>_xll.qlCalendarAdvance(Calendar,B1033,A1034,"f",FALSE)</f>
        <v>46119</v>
      </c>
      <c r="C1034" s="237">
        <f>_xll.qlCalendarAdvance(Calendar,B1034,NDays&amp;"D")</f>
        <v>46121</v>
      </c>
      <c r="D1034" s="202">
        <v>3.1064936144579045E-2</v>
      </c>
      <c r="E1034" s="202">
        <v>3.076382587082982E-2</v>
      </c>
      <c r="U1034" s="204"/>
    </row>
    <row r="1035" spans="1:21" x14ac:dyDescent="0.2">
      <c r="A1035" s="64" t="str">
        <f t="shared" si="17"/>
        <v>1w</v>
      </c>
      <c r="B1035" s="203">
        <f>_xll.qlCalendarAdvance(Calendar,B1034,A1035,"f",FALSE)</f>
        <v>46126</v>
      </c>
      <c r="C1035" s="237">
        <f>_xll.qlCalendarAdvance(Calendar,B1035,NDays&amp;"D")</f>
        <v>46128</v>
      </c>
      <c r="D1035" s="202">
        <v>3.1069624956754291E-2</v>
      </c>
      <c r="E1035" s="202">
        <v>3.0769149816194385E-2</v>
      </c>
      <c r="U1035" s="204"/>
    </row>
    <row r="1036" spans="1:21" x14ac:dyDescent="0.2">
      <c r="A1036" s="64" t="str">
        <f t="shared" si="17"/>
        <v>1w</v>
      </c>
      <c r="B1036" s="203">
        <f>_xll.qlCalendarAdvance(Calendar,B1035,A1036,"f",FALSE)</f>
        <v>46133</v>
      </c>
      <c r="C1036" s="237">
        <f>_xll.qlCalendarAdvance(Calendar,B1036,NDays&amp;"D")</f>
        <v>46135</v>
      </c>
      <c r="D1036" s="202">
        <v>3.1074307369062231E-2</v>
      </c>
      <c r="E1036" s="202">
        <v>3.0774288285204676E-2</v>
      </c>
      <c r="U1036" s="204"/>
    </row>
    <row r="1037" spans="1:21" x14ac:dyDescent="0.2">
      <c r="A1037" s="64" t="str">
        <f t="shared" si="17"/>
        <v>1w</v>
      </c>
      <c r="B1037" s="203">
        <f>_xll.qlCalendarAdvance(Calendar,B1036,A1037,"f",FALSE)</f>
        <v>46140</v>
      </c>
      <c r="C1037" s="237">
        <f>_xll.qlCalendarAdvance(Calendar,B1037,NDays&amp;"D")</f>
        <v>46142</v>
      </c>
      <c r="D1037" s="202">
        <v>3.1078992480441742E-2</v>
      </c>
      <c r="E1037" s="202">
        <v>3.0784223967641466E-2</v>
      </c>
      <c r="U1037" s="204"/>
    </row>
    <row r="1038" spans="1:21" x14ac:dyDescent="0.2">
      <c r="A1038" s="64" t="str">
        <f t="shared" si="17"/>
        <v>1w</v>
      </c>
      <c r="B1038" s="203">
        <f>_xll.qlCalendarAdvance(Calendar,B1037,A1038,"f",FALSE)</f>
        <v>46147</v>
      </c>
      <c r="C1038" s="237">
        <f>_xll.qlCalendarAdvance(Calendar,B1038,NDays&amp;"D")</f>
        <v>46149</v>
      </c>
      <c r="D1038" s="202">
        <v>3.1088742020798255E-2</v>
      </c>
      <c r="E1038" s="202">
        <v>3.0784008794162432E-2</v>
      </c>
      <c r="U1038" s="204"/>
    </row>
    <row r="1039" spans="1:21" x14ac:dyDescent="0.2">
      <c r="A1039" s="64" t="str">
        <f t="shared" si="17"/>
        <v>1w</v>
      </c>
      <c r="B1039" s="203">
        <f>_xll.qlCalendarAdvance(Calendar,B1038,A1039,"f",FALSE)</f>
        <v>46154</v>
      </c>
      <c r="C1039" s="237">
        <f>_xll.qlCalendarAdvance(Calendar,B1039,NDays&amp;"D")</f>
        <v>46156</v>
      </c>
      <c r="D1039" s="202">
        <v>3.1093471130213293E-2</v>
      </c>
      <c r="E1039" s="202">
        <v>3.0788590834109897E-2</v>
      </c>
      <c r="U1039" s="204"/>
    </row>
    <row r="1040" spans="1:21" x14ac:dyDescent="0.2">
      <c r="A1040" s="64" t="str">
        <f t="shared" si="17"/>
        <v>1w</v>
      </c>
      <c r="B1040" s="203">
        <f>_xll.qlCalendarAdvance(Calendar,B1039,A1040,"f",FALSE)</f>
        <v>46161</v>
      </c>
      <c r="C1040" s="237">
        <f>_xll.qlCalendarAdvance(Calendar,B1040,NDays&amp;"D")</f>
        <v>46163</v>
      </c>
      <c r="D1040" s="202">
        <v>3.1098230558553333E-2</v>
      </c>
      <c r="E1040" s="202">
        <v>3.0792987397783023E-2</v>
      </c>
      <c r="U1040" s="204"/>
    </row>
    <row r="1041" spans="1:21" x14ac:dyDescent="0.2">
      <c r="A1041" s="64" t="str">
        <f t="shared" si="17"/>
        <v>1w</v>
      </c>
      <c r="B1041" s="203">
        <f>_xll.qlCalendarAdvance(Calendar,B1040,A1041,"f",FALSE)</f>
        <v>46168</v>
      </c>
      <c r="C1041" s="237">
        <f>_xll.qlCalendarAdvance(Calendar,B1041,NDays&amp;"D")</f>
        <v>46170</v>
      </c>
      <c r="D1041" s="202">
        <v>3.1103029260653964E-2</v>
      </c>
      <c r="E1041" s="202">
        <v>3.0797198485021937E-2</v>
      </c>
      <c r="U1041" s="204"/>
    </row>
    <row r="1042" spans="1:21" x14ac:dyDescent="0.2">
      <c r="A1042" s="64" t="str">
        <f t="shared" si="17"/>
        <v>1w</v>
      </c>
      <c r="B1042" s="203">
        <f>_xll.qlCalendarAdvance(Calendar,B1041,A1042,"f",FALSE)</f>
        <v>46175</v>
      </c>
      <c r="C1042" s="237">
        <f>_xll.qlCalendarAdvance(Calendar,B1042,NDays&amp;"D")</f>
        <v>46177</v>
      </c>
      <c r="D1042" s="202">
        <v>3.1102776037243551E-2</v>
      </c>
      <c r="E1042" s="202">
        <v>3.0801325261302637E-2</v>
      </c>
      <c r="U1042" s="204"/>
    </row>
    <row r="1043" spans="1:21" x14ac:dyDescent="0.2">
      <c r="A1043" s="64" t="str">
        <f t="shared" si="17"/>
        <v>1w</v>
      </c>
      <c r="B1043" s="203">
        <f>_xll.qlCalendarAdvance(Calendar,B1042,A1043,"f",FALSE)</f>
        <v>46182</v>
      </c>
      <c r="C1043" s="237">
        <f>_xll.qlCalendarAdvance(Calendar,B1043,NDays&amp;"D")</f>
        <v>46184</v>
      </c>
      <c r="D1043" s="202">
        <v>3.1107659666905964E-2</v>
      </c>
      <c r="E1043" s="202">
        <v>3.0805499958450611E-2</v>
      </c>
      <c r="U1043" s="204"/>
    </row>
    <row r="1044" spans="1:21" x14ac:dyDescent="0.2">
      <c r="A1044" s="64" t="str">
        <f t="shared" si="17"/>
        <v>1w</v>
      </c>
      <c r="B1044" s="203">
        <f>_xll.qlCalendarAdvance(Calendar,B1043,A1044,"f",FALSE)</f>
        <v>46189</v>
      </c>
      <c r="C1044" s="237">
        <f>_xll.qlCalendarAdvance(Calendar,B1044,NDays&amp;"D")</f>
        <v>46191</v>
      </c>
      <c r="D1044" s="202">
        <v>3.1112592792206132E-2</v>
      </c>
      <c r="E1044" s="202">
        <v>3.0809723373108611E-2</v>
      </c>
      <c r="U1044" s="204"/>
    </row>
    <row r="1045" spans="1:21" x14ac:dyDescent="0.2">
      <c r="A1045" s="64" t="str">
        <f t="shared" si="17"/>
        <v>1w</v>
      </c>
      <c r="B1045" s="203">
        <f>_xll.qlCalendarAdvance(Calendar,B1044,A1045,"f",FALSE)</f>
        <v>46196</v>
      </c>
      <c r="C1045" s="237">
        <f>_xll.qlCalendarAdvance(Calendar,B1045,NDays&amp;"D")</f>
        <v>46198</v>
      </c>
      <c r="D1045" s="202">
        <v>3.1122710262525624E-2</v>
      </c>
      <c r="E1045" s="202">
        <v>3.0813995505276637E-2</v>
      </c>
      <c r="U1045" s="204"/>
    </row>
    <row r="1046" spans="1:21" x14ac:dyDescent="0.2">
      <c r="A1046" s="64" t="str">
        <f t="shared" si="17"/>
        <v>1w</v>
      </c>
      <c r="B1046" s="203">
        <f>_xll.qlCalendarAdvance(Calendar,B1045,A1046,"f",FALSE)</f>
        <v>46203</v>
      </c>
      <c r="C1046" s="237">
        <f>_xll.qlCalendarAdvance(Calendar,B1046,NDays&amp;"D")</f>
        <v>46205</v>
      </c>
      <c r="D1046" s="202">
        <v>3.1127754284462097E-2</v>
      </c>
      <c r="E1046" s="202">
        <v>3.0818316354954689E-2</v>
      </c>
      <c r="U1046" s="204"/>
    </row>
    <row r="1047" spans="1:21" x14ac:dyDescent="0.2">
      <c r="A1047" s="64" t="str">
        <f t="shared" si="17"/>
        <v>1w</v>
      </c>
      <c r="B1047" s="203">
        <f>_xll.qlCalendarAdvance(Calendar,B1046,A1047,"f",FALSE)</f>
        <v>46210</v>
      </c>
      <c r="C1047" s="237">
        <f>_xll.qlCalendarAdvance(Calendar,B1047,NDays&amp;"D")</f>
        <v>46212</v>
      </c>
      <c r="D1047" s="202">
        <v>3.1132847816177641E-2</v>
      </c>
      <c r="E1047" s="202">
        <v>3.0822685922062831E-2</v>
      </c>
      <c r="U1047" s="204"/>
    </row>
    <row r="1048" spans="1:21" x14ac:dyDescent="0.2">
      <c r="A1048" s="64" t="str">
        <f t="shared" si="17"/>
        <v>1w</v>
      </c>
      <c r="B1048" s="203">
        <f>_xll.qlCalendarAdvance(Calendar,B1047,A1048,"f",FALSE)</f>
        <v>46217</v>
      </c>
      <c r="C1048" s="237">
        <f>_xll.qlCalendarAdvance(Calendar,B1048,NDays&amp;"D")</f>
        <v>46219</v>
      </c>
      <c r="D1048" s="202">
        <v>3.1137990858056467E-2</v>
      </c>
      <c r="E1048" s="202">
        <v>3.0827104206681E-2</v>
      </c>
      <c r="U1048" s="204"/>
    </row>
    <row r="1049" spans="1:21" x14ac:dyDescent="0.2">
      <c r="A1049" s="64" t="str">
        <f t="shared" si="17"/>
        <v>1w</v>
      </c>
      <c r="B1049" s="203">
        <f>_xll.qlCalendarAdvance(Calendar,B1048,A1049,"f",FALSE)</f>
        <v>46224</v>
      </c>
      <c r="C1049" s="237">
        <f>_xll.qlCalendarAdvance(Calendar,B1049,NDays&amp;"D")</f>
        <v>46226</v>
      </c>
      <c r="D1049" s="202">
        <v>3.114318341048708E-2</v>
      </c>
      <c r="E1049" s="202">
        <v>3.083157120888913E-2</v>
      </c>
      <c r="U1049" s="204"/>
    </row>
    <row r="1050" spans="1:21" x14ac:dyDescent="0.2">
      <c r="A1050" s="64" t="str">
        <f t="shared" si="17"/>
        <v>1w</v>
      </c>
      <c r="B1050" s="203">
        <f>_xll.qlCalendarAdvance(Calendar,B1049,A1050,"f",FALSE)</f>
        <v>46231</v>
      </c>
      <c r="C1050" s="237">
        <f>_xll.qlCalendarAdvance(Calendar,B1050,NDays&amp;"D")</f>
        <v>46233</v>
      </c>
      <c r="D1050" s="202">
        <v>3.1143230973163655E-2</v>
      </c>
      <c r="E1050" s="202">
        <v>3.0836086928527351E-2</v>
      </c>
      <c r="U1050" s="204"/>
    </row>
    <row r="1051" spans="1:21" x14ac:dyDescent="0.2">
      <c r="A1051" s="64" t="str">
        <f t="shared" si="17"/>
        <v>1w</v>
      </c>
      <c r="B1051" s="203">
        <f>_xll.qlCalendarAdvance(Calendar,B1050,A1051,"f",FALSE)</f>
        <v>46238</v>
      </c>
      <c r="C1051" s="237">
        <f>_xll.qlCalendarAdvance(Calendar,B1051,NDays&amp;"D")</f>
        <v>46240</v>
      </c>
      <c r="D1051" s="202">
        <v>3.1153717048576605E-2</v>
      </c>
      <c r="E1051" s="202">
        <v>3.0840651365675598E-2</v>
      </c>
      <c r="U1051" s="204"/>
    </row>
    <row r="1052" spans="1:21" x14ac:dyDescent="0.2">
      <c r="A1052" s="64" t="str">
        <f t="shared" si="17"/>
        <v>1w</v>
      </c>
      <c r="B1052" s="203">
        <f>_xll.qlCalendarAdvance(Calendar,B1051,A1052,"f",FALSE)</f>
        <v>46245</v>
      </c>
      <c r="C1052" s="237">
        <f>_xll.qlCalendarAdvance(Calendar,B1052,NDays&amp;"D")</f>
        <v>46247</v>
      </c>
      <c r="D1052" s="202">
        <v>3.115905813503015E-2</v>
      </c>
      <c r="E1052" s="202">
        <v>3.084526452033387E-2</v>
      </c>
      <c r="U1052" s="204"/>
    </row>
    <row r="1053" spans="1:21" x14ac:dyDescent="0.2">
      <c r="A1053" s="64" t="str">
        <f t="shared" si="17"/>
        <v>1w</v>
      </c>
      <c r="B1053" s="203">
        <f>_xll.qlCalendarAdvance(Calendar,B1052,A1053,"f",FALSE)</f>
        <v>46252</v>
      </c>
      <c r="C1053" s="237">
        <f>_xll.qlCalendarAdvance(Calendar,B1053,NDays&amp;"D")</f>
        <v>46254</v>
      </c>
      <c r="D1053" s="202">
        <v>3.1164448733626466E-2</v>
      </c>
      <c r="E1053" s="202">
        <v>3.0849926392502169E-2</v>
      </c>
      <c r="U1053" s="204"/>
    </row>
    <row r="1054" spans="1:21" x14ac:dyDescent="0.2">
      <c r="A1054" s="64" t="str">
        <f t="shared" si="17"/>
        <v>1w</v>
      </c>
      <c r="B1054" s="203">
        <f>_xll.qlCalendarAdvance(Calendar,B1053,A1054,"f",FALSE)</f>
        <v>46259</v>
      </c>
      <c r="C1054" s="237">
        <f>_xll.qlCalendarAdvance(Calendar,B1054,NDays&amp;"D")</f>
        <v>46261</v>
      </c>
      <c r="D1054" s="202">
        <v>3.1164646387689524E-2</v>
      </c>
      <c r="E1054" s="202">
        <v>3.0854636982180494E-2</v>
      </c>
      <c r="U1054" s="204"/>
    </row>
    <row r="1055" spans="1:21" x14ac:dyDescent="0.2">
      <c r="A1055" s="64" t="str">
        <f t="shared" si="17"/>
        <v>1w</v>
      </c>
      <c r="B1055" s="203">
        <f>_xll.qlCalendarAdvance(Calendar,B1054,A1055,"f",FALSE)</f>
        <v>46266</v>
      </c>
      <c r="C1055" s="237">
        <f>_xll.qlCalendarAdvance(Calendar,B1055,NDays&amp;"D")</f>
        <v>46268</v>
      </c>
      <c r="D1055" s="202">
        <v>3.116662342356644E-2</v>
      </c>
      <c r="E1055" s="202">
        <v>3.0859396289448782E-2</v>
      </c>
      <c r="U1055" s="204"/>
    </row>
    <row r="1056" spans="1:21" x14ac:dyDescent="0.2">
      <c r="A1056" s="64" t="str">
        <f t="shared" si="17"/>
        <v>1w</v>
      </c>
      <c r="B1056" s="203">
        <f>_xll.qlCalendarAdvance(Calendar,B1055,A1056,"f",FALSE)</f>
        <v>46273</v>
      </c>
      <c r="C1056" s="237">
        <f>_xll.qlCalendarAdvance(Calendar,B1056,NDays&amp;"D")</f>
        <v>46275</v>
      </c>
      <c r="D1056" s="202">
        <v>3.1172142506198677E-2</v>
      </c>
      <c r="E1056" s="202">
        <v>3.0864204314147159E-2</v>
      </c>
      <c r="U1056" s="204"/>
    </row>
    <row r="1057" spans="1:21" x14ac:dyDescent="0.2">
      <c r="A1057" s="64" t="str">
        <f t="shared" si="17"/>
        <v>1w</v>
      </c>
      <c r="B1057" s="203">
        <f>_xll.qlCalendarAdvance(Calendar,B1056,A1057,"f",FALSE)</f>
        <v>46280</v>
      </c>
      <c r="C1057" s="237">
        <f>_xll.qlCalendarAdvance(Calendar,B1057,NDays&amp;"D")</f>
        <v>46282</v>
      </c>
      <c r="D1057" s="202">
        <v>3.1177711080785757E-2</v>
      </c>
      <c r="E1057" s="202">
        <v>3.0869061056275626E-2</v>
      </c>
      <c r="U1057" s="204"/>
    </row>
    <row r="1058" spans="1:21" x14ac:dyDescent="0.2">
      <c r="A1058" s="64" t="str">
        <f t="shared" si="17"/>
        <v>1w</v>
      </c>
      <c r="B1058" s="203">
        <f>_xll.qlCalendarAdvance(Calendar,B1057,A1058,"f",FALSE)</f>
        <v>46287</v>
      </c>
      <c r="C1058" s="237">
        <f>_xll.qlCalendarAdvance(Calendar,B1058,NDays&amp;"D")</f>
        <v>46289</v>
      </c>
      <c r="D1058" s="202">
        <v>3.118332914773796E-2</v>
      </c>
      <c r="E1058" s="202">
        <v>3.0873966516073992E-2</v>
      </c>
      <c r="U1058" s="204"/>
    </row>
    <row r="1059" spans="1:21" x14ac:dyDescent="0.2">
      <c r="A1059" s="64" t="str">
        <f t="shared" si="17"/>
        <v>1w</v>
      </c>
      <c r="B1059" s="203">
        <f>_xll.qlCalendarAdvance(Calendar,B1058,A1059,"f",FALSE)</f>
        <v>46294</v>
      </c>
      <c r="C1059" s="237">
        <f>_xll.qlCalendarAdvance(Calendar,B1059,NDays&amp;"D")</f>
        <v>46296</v>
      </c>
      <c r="D1059" s="202">
        <v>3.1190762813581765E-2</v>
      </c>
      <c r="E1059" s="202">
        <v>3.0878920693302447E-2</v>
      </c>
      <c r="U1059" s="204"/>
    </row>
    <row r="1060" spans="1:21" x14ac:dyDescent="0.2">
      <c r="A1060" s="64" t="str">
        <f t="shared" si="17"/>
        <v>1w</v>
      </c>
      <c r="B1060" s="203">
        <f>_xll.qlCalendarAdvance(Calendar,B1059,A1060,"f",FALSE)</f>
        <v>46301</v>
      </c>
      <c r="C1060" s="237">
        <f>_xll.qlCalendarAdvance(Calendar,B1060,NDays&amp;"D")</f>
        <v>46303</v>
      </c>
      <c r="D1060" s="202">
        <v>3.1196483893628831E-2</v>
      </c>
      <c r="E1060" s="202">
        <v>3.0883923588120865E-2</v>
      </c>
      <c r="U1060" s="204"/>
    </row>
    <row r="1061" spans="1:21" x14ac:dyDescent="0.2">
      <c r="A1061" s="64" t="str">
        <f t="shared" si="17"/>
        <v>1w</v>
      </c>
      <c r="B1061" s="203">
        <f>_xll.qlCalendarAdvance(Calendar,B1060,A1061,"f",FALSE)</f>
        <v>46308</v>
      </c>
      <c r="C1061" s="237">
        <f>_xll.qlCalendarAdvance(Calendar,B1061,NDays&amp;"D")</f>
        <v>46310</v>
      </c>
      <c r="D1061" s="202">
        <v>3.1202254471666222E-2</v>
      </c>
      <c r="E1061" s="202">
        <v>3.0888975200369373E-2</v>
      </c>
      <c r="U1061" s="204"/>
    </row>
    <row r="1062" spans="1:21" x14ac:dyDescent="0.2">
      <c r="A1062" s="64" t="str">
        <f t="shared" si="17"/>
        <v>1w</v>
      </c>
      <c r="B1062" s="203">
        <f>_xll.qlCalendarAdvance(Calendar,B1061,A1062,"f",FALSE)</f>
        <v>46315</v>
      </c>
      <c r="C1062" s="237">
        <f>_xll.qlCalendarAdvance(Calendar,B1062,NDays&amp;"D")</f>
        <v>46317</v>
      </c>
      <c r="D1062" s="202">
        <v>3.1208074548120406E-2</v>
      </c>
      <c r="E1062" s="202">
        <v>3.0894075530207843E-2</v>
      </c>
      <c r="U1062" s="204"/>
    </row>
    <row r="1063" spans="1:21" x14ac:dyDescent="0.2">
      <c r="A1063" s="64" t="str">
        <f t="shared" si="17"/>
        <v>1w</v>
      </c>
      <c r="B1063" s="203">
        <f>_xll.qlCalendarAdvance(Calendar,B1062,A1063,"f",FALSE)</f>
        <v>46322</v>
      </c>
      <c r="C1063" s="237">
        <f>_xll.qlCalendarAdvance(Calendar,B1063,NDays&amp;"D")</f>
        <v>46324</v>
      </c>
      <c r="D1063" s="202">
        <v>3.1213944123421808E-2</v>
      </c>
      <c r="E1063" s="202">
        <v>3.0899224577636275E-2</v>
      </c>
      <c r="U1063" s="204"/>
    </row>
    <row r="1064" spans="1:21" x14ac:dyDescent="0.2">
      <c r="A1064" s="64" t="str">
        <f t="shared" si="17"/>
        <v>1w</v>
      </c>
      <c r="B1064" s="203">
        <f>_xll.qlCalendarAdvance(Calendar,B1063,A1064,"f",FALSE)</f>
        <v>46329</v>
      </c>
      <c r="C1064" s="237">
        <f>_xll.qlCalendarAdvance(Calendar,B1064,NDays&amp;"D")</f>
        <v>46331</v>
      </c>
      <c r="D1064" s="202">
        <v>3.121807691247909E-2</v>
      </c>
      <c r="E1064" s="202">
        <v>3.0904422342494797E-2</v>
      </c>
      <c r="U1064" s="204"/>
    </row>
    <row r="1065" spans="1:21" x14ac:dyDescent="0.2">
      <c r="A1065" s="64" t="str">
        <f t="shared" si="17"/>
        <v>1w</v>
      </c>
      <c r="B1065" s="203">
        <f>_xll.qlCalendarAdvance(Calendar,B1064,A1065,"f",FALSE)</f>
        <v>46336</v>
      </c>
      <c r="C1065" s="237">
        <f>_xll.qlCalendarAdvance(Calendar,B1065,NDays&amp;"D")</f>
        <v>46338</v>
      </c>
      <c r="D1065" s="202">
        <v>3.122404143774659E-2</v>
      </c>
      <c r="E1065" s="202">
        <v>3.0909668824943282E-2</v>
      </c>
      <c r="U1065" s="204"/>
    </row>
    <row r="1066" spans="1:21" x14ac:dyDescent="0.2">
      <c r="A1066" s="64" t="str">
        <f t="shared" si="17"/>
        <v>1w</v>
      </c>
      <c r="B1066" s="203">
        <f>_xll.qlCalendarAdvance(Calendar,B1065,A1066,"f",FALSE)</f>
        <v>46343</v>
      </c>
      <c r="C1066" s="237">
        <f>_xll.qlCalendarAdvance(Calendar,B1066,NDays&amp;"D")</f>
        <v>46345</v>
      </c>
      <c r="D1066" s="202">
        <v>3.1230055458782456E-2</v>
      </c>
      <c r="E1066" s="202">
        <v>3.0914964024901792E-2</v>
      </c>
      <c r="U1066" s="204"/>
    </row>
    <row r="1067" spans="1:21" x14ac:dyDescent="0.2">
      <c r="A1067" s="64" t="str">
        <f t="shared" si="17"/>
        <v>1w</v>
      </c>
      <c r="B1067" s="203">
        <f>_xll.qlCalendarAdvance(Calendar,B1066,A1067,"f",FALSE)</f>
        <v>46350</v>
      </c>
      <c r="C1067" s="237">
        <f>_xll.qlCalendarAdvance(Calendar,B1067,NDays&amp;"D")</f>
        <v>46352</v>
      </c>
      <c r="D1067" s="202">
        <v>3.1236118976029653E-2</v>
      </c>
      <c r="E1067" s="202">
        <v>3.0920307942370329E-2</v>
      </c>
      <c r="U1067" s="204"/>
    </row>
    <row r="1068" spans="1:21" x14ac:dyDescent="0.2">
      <c r="A1068" s="64" t="str">
        <f t="shared" si="17"/>
        <v>1w</v>
      </c>
      <c r="B1068" s="203">
        <f>_xll.qlCalendarAdvance(Calendar,B1067,A1068,"f",FALSE)</f>
        <v>46357</v>
      </c>
      <c r="C1068" s="237">
        <f>_xll.qlCalendarAdvance(Calendar,B1068,NDays&amp;"D")</f>
        <v>46359</v>
      </c>
      <c r="D1068" s="202">
        <v>3.1244034297034363E-2</v>
      </c>
      <c r="E1068" s="202">
        <v>3.0925700577428827E-2</v>
      </c>
      <c r="U1068" s="204"/>
    </row>
    <row r="1069" spans="1:21" x14ac:dyDescent="0.2">
      <c r="A1069" s="64" t="str">
        <f t="shared" si="17"/>
        <v>1w</v>
      </c>
      <c r="B1069" s="203">
        <f>_xll.qlCalendarAdvance(Calendar,B1068,A1069,"f",FALSE)</f>
        <v>46364</v>
      </c>
      <c r="C1069" s="237">
        <f>_xll.qlCalendarAdvance(Calendar,B1069,NDays&amp;"D")</f>
        <v>46366</v>
      </c>
      <c r="D1069" s="202">
        <v>3.1250193634633001E-2</v>
      </c>
      <c r="E1069" s="202">
        <v>3.0931141929917416E-2</v>
      </c>
      <c r="U1069" s="204"/>
    </row>
    <row r="1070" spans="1:21" x14ac:dyDescent="0.2">
      <c r="A1070" s="64" t="str">
        <f t="shared" si="17"/>
        <v>1w</v>
      </c>
      <c r="B1070" s="203">
        <f>_xll.qlCalendarAdvance(Calendar,B1069,A1070,"f",FALSE)</f>
        <v>46371</v>
      </c>
      <c r="C1070" s="237">
        <f>_xll.qlCalendarAdvance(Calendar,B1070,NDays&amp;"D")</f>
        <v>46373</v>
      </c>
      <c r="D1070" s="202">
        <v>3.1256380597761632E-2</v>
      </c>
      <c r="E1070" s="202">
        <v>3.0936632000075903E-2</v>
      </c>
      <c r="U1070" s="204"/>
    </row>
    <row r="1071" spans="1:21" x14ac:dyDescent="0.2">
      <c r="A1071" s="64" t="str">
        <f t="shared" si="17"/>
        <v>1w</v>
      </c>
      <c r="B1071" s="203">
        <f>_xll.qlCalendarAdvance(Calendar,B1070,A1071,"f",FALSE)</f>
        <v>46378</v>
      </c>
      <c r="C1071" s="237">
        <f>_xll.qlCalendarAdvance(Calendar,B1071,NDays&amp;"D")</f>
        <v>46380</v>
      </c>
      <c r="D1071" s="202">
        <v>3.1262579873158391E-2</v>
      </c>
      <c r="E1071" s="202">
        <v>3.0947354408297212E-2</v>
      </c>
      <c r="U1071" s="204"/>
    </row>
    <row r="1072" spans="1:21" x14ac:dyDescent="0.2">
      <c r="A1072" s="64" t="str">
        <f t="shared" si="17"/>
        <v>1w</v>
      </c>
      <c r="B1072" s="203">
        <f>_xll.qlCalendarAdvance(Calendar,B1071,A1072,"f",FALSE)</f>
        <v>46385</v>
      </c>
      <c r="C1072" s="237">
        <f>_xll.qlCalendarAdvance(Calendar,B1072,NDays&amp;"D")</f>
        <v>46387</v>
      </c>
      <c r="D1072" s="202">
        <v>3.1266977021801326E-2</v>
      </c>
      <c r="E1072" s="202">
        <v>3.0952953796730132E-2</v>
      </c>
      <c r="U1072" s="204"/>
    </row>
    <row r="1073" spans="1:21" x14ac:dyDescent="0.2">
      <c r="A1073" s="64" t="str">
        <f t="shared" si="17"/>
        <v>1w</v>
      </c>
      <c r="B1073" s="203">
        <f>_xll.qlCalendarAdvance(Calendar,B1072,A1073,"f",FALSE)</f>
        <v>46392</v>
      </c>
      <c r="C1073" s="237">
        <f>_xll.qlCalendarAdvance(Calendar,B1073,NDays&amp;"D")</f>
        <v>46394</v>
      </c>
      <c r="D1073" s="202">
        <v>3.1273160565708072E-2</v>
      </c>
      <c r="E1073" s="202">
        <v>3.0953394515691457E-2</v>
      </c>
      <c r="U1073" s="204"/>
    </row>
    <row r="1074" spans="1:21" x14ac:dyDescent="0.2">
      <c r="A1074" s="64" t="str">
        <f t="shared" si="17"/>
        <v>1w</v>
      </c>
      <c r="B1074" s="203">
        <f>_xll.qlCalendarAdvance(Calendar,B1073,A1074,"f",FALSE)</f>
        <v>46399</v>
      </c>
      <c r="C1074" s="237">
        <f>_xll.qlCalendarAdvance(Calendar,B1074,NDays&amp;"D")</f>
        <v>46401</v>
      </c>
      <c r="D1074" s="202">
        <v>3.1279312224119907E-2</v>
      </c>
      <c r="E1074" s="202">
        <v>3.0959079455969984E-2</v>
      </c>
      <c r="U1074" s="204"/>
    </row>
    <row r="1075" spans="1:21" x14ac:dyDescent="0.2">
      <c r="A1075" s="64" t="str">
        <f t="shared" si="17"/>
        <v>1w</v>
      </c>
      <c r="B1075" s="203">
        <f>_xll.qlCalendarAdvance(Calendar,B1074,A1075,"f",FALSE)</f>
        <v>46406</v>
      </c>
      <c r="C1075" s="237">
        <f>_xll.qlCalendarAdvance(Calendar,B1075,NDays&amp;"D")</f>
        <v>46408</v>
      </c>
      <c r="D1075" s="202">
        <v>3.1285416599765317E-2</v>
      </c>
      <c r="E1075" s="202">
        <v>3.0964813113838474E-2</v>
      </c>
      <c r="U1075" s="204"/>
    </row>
    <row r="1076" spans="1:21" x14ac:dyDescent="0.2">
      <c r="A1076" s="64" t="str">
        <f t="shared" si="17"/>
        <v>1w</v>
      </c>
      <c r="B1076" s="203">
        <f>_xll.qlCalendarAdvance(Calendar,B1075,A1076,"f",FALSE)</f>
        <v>46413</v>
      </c>
      <c r="C1076" s="237">
        <f>_xll.qlCalendarAdvance(Calendar,B1076,NDays&amp;"D")</f>
        <v>46415</v>
      </c>
      <c r="D1076" s="202">
        <v>3.1291458295190817E-2</v>
      </c>
      <c r="E1076" s="202">
        <v>3.097059548921699E-2</v>
      </c>
      <c r="U1076" s="204"/>
    </row>
    <row r="1077" spans="1:21" x14ac:dyDescent="0.2">
      <c r="A1077" s="64" t="str">
        <f t="shared" si="17"/>
        <v>1w</v>
      </c>
      <c r="B1077" s="203">
        <f>_xll.qlCalendarAdvance(Calendar,B1076,A1077,"f",FALSE)</f>
        <v>46420</v>
      </c>
      <c r="C1077" s="237">
        <f>_xll.qlCalendarAdvance(Calendar,B1077,NDays&amp;"D")</f>
        <v>46422</v>
      </c>
      <c r="D1077" s="202">
        <v>3.1297421912762739E-2</v>
      </c>
      <c r="E1077" s="202">
        <v>3.0976426582265404E-2</v>
      </c>
      <c r="U1077" s="204"/>
    </row>
    <row r="1078" spans="1:21" x14ac:dyDescent="0.2">
      <c r="A1078" s="64" t="str">
        <f t="shared" si="17"/>
        <v>1w</v>
      </c>
      <c r="B1078" s="203">
        <f>_xll.qlCalendarAdvance(Calendar,B1077,A1078,"f",FALSE)</f>
        <v>46427</v>
      </c>
      <c r="C1078" s="237">
        <f>_xll.qlCalendarAdvance(Calendar,B1078,NDays&amp;"D")</f>
        <v>46429</v>
      </c>
      <c r="D1078" s="202">
        <v>3.1303292054673859E-2</v>
      </c>
      <c r="E1078" s="202">
        <v>3.0982306392823844E-2</v>
      </c>
      <c r="U1078" s="204"/>
    </row>
    <row r="1079" spans="1:21" x14ac:dyDescent="0.2">
      <c r="A1079" s="64" t="str">
        <f t="shared" si="17"/>
        <v>1w</v>
      </c>
      <c r="B1079" s="203">
        <f>_xll.qlCalendarAdvance(Calendar,B1078,A1079,"f",FALSE)</f>
        <v>46434</v>
      </c>
      <c r="C1079" s="237">
        <f>_xll.qlCalendarAdvance(Calendar,B1079,NDays&amp;"D")</f>
        <v>46436</v>
      </c>
      <c r="D1079" s="202">
        <v>3.130905332295001E-2</v>
      </c>
      <c r="E1079" s="202">
        <v>3.098823492089231E-2</v>
      </c>
      <c r="U1079" s="204"/>
    </row>
    <row r="1080" spans="1:21" x14ac:dyDescent="0.2">
      <c r="A1080" s="64" t="str">
        <f t="shared" si="17"/>
        <v>1w</v>
      </c>
      <c r="B1080" s="203">
        <f>_xll.qlCalendarAdvance(Calendar,B1079,A1080,"f",FALSE)</f>
        <v>46441</v>
      </c>
      <c r="C1080" s="237">
        <f>_xll.qlCalendarAdvance(Calendar,B1080,NDays&amp;"D")</f>
        <v>46443</v>
      </c>
      <c r="D1080" s="202">
        <v>3.1314690319457598E-2</v>
      </c>
      <c r="E1080" s="202">
        <v>3.0994212166550739E-2</v>
      </c>
      <c r="U1080" s="204"/>
    </row>
    <row r="1081" spans="1:21" x14ac:dyDescent="0.2">
      <c r="A1081" s="64" t="str">
        <f t="shared" si="17"/>
        <v>1w</v>
      </c>
      <c r="B1081" s="203">
        <f>_xll.qlCalendarAdvance(Calendar,B1080,A1081,"f",FALSE)</f>
        <v>46448</v>
      </c>
      <c r="C1081" s="237">
        <f>_xll.qlCalendarAdvance(Calendar,B1081,NDays&amp;"D")</f>
        <v>46450</v>
      </c>
      <c r="D1081" s="202">
        <v>3.1328633822641609E-2</v>
      </c>
      <c r="E1081" s="202">
        <v>3.1000238129799129E-2</v>
      </c>
      <c r="U1081" s="204"/>
    </row>
    <row r="1082" spans="1:21" x14ac:dyDescent="0.2">
      <c r="A1082" s="64" t="str">
        <f t="shared" si="17"/>
        <v>1w</v>
      </c>
      <c r="B1082" s="203">
        <f>_xll.qlCalendarAdvance(Calendar,B1081,A1082,"f",FALSE)</f>
        <v>46455</v>
      </c>
      <c r="C1082" s="237">
        <f>_xll.qlCalendarAdvance(Calendar,B1082,NDays&amp;"D")</f>
        <v>46457</v>
      </c>
      <c r="D1082" s="202">
        <v>3.1333884007485047E-2</v>
      </c>
      <c r="E1082" s="202">
        <v>3.1006312810637482E-2</v>
      </c>
      <c r="U1082" s="204"/>
    </row>
    <row r="1083" spans="1:21" x14ac:dyDescent="0.2">
      <c r="A1083" s="64" t="str">
        <f t="shared" si="17"/>
        <v>1w</v>
      </c>
      <c r="B1083" s="203">
        <f>_xll.qlCalendarAdvance(Calendar,B1082,A1083,"f",FALSE)</f>
        <v>46462</v>
      </c>
      <c r="C1083" s="237">
        <f>_xll.qlCalendarAdvance(Calendar,B1083,NDays&amp;"D")</f>
        <v>46464</v>
      </c>
      <c r="D1083" s="202">
        <v>3.1338958859869391E-2</v>
      </c>
      <c r="E1083" s="202">
        <v>3.1012436208985861E-2</v>
      </c>
      <c r="U1083" s="204"/>
    </row>
    <row r="1084" spans="1:21" x14ac:dyDescent="0.2">
      <c r="A1084" s="64" t="str">
        <f t="shared" si="17"/>
        <v>1w</v>
      </c>
      <c r="B1084" s="203">
        <f>_xll.qlCalendarAdvance(Calendar,B1083,A1084,"f",FALSE)</f>
        <v>46469</v>
      </c>
      <c r="C1084" s="237">
        <f>_xll.qlCalendarAdvance(Calendar,B1084,NDays&amp;"D")</f>
        <v>46471</v>
      </c>
      <c r="D1084" s="202">
        <v>3.1343843388500846E-2</v>
      </c>
      <c r="E1084" s="202">
        <v>3.1025728101244709E-2</v>
      </c>
      <c r="U1084" s="204"/>
    </row>
    <row r="1085" spans="1:21" x14ac:dyDescent="0.2">
      <c r="A1085" s="64" t="str">
        <f t="shared" si="17"/>
        <v>1w</v>
      </c>
      <c r="B1085" s="203">
        <f>_xll.qlCalendarAdvance(Calendar,B1084,A1085,"f",FALSE)</f>
        <v>46476</v>
      </c>
      <c r="C1085" s="237">
        <f>_xll.qlCalendarAdvance(Calendar,B1085,NDays&amp;"D")</f>
        <v>46478</v>
      </c>
      <c r="D1085" s="202">
        <v>3.1343698875067105E-2</v>
      </c>
      <c r="E1085" s="202">
        <v>3.1024829158532441E-2</v>
      </c>
      <c r="U1085" s="204"/>
    </row>
    <row r="1086" spans="1:21" x14ac:dyDescent="0.2">
      <c r="A1086" s="64" t="str">
        <f t="shared" si="17"/>
        <v>1w</v>
      </c>
      <c r="B1086" s="203">
        <f>_xll.qlCalendarAdvance(Calendar,B1085,A1086,"f",FALSE)</f>
        <v>46483</v>
      </c>
      <c r="C1086" s="237">
        <f>_xll.qlCalendarAdvance(Calendar,B1086,NDays&amp;"D")</f>
        <v>46485</v>
      </c>
      <c r="D1086" s="202">
        <v>3.1348223336223439E-2</v>
      </c>
      <c r="E1086" s="202">
        <v>3.1031098709650706E-2</v>
      </c>
      <c r="U1086" s="204"/>
    </row>
    <row r="1087" spans="1:21" x14ac:dyDescent="0.2">
      <c r="A1087" s="64" t="str">
        <f t="shared" si="17"/>
        <v>1w</v>
      </c>
      <c r="B1087" s="203">
        <f>_xll.qlCalendarAdvance(Calendar,B1086,A1087,"f",FALSE)</f>
        <v>46490</v>
      </c>
      <c r="C1087" s="237">
        <f>_xll.qlCalendarAdvance(Calendar,B1087,NDays&amp;"D")</f>
        <v>46492</v>
      </c>
      <c r="D1087" s="202">
        <v>3.1352514420528374E-2</v>
      </c>
      <c r="E1087" s="202">
        <v>3.1037416978278998E-2</v>
      </c>
      <c r="U1087" s="204"/>
    </row>
    <row r="1088" spans="1:21" x14ac:dyDescent="0.2">
      <c r="A1088" s="64" t="str">
        <f t="shared" si="17"/>
        <v>1w</v>
      </c>
      <c r="B1088" s="203">
        <f>_xll.qlCalendarAdvance(Calendar,B1087,A1088,"f",FALSE)</f>
        <v>46497</v>
      </c>
      <c r="C1088" s="237">
        <f>_xll.qlCalendarAdvance(Calendar,B1088,NDays&amp;"D")</f>
        <v>46499</v>
      </c>
      <c r="D1088" s="202">
        <v>3.1356556894625479E-2</v>
      </c>
      <c r="E1088" s="202">
        <v>3.1043783964577187E-2</v>
      </c>
      <c r="U1088" s="204"/>
    </row>
    <row r="1089" spans="1:21" x14ac:dyDescent="0.2">
      <c r="A1089" s="64" t="str">
        <f t="shared" si="17"/>
        <v>1w</v>
      </c>
      <c r="B1089" s="203">
        <f>_xll.qlCalendarAdvance(Calendar,B1088,A1089,"f",FALSE)</f>
        <v>46504</v>
      </c>
      <c r="C1089" s="237">
        <f>_xll.qlCalendarAdvance(Calendar,B1089,NDays&amp;"D")</f>
        <v>46506</v>
      </c>
      <c r="D1089" s="202">
        <v>3.1360335525121623E-2</v>
      </c>
      <c r="E1089" s="202">
        <v>3.1050199668385403E-2</v>
      </c>
      <c r="U1089" s="204"/>
    </row>
    <row r="1090" spans="1:21" x14ac:dyDescent="0.2">
      <c r="A1090" s="64" t="str">
        <f t="shared" si="17"/>
        <v>1w</v>
      </c>
      <c r="B1090" s="203">
        <f>_xll.qlCalendarAdvance(Calendar,B1089,A1090,"f",FALSE)</f>
        <v>46511</v>
      </c>
      <c r="C1090" s="237">
        <f>_xll.qlCalendarAdvance(Calendar,B1090,NDays&amp;"D")</f>
        <v>46513</v>
      </c>
      <c r="D1090" s="202">
        <v>3.1368314238834884E-2</v>
      </c>
      <c r="E1090" s="202">
        <v>3.1056664089943453E-2</v>
      </c>
      <c r="U1090" s="204"/>
    </row>
    <row r="1091" spans="1:21" x14ac:dyDescent="0.2">
      <c r="A1091" s="64" t="str">
        <f t="shared" si="17"/>
        <v>1w</v>
      </c>
      <c r="B1091" s="203">
        <f>_xll.qlCalendarAdvance(Calendar,B1090,A1091,"f",FALSE)</f>
        <v>46518</v>
      </c>
      <c r="C1091" s="237">
        <f>_xll.qlCalendarAdvance(Calendar,B1091,NDays&amp;"D")</f>
        <v>46520</v>
      </c>
      <c r="D1091" s="202">
        <v>3.1371446738896379E-2</v>
      </c>
      <c r="E1091" s="202">
        <v>3.1063177229011529E-2</v>
      </c>
      <c r="U1091" s="204"/>
    </row>
    <row r="1092" spans="1:21" x14ac:dyDescent="0.2">
      <c r="A1092" s="64" t="str">
        <f t="shared" si="17"/>
        <v>1w</v>
      </c>
      <c r="B1092" s="203">
        <f>_xll.qlCalendarAdvance(Calendar,B1091,A1092,"f",FALSE)</f>
        <v>46525</v>
      </c>
      <c r="C1092" s="237">
        <f>_xll.qlCalendarAdvance(Calendar,B1092,NDays&amp;"D")</f>
        <v>46527</v>
      </c>
      <c r="D1092" s="202">
        <v>3.1374268982788729E-2</v>
      </c>
      <c r="E1092" s="202">
        <v>3.1069739085669568E-2</v>
      </c>
      <c r="U1092" s="204"/>
    </row>
    <row r="1093" spans="1:21" x14ac:dyDescent="0.2">
      <c r="A1093" s="64" t="str">
        <f t="shared" si="17"/>
        <v>1w</v>
      </c>
      <c r="B1093" s="203">
        <f>_xll.qlCalendarAdvance(Calendar,B1092,A1093,"f",FALSE)</f>
        <v>46532</v>
      </c>
      <c r="C1093" s="237">
        <f>_xll.qlCalendarAdvance(Calendar,B1093,NDays&amp;"D")</f>
        <v>46534</v>
      </c>
      <c r="D1093" s="202">
        <v>3.1376765978989071E-2</v>
      </c>
      <c r="E1093" s="202">
        <v>3.1076349659917568E-2</v>
      </c>
      <c r="U1093" s="204"/>
    </row>
    <row r="1094" spans="1:21" x14ac:dyDescent="0.2">
      <c r="A1094" s="64" t="str">
        <f t="shared" si="17"/>
        <v>1w</v>
      </c>
      <c r="B1094" s="203">
        <f>_xll.qlCalendarAdvance(Calendar,B1093,A1094,"f",FALSE)</f>
        <v>46539</v>
      </c>
      <c r="C1094" s="237">
        <f>_xll.qlCalendarAdvance(Calendar,B1094,NDays&amp;"D")</f>
        <v>46541</v>
      </c>
      <c r="D1094" s="202">
        <v>3.1374738054885415E-2</v>
      </c>
      <c r="E1094" s="202">
        <v>3.1082959619617156E-2</v>
      </c>
      <c r="U1094" s="204"/>
    </row>
    <row r="1095" spans="1:21" x14ac:dyDescent="0.2">
      <c r="A1095" s="64" t="str">
        <f t="shared" ref="A1095:A1158" si="18">A1094</f>
        <v>1w</v>
      </c>
      <c r="B1095" s="203">
        <f>_xll.qlCalendarAdvance(Calendar,B1094,A1095,"f",FALSE)</f>
        <v>46546</v>
      </c>
      <c r="C1095" s="237">
        <f>_xll.qlCalendarAdvance(Calendar,B1095,NDays&amp;"D")</f>
        <v>46548</v>
      </c>
      <c r="D1095" s="202">
        <v>3.1376620924772086E-2</v>
      </c>
      <c r="E1095" s="202">
        <v>3.108927563868491E-2</v>
      </c>
      <c r="U1095" s="204"/>
    </row>
    <row r="1096" spans="1:21" x14ac:dyDescent="0.2">
      <c r="A1096" s="64" t="str">
        <f t="shared" si="18"/>
        <v>1w</v>
      </c>
      <c r="B1096" s="203">
        <f>_xll.qlCalendarAdvance(Calendar,B1095,A1096,"f",FALSE)</f>
        <v>46553</v>
      </c>
      <c r="C1096" s="237">
        <f>_xll.qlCalendarAdvance(Calendar,B1096,NDays&amp;"D")</f>
        <v>46555</v>
      </c>
      <c r="D1096" s="202">
        <v>3.137815507818404E-2</v>
      </c>
      <c r="E1096" s="202">
        <v>3.1095248384902519E-2</v>
      </c>
      <c r="U1096" s="204"/>
    </row>
    <row r="1097" spans="1:21" x14ac:dyDescent="0.2">
      <c r="A1097" s="64" t="str">
        <f t="shared" si="18"/>
        <v>1w</v>
      </c>
      <c r="B1097" s="203">
        <f>_xll.qlCalendarAdvance(Calendar,B1096,A1097,"f",FALSE)</f>
        <v>46560</v>
      </c>
      <c r="C1097" s="237">
        <f>_xll.qlCalendarAdvance(Calendar,B1097,NDays&amp;"D")</f>
        <v>46562</v>
      </c>
      <c r="D1097" s="202">
        <v>3.1379340514318434E-2</v>
      </c>
      <c r="E1097" s="202">
        <v>3.1100877858269982E-2</v>
      </c>
      <c r="U1097" s="204"/>
    </row>
    <row r="1098" spans="1:21" x14ac:dyDescent="0.2">
      <c r="A1098" s="64" t="str">
        <f t="shared" si="18"/>
        <v>1w</v>
      </c>
      <c r="B1098" s="203">
        <f>_xll.qlCalendarAdvance(Calendar,B1097,A1098,"f",FALSE)</f>
        <v>46567</v>
      </c>
      <c r="C1098" s="237">
        <f>_xll.qlCalendarAdvance(Calendar,B1098,NDays&amp;"D")</f>
        <v>46569</v>
      </c>
      <c r="D1098" s="202">
        <v>3.1384064542684421E-2</v>
      </c>
      <c r="E1098" s="202">
        <v>3.1106164058707364E-2</v>
      </c>
      <c r="U1098" s="204"/>
    </row>
    <row r="1099" spans="1:21" x14ac:dyDescent="0.2">
      <c r="A1099" s="64" t="str">
        <f t="shared" si="18"/>
        <v>1w</v>
      </c>
      <c r="B1099" s="203">
        <f>_xll.qlCalendarAdvance(Calendar,B1098,A1099,"f",FALSE)</f>
        <v>46574</v>
      </c>
      <c r="C1099" s="237">
        <f>_xll.qlCalendarAdvance(Calendar,B1099,NDays&amp;"D")</f>
        <v>46576</v>
      </c>
      <c r="D1099" s="202">
        <v>3.1384477924352241E-2</v>
      </c>
      <c r="E1099" s="202">
        <v>3.1111106986374537E-2</v>
      </c>
      <c r="U1099" s="204"/>
    </row>
    <row r="1100" spans="1:21" x14ac:dyDescent="0.2">
      <c r="A1100" s="64" t="str">
        <f t="shared" si="18"/>
        <v>1w</v>
      </c>
      <c r="B1100" s="203">
        <f>_xll.qlCalendarAdvance(Calendar,B1099,A1100,"f",FALSE)</f>
        <v>46581</v>
      </c>
      <c r="C1100" s="237">
        <f>_xll.qlCalendarAdvance(Calendar,B1100,NDays&amp;"D")</f>
        <v>46583</v>
      </c>
      <c r="D1100" s="202">
        <v>3.138454249697175E-2</v>
      </c>
      <c r="E1100" s="202">
        <v>3.1115706641111629E-2</v>
      </c>
      <c r="U1100" s="204"/>
    </row>
    <row r="1101" spans="1:21" x14ac:dyDescent="0.2">
      <c r="A1101" s="64" t="str">
        <f t="shared" si="18"/>
        <v>1w</v>
      </c>
      <c r="B1101" s="203">
        <f>_xll.qlCalendarAdvance(Calendar,B1100,A1101,"f",FALSE)</f>
        <v>46588</v>
      </c>
      <c r="C1101" s="237">
        <f>_xll.qlCalendarAdvance(Calendar,B1101,NDays&amp;"D")</f>
        <v>46590</v>
      </c>
      <c r="D1101" s="202">
        <v>3.1384258260509425E-2</v>
      </c>
      <c r="E1101" s="202">
        <v>3.111996302291864E-2</v>
      </c>
      <c r="U1101" s="204"/>
    </row>
    <row r="1102" spans="1:21" x14ac:dyDescent="0.2">
      <c r="A1102" s="64" t="str">
        <f t="shared" si="18"/>
        <v>1w</v>
      </c>
      <c r="B1102" s="203">
        <f>_xll.qlCalendarAdvance(Calendar,B1101,A1102,"f",FALSE)</f>
        <v>46595</v>
      </c>
      <c r="C1102" s="237">
        <f>_xll.qlCalendarAdvance(Calendar,B1102,NDays&amp;"D")</f>
        <v>46597</v>
      </c>
      <c r="D1102" s="202">
        <v>3.1383625215116118E-2</v>
      </c>
      <c r="E1102" s="202">
        <v>3.1123876131795569E-2</v>
      </c>
      <c r="U1102" s="204"/>
    </row>
    <row r="1103" spans="1:21" x14ac:dyDescent="0.2">
      <c r="A1103" s="64" t="str">
        <f t="shared" si="18"/>
        <v>1w</v>
      </c>
      <c r="B1103" s="203">
        <f>_xll.qlCalendarAdvance(Calendar,B1102,A1103,"f",FALSE)</f>
        <v>46602</v>
      </c>
      <c r="C1103" s="237">
        <f>_xll.qlCalendarAdvance(Calendar,B1103,NDays&amp;"D")</f>
        <v>46604</v>
      </c>
      <c r="D1103" s="202">
        <v>3.1382643361128754E-2</v>
      </c>
      <c r="E1103" s="202">
        <v>3.1127445967742418E-2</v>
      </c>
      <c r="U1103" s="204"/>
    </row>
    <row r="1104" spans="1:21" x14ac:dyDescent="0.2">
      <c r="A1104" s="64" t="str">
        <f t="shared" si="18"/>
        <v>1w</v>
      </c>
      <c r="B1104" s="203">
        <f>_xll.qlCalendarAdvance(Calendar,B1103,A1104,"f",FALSE)</f>
        <v>46609</v>
      </c>
      <c r="C1104" s="237">
        <f>_xll.qlCalendarAdvance(Calendar,B1104,NDays&amp;"D")</f>
        <v>46611</v>
      </c>
      <c r="D1104" s="202">
        <v>3.1381312699069075E-2</v>
      </c>
      <c r="E1104" s="202">
        <v>3.1130672530759185E-2</v>
      </c>
      <c r="U1104" s="204"/>
    </row>
    <row r="1105" spans="1:21" x14ac:dyDescent="0.2">
      <c r="A1105" s="64" t="str">
        <f t="shared" si="18"/>
        <v>1w</v>
      </c>
      <c r="B1105" s="203">
        <f>_xll.qlCalendarAdvance(Calendar,B1104,A1105,"f",FALSE)</f>
        <v>46616</v>
      </c>
      <c r="C1105" s="237">
        <f>_xll.qlCalendarAdvance(Calendar,B1105,NDays&amp;"D")</f>
        <v>46618</v>
      </c>
      <c r="D1105" s="202">
        <v>3.1379633229646188E-2</v>
      </c>
      <c r="E1105" s="202">
        <v>3.1133555820845871E-2</v>
      </c>
      <c r="U1105" s="204"/>
    </row>
    <row r="1106" spans="1:21" x14ac:dyDescent="0.2">
      <c r="A1106" s="64" t="str">
        <f t="shared" si="18"/>
        <v>1w</v>
      </c>
      <c r="B1106" s="203">
        <f>_xll.qlCalendarAdvance(Calendar,B1105,A1106,"f",FALSE)</f>
        <v>46623</v>
      </c>
      <c r="C1106" s="237">
        <f>_xll.qlCalendarAdvance(Calendar,B1106,NDays&amp;"D")</f>
        <v>46625</v>
      </c>
      <c r="D1106" s="202">
        <v>3.1377604953752712E-2</v>
      </c>
      <c r="E1106" s="202">
        <v>3.1136095837922539E-2</v>
      </c>
      <c r="U1106" s="204"/>
    </row>
    <row r="1107" spans="1:21" x14ac:dyDescent="0.2">
      <c r="A1107" s="64" t="str">
        <f t="shared" si="18"/>
        <v>1w</v>
      </c>
      <c r="B1107" s="203">
        <f>_xll.qlCalendarAdvance(Calendar,B1106,A1107,"f",FALSE)</f>
        <v>46630</v>
      </c>
      <c r="C1107" s="237">
        <f>_xll.qlCalendarAdvance(Calendar,B1107,NDays&amp;"D")</f>
        <v>46632</v>
      </c>
      <c r="D1107" s="202">
        <v>3.1370939861210756E-2</v>
      </c>
      <c r="E1107" s="202">
        <v>3.1138292582069127E-2</v>
      </c>
      <c r="U1107" s="204"/>
    </row>
    <row r="1108" spans="1:21" x14ac:dyDescent="0.2">
      <c r="A1108" s="64" t="str">
        <f t="shared" si="18"/>
        <v>1w</v>
      </c>
      <c r="B1108" s="203">
        <f>_xll.qlCalendarAdvance(Calendar,B1107,A1108,"f",FALSE)</f>
        <v>46637</v>
      </c>
      <c r="C1108" s="237">
        <f>_xll.qlCalendarAdvance(Calendar,B1108,NDays&amp;"D")</f>
        <v>46639</v>
      </c>
      <c r="D1108" s="202">
        <v>3.1368314541434676E-2</v>
      </c>
      <c r="E1108" s="202">
        <v>3.1140146053285633E-2</v>
      </c>
      <c r="U1108" s="204"/>
    </row>
    <row r="1109" spans="1:21" x14ac:dyDescent="0.2">
      <c r="A1109" s="64" t="str">
        <f t="shared" si="18"/>
        <v>1w</v>
      </c>
      <c r="B1109" s="203">
        <f>_xll.qlCalendarAdvance(Calendar,B1108,A1109,"f",FALSE)</f>
        <v>46644</v>
      </c>
      <c r="C1109" s="237">
        <f>_xll.qlCalendarAdvance(Calendar,B1109,NDays&amp;"D")</f>
        <v>46646</v>
      </c>
      <c r="D1109" s="202">
        <v>3.1365340538981143E-2</v>
      </c>
      <c r="E1109" s="202">
        <v>3.1141656251492122E-2</v>
      </c>
      <c r="U1109" s="204"/>
    </row>
    <row r="1110" spans="1:21" x14ac:dyDescent="0.2">
      <c r="A1110" s="64" t="str">
        <f t="shared" si="18"/>
        <v>1w</v>
      </c>
      <c r="B1110" s="203">
        <f>_xll.qlCalendarAdvance(Calendar,B1109,A1110,"f",FALSE)</f>
        <v>46651</v>
      </c>
      <c r="C1110" s="237">
        <f>_xll.qlCalendarAdvance(Calendar,B1110,NDays&amp;"D")</f>
        <v>46653</v>
      </c>
      <c r="D1110" s="202">
        <v>3.1362017855398362E-2</v>
      </c>
      <c r="E1110" s="202">
        <v>3.1142823176688594E-2</v>
      </c>
      <c r="U1110" s="204"/>
    </row>
    <row r="1111" spans="1:21" x14ac:dyDescent="0.2">
      <c r="A1111" s="64" t="str">
        <f t="shared" si="18"/>
        <v>1w</v>
      </c>
      <c r="B1111" s="203">
        <f>_xll.qlCalendarAdvance(Calendar,B1110,A1111,"f",FALSE)</f>
        <v>46658</v>
      </c>
      <c r="C1111" s="237">
        <f>_xll.qlCalendarAdvance(Calendar,B1111,NDays&amp;"D")</f>
        <v>46660</v>
      </c>
      <c r="D1111" s="202">
        <v>3.1359321290759558E-2</v>
      </c>
      <c r="E1111" s="202">
        <v>3.1143646828954985E-2</v>
      </c>
      <c r="U1111" s="204"/>
    </row>
    <row r="1112" spans="1:21" x14ac:dyDescent="0.2">
      <c r="A1112" s="64" t="str">
        <f t="shared" si="18"/>
        <v>1w</v>
      </c>
      <c r="B1112" s="203">
        <f>_xll.qlCalendarAdvance(Calendar,B1111,A1112,"f",FALSE)</f>
        <v>46665</v>
      </c>
      <c r="C1112" s="237">
        <f>_xll.qlCalendarAdvance(Calendar,B1112,NDays&amp;"D")</f>
        <v>46667</v>
      </c>
      <c r="D1112" s="202">
        <v>3.1355275995485279E-2</v>
      </c>
      <c r="E1112" s="202">
        <v>3.1144127208211358E-2</v>
      </c>
      <c r="U1112" s="204"/>
    </row>
    <row r="1113" spans="1:21" x14ac:dyDescent="0.2">
      <c r="A1113" s="64" t="str">
        <f t="shared" si="18"/>
        <v>1w</v>
      </c>
      <c r="B1113" s="203">
        <f>_xll.qlCalendarAdvance(Calendar,B1112,A1113,"f",FALSE)</f>
        <v>46672</v>
      </c>
      <c r="C1113" s="237">
        <f>_xll.qlCalendarAdvance(Calendar,B1113,NDays&amp;"D")</f>
        <v>46674</v>
      </c>
      <c r="D1113" s="202">
        <v>3.1354555334774291E-2</v>
      </c>
      <c r="E1113" s="202">
        <v>3.1144264314457715E-2</v>
      </c>
      <c r="U1113" s="204"/>
    </row>
    <row r="1114" spans="1:21" x14ac:dyDescent="0.2">
      <c r="A1114" s="64" t="str">
        <f t="shared" si="18"/>
        <v>1w</v>
      </c>
      <c r="B1114" s="203">
        <f>_xll.qlCalendarAdvance(Calendar,B1113,A1114,"f",FALSE)</f>
        <v>46679</v>
      </c>
      <c r="C1114" s="237">
        <f>_xll.qlCalendarAdvance(Calendar,B1114,NDays&amp;"D")</f>
        <v>46681</v>
      </c>
      <c r="D1114" s="202">
        <v>3.1346139291330934E-2</v>
      </c>
      <c r="E1114" s="202">
        <v>3.1144058147694054E-2</v>
      </c>
      <c r="U1114" s="204"/>
    </row>
    <row r="1115" spans="1:21" x14ac:dyDescent="0.2">
      <c r="A1115" s="64" t="str">
        <f t="shared" si="18"/>
        <v>1w</v>
      </c>
      <c r="B1115" s="203">
        <f>_xll.qlCalendarAdvance(Calendar,B1114,A1115,"f",FALSE)</f>
        <v>46686</v>
      </c>
      <c r="C1115" s="237">
        <f>_xll.qlCalendarAdvance(Calendar,B1115,NDays&amp;"D")</f>
        <v>46688</v>
      </c>
      <c r="D1115" s="202">
        <v>3.1341047887233922E-2</v>
      </c>
      <c r="E1115" s="202">
        <v>3.1143508708000311E-2</v>
      </c>
      <c r="U1115" s="204"/>
    </row>
    <row r="1116" spans="1:21" x14ac:dyDescent="0.2">
      <c r="A1116" s="64" t="str">
        <f t="shared" si="18"/>
        <v>1w</v>
      </c>
      <c r="B1116" s="203">
        <f>_xll.qlCalendarAdvance(Calendar,B1115,A1116,"f",FALSE)</f>
        <v>46693</v>
      </c>
      <c r="C1116" s="237">
        <f>_xll.qlCalendarAdvance(Calendar,B1116,NDays&amp;"D")</f>
        <v>46695</v>
      </c>
      <c r="D1116" s="202">
        <v>3.133475955976979E-2</v>
      </c>
      <c r="E1116" s="202">
        <v>3.1142615995296552E-2</v>
      </c>
      <c r="U1116" s="204"/>
    </row>
    <row r="1117" spans="1:21" x14ac:dyDescent="0.2">
      <c r="A1117" s="64" t="str">
        <f t="shared" si="18"/>
        <v>1w</v>
      </c>
      <c r="B1117" s="203">
        <f>_xll.qlCalendarAdvance(Calendar,B1116,A1117,"f",FALSE)</f>
        <v>46700</v>
      </c>
      <c r="C1117" s="237">
        <f>_xll.qlCalendarAdvance(Calendar,B1117,NDays&amp;"D")</f>
        <v>46702</v>
      </c>
      <c r="D1117" s="202">
        <v>3.1328996166882894E-2</v>
      </c>
      <c r="E1117" s="202">
        <v>3.1141380009582775E-2</v>
      </c>
      <c r="U1117" s="204"/>
    </row>
    <row r="1118" spans="1:21" x14ac:dyDescent="0.2">
      <c r="A1118" s="64" t="str">
        <f t="shared" si="18"/>
        <v>1w</v>
      </c>
      <c r="B1118" s="203">
        <f>_xll.qlCalendarAdvance(Calendar,B1117,A1118,"f",FALSE)</f>
        <v>46707</v>
      </c>
      <c r="C1118" s="237">
        <f>_xll.qlCalendarAdvance(Calendar,B1118,NDays&amp;"D")</f>
        <v>46709</v>
      </c>
      <c r="D1118" s="202">
        <v>3.1322884111787005E-2</v>
      </c>
      <c r="E1118" s="202">
        <v>3.1139800750858981E-2</v>
      </c>
      <c r="U1118" s="204"/>
    </row>
    <row r="1119" spans="1:21" x14ac:dyDescent="0.2">
      <c r="A1119" s="64" t="str">
        <f t="shared" si="18"/>
        <v>1w</v>
      </c>
      <c r="B1119" s="203">
        <f>_xll.qlCalendarAdvance(Calendar,B1118,A1119,"f",FALSE)</f>
        <v>46714</v>
      </c>
      <c r="C1119" s="237">
        <f>_xll.qlCalendarAdvance(Calendar,B1119,NDays&amp;"D")</f>
        <v>46716</v>
      </c>
      <c r="D1119" s="202">
        <v>3.1316423397664196E-2</v>
      </c>
      <c r="E1119" s="202">
        <v>3.1137878219205106E-2</v>
      </c>
      <c r="U1119" s="204"/>
    </row>
    <row r="1120" spans="1:21" x14ac:dyDescent="0.2">
      <c r="A1120" s="64" t="str">
        <f t="shared" si="18"/>
        <v>1w</v>
      </c>
      <c r="B1120" s="203">
        <f>_xll.qlCalendarAdvance(Calendar,B1119,A1120,"f",FALSE)</f>
        <v>46721</v>
      </c>
      <c r="C1120" s="237">
        <f>_xll.qlCalendarAdvance(Calendar,B1120,NDays&amp;"D")</f>
        <v>46723</v>
      </c>
      <c r="D1120" s="202">
        <v>3.1310360872993187E-2</v>
      </c>
      <c r="E1120" s="202">
        <v>3.113561241462115E-2</v>
      </c>
      <c r="U1120" s="204"/>
    </row>
    <row r="1121" spans="1:21" x14ac:dyDescent="0.2">
      <c r="A1121" s="64" t="str">
        <f t="shared" si="18"/>
        <v>1w</v>
      </c>
      <c r="B1121" s="203">
        <f>_xll.qlCalendarAdvance(Calendar,B1120,A1121,"f",FALSE)</f>
        <v>46728</v>
      </c>
      <c r="C1121" s="237">
        <f>_xll.qlCalendarAdvance(Calendar,B1121,NDays&amp;"D")</f>
        <v>46730</v>
      </c>
      <c r="D1121" s="202">
        <v>3.1303185531371333E-2</v>
      </c>
      <c r="E1121" s="202">
        <v>3.1133003337027176E-2</v>
      </c>
      <c r="U1121" s="204"/>
    </row>
    <row r="1122" spans="1:21" x14ac:dyDescent="0.2">
      <c r="A1122" s="64" t="str">
        <f t="shared" si="18"/>
        <v>1w</v>
      </c>
      <c r="B1122" s="203">
        <f>_xll.qlCalendarAdvance(Calendar,B1121,A1122,"f",FALSE)</f>
        <v>46735</v>
      </c>
      <c r="C1122" s="237">
        <f>_xll.qlCalendarAdvance(Calendar,B1122,NDays&amp;"D")</f>
        <v>46737</v>
      </c>
      <c r="D1122" s="202">
        <v>3.1295682450233085E-2</v>
      </c>
      <c r="E1122" s="202">
        <v>3.1130050986503122E-2</v>
      </c>
      <c r="U1122" s="204"/>
    </row>
    <row r="1123" spans="1:21" x14ac:dyDescent="0.2">
      <c r="A1123" s="64" t="str">
        <f t="shared" si="18"/>
        <v>1w</v>
      </c>
      <c r="B1123" s="203">
        <f>_xll.qlCalendarAdvance(Calendar,B1122,A1123,"f",FALSE)</f>
        <v>46742</v>
      </c>
      <c r="C1123" s="237">
        <f>_xll.qlCalendarAdvance(Calendar,B1123,NDays&amp;"D")</f>
        <v>46744</v>
      </c>
      <c r="D1123" s="202">
        <v>3.1287864957765948E-2</v>
      </c>
      <c r="E1123" s="202">
        <v>3.112675536296905E-2</v>
      </c>
      <c r="U1123" s="204"/>
    </row>
    <row r="1124" spans="1:21" x14ac:dyDescent="0.2">
      <c r="A1124" s="64" t="str">
        <f t="shared" si="18"/>
        <v>1w</v>
      </c>
      <c r="B1124" s="203">
        <f>_xll.qlCalendarAdvance(Calendar,B1123,A1124,"f",FALSE)</f>
        <v>46749</v>
      </c>
      <c r="C1124" s="237">
        <f>_xll.qlCalendarAdvance(Calendar,B1124,NDays&amp;"D")</f>
        <v>46751</v>
      </c>
      <c r="D1124" s="202">
        <v>3.1279746382102402E-2</v>
      </c>
      <c r="E1124" s="202">
        <v>3.1123116466584833E-2</v>
      </c>
      <c r="U1124" s="204"/>
    </row>
    <row r="1125" spans="1:21" x14ac:dyDescent="0.2">
      <c r="A1125" s="64" t="str">
        <f t="shared" si="18"/>
        <v>1w</v>
      </c>
      <c r="B1125" s="203">
        <f>_xll.qlCalendarAdvance(Calendar,B1124,A1125,"f",FALSE)</f>
        <v>46756</v>
      </c>
      <c r="C1125" s="237">
        <f>_xll.qlCalendarAdvance(Calendar,B1125,NDays&amp;"D")</f>
        <v>46758</v>
      </c>
      <c r="D1125" s="202">
        <v>3.127069466090257E-2</v>
      </c>
      <c r="E1125" s="202">
        <v>3.1119134297190598E-2</v>
      </c>
      <c r="U1125" s="204"/>
    </row>
    <row r="1126" spans="1:21" x14ac:dyDescent="0.2">
      <c r="A1126" s="64" t="str">
        <f t="shared" si="18"/>
        <v>1w</v>
      </c>
      <c r="B1126" s="203">
        <f>_xll.qlCalendarAdvance(Calendar,B1125,A1126,"f",FALSE)</f>
        <v>46763</v>
      </c>
      <c r="C1126" s="237">
        <f>_xll.qlCalendarAdvance(Calendar,B1126,NDays&amp;"D")</f>
        <v>46765</v>
      </c>
      <c r="D1126" s="202">
        <v>3.1262029422392541E-2</v>
      </c>
      <c r="E1126" s="202">
        <v>3.1114808854946219E-2</v>
      </c>
      <c r="U1126" s="204"/>
    </row>
    <row r="1127" spans="1:21" x14ac:dyDescent="0.2">
      <c r="A1127" s="64" t="str">
        <f t="shared" si="18"/>
        <v>1w</v>
      </c>
      <c r="B1127" s="203">
        <f>_xll.qlCalendarAdvance(Calendar,B1126,A1127,"f",FALSE)</f>
        <v>46770</v>
      </c>
      <c r="C1127" s="237">
        <f>_xll.qlCalendarAdvance(Calendar,B1127,NDays&amp;"D")</f>
        <v>46772</v>
      </c>
      <c r="D1127" s="202">
        <v>3.1253101673899969E-2</v>
      </c>
      <c r="E1127" s="202">
        <v>3.1110140139771758E-2</v>
      </c>
      <c r="U1127" s="204"/>
    </row>
    <row r="1128" spans="1:21" x14ac:dyDescent="0.2">
      <c r="A1128" s="64" t="str">
        <f t="shared" si="18"/>
        <v>1w</v>
      </c>
      <c r="B1128" s="203">
        <f>_xll.qlCalendarAdvance(Calendar,B1127,A1128,"f",FALSE)</f>
        <v>46777</v>
      </c>
      <c r="C1128" s="237">
        <f>_xll.qlCalendarAdvance(Calendar,B1128,NDays&amp;"D")</f>
        <v>46779</v>
      </c>
      <c r="D1128" s="202">
        <v>3.1243924815192749E-2</v>
      </c>
      <c r="E1128" s="202">
        <v>3.1105128151747152E-2</v>
      </c>
      <c r="U1128" s="204"/>
    </row>
    <row r="1129" spans="1:21" x14ac:dyDescent="0.2">
      <c r="A1129" s="64" t="str">
        <f t="shared" si="18"/>
        <v>1w</v>
      </c>
      <c r="B1129" s="203">
        <f>_xll.qlCalendarAdvance(Calendar,B1128,A1129,"f",FALSE)</f>
        <v>46784</v>
      </c>
      <c r="C1129" s="237">
        <f>_xll.qlCalendarAdvance(Calendar,B1129,NDays&amp;"D")</f>
        <v>46786</v>
      </c>
      <c r="D1129" s="202">
        <v>3.1234512245892063E-2</v>
      </c>
      <c r="E1129" s="202">
        <v>3.1099772890792465E-2</v>
      </c>
      <c r="U1129" s="204"/>
    </row>
    <row r="1130" spans="1:21" x14ac:dyDescent="0.2">
      <c r="A1130" s="64" t="str">
        <f t="shared" si="18"/>
        <v>1w</v>
      </c>
      <c r="B1130" s="203">
        <f>_xll.qlCalendarAdvance(Calendar,B1129,A1130,"f",FALSE)</f>
        <v>46791</v>
      </c>
      <c r="C1130" s="237">
        <f>_xll.qlCalendarAdvance(Calendar,B1130,NDays&amp;"D")</f>
        <v>46793</v>
      </c>
      <c r="D1130" s="202">
        <v>3.122487736545133E-2</v>
      </c>
      <c r="E1130" s="202">
        <v>3.1094074356907697E-2</v>
      </c>
      <c r="U1130" s="204"/>
    </row>
    <row r="1131" spans="1:21" x14ac:dyDescent="0.2">
      <c r="A1131" s="64" t="str">
        <f t="shared" si="18"/>
        <v>1w</v>
      </c>
      <c r="B1131" s="203">
        <f>_xll.qlCalendarAdvance(Calendar,B1130,A1131,"f",FALSE)</f>
        <v>46798</v>
      </c>
      <c r="C1131" s="237">
        <f>_xll.qlCalendarAdvance(Calendar,B1131,NDays&amp;"D")</f>
        <v>46800</v>
      </c>
      <c r="D1131" s="202">
        <v>3.1215033573146526E-2</v>
      </c>
      <c r="E1131" s="202">
        <v>3.108803255025272E-2</v>
      </c>
      <c r="U1131" s="204"/>
    </row>
    <row r="1132" spans="1:21" x14ac:dyDescent="0.2">
      <c r="A1132" s="64" t="str">
        <f t="shared" si="18"/>
        <v>1w</v>
      </c>
      <c r="B1132" s="203">
        <f>_xll.qlCalendarAdvance(Calendar,B1131,A1132,"f",FALSE)</f>
        <v>46805</v>
      </c>
      <c r="C1132" s="237">
        <f>_xll.qlCalendarAdvance(Calendar,B1132,NDays&amp;"D")</f>
        <v>46807</v>
      </c>
      <c r="D1132" s="202">
        <v>3.1204994268056861E-2</v>
      </c>
      <c r="E1132" s="202">
        <v>3.1081647470747598E-2</v>
      </c>
      <c r="U1132" s="204"/>
    </row>
    <row r="1133" spans="1:21" x14ac:dyDescent="0.2">
      <c r="A1133" s="64" t="str">
        <f t="shared" si="18"/>
        <v>1w</v>
      </c>
      <c r="B1133" s="203">
        <f>_xll.qlCalendarAdvance(Calendar,B1132,A1133,"f",FALSE)</f>
        <v>46812</v>
      </c>
      <c r="C1133" s="237">
        <f>_xll.qlCalendarAdvance(Calendar,B1133,NDays&amp;"D")</f>
        <v>46814</v>
      </c>
      <c r="D1133" s="202">
        <v>3.1196997712081339E-2</v>
      </c>
      <c r="E1133" s="202">
        <v>3.1074919118472266E-2</v>
      </c>
      <c r="U1133" s="204"/>
    </row>
    <row r="1134" spans="1:21" x14ac:dyDescent="0.2">
      <c r="A1134" s="64" t="str">
        <f t="shared" si="18"/>
        <v>1w</v>
      </c>
      <c r="B1134" s="203">
        <f>_xll.qlCalendarAdvance(Calendar,B1133,A1134,"f",FALSE)</f>
        <v>46819</v>
      </c>
      <c r="C1134" s="237">
        <f>_xll.qlCalendarAdvance(Calendar,B1134,NDays&amp;"D")</f>
        <v>46821</v>
      </c>
      <c r="D1134" s="202">
        <v>3.1186582908941007E-2</v>
      </c>
      <c r="E1134" s="202">
        <v>3.106784749334679E-2</v>
      </c>
      <c r="U1134" s="204"/>
    </row>
    <row r="1135" spans="1:21" x14ac:dyDescent="0.2">
      <c r="A1135" s="64" t="str">
        <f t="shared" si="18"/>
        <v>1w</v>
      </c>
      <c r="B1135" s="203">
        <f>_xll.qlCalendarAdvance(Calendar,B1134,A1135,"f",FALSE)</f>
        <v>46826</v>
      </c>
      <c r="C1135" s="237">
        <f>_xll.qlCalendarAdvance(Calendar,B1135,NDays&amp;"D")</f>
        <v>46828</v>
      </c>
      <c r="D1135" s="202">
        <v>3.1176016071888333E-2</v>
      </c>
      <c r="E1135" s="202">
        <v>3.106043259553104E-2</v>
      </c>
      <c r="U1135" s="204"/>
    </row>
    <row r="1136" spans="1:21" x14ac:dyDescent="0.2">
      <c r="A1136" s="64" t="str">
        <f t="shared" si="18"/>
        <v>1w</v>
      </c>
      <c r="B1136" s="203">
        <f>_xll.qlCalendarAdvance(Calendar,B1135,A1136,"f",FALSE)</f>
        <v>46833</v>
      </c>
      <c r="C1136" s="237">
        <f>_xll.qlCalendarAdvance(Calendar,B1136,NDays&amp;"D")</f>
        <v>46835</v>
      </c>
      <c r="D1136" s="202">
        <v>3.1165310315506286E-2</v>
      </c>
      <c r="E1136" s="202">
        <v>3.1052674424945081E-2</v>
      </c>
      <c r="U1136" s="204"/>
    </row>
    <row r="1137" spans="1:21" x14ac:dyDescent="0.2">
      <c r="A1137" s="64" t="str">
        <f t="shared" si="18"/>
        <v>1w</v>
      </c>
      <c r="B1137" s="203">
        <f>_xll.qlCalendarAdvance(Calendar,B1136,A1137,"f",FALSE)</f>
        <v>46840</v>
      </c>
      <c r="C1137" s="237">
        <f>_xll.qlCalendarAdvance(Calendar,B1137,NDays&amp;"D")</f>
        <v>46842</v>
      </c>
      <c r="D1137" s="202">
        <v>3.1152870410212443E-2</v>
      </c>
      <c r="E1137" s="202">
        <v>3.1044572981588914E-2</v>
      </c>
      <c r="U1137" s="204"/>
    </row>
    <row r="1138" spans="1:21" x14ac:dyDescent="0.2">
      <c r="A1138" s="64" t="str">
        <f t="shared" si="18"/>
        <v>1w</v>
      </c>
      <c r="B1138" s="203">
        <f>_xll.qlCalendarAdvance(Calendar,B1137,A1138,"f",FALSE)</f>
        <v>46847</v>
      </c>
      <c r="C1138" s="237">
        <f>_xll.qlCalendarAdvance(Calendar,B1138,NDays&amp;"D")</f>
        <v>46849</v>
      </c>
      <c r="D1138" s="202">
        <v>3.114193604909055E-2</v>
      </c>
      <c r="E1138" s="202">
        <v>3.1036128265542473E-2</v>
      </c>
      <c r="U1138" s="204"/>
    </row>
    <row r="1139" spans="1:21" x14ac:dyDescent="0.2">
      <c r="A1139" s="64" t="str">
        <f t="shared" si="18"/>
        <v>1w</v>
      </c>
      <c r="B1139" s="203">
        <f>_xll.qlCalendarAdvance(Calendar,B1138,A1139,"f",FALSE)</f>
        <v>46854</v>
      </c>
      <c r="C1139" s="237">
        <f>_xll.qlCalendarAdvance(Calendar,B1139,NDays&amp;"D")</f>
        <v>46856</v>
      </c>
      <c r="D1139" s="202">
        <v>3.1130900508219483E-2</v>
      </c>
      <c r="E1139" s="202">
        <v>3.1030107248657401E-2</v>
      </c>
      <c r="U1139" s="204"/>
    </row>
    <row r="1140" spans="1:21" x14ac:dyDescent="0.2">
      <c r="A1140" s="64" t="str">
        <f t="shared" si="18"/>
        <v>1w</v>
      </c>
      <c r="B1140" s="203">
        <f>_xll.qlCalendarAdvance(Calendar,B1139,A1140,"f",FALSE)</f>
        <v>46861</v>
      </c>
      <c r="C1140" s="237">
        <f>_xll.qlCalendarAdvance(Calendar,B1140,NDays&amp;"D")</f>
        <v>46863</v>
      </c>
      <c r="D1140" s="202">
        <v>3.1119777112651351E-2</v>
      </c>
      <c r="E1140" s="202">
        <v>3.1018209015458709E-2</v>
      </c>
      <c r="U1140" s="204"/>
    </row>
    <row r="1141" spans="1:21" x14ac:dyDescent="0.2">
      <c r="A1141" s="64" t="str">
        <f t="shared" si="18"/>
        <v>1w</v>
      </c>
      <c r="B1141" s="203">
        <f>_xll.qlCalendarAdvance(Calendar,B1140,A1141,"f",FALSE)</f>
        <v>46868</v>
      </c>
      <c r="C1141" s="237">
        <f>_xll.qlCalendarAdvance(Calendar,B1141,NDays&amp;"D")</f>
        <v>46870</v>
      </c>
      <c r="D1141" s="202">
        <v>3.1108579187156506E-2</v>
      </c>
      <c r="E1141" s="202">
        <v>3.1008734481421385E-2</v>
      </c>
      <c r="U1141" s="204"/>
    </row>
    <row r="1142" spans="1:21" x14ac:dyDescent="0.2">
      <c r="A1142" s="64" t="str">
        <f t="shared" si="18"/>
        <v>1w</v>
      </c>
      <c r="B1142" s="203">
        <f>_xll.qlCalendarAdvance(Calendar,B1141,A1142,"f",FALSE)</f>
        <v>46875</v>
      </c>
      <c r="C1142" s="237">
        <f>_xll.qlCalendarAdvance(Calendar,B1142,NDays&amp;"D")</f>
        <v>46877</v>
      </c>
      <c r="D1142" s="202">
        <v>3.1098892854943109E-2</v>
      </c>
      <c r="E1142" s="202">
        <v>3.099891667485366E-2</v>
      </c>
      <c r="U1142" s="204"/>
    </row>
    <row r="1143" spans="1:21" x14ac:dyDescent="0.2">
      <c r="A1143" s="64" t="str">
        <f t="shared" si="18"/>
        <v>1w</v>
      </c>
      <c r="B1143" s="203">
        <f>_xll.qlCalendarAdvance(Calendar,B1142,A1143,"f",FALSE)</f>
        <v>46882</v>
      </c>
      <c r="C1143" s="237">
        <f>_xll.qlCalendarAdvance(Calendar,B1143,NDays&amp;"D")</f>
        <v>46884</v>
      </c>
      <c r="D1143" s="202">
        <v>3.1087581849259201E-2</v>
      </c>
      <c r="E1143" s="202">
        <v>3.0988755595675599E-2</v>
      </c>
      <c r="U1143" s="204"/>
    </row>
    <row r="1144" spans="1:21" x14ac:dyDescent="0.2">
      <c r="A1144" s="64" t="str">
        <f t="shared" si="18"/>
        <v>1w</v>
      </c>
      <c r="B1144" s="203">
        <f>_xll.qlCalendarAdvance(Calendar,B1143,A1144,"f",FALSE)</f>
        <v>46889</v>
      </c>
      <c r="C1144" s="237">
        <f>_xll.qlCalendarAdvance(Calendar,B1144,NDays&amp;"D")</f>
        <v>46891</v>
      </c>
      <c r="D1144" s="202">
        <v>3.1076236831138127E-2</v>
      </c>
      <c r="E1144" s="202">
        <v>3.09782512438872E-2</v>
      </c>
      <c r="U1144" s="204"/>
    </row>
    <row r="1145" spans="1:21" x14ac:dyDescent="0.2">
      <c r="A1145" s="64" t="str">
        <f t="shared" si="18"/>
        <v>1w</v>
      </c>
      <c r="B1145" s="203">
        <f>_xll.qlCalendarAdvance(Calendar,B1144,A1145,"f",FALSE)</f>
        <v>46896</v>
      </c>
      <c r="C1145" s="237">
        <f>_xll.qlCalendarAdvance(Calendar,B1145,NDays&amp;"D")</f>
        <v>46898</v>
      </c>
      <c r="D1145" s="202">
        <v>3.1064870912632835E-2</v>
      </c>
      <c r="E1145" s="202">
        <v>3.0967403619728273E-2</v>
      </c>
      <c r="U1145" s="204"/>
    </row>
    <row r="1146" spans="1:21" x14ac:dyDescent="0.2">
      <c r="A1146" s="64" t="str">
        <f t="shared" si="18"/>
        <v>1w</v>
      </c>
      <c r="B1146" s="203">
        <f>_xll.qlCalendarAdvance(Calendar,B1145,A1146,"f",FALSE)</f>
        <v>46903</v>
      </c>
      <c r="C1146" s="237">
        <f>_xll.qlCalendarAdvance(Calendar,B1146,NDays&amp;"D")</f>
        <v>46905</v>
      </c>
      <c r="D1146" s="202">
        <v>3.1051937782419308E-2</v>
      </c>
      <c r="E1146" s="202">
        <v>3.0956255879157624E-2</v>
      </c>
      <c r="U1146" s="204"/>
    </row>
    <row r="1147" spans="1:21" x14ac:dyDescent="0.2">
      <c r="A1147" s="64" t="str">
        <f t="shared" si="18"/>
        <v>1w</v>
      </c>
      <c r="B1147" s="203">
        <f>_xll.qlCalendarAdvance(Calendar,B1146,A1147,"f",FALSE)</f>
        <v>46910</v>
      </c>
      <c r="C1147" s="237">
        <f>_xll.qlCalendarAdvance(Calendar,B1147,NDays&amp;"D")</f>
        <v>46912</v>
      </c>
      <c r="D1147" s="202">
        <v>3.1040566182148482E-2</v>
      </c>
      <c r="E1147" s="202">
        <v>3.0945064626353158E-2</v>
      </c>
      <c r="U1147" s="204"/>
    </row>
    <row r="1148" spans="1:21" x14ac:dyDescent="0.2">
      <c r="A1148" s="64" t="str">
        <f t="shared" si="18"/>
        <v>1w</v>
      </c>
      <c r="B1148" s="203">
        <f>_xll.qlCalendarAdvance(Calendar,B1147,A1148,"f",FALSE)</f>
        <v>46917</v>
      </c>
      <c r="C1148" s="237">
        <f>_xll.qlCalendarAdvance(Calendar,B1148,NDays&amp;"D")</f>
        <v>46919</v>
      </c>
      <c r="D1148" s="202">
        <v>3.1029194284583665E-2</v>
      </c>
      <c r="E1148" s="202">
        <v>3.0933873017513491E-2</v>
      </c>
      <c r="U1148" s="204"/>
    </row>
    <row r="1149" spans="1:21" x14ac:dyDescent="0.2">
      <c r="A1149" s="64" t="str">
        <f t="shared" si="18"/>
        <v>1w</v>
      </c>
      <c r="B1149" s="203">
        <f>_xll.qlCalendarAdvance(Calendar,B1148,A1149,"f",FALSE)</f>
        <v>46924</v>
      </c>
      <c r="C1149" s="237">
        <f>_xll.qlCalendarAdvance(Calendar,B1149,NDays&amp;"D")</f>
        <v>46926</v>
      </c>
      <c r="D1149" s="202">
        <v>3.101782208973097E-2</v>
      </c>
      <c r="E1149" s="202">
        <v>3.0922681052558687E-2</v>
      </c>
      <c r="U1149" s="204"/>
    </row>
    <row r="1150" spans="1:21" x14ac:dyDescent="0.2">
      <c r="A1150" s="64" t="str">
        <f t="shared" si="18"/>
        <v>1w</v>
      </c>
      <c r="B1150" s="203">
        <f>_xll.qlCalendarAdvance(Calendar,B1149,A1150,"f",FALSE)</f>
        <v>46931</v>
      </c>
      <c r="C1150" s="237">
        <f>_xll.qlCalendarAdvance(Calendar,B1150,NDays&amp;"D")</f>
        <v>46933</v>
      </c>
      <c r="D1150" s="202">
        <v>3.1006449597595201E-2</v>
      </c>
      <c r="E1150" s="202">
        <v>3.0911488731568681E-2</v>
      </c>
      <c r="U1150" s="204"/>
    </row>
    <row r="1151" spans="1:21" x14ac:dyDescent="0.2">
      <c r="A1151" s="64" t="str">
        <f t="shared" si="18"/>
        <v>1w</v>
      </c>
      <c r="B1151" s="203">
        <f>_xll.qlCalendarAdvance(Calendar,B1150,A1151,"f",FALSE)</f>
        <v>46938</v>
      </c>
      <c r="C1151" s="237">
        <f>_xll.qlCalendarAdvance(Calendar,B1151,NDays&amp;"D")</f>
        <v>46940</v>
      </c>
      <c r="D1151" s="202">
        <v>3.0996621154402083E-2</v>
      </c>
      <c r="E1151" s="202">
        <v>3.0900296054543475E-2</v>
      </c>
      <c r="U1151" s="204"/>
    </row>
    <row r="1152" spans="1:21" x14ac:dyDescent="0.2">
      <c r="A1152" s="64" t="str">
        <f t="shared" si="18"/>
        <v>1w</v>
      </c>
      <c r="B1152" s="203">
        <f>_xll.qlCalendarAdvance(Calendar,B1151,A1152,"f",FALSE)</f>
        <v>46945</v>
      </c>
      <c r="C1152" s="237">
        <f>_xll.qlCalendarAdvance(Calendar,B1152,NDays&amp;"D")</f>
        <v>46947</v>
      </c>
      <c r="D1152" s="202">
        <v>3.0985245089710966E-2</v>
      </c>
      <c r="E1152" s="202">
        <v>3.088910302140313E-2</v>
      </c>
      <c r="U1152" s="204"/>
    </row>
    <row r="1153" spans="1:21" x14ac:dyDescent="0.2">
      <c r="A1153" s="64" t="str">
        <f t="shared" si="18"/>
        <v>1w</v>
      </c>
      <c r="B1153" s="203">
        <f>_xll.qlCalendarAdvance(Calendar,B1152,A1153,"f",FALSE)</f>
        <v>46952</v>
      </c>
      <c r="C1153" s="237">
        <f>_xll.qlCalendarAdvance(Calendar,B1153,NDays&amp;"D")</f>
        <v>46954</v>
      </c>
      <c r="D1153" s="202">
        <v>3.0973868728741576E-2</v>
      </c>
      <c r="E1153" s="202">
        <v>3.0877909632227585E-2</v>
      </c>
      <c r="U1153" s="204"/>
    </row>
    <row r="1154" spans="1:21" x14ac:dyDescent="0.2">
      <c r="A1154" s="64" t="str">
        <f t="shared" si="18"/>
        <v>1w</v>
      </c>
      <c r="B1154" s="203">
        <f>_xll.qlCalendarAdvance(Calendar,B1153,A1154,"f",FALSE)</f>
        <v>46959</v>
      </c>
      <c r="C1154" s="237">
        <f>_xll.qlCalendarAdvance(Calendar,B1154,NDays&amp;"D")</f>
        <v>46961</v>
      </c>
      <c r="D1154" s="202">
        <v>3.0962492071500359E-2</v>
      </c>
      <c r="E1154" s="202">
        <v>3.0866715886936902E-2</v>
      </c>
      <c r="U1154" s="204"/>
    </row>
    <row r="1155" spans="1:21" x14ac:dyDescent="0.2">
      <c r="A1155" s="64" t="str">
        <f t="shared" si="18"/>
        <v>1w</v>
      </c>
      <c r="B1155" s="203">
        <f>_xll.qlCalendarAdvance(Calendar,B1154,A1155,"f",FALSE)</f>
        <v>46966</v>
      </c>
      <c r="C1155" s="237">
        <f>_xll.qlCalendarAdvance(Calendar,B1155,NDays&amp;"D")</f>
        <v>46968</v>
      </c>
      <c r="D1155" s="202">
        <v>3.0951115117992048E-2</v>
      </c>
      <c r="E1155" s="202">
        <v>3.0855521785611018E-2</v>
      </c>
      <c r="U1155" s="204"/>
    </row>
    <row r="1156" spans="1:21" x14ac:dyDescent="0.2">
      <c r="A1156" s="64" t="str">
        <f t="shared" si="18"/>
        <v>1w</v>
      </c>
      <c r="B1156" s="203">
        <f>_xll.qlCalendarAdvance(Calendar,B1155,A1156,"f",FALSE)</f>
        <v>46973</v>
      </c>
      <c r="C1156" s="237">
        <f>_xll.qlCalendarAdvance(Calendar,B1156,NDays&amp;"D")</f>
        <v>46975</v>
      </c>
      <c r="D1156" s="202">
        <v>3.0939737868223516E-2</v>
      </c>
      <c r="E1156" s="202">
        <v>3.0844327328249932E-2</v>
      </c>
      <c r="U1156" s="204"/>
    </row>
    <row r="1157" spans="1:21" x14ac:dyDescent="0.2">
      <c r="A1157" s="64" t="str">
        <f t="shared" si="18"/>
        <v>1w</v>
      </c>
      <c r="B1157" s="203">
        <f>_xll.qlCalendarAdvance(Calendar,B1156,A1157,"f",FALSE)</f>
        <v>46980</v>
      </c>
      <c r="C1157" s="237">
        <f>_xll.qlCalendarAdvance(Calendar,B1157,NDays&amp;"D")</f>
        <v>46982</v>
      </c>
      <c r="D1157" s="202">
        <v>3.0928360322199918E-2</v>
      </c>
      <c r="E1157" s="202">
        <v>3.0833132514773709E-2</v>
      </c>
      <c r="U1157" s="204"/>
    </row>
    <row r="1158" spans="1:21" x14ac:dyDescent="0.2">
      <c r="A1158" s="64" t="str">
        <f t="shared" si="18"/>
        <v>1w</v>
      </c>
      <c r="B1158" s="203">
        <f>_xll.qlCalendarAdvance(Calendar,B1157,A1158,"f",FALSE)</f>
        <v>46987</v>
      </c>
      <c r="C1158" s="237">
        <f>_xll.qlCalendarAdvance(Calendar,B1158,NDays&amp;"D")</f>
        <v>46989</v>
      </c>
      <c r="D1158" s="202">
        <v>3.0916982479928135E-2</v>
      </c>
      <c r="E1158" s="202">
        <v>3.0821937345182349E-2</v>
      </c>
      <c r="U1158" s="204"/>
    </row>
    <row r="1159" spans="1:21" x14ac:dyDescent="0.2">
      <c r="A1159" s="64" t="str">
        <f t="shared" ref="A1159:A1222" si="19">A1158</f>
        <v>1w</v>
      </c>
      <c r="B1159" s="203">
        <f>_xll.qlCalendarAdvance(Calendar,B1158,A1159,"f",FALSE)</f>
        <v>46994</v>
      </c>
      <c r="C1159" s="237">
        <f>_xll.qlCalendarAdvance(Calendar,B1159,NDays&amp;"D")</f>
        <v>46996</v>
      </c>
      <c r="D1159" s="202">
        <v>3.0903069764078677E-2</v>
      </c>
      <c r="E1159" s="202">
        <v>3.0810741819555787E-2</v>
      </c>
      <c r="U1159" s="204"/>
    </row>
    <row r="1160" spans="1:21" x14ac:dyDescent="0.2">
      <c r="A1160" s="64" t="str">
        <f t="shared" si="19"/>
        <v>1w</v>
      </c>
      <c r="B1160" s="203">
        <f>_xll.qlCalendarAdvance(Calendar,B1159,A1160,"f",FALSE)</f>
        <v>47001</v>
      </c>
      <c r="C1160" s="237">
        <f>_xll.qlCalendarAdvance(Calendar,B1160,NDays&amp;"D")</f>
        <v>47003</v>
      </c>
      <c r="D1160" s="202">
        <v>3.0891696279338594E-2</v>
      </c>
      <c r="E1160" s="202">
        <v>3.079954593797396E-2</v>
      </c>
      <c r="U1160" s="204"/>
    </row>
    <row r="1161" spans="1:21" x14ac:dyDescent="0.2">
      <c r="A1161" s="64" t="str">
        <f t="shared" si="19"/>
        <v>1w</v>
      </c>
      <c r="B1161" s="203">
        <f>_xll.qlCalendarAdvance(Calendar,B1160,A1161,"f",FALSE)</f>
        <v>47008</v>
      </c>
      <c r="C1161" s="237">
        <f>_xll.qlCalendarAdvance(Calendar,B1161,NDays&amp;"D")</f>
        <v>47010</v>
      </c>
      <c r="D1161" s="202">
        <v>3.0880322496722751E-2</v>
      </c>
      <c r="E1161" s="202">
        <v>3.0788349700276996E-2</v>
      </c>
      <c r="U1161" s="204"/>
    </row>
    <row r="1162" spans="1:21" x14ac:dyDescent="0.2">
      <c r="A1162" s="64" t="str">
        <f t="shared" si="19"/>
        <v>1w</v>
      </c>
      <c r="B1162" s="203">
        <f>_xll.qlCalendarAdvance(Calendar,B1161,A1162,"f",FALSE)</f>
        <v>47015</v>
      </c>
      <c r="C1162" s="237">
        <f>_xll.qlCalendarAdvance(Calendar,B1162,NDays&amp;"D")</f>
        <v>47017</v>
      </c>
      <c r="D1162" s="202">
        <v>3.0868948416236011E-2</v>
      </c>
      <c r="E1162" s="202">
        <v>3.0777153106384958E-2</v>
      </c>
      <c r="U1162" s="204"/>
    </row>
    <row r="1163" spans="1:21" x14ac:dyDescent="0.2">
      <c r="A1163" s="64" t="str">
        <f t="shared" si="19"/>
        <v>1w</v>
      </c>
      <c r="B1163" s="203">
        <f>_xll.qlCalendarAdvance(Calendar,B1162,A1163,"f",FALSE)</f>
        <v>47022</v>
      </c>
      <c r="C1163" s="237">
        <f>_xll.qlCalendarAdvance(Calendar,B1163,NDays&amp;"D")</f>
        <v>47024</v>
      </c>
      <c r="D1163" s="202">
        <v>3.0857574037884555E-2</v>
      </c>
      <c r="E1163" s="202">
        <v>3.0765956156457719E-2</v>
      </c>
      <c r="U1163" s="204"/>
    </row>
    <row r="1164" spans="1:21" x14ac:dyDescent="0.2">
      <c r="A1164" s="64" t="str">
        <f t="shared" si="19"/>
        <v>1w</v>
      </c>
      <c r="B1164" s="203">
        <f>_xll.qlCalendarAdvance(Calendar,B1163,A1164,"f",FALSE)</f>
        <v>47029</v>
      </c>
      <c r="C1164" s="237">
        <f>_xll.qlCalendarAdvance(Calendar,B1164,NDays&amp;"D")</f>
        <v>47031</v>
      </c>
      <c r="D1164" s="202">
        <v>3.0846701461851294E-2</v>
      </c>
      <c r="E1164" s="202">
        <v>3.0754758850575215E-2</v>
      </c>
      <c r="U1164" s="204"/>
    </row>
    <row r="1165" spans="1:21" x14ac:dyDescent="0.2">
      <c r="A1165" s="64" t="str">
        <f t="shared" si="19"/>
        <v>1w</v>
      </c>
      <c r="B1165" s="203">
        <f>_xll.qlCalendarAdvance(Calendar,B1164,A1165,"f",FALSE)</f>
        <v>47036</v>
      </c>
      <c r="C1165" s="237">
        <f>_xll.qlCalendarAdvance(Calendar,B1165,NDays&amp;"D")</f>
        <v>47038</v>
      </c>
      <c r="D1165" s="202">
        <v>3.0835325499501586E-2</v>
      </c>
      <c r="E1165" s="202">
        <v>3.0743561188577573E-2</v>
      </c>
      <c r="U1165" s="204"/>
    </row>
    <row r="1166" spans="1:21" x14ac:dyDescent="0.2">
      <c r="A1166" s="64" t="str">
        <f t="shared" si="19"/>
        <v>1w</v>
      </c>
      <c r="B1166" s="203">
        <f>_xll.qlCalendarAdvance(Calendar,B1165,A1166,"f",FALSE)</f>
        <v>47043</v>
      </c>
      <c r="C1166" s="237">
        <f>_xll.qlCalendarAdvance(Calendar,B1166,NDays&amp;"D")</f>
        <v>47045</v>
      </c>
      <c r="D1166" s="202">
        <v>3.0823949239633386E-2</v>
      </c>
      <c r="E1166" s="202">
        <v>3.0732363170464794E-2</v>
      </c>
      <c r="U1166" s="204"/>
    </row>
    <row r="1167" spans="1:21" x14ac:dyDescent="0.2">
      <c r="A1167" s="64" t="str">
        <f t="shared" si="19"/>
        <v>1w</v>
      </c>
      <c r="B1167" s="203">
        <f>_xll.qlCalendarAdvance(Calendar,B1166,A1167,"f",FALSE)</f>
        <v>47050</v>
      </c>
      <c r="C1167" s="237">
        <f>_xll.qlCalendarAdvance(Calendar,B1167,NDays&amp;"D")</f>
        <v>47052</v>
      </c>
      <c r="D1167" s="202">
        <v>3.0812572682252404E-2</v>
      </c>
      <c r="E1167" s="202">
        <v>3.0721164796396749E-2</v>
      </c>
      <c r="U1167" s="204"/>
    </row>
    <row r="1168" spans="1:21" x14ac:dyDescent="0.2">
      <c r="A1168" s="64" t="str">
        <f t="shared" si="19"/>
        <v>1w</v>
      </c>
      <c r="B1168" s="203">
        <f>_xll.qlCalendarAdvance(Calendar,B1167,A1168,"f",FALSE)</f>
        <v>47057</v>
      </c>
      <c r="C1168" s="237">
        <f>_xll.qlCalendarAdvance(Calendar,B1168,NDays&amp;"D")</f>
        <v>47059</v>
      </c>
      <c r="D1168" s="202">
        <v>3.0800697678359235E-2</v>
      </c>
      <c r="E1168" s="202">
        <v>3.0709966066133632E-2</v>
      </c>
      <c r="U1168" s="204"/>
    </row>
    <row r="1169" spans="1:21" x14ac:dyDescent="0.2">
      <c r="A1169" s="64" t="str">
        <f t="shared" si="19"/>
        <v>1w</v>
      </c>
      <c r="B1169" s="203">
        <f>_xll.qlCalendarAdvance(Calendar,B1168,A1169,"f",FALSE)</f>
        <v>47064</v>
      </c>
      <c r="C1169" s="237">
        <f>_xll.qlCalendarAdvance(Calendar,B1169,NDays&amp;"D")</f>
        <v>47066</v>
      </c>
      <c r="D1169" s="202">
        <v>3.0789321512940487E-2</v>
      </c>
      <c r="E1169" s="202">
        <v>3.0698766979835312E-2</v>
      </c>
      <c r="U1169" s="204"/>
    </row>
    <row r="1170" spans="1:21" x14ac:dyDescent="0.2">
      <c r="A1170" s="64" t="str">
        <f t="shared" si="19"/>
        <v>1w</v>
      </c>
      <c r="B1170" s="203">
        <f>_xll.qlCalendarAdvance(Calendar,B1169,A1170,"f",FALSE)</f>
        <v>47071</v>
      </c>
      <c r="C1170" s="237">
        <f>_xll.qlCalendarAdvance(Calendar,B1170,NDays&amp;"D")</f>
        <v>47073</v>
      </c>
      <c r="D1170" s="202">
        <v>3.0777945049697213E-2</v>
      </c>
      <c r="E1170" s="202">
        <v>3.0687567537501792E-2</v>
      </c>
      <c r="U1170" s="204"/>
    </row>
    <row r="1171" spans="1:21" x14ac:dyDescent="0.2">
      <c r="A1171" s="64" t="str">
        <f t="shared" si="19"/>
        <v>1w</v>
      </c>
      <c r="B1171" s="203">
        <f>_xll.qlCalendarAdvance(Calendar,B1170,A1171,"f",FALSE)</f>
        <v>47078</v>
      </c>
      <c r="C1171" s="237">
        <f>_xll.qlCalendarAdvance(Calendar,B1171,NDays&amp;"D")</f>
        <v>47080</v>
      </c>
      <c r="D1171" s="202">
        <v>3.0766568288635592E-2</v>
      </c>
      <c r="E1171" s="202">
        <v>3.0676367739053134E-2</v>
      </c>
      <c r="U1171" s="204"/>
    </row>
    <row r="1172" spans="1:21" x14ac:dyDescent="0.2">
      <c r="A1172" s="64" t="str">
        <f t="shared" si="19"/>
        <v>1w</v>
      </c>
      <c r="B1172" s="203">
        <f>_xll.qlCalendarAdvance(Calendar,B1171,A1172,"f",FALSE)</f>
        <v>47085</v>
      </c>
      <c r="C1172" s="237">
        <f>_xll.qlCalendarAdvance(Calendar,B1172,NDays&amp;"D")</f>
        <v>47087</v>
      </c>
      <c r="D1172" s="202">
        <v>3.0755685398056152E-2</v>
      </c>
      <c r="E1172" s="202">
        <v>3.0665167584649211E-2</v>
      </c>
      <c r="U1172" s="204"/>
    </row>
    <row r="1173" spans="1:21" x14ac:dyDescent="0.2">
      <c r="A1173" s="64" t="str">
        <f t="shared" si="19"/>
        <v>1w</v>
      </c>
      <c r="B1173" s="203">
        <f>_xll.qlCalendarAdvance(Calendar,B1172,A1173,"f",FALSE)</f>
        <v>47092</v>
      </c>
      <c r="C1173" s="237">
        <f>_xll.qlCalendarAdvance(Calendar,B1173,NDays&amp;"D")</f>
        <v>47094</v>
      </c>
      <c r="D1173" s="202">
        <v>3.0744303918884282E-2</v>
      </c>
      <c r="E1173" s="202">
        <v>3.0653967074050215E-2</v>
      </c>
      <c r="U1173" s="204"/>
    </row>
    <row r="1174" spans="1:21" x14ac:dyDescent="0.2">
      <c r="A1174" s="64" t="str">
        <f t="shared" si="19"/>
        <v>1w</v>
      </c>
      <c r="B1174" s="203">
        <f>_xll.qlCalendarAdvance(Calendar,B1173,A1174,"f",FALSE)</f>
        <v>47099</v>
      </c>
      <c r="C1174" s="237">
        <f>_xll.qlCalendarAdvance(Calendar,B1174,NDays&amp;"D")</f>
        <v>47101</v>
      </c>
      <c r="D1174" s="202">
        <v>3.0732910630453785E-2</v>
      </c>
      <c r="E1174" s="202">
        <v>3.0642766207495953E-2</v>
      </c>
      <c r="U1174" s="204"/>
    </row>
    <row r="1175" spans="1:21" x14ac:dyDescent="0.2">
      <c r="A1175" s="64" t="str">
        <f t="shared" si="19"/>
        <v>1w</v>
      </c>
      <c r="B1175" s="203">
        <f>_xll.qlCalendarAdvance(Calendar,B1174,A1175,"f",FALSE)</f>
        <v>47106</v>
      </c>
      <c r="C1175" s="237">
        <f>_xll.qlCalendarAdvance(Calendar,B1175,NDays&amp;"D")</f>
        <v>47108</v>
      </c>
      <c r="D1175" s="202">
        <v>3.0721496579376742E-2</v>
      </c>
      <c r="E1175" s="202">
        <v>3.0631564984826554E-2</v>
      </c>
      <c r="U1175" s="204"/>
    </row>
    <row r="1176" spans="1:21" x14ac:dyDescent="0.2">
      <c r="A1176" s="64" t="str">
        <f t="shared" si="19"/>
        <v>1w</v>
      </c>
      <c r="B1176" s="203">
        <f>_xll.qlCalendarAdvance(Calendar,B1175,A1176,"f",FALSE)</f>
        <v>47114</v>
      </c>
      <c r="C1176" s="237">
        <f>_xll.qlCalendarAdvance(Calendar,B1176,NDays&amp;"D")</f>
        <v>47116</v>
      </c>
      <c r="D1176" s="202">
        <v>3.0708415040803044E-2</v>
      </c>
      <c r="E1176" s="202">
        <v>3.0620268646421867E-2</v>
      </c>
      <c r="U1176" s="204"/>
    </row>
    <row r="1177" spans="1:21" x14ac:dyDescent="0.2">
      <c r="A1177" s="64" t="str">
        <f t="shared" si="19"/>
        <v>1w</v>
      </c>
      <c r="B1177" s="203">
        <f>_xll.qlCalendarAdvance(Calendar,B1176,A1177,"f",FALSE)</f>
        <v>47121</v>
      </c>
      <c r="C1177" s="237">
        <f>_xll.qlCalendarAdvance(Calendar,B1177,NDays&amp;"D")</f>
        <v>47123</v>
      </c>
      <c r="D1177" s="202">
        <v>3.0696454368809762E-2</v>
      </c>
      <c r="E1177" s="202">
        <v>3.0608562937759487E-2</v>
      </c>
      <c r="U1177" s="204"/>
    </row>
    <row r="1178" spans="1:21" x14ac:dyDescent="0.2">
      <c r="A1178" s="64" t="str">
        <f t="shared" si="19"/>
        <v>1w</v>
      </c>
      <c r="B1178" s="203">
        <f>_xll.qlCalendarAdvance(Calendar,B1177,A1178,"f",FALSE)</f>
        <v>47128</v>
      </c>
      <c r="C1178" s="237">
        <f>_xll.qlCalendarAdvance(Calendar,B1178,NDays&amp;"D")</f>
        <v>47130</v>
      </c>
      <c r="D1178" s="202">
        <v>3.0684924435828796E-2</v>
      </c>
      <c r="E1178" s="202">
        <v>3.0597358640642724E-2</v>
      </c>
      <c r="U1178" s="204"/>
    </row>
    <row r="1179" spans="1:21" x14ac:dyDescent="0.2">
      <c r="A1179" s="64" t="str">
        <f t="shared" si="19"/>
        <v>1w</v>
      </c>
      <c r="B1179" s="203">
        <f>_xll.qlCalendarAdvance(Calendar,B1178,A1179,"f",FALSE)</f>
        <v>47135</v>
      </c>
      <c r="C1179" s="237">
        <f>_xll.qlCalendarAdvance(Calendar,B1179,NDays&amp;"D")</f>
        <v>47137</v>
      </c>
      <c r="D1179" s="202">
        <v>3.0673337622254777E-2</v>
      </c>
      <c r="E1179" s="202">
        <v>3.0586153988076958E-2</v>
      </c>
      <c r="U1179" s="204"/>
    </row>
    <row r="1180" spans="1:21" x14ac:dyDescent="0.2">
      <c r="A1180" s="64" t="str">
        <f t="shared" si="19"/>
        <v>1w</v>
      </c>
      <c r="B1180" s="203">
        <f>_xll.qlCalendarAdvance(Calendar,B1179,A1180,"f",FALSE)</f>
        <v>47142</v>
      </c>
      <c r="C1180" s="237">
        <f>_xll.qlCalendarAdvance(Calendar,B1180,NDays&amp;"D")</f>
        <v>47144</v>
      </c>
      <c r="D1180" s="202">
        <v>3.0661684927034982E-2</v>
      </c>
      <c r="E1180" s="202">
        <v>3.0574948980115479E-2</v>
      </c>
      <c r="U1180" s="204"/>
    </row>
    <row r="1181" spans="1:21" x14ac:dyDescent="0.2">
      <c r="A1181" s="64" t="str">
        <f t="shared" si="19"/>
        <v>1w</v>
      </c>
      <c r="B1181" s="203">
        <f>_xll.qlCalendarAdvance(Calendar,B1180,A1181,"f",FALSE)</f>
        <v>47149</v>
      </c>
      <c r="C1181" s="237">
        <f>_xll.qlCalendarAdvance(Calendar,B1181,NDays&amp;"D")</f>
        <v>47151</v>
      </c>
      <c r="D1181" s="202">
        <v>3.0649957349328679E-2</v>
      </c>
      <c r="E1181" s="202">
        <v>3.0563743616678352E-2</v>
      </c>
      <c r="U1181" s="204"/>
    </row>
    <row r="1182" spans="1:21" x14ac:dyDescent="0.2">
      <c r="A1182" s="64" t="str">
        <f t="shared" si="19"/>
        <v>1w</v>
      </c>
      <c r="B1182" s="203">
        <f>_xll.qlCalendarAdvance(Calendar,B1181,A1182,"f",FALSE)</f>
        <v>47156</v>
      </c>
      <c r="C1182" s="237">
        <f>_xll.qlCalendarAdvance(Calendar,B1182,NDays&amp;"D")</f>
        <v>47158</v>
      </c>
      <c r="D1182" s="202">
        <v>3.0638145888514622E-2</v>
      </c>
      <c r="E1182" s="202">
        <v>3.0552537897845511E-2</v>
      </c>
      <c r="U1182" s="204"/>
    </row>
    <row r="1183" spans="1:21" x14ac:dyDescent="0.2">
      <c r="A1183" s="64" t="str">
        <f t="shared" si="19"/>
        <v>1w</v>
      </c>
      <c r="B1183" s="203">
        <f>_xll.qlCalendarAdvance(Calendar,B1182,A1183,"f",FALSE)</f>
        <v>47163</v>
      </c>
      <c r="C1183" s="237">
        <f>_xll.qlCalendarAdvance(Calendar,B1183,NDays&amp;"D")</f>
        <v>47165</v>
      </c>
      <c r="D1183" s="202">
        <v>3.0626241544189296E-2</v>
      </c>
      <c r="E1183" s="202">
        <v>3.0541331823537021E-2</v>
      </c>
      <c r="U1183" s="204"/>
    </row>
    <row r="1184" spans="1:21" x14ac:dyDescent="0.2">
      <c r="A1184" s="64" t="str">
        <f t="shared" si="19"/>
        <v>1w</v>
      </c>
      <c r="B1184" s="203">
        <f>_xll.qlCalendarAdvance(Calendar,B1183,A1184,"f",FALSE)</f>
        <v>47170</v>
      </c>
      <c r="C1184" s="237">
        <f>_xll.qlCalendarAdvance(Calendar,B1184,NDays&amp;"D")</f>
        <v>47172</v>
      </c>
      <c r="D1184" s="202">
        <v>3.061423531617442E-2</v>
      </c>
      <c r="E1184" s="202">
        <v>3.0530125393859464E-2</v>
      </c>
      <c r="U1184" s="204"/>
    </row>
    <row r="1185" spans="1:21" x14ac:dyDescent="0.2">
      <c r="A1185" s="64" t="str">
        <f t="shared" si="19"/>
        <v>1w</v>
      </c>
      <c r="B1185" s="203">
        <f>_xll.qlCalendarAdvance(Calendar,B1184,A1185,"f",FALSE)</f>
        <v>47177</v>
      </c>
      <c r="C1185" s="237">
        <f>_xll.qlCalendarAdvance(Calendar,B1185,NDays&amp;"D")</f>
        <v>47179</v>
      </c>
      <c r="D1185" s="202">
        <v>3.0603654131226343E-2</v>
      </c>
      <c r="E1185" s="202">
        <v>3.0518918608706258E-2</v>
      </c>
      <c r="U1185" s="204"/>
    </row>
    <row r="1186" spans="1:21" x14ac:dyDescent="0.2">
      <c r="A1186" s="64" t="str">
        <f t="shared" si="19"/>
        <v>1w</v>
      </c>
      <c r="B1186" s="203">
        <f>_xll.qlCalendarAdvance(Calendar,B1185,A1186,"f",FALSE)</f>
        <v>47184</v>
      </c>
      <c r="C1186" s="237">
        <f>_xll.qlCalendarAdvance(Calendar,B1186,NDays&amp;"D")</f>
        <v>47186</v>
      </c>
      <c r="D1186" s="202">
        <v>3.0591360595192428E-2</v>
      </c>
      <c r="E1186" s="202">
        <v>3.0507711468130694E-2</v>
      </c>
      <c r="U1186" s="204"/>
    </row>
    <row r="1187" spans="1:21" x14ac:dyDescent="0.2">
      <c r="A1187" s="64" t="str">
        <f t="shared" si="19"/>
        <v>1w</v>
      </c>
      <c r="B1187" s="203">
        <f>_xll.qlCalendarAdvance(Calendar,B1186,A1187,"f",FALSE)</f>
        <v>47191</v>
      </c>
      <c r="C1187" s="237">
        <f>_xll.qlCalendarAdvance(Calendar,B1187,NDays&amp;"D")</f>
        <v>47193</v>
      </c>
      <c r="D1187" s="202">
        <v>3.057893588248985E-2</v>
      </c>
      <c r="E1187" s="202">
        <v>3.0496503972132771E-2</v>
      </c>
      <c r="U1187" s="204"/>
    </row>
    <row r="1188" spans="1:21" x14ac:dyDescent="0.2">
      <c r="A1188" s="64" t="str">
        <f t="shared" si="19"/>
        <v>1w</v>
      </c>
      <c r="B1188" s="203">
        <f>_xll.qlCalendarAdvance(Calendar,B1187,A1188,"f",FALSE)</f>
        <v>47198</v>
      </c>
      <c r="C1188" s="237">
        <f>_xll.qlCalendarAdvance(Calendar,B1188,NDays&amp;"D")</f>
        <v>47200</v>
      </c>
      <c r="D1188" s="202">
        <v>3.0566371185670002E-2</v>
      </c>
      <c r="E1188" s="202">
        <v>3.0485296120712491E-2</v>
      </c>
      <c r="U1188" s="204"/>
    </row>
    <row r="1189" spans="1:21" x14ac:dyDescent="0.2">
      <c r="A1189" s="64" t="str">
        <f t="shared" si="19"/>
        <v>1w</v>
      </c>
      <c r="B1189" s="203">
        <f>_xll.qlCalendarAdvance(Calendar,B1188,A1189,"f",FALSE)</f>
        <v>47205</v>
      </c>
      <c r="C1189" s="237">
        <f>_xll.qlCalendarAdvance(Calendar,B1189,NDays&amp;"D")</f>
        <v>47211</v>
      </c>
      <c r="D1189" s="202">
        <v>3.0545695882174546E-2</v>
      </c>
      <c r="E1189" s="202">
        <v>3.0466705828180451E-2</v>
      </c>
      <c r="U1189" s="204"/>
    </row>
    <row r="1190" spans="1:21" x14ac:dyDescent="0.2">
      <c r="A1190" s="64" t="str">
        <f t="shared" si="19"/>
        <v>1w</v>
      </c>
      <c r="B1190" s="203">
        <f>_xll.qlCalendarAdvance(Calendar,B1189,A1190,"f",FALSE)</f>
        <v>47212</v>
      </c>
      <c r="C1190" s="237">
        <f>_xll.qlCalendarAdvance(Calendar,B1190,NDays&amp;"D")</f>
        <v>47214</v>
      </c>
      <c r="D1190" s="202">
        <v>3.0540786611146186E-2</v>
      </c>
      <c r="E1190" s="202">
        <v>3.0462879351578209E-2</v>
      </c>
      <c r="U1190" s="204"/>
    </row>
    <row r="1191" spans="1:21" x14ac:dyDescent="0.2">
      <c r="A1191" s="64" t="str">
        <f t="shared" si="19"/>
        <v>1w</v>
      </c>
      <c r="B1191" s="203">
        <f>_xll.qlCalendarAdvance(Calendar,B1190,A1191,"f",FALSE)</f>
        <v>47219</v>
      </c>
      <c r="C1191" s="237">
        <f>_xll.qlCalendarAdvance(Calendar,B1191,NDays&amp;"D")</f>
        <v>47221</v>
      </c>
      <c r="D1191" s="202">
        <v>3.0527749119831755E-2</v>
      </c>
      <c r="E1191" s="202">
        <v>3.0451670433890854E-2</v>
      </c>
      <c r="U1191" s="204"/>
    </row>
    <row r="1192" spans="1:21" x14ac:dyDescent="0.2">
      <c r="A1192" s="64" t="str">
        <f t="shared" si="19"/>
        <v>1w</v>
      </c>
      <c r="B1192" s="203">
        <f>_xll.qlCalendarAdvance(Calendar,B1191,A1192,"f",FALSE)</f>
        <v>47226</v>
      </c>
      <c r="C1192" s="237">
        <f>_xll.qlCalendarAdvance(Calendar,B1192,NDays&amp;"D")</f>
        <v>47228</v>
      </c>
      <c r="D1192" s="202">
        <v>3.0514536417192525E-2</v>
      </c>
      <c r="E1192" s="202">
        <v>3.044046116072785E-2</v>
      </c>
      <c r="U1192" s="204"/>
    </row>
    <row r="1193" spans="1:21" x14ac:dyDescent="0.2">
      <c r="A1193" s="64" t="str">
        <f t="shared" si="19"/>
        <v>1w</v>
      </c>
      <c r="B1193" s="203">
        <f>_xll.qlCalendarAdvance(Calendar,B1192,A1193,"f",FALSE)</f>
        <v>47233</v>
      </c>
      <c r="C1193" s="237">
        <f>_xll.qlCalendarAdvance(Calendar,B1193,NDays&amp;"D")</f>
        <v>47235</v>
      </c>
      <c r="D1193" s="202">
        <v>3.0501139697108121E-2</v>
      </c>
      <c r="E1193" s="202">
        <v>3.0429251532169133E-2</v>
      </c>
      <c r="U1193" s="204"/>
    </row>
    <row r="1194" spans="1:21" x14ac:dyDescent="0.2">
      <c r="A1194" s="64" t="str">
        <f t="shared" si="19"/>
        <v>1w</v>
      </c>
      <c r="B1194" s="203">
        <f>_xll.qlCalendarAdvance(Calendar,B1193,A1194,"f",FALSE)</f>
        <v>47240</v>
      </c>
      <c r="C1194" s="237">
        <f>_xll.qlCalendarAdvance(Calendar,B1194,NDays&amp;"D")</f>
        <v>47242</v>
      </c>
      <c r="D1194" s="202">
        <v>3.0487550153749831E-2</v>
      </c>
      <c r="E1194" s="202">
        <v>3.0418041548161412E-2</v>
      </c>
      <c r="U1194" s="204"/>
    </row>
    <row r="1195" spans="1:21" x14ac:dyDescent="0.2">
      <c r="A1195" s="64" t="str">
        <f t="shared" si="19"/>
        <v>1w</v>
      </c>
      <c r="B1195" s="203">
        <f>_xll.qlCalendarAdvance(Calendar,B1194,A1195,"f",FALSE)</f>
        <v>47247</v>
      </c>
      <c r="C1195" s="237">
        <f>_xll.qlCalendarAdvance(Calendar,B1195,NDays&amp;"D")</f>
        <v>47249</v>
      </c>
      <c r="D1195" s="202">
        <v>3.0473758981583617E-2</v>
      </c>
      <c r="E1195" s="202">
        <v>3.0406831208731333E-2</v>
      </c>
      <c r="U1195" s="204"/>
    </row>
    <row r="1196" spans="1:21" x14ac:dyDescent="0.2">
      <c r="A1196" s="64" t="str">
        <f t="shared" si="19"/>
        <v>1w</v>
      </c>
      <c r="B1196" s="203">
        <f>_xll.qlCalendarAdvance(Calendar,B1195,A1196,"f",FALSE)</f>
        <v>47254</v>
      </c>
      <c r="C1196" s="237">
        <f>_xll.qlCalendarAdvance(Calendar,B1196,NDays&amp;"D")</f>
        <v>47256</v>
      </c>
      <c r="D1196" s="202">
        <v>3.04597573753831E-2</v>
      </c>
      <c r="E1196" s="202">
        <v>3.0395620513878896E-2</v>
      </c>
      <c r="U1196" s="204"/>
    </row>
    <row r="1197" spans="1:21" x14ac:dyDescent="0.2">
      <c r="A1197" s="64" t="str">
        <f t="shared" si="19"/>
        <v>1w</v>
      </c>
      <c r="B1197" s="203">
        <f>_xll.qlCalendarAdvance(Calendar,B1196,A1197,"f",FALSE)</f>
        <v>47261</v>
      </c>
      <c r="C1197" s="237">
        <f>_xll.qlCalendarAdvance(Calendar,B1197,NDays&amp;"D")</f>
        <v>47263</v>
      </c>
      <c r="D1197" s="202">
        <v>3.044553653023515E-2</v>
      </c>
      <c r="E1197" s="202">
        <v>3.0384409463577455E-2</v>
      </c>
      <c r="U1197" s="204"/>
    </row>
    <row r="1198" spans="1:21" x14ac:dyDescent="0.2">
      <c r="A1198" s="64" t="str">
        <f t="shared" si="19"/>
        <v>1w</v>
      </c>
      <c r="B1198" s="203">
        <f>_xll.qlCalendarAdvance(Calendar,B1197,A1198,"f",FALSE)</f>
        <v>47268</v>
      </c>
      <c r="C1198" s="237">
        <f>_xll.qlCalendarAdvance(Calendar,B1198,NDays&amp;"D")</f>
        <v>47270</v>
      </c>
      <c r="D1198" s="202">
        <v>3.0431087757127023E-2</v>
      </c>
      <c r="E1198" s="202">
        <v>3.0373148924089932E-2</v>
      </c>
      <c r="U1198" s="204"/>
    </row>
    <row r="1199" spans="1:21" x14ac:dyDescent="0.2">
      <c r="A1199" s="64" t="str">
        <f t="shared" si="19"/>
        <v>1w</v>
      </c>
      <c r="B1199" s="203">
        <f>_xll.qlCalendarAdvance(Calendar,B1198,A1199,"f",FALSE)</f>
        <v>47275</v>
      </c>
      <c r="C1199" s="237">
        <f>_xll.qlCalendarAdvance(Calendar,B1199,NDays&amp;"D")</f>
        <v>47277</v>
      </c>
      <c r="D1199" s="202">
        <v>3.0416406185576315E-2</v>
      </c>
      <c r="E1199" s="202">
        <v>3.0361675116106213E-2</v>
      </c>
      <c r="U1199" s="204"/>
    </row>
    <row r="1200" spans="1:21" x14ac:dyDescent="0.2">
      <c r="A1200" s="64" t="str">
        <f t="shared" si="19"/>
        <v>1w</v>
      </c>
      <c r="B1200" s="203">
        <f>_xll.qlCalendarAdvance(Calendar,B1199,A1200,"f",FALSE)</f>
        <v>47282</v>
      </c>
      <c r="C1200" s="237">
        <f>_xll.qlCalendarAdvance(Calendar,B1200,NDays&amp;"D")</f>
        <v>47284</v>
      </c>
      <c r="D1200" s="202">
        <v>3.0401491546822885E-2</v>
      </c>
      <c r="E1200" s="202">
        <v>3.0349971661740582E-2</v>
      </c>
      <c r="U1200" s="204"/>
    </row>
    <row r="1201" spans="1:21" x14ac:dyDescent="0.2">
      <c r="A1201" s="64" t="str">
        <f t="shared" si="19"/>
        <v>1w</v>
      </c>
      <c r="B1201" s="203">
        <f>_xll.qlCalendarAdvance(Calendar,B1200,A1201,"f",FALSE)</f>
        <v>47289</v>
      </c>
      <c r="C1201" s="237">
        <f>_xll.qlCalendarAdvance(Calendar,B1201,NDays&amp;"D")</f>
        <v>47291</v>
      </c>
      <c r="D1201" s="202">
        <v>3.0386343846145528E-2</v>
      </c>
      <c r="E1201" s="202">
        <v>3.0338038561152914E-2</v>
      </c>
      <c r="U1201" s="204"/>
    </row>
    <row r="1202" spans="1:21" x14ac:dyDescent="0.2">
      <c r="A1202" s="64" t="str">
        <f t="shared" si="19"/>
        <v>1w</v>
      </c>
      <c r="B1202" s="203">
        <f>_xll.qlCalendarAdvance(Calendar,B1201,A1202,"f",FALSE)</f>
        <v>47296</v>
      </c>
      <c r="C1202" s="237">
        <f>_xll.qlCalendarAdvance(Calendar,B1202,NDays&amp;"D")</f>
        <v>47298</v>
      </c>
      <c r="D1202" s="202">
        <v>3.0370963088904291E-2</v>
      </c>
      <c r="E1202" s="202">
        <v>3.0325875814289915E-2</v>
      </c>
      <c r="U1202" s="204"/>
    </row>
    <row r="1203" spans="1:21" x14ac:dyDescent="0.2">
      <c r="A1203" s="64" t="str">
        <f t="shared" si="19"/>
        <v>1w</v>
      </c>
      <c r="B1203" s="203">
        <f>_xll.qlCalendarAdvance(Calendar,B1202,A1203,"f",FALSE)</f>
        <v>47303</v>
      </c>
      <c r="C1203" s="237">
        <f>_xll.qlCalendarAdvance(Calendar,B1203,NDays&amp;"D")</f>
        <v>47305</v>
      </c>
      <c r="D1203" s="202">
        <v>3.0355349280543027E-2</v>
      </c>
      <c r="E1203" s="202">
        <v>3.0313483421338105E-2</v>
      </c>
      <c r="U1203" s="204"/>
    </row>
    <row r="1204" spans="1:21" x14ac:dyDescent="0.2">
      <c r="A1204" s="64" t="str">
        <f t="shared" si="19"/>
        <v>1w</v>
      </c>
      <c r="B1204" s="203">
        <f>_xll.qlCalendarAdvance(Calendar,B1203,A1204,"f",FALSE)</f>
        <v>47310</v>
      </c>
      <c r="C1204" s="237">
        <f>_xll.qlCalendarAdvance(Calendar,B1204,NDays&amp;"D")</f>
        <v>47312</v>
      </c>
      <c r="D1204" s="202">
        <v>3.0339502426586833E-2</v>
      </c>
      <c r="E1204" s="202">
        <v>3.0300861382297484E-2</v>
      </c>
      <c r="U1204" s="204"/>
    </row>
    <row r="1205" spans="1:21" x14ac:dyDescent="0.2">
      <c r="A1205" s="64" t="str">
        <f t="shared" si="19"/>
        <v>1w</v>
      </c>
      <c r="B1205" s="203">
        <f>_xll.qlCalendarAdvance(Calendar,B1204,A1205,"f",FALSE)</f>
        <v>47317</v>
      </c>
      <c r="C1205" s="237">
        <f>_xll.qlCalendarAdvance(Calendar,B1205,NDays&amp;"D")</f>
        <v>47319</v>
      </c>
      <c r="D1205" s="202">
        <v>3.0323422532643331E-2</v>
      </c>
      <c r="E1205" s="202">
        <v>3.0288009697221341E-2</v>
      </c>
      <c r="U1205" s="204"/>
    </row>
    <row r="1206" spans="1:21" x14ac:dyDescent="0.2">
      <c r="A1206" s="64" t="str">
        <f t="shared" si="19"/>
        <v>1w</v>
      </c>
      <c r="B1206" s="203">
        <f>_xll.qlCalendarAdvance(Calendar,B1205,A1206,"f",FALSE)</f>
        <v>47324</v>
      </c>
      <c r="C1206" s="237">
        <f>_xll.qlCalendarAdvance(Calendar,B1206,NDays&amp;"D")</f>
        <v>47326</v>
      </c>
      <c r="D1206" s="202">
        <v>3.0307109604403536E-2</v>
      </c>
      <c r="E1206" s="202">
        <v>3.0274928366269549E-2</v>
      </c>
      <c r="U1206" s="204"/>
    </row>
    <row r="1207" spans="1:21" x14ac:dyDescent="0.2">
      <c r="A1207" s="64" t="str">
        <f t="shared" si="19"/>
        <v>1w</v>
      </c>
      <c r="B1207" s="203">
        <f>_xll.qlCalendarAdvance(Calendar,B1206,A1207,"f",FALSE)</f>
        <v>47331</v>
      </c>
      <c r="C1207" s="237">
        <f>_xll.qlCalendarAdvance(Calendar,B1207,NDays&amp;"D")</f>
        <v>47333</v>
      </c>
      <c r="D1207" s="202">
        <v>3.0290563647640132E-2</v>
      </c>
      <c r="E1207" s="202">
        <v>3.0261617389415463E-2</v>
      </c>
      <c r="U1207" s="204"/>
    </row>
    <row r="1208" spans="1:21" x14ac:dyDescent="0.2">
      <c r="A1208" s="64" t="str">
        <f t="shared" si="19"/>
        <v>1w</v>
      </c>
      <c r="B1208" s="203">
        <f>_xll.qlCalendarAdvance(Calendar,B1207,A1208,"f",FALSE)</f>
        <v>47338</v>
      </c>
      <c r="C1208" s="237">
        <f>_xll.qlCalendarAdvance(Calendar,B1208,NDays&amp;"D")</f>
        <v>47340</v>
      </c>
      <c r="D1208" s="202">
        <v>3.027378466820789E-2</v>
      </c>
      <c r="E1208" s="202">
        <v>3.02480767668456E-2</v>
      </c>
      <c r="U1208" s="204"/>
    </row>
    <row r="1209" spans="1:21" x14ac:dyDescent="0.2">
      <c r="A1209" s="64" t="str">
        <f t="shared" si="19"/>
        <v>1w</v>
      </c>
      <c r="B1209" s="203">
        <f>_xll.qlCalendarAdvance(Calendar,B1208,A1209,"f",FALSE)</f>
        <v>47345</v>
      </c>
      <c r="C1209" s="237">
        <f>_xll.qlCalendarAdvance(Calendar,B1209,NDays&amp;"D")</f>
        <v>47347</v>
      </c>
      <c r="D1209" s="202">
        <v>3.025677267204498E-2</v>
      </c>
      <c r="E1209" s="202">
        <v>3.0234306498533314E-2</v>
      </c>
      <c r="U1209" s="204"/>
    </row>
    <row r="1210" spans="1:21" x14ac:dyDescent="0.2">
      <c r="A1210" s="64" t="str">
        <f t="shared" si="19"/>
        <v>1w</v>
      </c>
      <c r="B1210" s="203">
        <f>_xll.qlCalendarAdvance(Calendar,B1209,A1210,"f",FALSE)</f>
        <v>47352</v>
      </c>
      <c r="C1210" s="237">
        <f>_xll.qlCalendarAdvance(Calendar,B1210,NDays&amp;"D")</f>
        <v>47354</v>
      </c>
      <c r="D1210" s="202">
        <v>3.02395276651721E-2</v>
      </c>
      <c r="E1210" s="202">
        <v>3.0220306584638479E-2</v>
      </c>
      <c r="U1210" s="204"/>
    </row>
    <row r="1211" spans="1:21" x14ac:dyDescent="0.2">
      <c r="A1211" s="64" t="str">
        <f t="shared" si="19"/>
        <v>1w</v>
      </c>
      <c r="B1211" s="203">
        <f>_xll.qlCalendarAdvance(Calendar,B1210,A1211,"f",FALSE)</f>
        <v>47359</v>
      </c>
      <c r="C1211" s="237">
        <f>_xll.qlCalendarAdvance(Calendar,B1211,NDays&amp;"D")</f>
        <v>47361</v>
      </c>
      <c r="D1211" s="202">
        <v>3.0222307971448426E-2</v>
      </c>
      <c r="E1211" s="202">
        <v>3.0206077025161093E-2</v>
      </c>
      <c r="U1211" s="204"/>
    </row>
    <row r="1212" spans="1:21" x14ac:dyDescent="0.2">
      <c r="A1212" s="64" t="str">
        <f t="shared" si="19"/>
        <v>1w</v>
      </c>
      <c r="B1212" s="203">
        <f>_xll.qlCalendarAdvance(Calendar,B1211,A1212,"f",FALSE)</f>
        <v>47366</v>
      </c>
      <c r="C1212" s="237">
        <f>_xll.qlCalendarAdvance(Calendar,B1212,NDays&amp;"D")</f>
        <v>47368</v>
      </c>
      <c r="D1212" s="202">
        <v>3.020466940711157E-2</v>
      </c>
      <c r="E1212" s="202">
        <v>3.019161782026103E-2</v>
      </c>
      <c r="U1212" s="204"/>
    </row>
    <row r="1213" spans="1:21" x14ac:dyDescent="0.2">
      <c r="A1213" s="64" t="str">
        <f t="shared" si="19"/>
        <v>1w</v>
      </c>
      <c r="B1213" s="203">
        <f>_xll.qlCalendarAdvance(Calendar,B1212,A1213,"f",FALSE)</f>
        <v>47373</v>
      </c>
      <c r="C1213" s="237">
        <f>_xll.qlCalendarAdvance(Calendar,B1213,NDays&amp;"D")</f>
        <v>47375</v>
      </c>
      <c r="D1213" s="202">
        <v>3.0186797922928655E-2</v>
      </c>
      <c r="E1213" s="202">
        <v>3.0176928969964933E-2</v>
      </c>
      <c r="U1213" s="204"/>
    </row>
    <row r="1214" spans="1:21" x14ac:dyDescent="0.2">
      <c r="A1214" s="64" t="str">
        <f t="shared" si="19"/>
        <v>1w</v>
      </c>
      <c r="B1214" s="203">
        <f>_xll.qlCalendarAdvance(Calendar,B1213,A1214,"f",FALSE)</f>
        <v>47380</v>
      </c>
      <c r="C1214" s="237">
        <f>_xll.qlCalendarAdvance(Calendar,B1214,NDays&amp;"D")</f>
        <v>47382</v>
      </c>
      <c r="D1214" s="202">
        <v>3.0168693525087872E-2</v>
      </c>
      <c r="E1214" s="202">
        <v>3.0162010474406031E-2</v>
      </c>
      <c r="U1214" s="204"/>
    </row>
    <row r="1215" spans="1:21" x14ac:dyDescent="0.2">
      <c r="A1215" s="64" t="str">
        <f t="shared" si="19"/>
        <v>1w</v>
      </c>
      <c r="B1215" s="203">
        <f>_xll.qlCalendarAdvance(Calendar,B1214,A1215,"f",FALSE)</f>
        <v>47387</v>
      </c>
      <c r="C1215" s="237">
        <f>_xll.qlCalendarAdvance(Calendar,B1215,NDays&amp;"D")</f>
        <v>47389</v>
      </c>
      <c r="D1215" s="202">
        <v>3.0150221706413762E-2</v>
      </c>
      <c r="E1215" s="202">
        <v>3.0146862333637614E-2</v>
      </c>
      <c r="U1215" s="204"/>
    </row>
    <row r="1216" spans="1:21" x14ac:dyDescent="0.2">
      <c r="A1216" s="64" t="str">
        <f t="shared" si="19"/>
        <v>1w</v>
      </c>
      <c r="B1216" s="203">
        <f>_xll.qlCalendarAdvance(Calendar,B1215,A1216,"f",FALSE)</f>
        <v>47394</v>
      </c>
      <c r="C1216" s="237">
        <f>_xll.qlCalendarAdvance(Calendar,B1216,NDays&amp;"D")</f>
        <v>47396</v>
      </c>
      <c r="D1216" s="202">
        <v>3.0131633320753599E-2</v>
      </c>
      <c r="E1216" s="202">
        <v>3.0131484547739618E-2</v>
      </c>
      <c r="U1216" s="204"/>
    </row>
    <row r="1217" spans="1:21" x14ac:dyDescent="0.2">
      <c r="A1217" s="64" t="str">
        <f t="shared" si="19"/>
        <v>1w</v>
      </c>
      <c r="B1217" s="203">
        <f>_xll.qlCalendarAdvance(Calendar,B1216,A1217,"f",FALSE)</f>
        <v>47401</v>
      </c>
      <c r="C1217" s="237">
        <f>_xll.qlCalendarAdvance(Calendar,B1217,NDays&amp;"D")</f>
        <v>47403</v>
      </c>
      <c r="D1217" s="202">
        <v>3.0112812022562857E-2</v>
      </c>
      <c r="E1217" s="202">
        <v>3.0115877116818623E-2</v>
      </c>
      <c r="U1217" s="204"/>
    </row>
    <row r="1218" spans="1:21" x14ac:dyDescent="0.2">
      <c r="A1218" s="64" t="str">
        <f t="shared" si="19"/>
        <v>1w</v>
      </c>
      <c r="B1218" s="203">
        <f>_xll.qlCalendarAdvance(Calendar,B1217,A1218,"f",FALSE)</f>
        <v>47408</v>
      </c>
      <c r="C1218" s="237">
        <f>_xll.qlCalendarAdvance(Calendar,B1218,NDays&amp;"D")</f>
        <v>47410</v>
      </c>
      <c r="D1218" s="202">
        <v>3.0092983848763587E-2</v>
      </c>
      <c r="E1218" s="202">
        <v>3.0100040040954568E-2</v>
      </c>
      <c r="U1218" s="204"/>
    </row>
    <row r="1219" spans="1:21" x14ac:dyDescent="0.2">
      <c r="A1219" s="64" t="str">
        <f t="shared" si="19"/>
        <v>1w</v>
      </c>
      <c r="B1219" s="203">
        <f>_xll.qlCalendarAdvance(Calendar,B1218,A1219,"f",FALSE)</f>
        <v>47415</v>
      </c>
      <c r="C1219" s="237">
        <f>_xll.qlCalendarAdvance(Calendar,B1219,NDays&amp;"D")</f>
        <v>47417</v>
      </c>
      <c r="D1219" s="202">
        <v>3.007447071487717E-2</v>
      </c>
      <c r="E1219" s="202">
        <v>3.0083973320254032E-2</v>
      </c>
      <c r="U1219" s="204"/>
    </row>
    <row r="1220" spans="1:21" x14ac:dyDescent="0.2">
      <c r="A1220" s="64" t="str">
        <f t="shared" si="19"/>
        <v>1w</v>
      </c>
      <c r="B1220" s="203">
        <f>_xll.qlCalendarAdvance(Calendar,B1219,A1220,"f",FALSE)</f>
        <v>47422</v>
      </c>
      <c r="C1220" s="237">
        <f>_xll.qlCalendarAdvance(Calendar,B1220,NDays&amp;"D")</f>
        <v>47424</v>
      </c>
      <c r="D1220" s="202">
        <v>3.0055176307875818E-2</v>
      </c>
      <c r="E1220" s="202">
        <v>3.0067676954796951E-2</v>
      </c>
      <c r="U1220" s="204"/>
    </row>
    <row r="1221" spans="1:21" x14ac:dyDescent="0.2">
      <c r="A1221" s="64" t="str">
        <f t="shared" si="19"/>
        <v>1w</v>
      </c>
      <c r="B1221" s="203">
        <f>_xll.qlCalendarAdvance(Calendar,B1220,A1221,"f",FALSE)</f>
        <v>47429</v>
      </c>
      <c r="C1221" s="237">
        <f>_xll.qlCalendarAdvance(Calendar,B1221,NDays&amp;"D")</f>
        <v>47431</v>
      </c>
      <c r="D1221" s="202">
        <v>3.0035441694446437E-2</v>
      </c>
      <c r="E1221" s="202">
        <v>3.0051150944663263E-2</v>
      </c>
      <c r="U1221" s="204"/>
    </row>
    <row r="1222" spans="1:21" x14ac:dyDescent="0.2">
      <c r="A1222" s="64" t="str">
        <f t="shared" si="19"/>
        <v>1w</v>
      </c>
      <c r="B1222" s="203">
        <f>_xll.qlCalendarAdvance(Calendar,B1221,A1222,"f",FALSE)</f>
        <v>47436</v>
      </c>
      <c r="C1222" s="237">
        <f>_xll.qlCalendarAdvance(Calendar,B1222,NDays&amp;"D")</f>
        <v>47438</v>
      </c>
      <c r="D1222" s="202">
        <v>3.0015474219760595E-2</v>
      </c>
      <c r="E1222" s="202">
        <v>3.0034395289986193E-2</v>
      </c>
      <c r="U1222" s="204"/>
    </row>
    <row r="1223" spans="1:21" x14ac:dyDescent="0.2">
      <c r="A1223" s="64" t="str">
        <f t="shared" ref="A1223:A1286" si="20">A1222</f>
        <v>1w</v>
      </c>
      <c r="B1223" s="203">
        <f>_xll.qlCalendarAdvance(Calendar,B1222,A1223,"f",FALSE)</f>
        <v>47443</v>
      </c>
      <c r="C1223" s="237">
        <f>_xll.qlCalendarAdvance(Calendar,B1223,NDays&amp;"D")</f>
        <v>47445</v>
      </c>
      <c r="D1223" s="202">
        <v>2.9995273890729885E-2</v>
      </c>
      <c r="E1223" s="202">
        <v>3.0017409990819033E-2</v>
      </c>
      <c r="U1223" s="204"/>
    </row>
    <row r="1224" spans="1:21" x14ac:dyDescent="0.2">
      <c r="A1224" s="64" t="str">
        <f t="shared" si="20"/>
        <v>1w</v>
      </c>
      <c r="B1224" s="203">
        <f>_xll.qlCalendarAdvance(Calendar,B1223,A1224,"f",FALSE)</f>
        <v>47450</v>
      </c>
      <c r="C1224" s="237">
        <f>_xll.qlCalendarAdvance(Calendar,B1224,NDays&amp;"D")</f>
        <v>47452</v>
      </c>
      <c r="D1224" s="202">
        <v>2.9974542033600629E-2</v>
      </c>
      <c r="E1224" s="202">
        <v>3.0000195047295009E-2</v>
      </c>
      <c r="U1224" s="204"/>
    </row>
    <row r="1225" spans="1:21" x14ac:dyDescent="0.2">
      <c r="A1225" s="64" t="str">
        <f t="shared" si="20"/>
        <v>1w</v>
      </c>
      <c r="B1225" s="203">
        <f>_xll.qlCalendarAdvance(Calendar,B1224,A1225,"f",FALSE)</f>
        <v>47457</v>
      </c>
      <c r="C1225" s="237">
        <f>_xll.qlCalendarAdvance(Calendar,B1225,NDays&amp;"D")</f>
        <v>47459</v>
      </c>
      <c r="D1225" s="202">
        <v>2.9953865667895339E-2</v>
      </c>
      <c r="E1225" s="202">
        <v>2.9982750459494056E-2</v>
      </c>
      <c r="U1225" s="204"/>
    </row>
    <row r="1226" spans="1:21" x14ac:dyDescent="0.2">
      <c r="A1226" s="64" t="str">
        <f t="shared" si="20"/>
        <v>1w</v>
      </c>
      <c r="B1226" s="203">
        <f>_xll.qlCalendarAdvance(Calendar,B1225,A1226,"f",FALSE)</f>
        <v>47464</v>
      </c>
      <c r="C1226" s="237">
        <f>_xll.qlCalendarAdvance(Calendar,B1226,NDays&amp;"D")</f>
        <v>47466</v>
      </c>
      <c r="D1226" s="202">
        <v>2.9932985773788886E-2</v>
      </c>
      <c r="E1226" s="202">
        <v>2.9965076227496112E-2</v>
      </c>
      <c r="U1226" s="204"/>
    </row>
    <row r="1227" spans="1:21" x14ac:dyDescent="0.2">
      <c r="A1227" s="64" t="str">
        <f t="shared" si="20"/>
        <v>1w</v>
      </c>
      <c r="B1227" s="203">
        <f>_xll.qlCalendarAdvance(Calendar,B1226,A1227,"f",FALSE)</f>
        <v>47471</v>
      </c>
      <c r="C1227" s="237">
        <f>_xll.qlCalendarAdvance(Calendar,B1227,NDays&amp;"D")</f>
        <v>47473</v>
      </c>
      <c r="D1227" s="202">
        <v>2.9911925163715405E-2</v>
      </c>
      <c r="E1227" s="202">
        <v>2.9947172351461049E-2</v>
      </c>
      <c r="U1227" s="204"/>
    </row>
    <row r="1228" spans="1:21" x14ac:dyDescent="0.2">
      <c r="A1228" s="64" t="str">
        <f t="shared" si="20"/>
        <v>1w</v>
      </c>
      <c r="B1228" s="203">
        <f>_xll.qlCalendarAdvance(Calendar,B1227,A1228,"f",FALSE)</f>
        <v>47479</v>
      </c>
      <c r="C1228" s="237">
        <f>_xll.qlCalendarAdvance(Calendar,B1228,NDays&amp;"D")</f>
        <v>47483</v>
      </c>
      <c r="D1228" s="202">
        <v>2.988261122846364E-2</v>
      </c>
      <c r="E1228" s="202">
        <v>2.9921264484289445E-2</v>
      </c>
      <c r="U1228" s="204"/>
    </row>
    <row r="1229" spans="1:21" x14ac:dyDescent="0.2">
      <c r="A1229" s="64" t="str">
        <f t="shared" si="20"/>
        <v>1w</v>
      </c>
      <c r="B1229" s="203">
        <f>_xll.qlCalendarAdvance(Calendar,B1228,A1229,"f",FALSE)</f>
        <v>47486</v>
      </c>
      <c r="C1229" s="237">
        <f>_xll.qlCalendarAdvance(Calendar,B1229,NDays&amp;"D")</f>
        <v>47490</v>
      </c>
      <c r="D1229" s="202">
        <v>2.986016579175026E-2</v>
      </c>
      <c r="E1229" s="202">
        <v>2.9902904519660822E-2</v>
      </c>
      <c r="U1229" s="204"/>
    </row>
    <row r="1230" spans="1:21" x14ac:dyDescent="0.2">
      <c r="A1230" s="64" t="str">
        <f t="shared" si="20"/>
        <v>1w</v>
      </c>
      <c r="B1230" s="203">
        <f>_xll.qlCalendarAdvance(Calendar,B1229,A1230,"f",FALSE)</f>
        <v>47493</v>
      </c>
      <c r="C1230" s="237">
        <f>_xll.qlCalendarAdvance(Calendar,B1230,NDays&amp;"D")</f>
        <v>47497</v>
      </c>
      <c r="D1230" s="202">
        <v>2.9838658759776454E-2</v>
      </c>
      <c r="E1230" s="202">
        <v>2.9884249197813517E-2</v>
      </c>
      <c r="U1230" s="204"/>
    </row>
    <row r="1231" spans="1:21" x14ac:dyDescent="0.2">
      <c r="A1231" s="64" t="str">
        <f t="shared" si="20"/>
        <v>1w</v>
      </c>
      <c r="B1231" s="203">
        <f>_xll.qlCalendarAdvance(Calendar,B1230,A1231,"f",FALSE)</f>
        <v>47500</v>
      </c>
      <c r="C1231" s="237">
        <f>_xll.qlCalendarAdvance(Calendar,B1231,NDays&amp;"D")</f>
        <v>47504</v>
      </c>
      <c r="D1231" s="202">
        <v>2.9817072027222006E-2</v>
      </c>
      <c r="E1231" s="202">
        <v>2.9865364268593098E-2</v>
      </c>
      <c r="U1231" s="204"/>
    </row>
    <row r="1232" spans="1:21" x14ac:dyDescent="0.2">
      <c r="A1232" s="64" t="str">
        <f t="shared" si="20"/>
        <v>1w</v>
      </c>
      <c r="B1232" s="203">
        <f>_xll.qlCalendarAdvance(Calendar,B1231,A1232,"f",FALSE)</f>
        <v>47507</v>
      </c>
      <c r="C1232" s="237">
        <f>_xll.qlCalendarAdvance(Calendar,B1232,NDays&amp;"D")</f>
        <v>47511</v>
      </c>
      <c r="D1232" s="202">
        <v>2.9795428401418328E-2</v>
      </c>
      <c r="E1232" s="202">
        <v>2.9846249731839691E-2</v>
      </c>
      <c r="U1232" s="204"/>
    </row>
    <row r="1233" spans="1:21" x14ac:dyDescent="0.2">
      <c r="A1233" s="64" t="str">
        <f t="shared" si="20"/>
        <v>1w</v>
      </c>
      <c r="B1233" s="203">
        <f>_xll.qlCalendarAdvance(Calendar,B1232,A1233,"f",FALSE)</f>
        <v>47514</v>
      </c>
      <c r="C1233" s="237">
        <f>_xll.qlCalendarAdvance(Calendar,B1233,NDays&amp;"D")</f>
        <v>47518</v>
      </c>
      <c r="D1233" s="202">
        <v>2.9773750688721342E-2</v>
      </c>
      <c r="E1233" s="202">
        <v>2.9826905587793107E-2</v>
      </c>
      <c r="U1233" s="204"/>
    </row>
    <row r="1234" spans="1:21" x14ac:dyDescent="0.2">
      <c r="A1234" s="64" t="str">
        <f t="shared" si="20"/>
        <v>1w</v>
      </c>
      <c r="B1234" s="203">
        <f>_xll.qlCalendarAdvance(Calendar,B1233,A1234,"f",FALSE)</f>
        <v>47521</v>
      </c>
      <c r="C1234" s="237">
        <f>_xll.qlCalendarAdvance(Calendar,B1234,NDays&amp;"D")</f>
        <v>47525</v>
      </c>
      <c r="D1234" s="202">
        <v>2.9752061694505338E-2</v>
      </c>
      <c r="E1234" s="202">
        <v>2.9807331836373407E-2</v>
      </c>
      <c r="U1234" s="204"/>
    </row>
    <row r="1235" spans="1:21" x14ac:dyDescent="0.2">
      <c r="A1235" s="64" t="str">
        <f t="shared" si="20"/>
        <v>1w</v>
      </c>
      <c r="B1235" s="203">
        <f>_xll.qlCalendarAdvance(Calendar,B1234,A1235,"f",FALSE)</f>
        <v>47528</v>
      </c>
      <c r="C1235" s="237">
        <f>_xll.qlCalendarAdvance(Calendar,B1235,NDays&amp;"D")</f>
        <v>47532</v>
      </c>
      <c r="D1235" s="202">
        <v>2.973038422315771E-2</v>
      </c>
      <c r="E1235" s="202">
        <v>2.978752847766053E-2</v>
      </c>
      <c r="U1235" s="204"/>
    </row>
    <row r="1236" spans="1:21" x14ac:dyDescent="0.2">
      <c r="A1236" s="64" t="str">
        <f t="shared" si="20"/>
        <v>1w</v>
      </c>
      <c r="B1236" s="203">
        <f>_xll.qlCalendarAdvance(Calendar,B1235,A1236,"f",FALSE)</f>
        <v>47535</v>
      </c>
      <c r="C1236" s="237">
        <f>_xll.qlCalendarAdvance(Calendar,B1236,NDays&amp;"D")</f>
        <v>47539</v>
      </c>
      <c r="D1236" s="202">
        <v>2.9708741078083332E-2</v>
      </c>
      <c r="E1236" s="202">
        <v>2.9767495511654474E-2</v>
      </c>
      <c r="U1236" s="204"/>
    </row>
    <row r="1237" spans="1:21" x14ac:dyDescent="0.2">
      <c r="A1237" s="64" t="str">
        <f t="shared" si="20"/>
        <v>1w</v>
      </c>
      <c r="B1237" s="203">
        <f>_xll.qlCalendarAdvance(Calendar,B1236,A1237,"f",FALSE)</f>
        <v>47542</v>
      </c>
      <c r="C1237" s="237">
        <f>_xll.qlCalendarAdvance(Calendar,B1237,NDays&amp;"D")</f>
        <v>47546</v>
      </c>
      <c r="D1237" s="202">
        <v>2.9686570544955847E-2</v>
      </c>
      <c r="E1237" s="202">
        <v>2.9747232938355239E-2</v>
      </c>
      <c r="U1237" s="204"/>
    </row>
    <row r="1238" spans="1:21" x14ac:dyDescent="0.2">
      <c r="A1238" s="64" t="str">
        <f t="shared" si="20"/>
        <v>1w</v>
      </c>
      <c r="B1238" s="203">
        <f>_xll.qlCalendarAdvance(Calendar,B1237,A1238,"f",FALSE)</f>
        <v>47549</v>
      </c>
      <c r="C1238" s="237">
        <f>_xll.qlCalendarAdvance(Calendar,B1238,NDays&amp;"D")</f>
        <v>47553</v>
      </c>
      <c r="D1238" s="202">
        <v>2.9665095160149736E-2</v>
      </c>
      <c r="E1238" s="202">
        <v>2.9726740757922698E-2</v>
      </c>
      <c r="U1238" s="204"/>
    </row>
    <row r="1239" spans="1:21" x14ac:dyDescent="0.2">
      <c r="A1239" s="64" t="str">
        <f t="shared" si="20"/>
        <v>1w</v>
      </c>
      <c r="B1239" s="203">
        <f>_xll.qlCalendarAdvance(Calendar,B1238,A1239,"f",FALSE)</f>
        <v>47556</v>
      </c>
      <c r="C1239" s="237">
        <f>_xll.qlCalendarAdvance(Calendar,B1239,NDays&amp;"D")</f>
        <v>47560</v>
      </c>
      <c r="D1239" s="202">
        <v>2.9643725322113647E-2</v>
      </c>
      <c r="E1239" s="202">
        <v>2.9706018970276915E-2</v>
      </c>
      <c r="U1239" s="204"/>
    </row>
    <row r="1240" spans="1:21" x14ac:dyDescent="0.2">
      <c r="A1240" s="64" t="str">
        <f t="shared" si="20"/>
        <v>1w</v>
      </c>
      <c r="B1240" s="203">
        <f>_xll.qlCalendarAdvance(Calendar,B1239,A1240,"f",FALSE)</f>
        <v>47563</v>
      </c>
      <c r="C1240" s="237">
        <f>_xll.qlCalendarAdvance(Calendar,B1240,NDays&amp;"D")</f>
        <v>47567</v>
      </c>
      <c r="D1240" s="202">
        <v>2.9622483586038771E-2</v>
      </c>
      <c r="E1240" s="202">
        <v>2.9685067575497825E-2</v>
      </c>
      <c r="U1240" s="204"/>
    </row>
    <row r="1241" spans="1:21" x14ac:dyDescent="0.2">
      <c r="A1241" s="64" t="str">
        <f t="shared" si="20"/>
        <v>1w</v>
      </c>
      <c r="B1241" s="203">
        <f>_xll.qlCalendarAdvance(Calendar,B1240,A1241,"f",FALSE)</f>
        <v>47570</v>
      </c>
      <c r="C1241" s="237">
        <f>_xll.qlCalendarAdvance(Calendar,B1241,NDays&amp;"D")</f>
        <v>47574</v>
      </c>
      <c r="D1241" s="202">
        <v>2.9601614325551896E-2</v>
      </c>
      <c r="E1241" s="202">
        <v>2.9663886573745302E-2</v>
      </c>
      <c r="U1241" s="204"/>
    </row>
    <row r="1242" spans="1:21" x14ac:dyDescent="0.2">
      <c r="A1242" s="64" t="str">
        <f t="shared" si="20"/>
        <v>1w</v>
      </c>
      <c r="B1242" s="203">
        <f>_xll.qlCalendarAdvance(Calendar,B1241,A1242,"f",FALSE)</f>
        <v>47577</v>
      </c>
      <c r="C1242" s="237">
        <f>_xll.qlCalendarAdvance(Calendar,B1242,NDays&amp;"D")</f>
        <v>47581</v>
      </c>
      <c r="D1242" s="202">
        <v>2.9580676182836298E-2</v>
      </c>
      <c r="E1242" s="202">
        <v>2.9642475964939408E-2</v>
      </c>
      <c r="U1242" s="204"/>
    </row>
    <row r="1243" spans="1:21" x14ac:dyDescent="0.2">
      <c r="A1243" s="64" t="str">
        <f t="shared" si="20"/>
        <v>1w</v>
      </c>
      <c r="B1243" s="203">
        <f>_xll.qlCalendarAdvance(Calendar,B1242,A1243,"f",FALSE)</f>
        <v>47584</v>
      </c>
      <c r="C1243" s="237">
        <f>_xll.qlCalendarAdvance(Calendar,B1243,NDays&amp;"D")</f>
        <v>47588</v>
      </c>
      <c r="D1243" s="202">
        <v>2.9559932887493909E-2</v>
      </c>
      <c r="E1243" s="202">
        <v>2.9620835749080143E-2</v>
      </c>
      <c r="U1243" s="204"/>
    </row>
    <row r="1244" spans="1:21" x14ac:dyDescent="0.2">
      <c r="A1244" s="64" t="str">
        <f t="shared" si="20"/>
        <v>1w</v>
      </c>
      <c r="B1244" s="203">
        <f>_xll.qlCalendarAdvance(Calendar,B1243,A1244,"f",FALSE)</f>
        <v>47591</v>
      </c>
      <c r="C1244" s="237">
        <f>_xll.qlCalendarAdvance(Calendar,B1244,NDays&amp;"D")</f>
        <v>47597</v>
      </c>
      <c r="D1244" s="202">
        <v>2.9533585730934269E-2</v>
      </c>
      <c r="E1244" s="202">
        <v>2.9592675232841259E-2</v>
      </c>
      <c r="U1244" s="204"/>
    </row>
    <row r="1245" spans="1:21" x14ac:dyDescent="0.2">
      <c r="A1245" s="64" t="str">
        <f t="shared" si="20"/>
        <v>1w</v>
      </c>
      <c r="B1245" s="203">
        <f>_xll.qlCalendarAdvance(Calendar,B1244,A1245,"f",FALSE)</f>
        <v>47598</v>
      </c>
      <c r="C1245" s="237">
        <f>_xll.qlCalendarAdvance(Calendar,B1245,NDays&amp;"D")</f>
        <v>47602</v>
      </c>
      <c r="D1245" s="202">
        <v>2.9519121530121886E-2</v>
      </c>
      <c r="E1245" s="202">
        <v>2.9576866496601184E-2</v>
      </c>
      <c r="U1245" s="204"/>
    </row>
    <row r="1246" spans="1:21" x14ac:dyDescent="0.2">
      <c r="A1246" s="64" t="str">
        <f t="shared" si="20"/>
        <v>1w</v>
      </c>
      <c r="B1246" s="203">
        <f>_xll.qlCalendarAdvance(Calendar,B1245,A1246,"f",FALSE)</f>
        <v>47605</v>
      </c>
      <c r="C1246" s="237">
        <f>_xll.qlCalendarAdvance(Calendar,B1246,NDays&amp;"D")</f>
        <v>47609</v>
      </c>
      <c r="D1246" s="202">
        <v>2.9498986284903727E-2</v>
      </c>
      <c r="E1246" s="202">
        <v>2.9554537459981489E-2</v>
      </c>
      <c r="U1246" s="204"/>
    </row>
    <row r="1247" spans="1:21" x14ac:dyDescent="0.2">
      <c r="A1247" s="64" t="str">
        <f t="shared" si="20"/>
        <v>1w</v>
      </c>
      <c r="B1247" s="203">
        <f>_xll.qlCalendarAdvance(Calendar,B1246,A1247,"f",FALSE)</f>
        <v>47612</v>
      </c>
      <c r="C1247" s="237">
        <f>_xll.qlCalendarAdvance(Calendar,B1247,NDays&amp;"D")</f>
        <v>47616</v>
      </c>
      <c r="D1247" s="202">
        <v>2.9479272731030067E-2</v>
      </c>
      <c r="E1247" s="202">
        <v>2.9531978816628168E-2</v>
      </c>
      <c r="U1247" s="204"/>
    </row>
    <row r="1248" spans="1:21" x14ac:dyDescent="0.2">
      <c r="A1248" s="64" t="str">
        <f t="shared" si="20"/>
        <v>1w</v>
      </c>
      <c r="B1248" s="203">
        <f>_xll.qlCalendarAdvance(Calendar,B1247,A1248,"f",FALSE)</f>
        <v>47619</v>
      </c>
      <c r="C1248" s="237">
        <f>_xll.qlCalendarAdvance(Calendar,B1248,NDays&amp;"D")</f>
        <v>47623</v>
      </c>
      <c r="D1248" s="202">
        <v>2.9459867688355602E-2</v>
      </c>
      <c r="E1248" s="202">
        <v>2.9509190566381349E-2</v>
      </c>
      <c r="U1248" s="204"/>
    </row>
    <row r="1249" spans="1:21" x14ac:dyDescent="0.2">
      <c r="A1249" s="64" t="str">
        <f t="shared" si="20"/>
        <v>1w</v>
      </c>
      <c r="B1249" s="203">
        <f>_xll.qlCalendarAdvance(Calendar,B1248,A1249,"f",FALSE)</f>
        <v>47626</v>
      </c>
      <c r="C1249" s="237">
        <f>_xll.qlCalendarAdvance(Calendar,B1249,NDays&amp;"D")</f>
        <v>47630</v>
      </c>
      <c r="D1249" s="202">
        <v>2.9440793704371165E-2</v>
      </c>
      <c r="E1249" s="202">
        <v>2.9486172709560776E-2</v>
      </c>
      <c r="U1249" s="204"/>
    </row>
    <row r="1250" spans="1:21" x14ac:dyDescent="0.2">
      <c r="A1250" s="64" t="str">
        <f t="shared" si="20"/>
        <v>1w</v>
      </c>
      <c r="B1250" s="203">
        <f>_xll.qlCalendarAdvance(Calendar,B1249,A1250,"f",FALSE)</f>
        <v>47633</v>
      </c>
      <c r="C1250" s="237">
        <f>_xll.qlCalendarAdvance(Calendar,B1250,NDays&amp;"D")</f>
        <v>47637</v>
      </c>
      <c r="D1250" s="202">
        <v>2.9422088596699019E-2</v>
      </c>
      <c r="E1250" s="202">
        <v>2.9463106061209388E-2</v>
      </c>
      <c r="U1250" s="204"/>
    </row>
    <row r="1251" spans="1:21" x14ac:dyDescent="0.2">
      <c r="A1251" s="64" t="str">
        <f t="shared" si="20"/>
        <v>1w</v>
      </c>
      <c r="B1251" s="203">
        <f>_xll.qlCalendarAdvance(Calendar,B1250,A1251,"f",FALSE)</f>
        <v>47640</v>
      </c>
      <c r="C1251" s="237">
        <f>_xll.qlCalendarAdvance(Calendar,B1251,NDays&amp;"D")</f>
        <v>47644</v>
      </c>
      <c r="D1251" s="202">
        <v>2.9403702575915347E-2</v>
      </c>
      <c r="E1251" s="202">
        <v>2.9440380070040462E-2</v>
      </c>
      <c r="U1251" s="204"/>
    </row>
    <row r="1252" spans="1:21" x14ac:dyDescent="0.2">
      <c r="A1252" s="64" t="str">
        <f t="shared" si="20"/>
        <v>1w</v>
      </c>
      <c r="B1252" s="203">
        <f>_xll.qlCalendarAdvance(Calendar,B1251,A1252,"f",FALSE)</f>
        <v>47647</v>
      </c>
      <c r="C1252" s="237">
        <f>_xll.qlCalendarAdvance(Calendar,B1252,NDays&amp;"D")</f>
        <v>47651</v>
      </c>
      <c r="D1252" s="202">
        <v>2.9385676555843759E-2</v>
      </c>
      <c r="E1252" s="202">
        <v>2.9418008644688243E-2</v>
      </c>
      <c r="U1252" s="204"/>
    </row>
    <row r="1253" spans="1:21" x14ac:dyDescent="0.2">
      <c r="A1253" s="64" t="str">
        <f t="shared" si="20"/>
        <v>1w</v>
      </c>
      <c r="B1253" s="203">
        <f>_xll.qlCalendarAdvance(Calendar,B1252,A1253,"f",FALSE)</f>
        <v>47654</v>
      </c>
      <c r="C1253" s="237">
        <f>_xll.qlCalendarAdvance(Calendar,B1253,NDays&amp;"D")</f>
        <v>47658</v>
      </c>
      <c r="D1253" s="202">
        <v>2.9368010526737296E-2</v>
      </c>
      <c r="E1253" s="202">
        <v>2.9395991785232667E-2</v>
      </c>
      <c r="U1253" s="204"/>
    </row>
    <row r="1254" spans="1:21" x14ac:dyDescent="0.2">
      <c r="A1254" s="64" t="str">
        <f t="shared" si="20"/>
        <v>1w</v>
      </c>
      <c r="B1254" s="203">
        <f>_xll.qlCalendarAdvance(Calendar,B1253,A1254,"f",FALSE)</f>
        <v>47661</v>
      </c>
      <c r="C1254" s="237">
        <f>_xll.qlCalendarAdvance(Calendar,B1254,NDays&amp;"D")</f>
        <v>47665</v>
      </c>
      <c r="D1254" s="202">
        <v>2.9350867680517385E-2</v>
      </c>
      <c r="E1254" s="202">
        <v>2.9374329491513862E-2</v>
      </c>
      <c r="U1254" s="204"/>
    </row>
    <row r="1255" spans="1:21" x14ac:dyDescent="0.2">
      <c r="A1255" s="64" t="str">
        <f t="shared" si="20"/>
        <v>1w</v>
      </c>
      <c r="B1255" s="203">
        <f>_xll.qlCalendarAdvance(Calendar,B1254,A1255,"f",FALSE)</f>
        <v>47668</v>
      </c>
      <c r="C1255" s="237">
        <f>_xll.qlCalendarAdvance(Calendar,B1255,NDays&amp;"D")</f>
        <v>47672</v>
      </c>
      <c r="D1255" s="202">
        <v>2.9333863179473056E-2</v>
      </c>
      <c r="E1255" s="202">
        <v>2.9353021763451892E-2</v>
      </c>
      <c r="U1255" s="204"/>
    </row>
    <row r="1256" spans="1:21" x14ac:dyDescent="0.2">
      <c r="A1256" s="64" t="str">
        <f t="shared" si="20"/>
        <v>1w</v>
      </c>
      <c r="B1256" s="203">
        <f>_xll.qlCalendarAdvance(Calendar,B1255,A1256,"f",FALSE)</f>
        <v>47675</v>
      </c>
      <c r="C1256" s="237">
        <f>_xll.qlCalendarAdvance(Calendar,B1256,NDays&amp;"D")</f>
        <v>47679</v>
      </c>
      <c r="D1256" s="202">
        <v>2.931730143802827E-2</v>
      </c>
      <c r="E1256" s="202">
        <v>2.9332068601206629E-2</v>
      </c>
      <c r="U1256" s="204"/>
    </row>
    <row r="1257" spans="1:21" x14ac:dyDescent="0.2">
      <c r="A1257" s="64" t="str">
        <f t="shared" si="20"/>
        <v>1w</v>
      </c>
      <c r="B1257" s="203">
        <f>_xll.qlCalendarAdvance(Calendar,B1256,A1257,"f",FALSE)</f>
        <v>47682</v>
      </c>
      <c r="C1257" s="237">
        <f>_xll.qlCalendarAdvance(Calendar,B1257,NDays&amp;"D")</f>
        <v>47686</v>
      </c>
      <c r="D1257" s="202">
        <v>2.9301099679723303E-2</v>
      </c>
      <c r="E1257" s="202">
        <v>2.9311470004298457E-2</v>
      </c>
      <c r="U1257" s="204"/>
    </row>
    <row r="1258" spans="1:21" x14ac:dyDescent="0.2">
      <c r="A1258" s="64" t="str">
        <f t="shared" si="20"/>
        <v>1w</v>
      </c>
      <c r="B1258" s="203">
        <f>_xll.qlCalendarAdvance(Calendar,B1257,A1258,"f",FALSE)</f>
        <v>47689</v>
      </c>
      <c r="C1258" s="237">
        <f>_xll.qlCalendarAdvance(Calendar,B1258,NDays&amp;"D")</f>
        <v>47693</v>
      </c>
      <c r="D1258" s="202">
        <v>2.9285257895751284E-2</v>
      </c>
      <c r="E1258" s="202">
        <v>2.9291225973047119E-2</v>
      </c>
      <c r="U1258" s="204"/>
    </row>
    <row r="1259" spans="1:21" x14ac:dyDescent="0.2">
      <c r="A1259" s="64" t="str">
        <f t="shared" si="20"/>
        <v>1w</v>
      </c>
      <c r="B1259" s="203">
        <f>_xll.qlCalendarAdvance(Calendar,B1258,A1259,"f",FALSE)</f>
        <v>47696</v>
      </c>
      <c r="C1259" s="237">
        <f>_xll.qlCalendarAdvance(Calendar,B1259,NDays&amp;"D")</f>
        <v>47700</v>
      </c>
      <c r="D1259" s="202">
        <v>2.9269776077498238E-2</v>
      </c>
      <c r="E1259" s="202">
        <v>2.9271336507132872E-2</v>
      </c>
      <c r="U1259" s="204"/>
    </row>
    <row r="1260" spans="1:21" x14ac:dyDescent="0.2">
      <c r="A1260" s="64" t="str">
        <f t="shared" si="20"/>
        <v>1w</v>
      </c>
      <c r="B1260" s="203">
        <f>_xll.qlCalendarAdvance(Calendar,B1259,A1260,"f",FALSE)</f>
        <v>47703</v>
      </c>
      <c r="C1260" s="237">
        <f>_xll.qlCalendarAdvance(Calendar,B1260,NDays&amp;"D")</f>
        <v>47707</v>
      </c>
      <c r="D1260" s="202">
        <v>2.9254654216546116E-2</v>
      </c>
      <c r="E1260" s="202">
        <v>2.9251801606715588E-2</v>
      </c>
      <c r="U1260" s="204"/>
    </row>
    <row r="1261" spans="1:21" x14ac:dyDescent="0.2">
      <c r="A1261" s="64" t="str">
        <f t="shared" si="20"/>
        <v>1w</v>
      </c>
      <c r="B1261" s="203">
        <f>_xll.qlCalendarAdvance(Calendar,B1260,A1261,"f",FALSE)</f>
        <v>47710</v>
      </c>
      <c r="C1261" s="237">
        <f>_xll.qlCalendarAdvance(Calendar,B1261,NDays&amp;"D")</f>
        <v>47714</v>
      </c>
      <c r="D1261" s="202">
        <v>2.9239892304675837E-2</v>
      </c>
      <c r="E1261" s="202">
        <v>2.9232621271555459E-2</v>
      </c>
      <c r="U1261" s="204"/>
    </row>
    <row r="1262" spans="1:21" x14ac:dyDescent="0.2">
      <c r="A1262" s="64" t="str">
        <f t="shared" si="20"/>
        <v>1w</v>
      </c>
      <c r="B1262" s="203">
        <f>_xll.qlCalendarAdvance(Calendar,B1261,A1262,"f",FALSE)</f>
        <v>47717</v>
      </c>
      <c r="C1262" s="237">
        <f>_xll.qlCalendarAdvance(Calendar,B1262,NDays&amp;"D")</f>
        <v>47721</v>
      </c>
      <c r="D1262" s="202">
        <v>2.9225490333859044E-2</v>
      </c>
      <c r="E1262" s="202">
        <v>2.921379550173242E-2</v>
      </c>
      <c r="U1262" s="204"/>
    </row>
    <row r="1263" spans="1:21" x14ac:dyDescent="0.2">
      <c r="A1263" s="64" t="str">
        <f t="shared" si="20"/>
        <v>1w</v>
      </c>
      <c r="B1263" s="203">
        <f>_xll.qlCalendarAdvance(Calendar,B1262,A1263,"f",FALSE)</f>
        <v>47724</v>
      </c>
      <c r="C1263" s="237">
        <f>_xll.qlCalendarAdvance(Calendar,B1263,NDays&amp;"D")</f>
        <v>47728</v>
      </c>
      <c r="D1263" s="202">
        <v>2.9210849540396884E-2</v>
      </c>
      <c r="E1263" s="202">
        <v>2.9195324297166536E-2</v>
      </c>
      <c r="U1263" s="204"/>
    </row>
    <row r="1264" spans="1:21" x14ac:dyDescent="0.2">
      <c r="A1264" s="64" t="str">
        <f t="shared" si="20"/>
        <v>1w</v>
      </c>
      <c r="B1264" s="203">
        <f>_xll.qlCalendarAdvance(Calendar,B1263,A1264,"f",FALSE)</f>
        <v>47731</v>
      </c>
      <c r="C1264" s="237">
        <f>_xll.qlCalendarAdvance(Calendar,B1264,NDays&amp;"D")</f>
        <v>47735</v>
      </c>
      <c r="D1264" s="202">
        <v>2.9197118224184023E-2</v>
      </c>
      <c r="E1264" s="202">
        <v>2.9177207657697934E-2</v>
      </c>
      <c r="U1264" s="204"/>
    </row>
    <row r="1265" spans="1:21" x14ac:dyDescent="0.2">
      <c r="A1265" s="64" t="str">
        <f t="shared" si="20"/>
        <v>1w</v>
      </c>
      <c r="B1265" s="203">
        <f>_xll.qlCalendarAdvance(Calendar,B1264,A1265,"f",FALSE)</f>
        <v>47738</v>
      </c>
      <c r="C1265" s="237">
        <f>_xll.qlCalendarAdvance(Calendar,B1265,NDays&amp;"D")</f>
        <v>47742</v>
      </c>
      <c r="D1265" s="202">
        <v>2.9183746768178285E-2</v>
      </c>
      <c r="E1265" s="202">
        <v>2.9159445583326615E-2</v>
      </c>
      <c r="U1265" s="204"/>
    </row>
    <row r="1266" spans="1:21" x14ac:dyDescent="0.2">
      <c r="A1266" s="64" t="str">
        <f t="shared" si="20"/>
        <v>1w</v>
      </c>
      <c r="B1266" s="203">
        <f>_xll.qlCalendarAdvance(Calendar,B1265,A1266,"f",FALSE)</f>
        <v>47745</v>
      </c>
      <c r="C1266" s="237">
        <f>_xll.qlCalendarAdvance(Calendar,B1266,NDays&amp;"D")</f>
        <v>47749</v>
      </c>
      <c r="D1266" s="202">
        <v>2.9170735165188068E-2</v>
      </c>
      <c r="E1266" s="202">
        <v>2.9142038074052579E-2</v>
      </c>
      <c r="U1266" s="204"/>
    </row>
    <row r="1267" spans="1:21" x14ac:dyDescent="0.2">
      <c r="A1267" s="64" t="str">
        <f t="shared" si="20"/>
        <v>1w</v>
      </c>
      <c r="B1267" s="203">
        <f>_xll.qlCalendarAdvance(Calendar,B1266,A1267,"f",FALSE)</f>
        <v>47752</v>
      </c>
      <c r="C1267" s="237">
        <f>_xll.qlCalendarAdvance(Calendar,B1267,NDays&amp;"D")</f>
        <v>47756</v>
      </c>
      <c r="D1267" s="202">
        <v>2.9158083408218082E-2</v>
      </c>
      <c r="E1267" s="202">
        <v>2.9124985129795888E-2</v>
      </c>
      <c r="U1267" s="204"/>
    </row>
    <row r="1268" spans="1:21" x14ac:dyDescent="0.2">
      <c r="A1268" s="64" t="str">
        <f t="shared" si="20"/>
        <v>1w</v>
      </c>
      <c r="B1268" s="203">
        <f>_xll.qlCalendarAdvance(Calendar,B1267,A1268,"f",FALSE)</f>
        <v>47759</v>
      </c>
      <c r="C1268" s="237">
        <f>_xll.qlCalendarAdvance(Calendar,B1268,NDays&amp;"D")</f>
        <v>47763</v>
      </c>
      <c r="D1268" s="202">
        <v>2.9145791490462349E-2</v>
      </c>
      <c r="E1268" s="202">
        <v>2.9108286750396672E-2</v>
      </c>
      <c r="U1268" s="204"/>
    </row>
    <row r="1269" spans="1:21" x14ac:dyDescent="0.2">
      <c r="A1269" s="64" t="str">
        <f t="shared" si="20"/>
        <v>1w</v>
      </c>
      <c r="B1269" s="203">
        <f>_xll.qlCalendarAdvance(Calendar,B1268,A1269,"f",FALSE)</f>
        <v>47766</v>
      </c>
      <c r="C1269" s="237">
        <f>_xll.qlCalendarAdvance(Calendar,B1269,NDays&amp;"D")</f>
        <v>47770</v>
      </c>
      <c r="D1269" s="202">
        <v>2.9134305632918852E-2</v>
      </c>
      <c r="E1269" s="202">
        <v>2.9091942936094739E-2</v>
      </c>
      <c r="U1269" s="204"/>
    </row>
    <row r="1270" spans="1:21" x14ac:dyDescent="0.2">
      <c r="A1270" s="64" t="str">
        <f t="shared" si="20"/>
        <v>1w</v>
      </c>
      <c r="B1270" s="203">
        <f>_xll.qlCalendarAdvance(Calendar,B1269,A1270,"f",FALSE)</f>
        <v>47773</v>
      </c>
      <c r="C1270" s="237">
        <f>_xll.qlCalendarAdvance(Calendar,B1270,NDays&amp;"D")</f>
        <v>47777</v>
      </c>
      <c r="D1270" s="202">
        <v>2.9122287146352639E-2</v>
      </c>
      <c r="E1270" s="202">
        <v>2.9075953686490408E-2</v>
      </c>
      <c r="U1270" s="204"/>
    </row>
    <row r="1271" spans="1:21" x14ac:dyDescent="0.2">
      <c r="A1271" s="64" t="str">
        <f t="shared" si="20"/>
        <v>1w</v>
      </c>
      <c r="B1271" s="203">
        <f>_xll.qlCalendarAdvance(Calendar,B1270,A1271,"f",FALSE)</f>
        <v>47780</v>
      </c>
      <c r="C1271" s="237">
        <f>_xll.qlCalendarAdvance(Calendar,B1271,NDays&amp;"D")</f>
        <v>47784</v>
      </c>
      <c r="D1271" s="202">
        <v>2.9111074707358228E-2</v>
      </c>
      <c r="E1271" s="202">
        <v>2.9060319001743551E-2</v>
      </c>
      <c r="U1271" s="204"/>
    </row>
    <row r="1272" spans="1:21" x14ac:dyDescent="0.2">
      <c r="A1272" s="64" t="str">
        <f t="shared" si="20"/>
        <v>1w</v>
      </c>
      <c r="B1272" s="203">
        <f>_xll.qlCalendarAdvance(Calendar,B1271,A1272,"f",FALSE)</f>
        <v>47787</v>
      </c>
      <c r="C1272" s="237">
        <f>_xll.qlCalendarAdvance(Calendar,B1272,NDays&amp;"D")</f>
        <v>47791</v>
      </c>
      <c r="D1272" s="202">
        <v>2.9100222082301144E-2</v>
      </c>
      <c r="E1272" s="202">
        <v>2.9045038881774232E-2</v>
      </c>
      <c r="U1272" s="204"/>
    </row>
    <row r="1273" spans="1:21" x14ac:dyDescent="0.2">
      <c r="A1273" s="64" t="str">
        <f t="shared" si="20"/>
        <v>1w</v>
      </c>
      <c r="B1273" s="203">
        <f>_xll.qlCalendarAdvance(Calendar,B1272,A1273,"f",FALSE)</f>
        <v>47794</v>
      </c>
      <c r="C1273" s="237">
        <f>_xll.qlCalendarAdvance(Calendar,B1273,NDays&amp;"D")</f>
        <v>47798</v>
      </c>
      <c r="D1273" s="202">
        <v>2.9089729265344737E-2</v>
      </c>
      <c r="E1273" s="202">
        <v>2.9030113326582452E-2</v>
      </c>
      <c r="U1273" s="204"/>
    </row>
    <row r="1274" spans="1:21" x14ac:dyDescent="0.2">
      <c r="A1274" s="64" t="str">
        <f t="shared" si="20"/>
        <v>1w</v>
      </c>
      <c r="B1274" s="203">
        <f>_xll.qlCalendarAdvance(Calendar,B1273,A1274,"f",FALSE)</f>
        <v>47801</v>
      </c>
      <c r="C1274" s="237">
        <f>_xll.qlCalendarAdvance(Calendar,B1274,NDays&amp;"D")</f>
        <v>47805</v>
      </c>
      <c r="D1274" s="202">
        <v>2.9079596250846926E-2</v>
      </c>
      <c r="E1274" s="202">
        <v>2.9015542336088274E-2</v>
      </c>
      <c r="U1274" s="204"/>
    </row>
    <row r="1275" spans="1:21" x14ac:dyDescent="0.2">
      <c r="A1275" s="64" t="str">
        <f t="shared" si="20"/>
        <v>1w</v>
      </c>
      <c r="B1275" s="203">
        <f>_xll.qlCalendarAdvance(Calendar,B1274,A1275,"f",FALSE)</f>
        <v>47808</v>
      </c>
      <c r="C1275" s="237">
        <f>_xll.qlCalendarAdvance(Calendar,B1275,NDays&amp;"D")</f>
        <v>47812</v>
      </c>
      <c r="D1275" s="202">
        <v>2.9069823033358443E-2</v>
      </c>
      <c r="E1275" s="202">
        <v>2.9001325910131825E-2</v>
      </c>
      <c r="U1275" s="204"/>
    </row>
    <row r="1276" spans="1:21" x14ac:dyDescent="0.2">
      <c r="A1276" s="64" t="str">
        <f t="shared" si="20"/>
        <v>1w</v>
      </c>
      <c r="B1276" s="203">
        <f>_xll.qlCalendarAdvance(Calendar,B1275,A1276,"f",FALSE)</f>
        <v>47815</v>
      </c>
      <c r="C1276" s="237">
        <f>_xll.qlCalendarAdvance(Calendar,B1276,NDays&amp;"D")</f>
        <v>47819</v>
      </c>
      <c r="D1276" s="202">
        <v>2.9060408626068655E-2</v>
      </c>
      <c r="E1276" s="202">
        <v>2.898746404887298E-2</v>
      </c>
      <c r="U1276" s="204"/>
    </row>
    <row r="1277" spans="1:21" x14ac:dyDescent="0.2">
      <c r="A1277" s="64" t="str">
        <f t="shared" si="20"/>
        <v>1w</v>
      </c>
      <c r="B1277" s="203">
        <f>_xll.qlCalendarAdvance(Calendar,B1276,A1277,"f",FALSE)</f>
        <v>47822</v>
      </c>
      <c r="C1277" s="237">
        <f>_xll.qlCalendarAdvance(Calendar,B1277,NDays&amp;"D")</f>
        <v>47826</v>
      </c>
      <c r="D1277" s="202">
        <v>2.9051335555371708E-2</v>
      </c>
      <c r="E1277" s="202">
        <v>2.8973956751991992E-2</v>
      </c>
      <c r="U1277" s="204"/>
    </row>
    <row r="1278" spans="1:21" x14ac:dyDescent="0.2">
      <c r="A1278" s="64" t="str">
        <f t="shared" si="20"/>
        <v>1w</v>
      </c>
      <c r="B1278" s="203">
        <f>_xll.qlCalendarAdvance(Calendar,B1277,A1278,"f",FALSE)</f>
        <v>47829</v>
      </c>
      <c r="C1278" s="237">
        <f>_xll.qlCalendarAdvance(Calendar,B1278,NDays&amp;"D")</f>
        <v>47833</v>
      </c>
      <c r="D1278" s="202">
        <v>2.9042572667842697E-2</v>
      </c>
      <c r="E1278" s="202">
        <v>2.8960804019808606E-2</v>
      </c>
      <c r="U1278" s="204"/>
    </row>
    <row r="1279" spans="1:21" x14ac:dyDescent="0.2">
      <c r="A1279" s="64" t="str">
        <f t="shared" si="20"/>
        <v>1w</v>
      </c>
      <c r="B1279" s="203">
        <f>_xll.qlCalendarAdvance(Calendar,B1278,A1279,"f",FALSE)</f>
        <v>47836</v>
      </c>
      <c r="C1279" s="237">
        <f>_xll.qlCalendarAdvance(Calendar,B1279,NDays&amp;"D")</f>
        <v>47840</v>
      </c>
      <c r="D1279" s="202">
        <v>2.9034088396662584E-2</v>
      </c>
      <c r="E1279" s="202">
        <v>2.8948005851923142E-2</v>
      </c>
      <c r="U1279" s="204"/>
    </row>
    <row r="1280" spans="1:21" x14ac:dyDescent="0.2">
      <c r="A1280" s="64" t="str">
        <f t="shared" si="20"/>
        <v>1w</v>
      </c>
      <c r="B1280" s="203">
        <f>_xll.qlCalendarAdvance(Calendar,B1279,A1280,"f",FALSE)</f>
        <v>47844</v>
      </c>
      <c r="C1280" s="237">
        <f>_xll.qlCalendarAdvance(Calendar,B1280,NDays&amp;"D")</f>
        <v>47848</v>
      </c>
      <c r="D1280" s="202">
        <v>2.902401715881562E-2</v>
      </c>
      <c r="E1280" s="202">
        <v>2.8934105456248638E-2</v>
      </c>
      <c r="U1280" s="204"/>
    </row>
    <row r="1281" spans="1:21" x14ac:dyDescent="0.2">
      <c r="A1281" s="64" t="str">
        <f t="shared" si="20"/>
        <v>1w</v>
      </c>
      <c r="B1281" s="203">
        <f>_xll.qlCalendarAdvance(Calendar,B1280,A1281,"f",FALSE)</f>
        <v>47851</v>
      </c>
      <c r="C1281" s="237">
        <f>_xll.qlCalendarAdvance(Calendar,B1281,NDays&amp;"D")</f>
        <v>47855</v>
      </c>
      <c r="D1281" s="202">
        <v>2.9016019510962474E-2</v>
      </c>
      <c r="E1281" s="202">
        <v>2.8921775148234019E-2</v>
      </c>
      <c r="U1281" s="204"/>
    </row>
    <row r="1282" spans="1:21" x14ac:dyDescent="0.2">
      <c r="A1282" s="64" t="str">
        <f t="shared" si="20"/>
        <v>1w</v>
      </c>
      <c r="B1282" s="203">
        <f>_xll.qlCalendarAdvance(Calendar,B1281,A1282,"f",FALSE)</f>
        <v>47858</v>
      </c>
      <c r="C1282" s="237">
        <f>_xll.qlCalendarAdvance(Calendar,B1282,NDays&amp;"D")</f>
        <v>47862</v>
      </c>
      <c r="D1282" s="202">
        <v>2.9008204796211804E-2</v>
      </c>
      <c r="E1282" s="202">
        <v>2.8910091325684562E-2</v>
      </c>
      <c r="U1282" s="204"/>
    </row>
    <row r="1283" spans="1:21" x14ac:dyDescent="0.2">
      <c r="A1283" s="64" t="str">
        <f t="shared" si="20"/>
        <v>1w</v>
      </c>
      <c r="B1283" s="203">
        <f>_xll.qlCalendarAdvance(Calendar,B1282,A1283,"f",FALSE)</f>
        <v>47865</v>
      </c>
      <c r="C1283" s="237">
        <f>_xll.qlCalendarAdvance(Calendar,B1283,NDays&amp;"D")</f>
        <v>47869</v>
      </c>
      <c r="D1283" s="202">
        <v>2.9000541278355257E-2</v>
      </c>
      <c r="E1283" s="202">
        <v>2.8898762067433026E-2</v>
      </c>
      <c r="U1283" s="204"/>
    </row>
    <row r="1284" spans="1:21" x14ac:dyDescent="0.2">
      <c r="A1284" s="64" t="str">
        <f t="shared" si="20"/>
        <v>1w</v>
      </c>
      <c r="B1284" s="203">
        <f>_xll.qlCalendarAdvance(Calendar,B1283,A1284,"f",FALSE)</f>
        <v>47872</v>
      </c>
      <c r="C1284" s="237">
        <f>_xll.qlCalendarAdvance(Calendar,B1284,NDays&amp;"D")</f>
        <v>47876</v>
      </c>
      <c r="D1284" s="202">
        <v>2.8992997221702954E-2</v>
      </c>
      <c r="E1284" s="202">
        <v>2.8887787373559348E-2</v>
      </c>
      <c r="U1284" s="204"/>
    </row>
    <row r="1285" spans="1:21" x14ac:dyDescent="0.2">
      <c r="A1285" s="64" t="str">
        <f t="shared" si="20"/>
        <v>1w</v>
      </c>
      <c r="B1285" s="203">
        <f>_xll.qlCalendarAdvance(Calendar,B1284,A1285,"f",FALSE)</f>
        <v>47879</v>
      </c>
      <c r="C1285" s="237">
        <f>_xll.qlCalendarAdvance(Calendar,B1285,NDays&amp;"D")</f>
        <v>47883</v>
      </c>
      <c r="D1285" s="202">
        <v>2.8985540891067599E-2</v>
      </c>
      <c r="E1285" s="202">
        <v>2.8877167243903656E-2</v>
      </c>
      <c r="U1285" s="204"/>
    </row>
    <row r="1286" spans="1:21" x14ac:dyDescent="0.2">
      <c r="A1286" s="64" t="str">
        <f t="shared" si="20"/>
        <v>1w</v>
      </c>
      <c r="B1286" s="203">
        <f>_xll.qlCalendarAdvance(Calendar,B1285,A1286,"f",FALSE)</f>
        <v>47886</v>
      </c>
      <c r="C1286" s="237">
        <f>_xll.qlCalendarAdvance(Calendar,B1286,NDays&amp;"D")</f>
        <v>47890</v>
      </c>
      <c r="D1286" s="202">
        <v>2.8978140551742835E-2</v>
      </c>
      <c r="E1286" s="202">
        <v>2.886690167846595E-2</v>
      </c>
      <c r="U1286" s="204"/>
    </row>
    <row r="1287" spans="1:21" x14ac:dyDescent="0.2">
      <c r="A1287" s="64" t="str">
        <f t="shared" ref="A1287:A1350" si="21">A1286</f>
        <v>1w</v>
      </c>
      <c r="B1287" s="203">
        <f>_xll.qlCalendarAdvance(Calendar,B1286,A1287,"f",FALSE)</f>
        <v>47893</v>
      </c>
      <c r="C1287" s="237">
        <f>_xll.qlCalendarAdvance(Calendar,B1287,NDays&amp;"D")</f>
        <v>47897</v>
      </c>
      <c r="D1287" s="202">
        <v>2.8970764469497513E-2</v>
      </c>
      <c r="E1287" s="202">
        <v>2.885699067724623E-2</v>
      </c>
      <c r="U1287" s="204"/>
    </row>
    <row r="1288" spans="1:21" x14ac:dyDescent="0.2">
      <c r="A1288" s="64" t="str">
        <f t="shared" si="21"/>
        <v>1w</v>
      </c>
      <c r="B1288" s="203">
        <f>_xll.qlCalendarAdvance(Calendar,B1287,A1288,"f",FALSE)</f>
        <v>47900</v>
      </c>
      <c r="C1288" s="237">
        <f>_xll.qlCalendarAdvance(Calendar,B1288,NDays&amp;"D")</f>
        <v>47904</v>
      </c>
      <c r="D1288" s="202">
        <v>2.8963380910564634E-2</v>
      </c>
      <c r="E1288" s="202">
        <v>2.884743424016456E-2</v>
      </c>
      <c r="U1288" s="204"/>
    </row>
    <row r="1289" spans="1:21" x14ac:dyDescent="0.2">
      <c r="A1289" s="64" t="str">
        <f t="shared" si="21"/>
        <v>1w</v>
      </c>
      <c r="B1289" s="203">
        <f>_xll.qlCalendarAdvance(Calendar,B1288,A1289,"f",FALSE)</f>
        <v>47907</v>
      </c>
      <c r="C1289" s="237">
        <f>_xll.qlCalendarAdvance(Calendar,B1289,NDays&amp;"D")</f>
        <v>47911</v>
      </c>
      <c r="D1289" s="202">
        <v>2.8957751264199437E-2</v>
      </c>
      <c r="E1289" s="202">
        <v>2.883823236722094E-2</v>
      </c>
      <c r="U1289" s="204"/>
    </row>
    <row r="1290" spans="1:21" x14ac:dyDescent="0.2">
      <c r="A1290" s="64" t="str">
        <f t="shared" si="21"/>
        <v>1w</v>
      </c>
      <c r="B1290" s="203">
        <f>_xll.qlCalendarAdvance(Calendar,B1289,A1290,"f",FALSE)</f>
        <v>47914</v>
      </c>
      <c r="C1290" s="237">
        <f>_xll.qlCalendarAdvance(Calendar,B1290,NDays&amp;"D")</f>
        <v>47918</v>
      </c>
      <c r="D1290" s="202">
        <v>2.8950192953183244E-2</v>
      </c>
      <c r="E1290" s="202">
        <v>2.8829385058415369E-2</v>
      </c>
      <c r="U1290" s="204"/>
    </row>
    <row r="1291" spans="1:21" x14ac:dyDescent="0.2">
      <c r="A1291" s="64" t="str">
        <f t="shared" si="21"/>
        <v>1w</v>
      </c>
      <c r="B1291" s="203">
        <f>_xll.qlCalendarAdvance(Calendar,B1290,A1291,"f",FALSE)</f>
        <v>47921</v>
      </c>
      <c r="C1291" s="237">
        <f>_xll.qlCalendarAdvance(Calendar,B1291,NDays&amp;"D")</f>
        <v>47925</v>
      </c>
      <c r="D1291" s="202">
        <v>2.8942526102944656E-2</v>
      </c>
      <c r="E1291" s="202">
        <v>2.8820892313667912E-2</v>
      </c>
      <c r="U1291" s="204"/>
    </row>
    <row r="1292" spans="1:21" x14ac:dyDescent="0.2">
      <c r="A1292" s="64" t="str">
        <f t="shared" si="21"/>
        <v>1w</v>
      </c>
      <c r="B1292" s="203">
        <f>_xll.qlCalendarAdvance(Calendar,B1291,A1292,"f",FALSE)</f>
        <v>47928</v>
      </c>
      <c r="C1292" s="237">
        <f>_xll.qlCalendarAdvance(Calendar,B1292,NDays&amp;"D")</f>
        <v>47932</v>
      </c>
      <c r="D1292" s="202">
        <v>2.8934719491658548E-2</v>
      </c>
      <c r="E1292" s="202">
        <v>2.8812754133058505E-2</v>
      </c>
      <c r="U1292" s="204"/>
    </row>
    <row r="1293" spans="1:21" x14ac:dyDescent="0.2">
      <c r="A1293" s="64" t="str">
        <f t="shared" si="21"/>
        <v>1w</v>
      </c>
      <c r="B1293" s="203">
        <f>_xll.qlCalendarAdvance(Calendar,B1292,A1293,"f",FALSE)</f>
        <v>47935</v>
      </c>
      <c r="C1293" s="237">
        <f>_xll.qlCalendarAdvance(Calendar,B1293,NDays&amp;"D")</f>
        <v>47939</v>
      </c>
      <c r="D1293" s="202">
        <v>2.8926244370429843E-2</v>
      </c>
      <c r="E1293" s="202">
        <v>2.8804970516427275E-2</v>
      </c>
      <c r="U1293" s="204"/>
    </row>
    <row r="1294" spans="1:21" x14ac:dyDescent="0.2">
      <c r="A1294" s="64" t="str">
        <f t="shared" si="21"/>
        <v>1w</v>
      </c>
      <c r="B1294" s="203">
        <f>_xll.qlCalendarAdvance(Calendar,B1293,A1294,"f",FALSE)</f>
        <v>47942</v>
      </c>
      <c r="C1294" s="237">
        <f>_xll.qlCalendarAdvance(Calendar,B1294,NDays&amp;"D")</f>
        <v>47946</v>
      </c>
      <c r="D1294" s="202">
        <v>2.8918092967013979E-2</v>
      </c>
      <c r="E1294" s="202">
        <v>2.8797541463774223E-2</v>
      </c>
      <c r="U1294" s="204"/>
    </row>
    <row r="1295" spans="1:21" x14ac:dyDescent="0.2">
      <c r="A1295" s="64" t="str">
        <f t="shared" si="21"/>
        <v>1w</v>
      </c>
      <c r="B1295" s="203">
        <f>_xll.qlCalendarAdvance(Calendar,B1294,A1295,"f",FALSE)</f>
        <v>47953</v>
      </c>
      <c r="C1295" s="237">
        <f>_xll.qlCalendarAdvance(Calendar,B1295,NDays&amp;"D")</f>
        <v>47955</v>
      </c>
      <c r="D1295" s="202">
        <v>2.8907267062362994E-2</v>
      </c>
      <c r="E1295" s="202">
        <v>2.8788510816744051E-2</v>
      </c>
      <c r="U1295" s="204"/>
    </row>
    <row r="1296" spans="1:21" x14ac:dyDescent="0.2">
      <c r="A1296" s="64" t="str">
        <f t="shared" si="21"/>
        <v>1w</v>
      </c>
      <c r="B1296" s="203">
        <f>_xll.qlCalendarAdvance(Calendar,B1295,A1296,"f",FALSE)</f>
        <v>47960</v>
      </c>
      <c r="C1296" s="237">
        <f>_xll.qlCalendarAdvance(Calendar,B1296,NDays&amp;"D")</f>
        <v>47962</v>
      </c>
      <c r="D1296" s="202">
        <v>2.889853888168948E-2</v>
      </c>
      <c r="E1296" s="202">
        <v>2.8781892196052539E-2</v>
      </c>
      <c r="U1296" s="204"/>
    </row>
    <row r="1297" spans="1:21" x14ac:dyDescent="0.2">
      <c r="A1297" s="64" t="str">
        <f t="shared" si="21"/>
        <v>1w</v>
      </c>
      <c r="B1297" s="203">
        <f>_xll.qlCalendarAdvance(Calendar,B1296,A1297,"f",FALSE)</f>
        <v>47967</v>
      </c>
      <c r="C1297" s="237">
        <f>_xll.qlCalendarAdvance(Calendar,B1297,NDays&amp;"D")</f>
        <v>47970</v>
      </c>
      <c r="D1297" s="202">
        <v>2.8888913167815871E-2</v>
      </c>
      <c r="E1297" s="202">
        <v>2.8776205832965474E-2</v>
      </c>
      <c r="U1297" s="204"/>
    </row>
    <row r="1298" spans="1:21" x14ac:dyDescent="0.2">
      <c r="A1298" s="64" t="str">
        <f t="shared" si="21"/>
        <v>1w</v>
      </c>
      <c r="B1298" s="203">
        <f>_xll.qlCalendarAdvance(Calendar,B1297,A1298,"f",FALSE)</f>
        <v>47974</v>
      </c>
      <c r="C1298" s="237">
        <f>_xll.qlCalendarAdvance(Calendar,B1298,NDays&amp;"D")</f>
        <v>47976</v>
      </c>
      <c r="D1298" s="202">
        <v>2.888113558380077E-2</v>
      </c>
      <c r="E1298" s="202">
        <v>2.8769718646524112E-2</v>
      </c>
      <c r="U1298" s="204"/>
    </row>
    <row r="1299" spans="1:21" x14ac:dyDescent="0.2">
      <c r="A1299" s="64" t="str">
        <f t="shared" si="21"/>
        <v>1w</v>
      </c>
      <c r="B1299" s="203">
        <f>_xll.qlCalendarAdvance(Calendar,B1298,A1299,"f",FALSE)</f>
        <v>47981</v>
      </c>
      <c r="C1299" s="237">
        <f>_xll.qlCalendarAdvance(Calendar,B1299,NDays&amp;"D")</f>
        <v>47983</v>
      </c>
      <c r="D1299" s="202">
        <v>2.8871302035447965E-2</v>
      </c>
      <c r="E1299" s="202">
        <v>2.8764163717767133E-2</v>
      </c>
      <c r="U1299" s="204"/>
    </row>
    <row r="1300" spans="1:21" x14ac:dyDescent="0.2">
      <c r="A1300" s="64" t="str">
        <f t="shared" si="21"/>
        <v>1w</v>
      </c>
      <c r="B1300" s="203">
        <f>_xll.qlCalendarAdvance(Calendar,B1299,A1300,"f",FALSE)</f>
        <v>47988</v>
      </c>
      <c r="C1300" s="237">
        <f>_xll.qlCalendarAdvance(Calendar,B1300,NDays&amp;"D")</f>
        <v>47990</v>
      </c>
      <c r="D1300" s="202">
        <v>2.8861069320371829E-2</v>
      </c>
      <c r="E1300" s="202">
        <v>2.8758963352748523E-2</v>
      </c>
      <c r="U1300" s="204"/>
    </row>
    <row r="1301" spans="1:21" x14ac:dyDescent="0.2">
      <c r="A1301" s="64" t="str">
        <f t="shared" si="21"/>
        <v>1w</v>
      </c>
      <c r="B1301" s="203">
        <f>_xll.qlCalendarAdvance(Calendar,B1300,A1301,"f",FALSE)</f>
        <v>47995</v>
      </c>
      <c r="C1301" s="237">
        <f>_xll.qlCalendarAdvance(Calendar,B1301,NDays&amp;"D")</f>
        <v>47997</v>
      </c>
      <c r="D1301" s="202">
        <v>2.884971169410628E-2</v>
      </c>
      <c r="E1301" s="202">
        <v>2.8754114800548791E-2</v>
      </c>
      <c r="U1301" s="204"/>
    </row>
    <row r="1302" spans="1:21" x14ac:dyDescent="0.2">
      <c r="A1302" s="64" t="str">
        <f t="shared" si="21"/>
        <v>1w</v>
      </c>
      <c r="B1302" s="203">
        <f>_xll.qlCalendarAdvance(Calendar,B1301,A1302,"f",FALSE)</f>
        <v>48002</v>
      </c>
      <c r="C1302" s="237">
        <f>_xll.qlCalendarAdvance(Calendar,B1302,NDays&amp;"D")</f>
        <v>48004</v>
      </c>
      <c r="D1302" s="202">
        <v>2.8838694538955705E-2</v>
      </c>
      <c r="E1302" s="202">
        <v>2.8749161377676913E-2</v>
      </c>
      <c r="U1302" s="204"/>
    </row>
    <row r="1303" spans="1:21" x14ac:dyDescent="0.2">
      <c r="A1303" s="64" t="str">
        <f t="shared" si="21"/>
        <v>1w</v>
      </c>
      <c r="B1303" s="203">
        <f>_xll.qlCalendarAdvance(Calendar,B1302,A1303,"f",FALSE)</f>
        <v>48009</v>
      </c>
      <c r="C1303" s="237">
        <f>_xll.qlCalendarAdvance(Calendar,B1303,NDays&amp;"D")</f>
        <v>48011</v>
      </c>
      <c r="D1303" s="202">
        <v>2.8827216563544925E-2</v>
      </c>
      <c r="E1303" s="202">
        <v>2.8743753693536434E-2</v>
      </c>
      <c r="U1303" s="204"/>
    </row>
    <row r="1304" spans="1:21" x14ac:dyDescent="0.2">
      <c r="A1304" s="64" t="str">
        <f t="shared" si="21"/>
        <v>1w</v>
      </c>
      <c r="B1304" s="203">
        <f>_xll.qlCalendarAdvance(Calendar,B1303,A1304,"f",FALSE)</f>
        <v>48016</v>
      </c>
      <c r="C1304" s="237">
        <f>_xll.qlCalendarAdvance(Calendar,B1304,NDays&amp;"D")</f>
        <v>48018</v>
      </c>
      <c r="D1304" s="202">
        <v>2.8815277775823871E-2</v>
      </c>
      <c r="E1304" s="202">
        <v>2.8737891748527034E-2</v>
      </c>
      <c r="U1304" s="204"/>
    </row>
    <row r="1305" spans="1:21" x14ac:dyDescent="0.2">
      <c r="A1305" s="64" t="str">
        <f t="shared" si="21"/>
        <v>1w</v>
      </c>
      <c r="B1305" s="203">
        <f>_xll.qlCalendarAdvance(Calendar,B1304,A1305,"f",FALSE)</f>
        <v>48023</v>
      </c>
      <c r="C1305" s="237">
        <f>_xll.qlCalendarAdvance(Calendar,B1305,NDays&amp;"D")</f>
        <v>48025</v>
      </c>
      <c r="D1305" s="202">
        <v>2.8803166809981566E-2</v>
      </c>
      <c r="E1305" s="202">
        <v>2.8731575542408905E-2</v>
      </c>
      <c r="U1305" s="204"/>
    </row>
    <row r="1306" spans="1:21" x14ac:dyDescent="0.2">
      <c r="A1306" s="64" t="str">
        <f t="shared" si="21"/>
        <v>1w</v>
      </c>
      <c r="B1306" s="203">
        <f>_xll.qlCalendarAdvance(Calendar,B1305,A1306,"f",FALSE)</f>
        <v>48030</v>
      </c>
      <c r="C1306" s="237">
        <f>_xll.qlCalendarAdvance(Calendar,B1306,NDays&amp;"D")</f>
        <v>48032</v>
      </c>
      <c r="D1306" s="202">
        <v>2.8790204597559006E-2</v>
      </c>
      <c r="E1306" s="202">
        <v>2.8724805075261983E-2</v>
      </c>
      <c r="U1306" s="204"/>
    </row>
    <row r="1307" spans="1:21" x14ac:dyDescent="0.2">
      <c r="A1307" s="64" t="str">
        <f t="shared" si="21"/>
        <v>1w</v>
      </c>
      <c r="B1307" s="203">
        <f>_xll.qlCalendarAdvance(Calendar,B1306,A1307,"f",FALSE)</f>
        <v>48037</v>
      </c>
      <c r="C1307" s="237">
        <f>_xll.qlCalendarAdvance(Calendar,B1307,NDays&amp;"D")</f>
        <v>48039</v>
      </c>
      <c r="D1307" s="202">
        <v>2.8776781492323933E-2</v>
      </c>
      <c r="E1307" s="202">
        <v>2.8717580347246141E-2</v>
      </c>
      <c r="U1307" s="204"/>
    </row>
    <row r="1308" spans="1:21" x14ac:dyDescent="0.2">
      <c r="A1308" s="64" t="str">
        <f t="shared" si="21"/>
        <v>1w</v>
      </c>
      <c r="B1308" s="203">
        <f>_xll.qlCalendarAdvance(Calendar,B1307,A1308,"f",FALSE)</f>
        <v>48044</v>
      </c>
      <c r="C1308" s="237">
        <f>_xll.qlCalendarAdvance(Calendar,B1308,NDays&amp;"D")</f>
        <v>48046</v>
      </c>
      <c r="D1308" s="202">
        <v>2.8762897503724696E-2</v>
      </c>
      <c r="E1308" s="202">
        <v>2.870990135812157E-2</v>
      </c>
      <c r="U1308" s="204"/>
    </row>
    <row r="1309" spans="1:21" x14ac:dyDescent="0.2">
      <c r="A1309" s="64" t="str">
        <f t="shared" si="21"/>
        <v>1w</v>
      </c>
      <c r="B1309" s="203">
        <f>_xll.qlCalendarAdvance(Calendar,B1308,A1309,"f",FALSE)</f>
        <v>48051</v>
      </c>
      <c r="C1309" s="237">
        <f>_xll.qlCalendarAdvance(Calendar,B1309,NDays&amp;"D")</f>
        <v>48053</v>
      </c>
      <c r="D1309" s="202">
        <v>2.8748552641536706E-2</v>
      </c>
      <c r="E1309" s="202">
        <v>2.8701768108208014E-2</v>
      </c>
      <c r="U1309" s="204"/>
    </row>
    <row r="1310" spans="1:21" x14ac:dyDescent="0.2">
      <c r="A1310" s="64" t="str">
        <f t="shared" si="21"/>
        <v>1w</v>
      </c>
      <c r="B1310" s="203">
        <f>_xll.qlCalendarAdvance(Calendar,B1309,A1310,"f",FALSE)</f>
        <v>48058</v>
      </c>
      <c r="C1310" s="237">
        <f>_xll.qlCalendarAdvance(Calendar,B1310,NDays&amp;"D")</f>
        <v>48060</v>
      </c>
      <c r="D1310" s="202">
        <v>2.873396847642902E-2</v>
      </c>
      <c r="E1310" s="202">
        <v>2.8693180597265666E-2</v>
      </c>
      <c r="U1310" s="204"/>
    </row>
    <row r="1311" spans="1:21" x14ac:dyDescent="0.2">
      <c r="A1311" s="64" t="str">
        <f t="shared" si="21"/>
        <v>1w</v>
      </c>
      <c r="B1311" s="203">
        <f>_xll.qlCalendarAdvance(Calendar,B1310,A1311,"f",FALSE)</f>
        <v>48065</v>
      </c>
      <c r="C1311" s="237">
        <f>_xll.qlCalendarAdvance(Calendar,B1311,NDays&amp;"D")</f>
        <v>48067</v>
      </c>
      <c r="D1311" s="202">
        <v>2.8718480337112856E-2</v>
      </c>
      <c r="E1311" s="202">
        <v>2.8684138825534333E-2</v>
      </c>
      <c r="U1311" s="204"/>
    </row>
    <row r="1312" spans="1:21" x14ac:dyDescent="0.2">
      <c r="A1312" s="64" t="str">
        <f t="shared" si="21"/>
        <v>1w</v>
      </c>
      <c r="B1312" s="203">
        <f>_xll.qlCalendarAdvance(Calendar,B1311,A1312,"f",FALSE)</f>
        <v>48072</v>
      </c>
      <c r="C1312" s="237">
        <f>_xll.qlCalendarAdvance(Calendar,B1312,NDays&amp;"D")</f>
        <v>48074</v>
      </c>
      <c r="D1312" s="202">
        <v>2.870275291604716E-2</v>
      </c>
      <c r="E1312" s="202">
        <v>2.867464279293408E-2</v>
      </c>
      <c r="U1312" s="204"/>
    </row>
    <row r="1313" spans="1:21" x14ac:dyDescent="0.2">
      <c r="A1313" s="64" t="str">
        <f t="shared" si="21"/>
        <v>1w</v>
      </c>
      <c r="B1313" s="203">
        <f>_xll.qlCalendarAdvance(Calendar,B1312,A1313,"f",FALSE)</f>
        <v>48079</v>
      </c>
      <c r="C1313" s="237">
        <f>_xll.qlCalendarAdvance(Calendar,B1313,NDays&amp;"D")</f>
        <v>48081</v>
      </c>
      <c r="D1313" s="202">
        <v>2.8686564663733465E-2</v>
      </c>
      <c r="E1313" s="202">
        <v>2.8664692499544842E-2</v>
      </c>
      <c r="U1313" s="204"/>
    </row>
    <row r="1314" spans="1:21" x14ac:dyDescent="0.2">
      <c r="A1314" s="64" t="str">
        <f t="shared" si="21"/>
        <v>1w</v>
      </c>
      <c r="B1314" s="203">
        <f>_xll.qlCalendarAdvance(Calendar,B1313,A1314,"f",FALSE)</f>
        <v>48086</v>
      </c>
      <c r="C1314" s="237">
        <f>_xll.qlCalendarAdvance(Calendar,B1314,NDays&amp;"D")</f>
        <v>48088</v>
      </c>
      <c r="D1314" s="202">
        <v>2.8670547198843762E-2</v>
      </c>
      <c r="E1314" s="202">
        <v>2.8654287945446555E-2</v>
      </c>
      <c r="U1314" s="204"/>
    </row>
    <row r="1315" spans="1:21" x14ac:dyDescent="0.2">
      <c r="A1315" s="64" t="str">
        <f t="shared" si="21"/>
        <v>1w</v>
      </c>
      <c r="B1315" s="203">
        <f>_xll.qlCalendarAdvance(Calendar,B1314,A1315,"f",FALSE)</f>
        <v>48093</v>
      </c>
      <c r="C1315" s="237">
        <f>_xll.qlCalendarAdvance(Calendar,B1315,NDays&amp;"D")</f>
        <v>48095</v>
      </c>
      <c r="D1315" s="202">
        <v>2.8653778301352597E-2</v>
      </c>
      <c r="E1315" s="202">
        <v>2.864342913063922E-2</v>
      </c>
      <c r="U1315" s="204"/>
    </row>
    <row r="1316" spans="1:21" x14ac:dyDescent="0.2">
      <c r="A1316" s="64" t="str">
        <f t="shared" si="21"/>
        <v>1w</v>
      </c>
      <c r="B1316" s="203">
        <f>_xll.qlCalendarAdvance(Calendar,B1315,A1316,"f",FALSE)</f>
        <v>48100</v>
      </c>
      <c r="C1316" s="237">
        <f>_xll.qlCalendarAdvance(Calendar,B1316,NDays&amp;"D")</f>
        <v>48102</v>
      </c>
      <c r="D1316" s="202">
        <v>2.8636344784413965E-2</v>
      </c>
      <c r="E1316" s="202">
        <v>2.8632116055122836E-2</v>
      </c>
      <c r="U1316" s="204"/>
    </row>
    <row r="1317" spans="1:21" x14ac:dyDescent="0.2">
      <c r="A1317" s="64" t="str">
        <f t="shared" si="21"/>
        <v>1w</v>
      </c>
      <c r="B1317" s="203">
        <f>_xll.qlCalendarAdvance(Calendar,B1316,A1317,"f",FALSE)</f>
        <v>48107</v>
      </c>
      <c r="C1317" s="237">
        <f>_xll.qlCalendarAdvance(Calendar,B1317,NDays&amp;"D")</f>
        <v>48109</v>
      </c>
      <c r="D1317" s="202">
        <v>2.8618450622177605E-2</v>
      </c>
      <c r="E1317" s="202">
        <v>2.8620348718897404E-2</v>
      </c>
      <c r="U1317" s="204"/>
    </row>
    <row r="1318" spans="1:21" x14ac:dyDescent="0.2">
      <c r="A1318" s="64" t="str">
        <f t="shared" si="21"/>
        <v>1w</v>
      </c>
      <c r="B1318" s="203">
        <f>_xll.qlCalendarAdvance(Calendar,B1317,A1318,"f",FALSE)</f>
        <v>48114</v>
      </c>
      <c r="C1318" s="237">
        <f>_xll.qlCalendarAdvance(Calendar,B1318,NDays&amp;"D")</f>
        <v>48116</v>
      </c>
      <c r="D1318" s="202">
        <v>2.8600095826969919E-2</v>
      </c>
      <c r="E1318" s="202">
        <v>2.8608127122202731E-2</v>
      </c>
      <c r="U1318" s="204"/>
    </row>
    <row r="1319" spans="1:21" x14ac:dyDescent="0.2">
      <c r="A1319" s="64" t="str">
        <f t="shared" si="21"/>
        <v>1w</v>
      </c>
      <c r="B1319" s="203">
        <f>_xll.qlCalendarAdvance(Calendar,B1318,A1319,"f",FALSE)</f>
        <v>48121</v>
      </c>
      <c r="C1319" s="237">
        <f>_xll.qlCalendarAdvance(Calendar,B1319,NDays&amp;"D")</f>
        <v>48123</v>
      </c>
      <c r="D1319" s="202">
        <v>2.8580904865606944E-2</v>
      </c>
      <c r="E1319" s="202">
        <v>2.8595451264878946E-2</v>
      </c>
      <c r="U1319" s="204"/>
    </row>
    <row r="1320" spans="1:21" x14ac:dyDescent="0.2">
      <c r="A1320" s="64" t="str">
        <f t="shared" si="21"/>
        <v>1w</v>
      </c>
      <c r="B1320" s="203">
        <f>_xll.qlCalendarAdvance(Calendar,B1319,A1320,"f",FALSE)</f>
        <v>48128</v>
      </c>
      <c r="C1320" s="237">
        <f>_xll.qlCalendarAdvance(Calendar,B1320,NDays&amp;"D")</f>
        <v>48130</v>
      </c>
      <c r="D1320" s="202">
        <v>2.856159442257436E-2</v>
      </c>
      <c r="E1320" s="202">
        <v>2.8582321147085921E-2</v>
      </c>
      <c r="U1320" s="204"/>
    </row>
    <row r="1321" spans="1:21" x14ac:dyDescent="0.2">
      <c r="A1321" s="64" t="str">
        <f t="shared" si="21"/>
        <v>1w</v>
      </c>
      <c r="B1321" s="203">
        <f>_xll.qlCalendarAdvance(Calendar,B1320,A1321,"f",FALSE)</f>
        <v>48135</v>
      </c>
      <c r="C1321" s="237">
        <f>_xll.qlCalendarAdvance(Calendar,B1321,NDays&amp;"D")</f>
        <v>48137</v>
      </c>
      <c r="D1321" s="202">
        <v>2.8541823351209358E-2</v>
      </c>
      <c r="E1321" s="202">
        <v>2.8568736768743719E-2</v>
      </c>
      <c r="U1321" s="204"/>
    </row>
    <row r="1322" spans="1:21" x14ac:dyDescent="0.2">
      <c r="A1322" s="64" t="str">
        <f t="shared" si="21"/>
        <v>1w</v>
      </c>
      <c r="B1322" s="203">
        <f>_xll.qlCalendarAdvance(Calendar,B1321,A1322,"f",FALSE)</f>
        <v>48142</v>
      </c>
      <c r="C1322" s="237">
        <f>_xll.qlCalendarAdvance(Calendar,B1322,NDays&amp;"D")</f>
        <v>48144</v>
      </c>
      <c r="D1322" s="202">
        <v>2.8521591665205469E-2</v>
      </c>
      <c r="E1322" s="202">
        <v>2.8554698130172085E-2</v>
      </c>
      <c r="U1322" s="204"/>
    </row>
    <row r="1323" spans="1:21" x14ac:dyDescent="0.2">
      <c r="A1323" s="64" t="str">
        <f t="shared" si="21"/>
        <v>1w</v>
      </c>
      <c r="B1323" s="203">
        <f>_xll.qlCalendarAdvance(Calendar,B1322,A1323,"f",FALSE)</f>
        <v>48149</v>
      </c>
      <c r="C1323" s="237">
        <f>_xll.qlCalendarAdvance(Calendar,B1323,NDays&amp;"D")</f>
        <v>48151</v>
      </c>
      <c r="D1323" s="202">
        <v>2.8500899378575088E-2</v>
      </c>
      <c r="E1323" s="202">
        <v>2.8540205231211146E-2</v>
      </c>
      <c r="U1323" s="204"/>
    </row>
    <row r="1324" spans="1:21" x14ac:dyDescent="0.2">
      <c r="A1324" s="64" t="str">
        <f t="shared" si="21"/>
        <v>1w</v>
      </c>
      <c r="B1324" s="203">
        <f>_xll.qlCalendarAdvance(Calendar,B1323,A1324,"f",FALSE)</f>
        <v>48156</v>
      </c>
      <c r="C1324" s="237">
        <f>_xll.qlCalendarAdvance(Calendar,B1324,NDays&amp;"D")</f>
        <v>48158</v>
      </c>
      <c r="D1324" s="202">
        <v>2.8480294493544014E-2</v>
      </c>
      <c r="E1324" s="202">
        <v>2.852525807194084E-2</v>
      </c>
      <c r="U1324" s="204"/>
    </row>
    <row r="1325" spans="1:21" x14ac:dyDescent="0.2">
      <c r="A1325" s="64" t="str">
        <f t="shared" si="21"/>
        <v>1w</v>
      </c>
      <c r="B1325" s="203">
        <f>_xll.qlCalendarAdvance(Calendar,B1324,A1325,"f",FALSE)</f>
        <v>48163</v>
      </c>
      <c r="C1325" s="237">
        <f>_xll.qlCalendarAdvance(Calendar,B1325,NDays&amp;"D")</f>
        <v>48165</v>
      </c>
      <c r="D1325" s="202">
        <v>2.8458715639308227E-2</v>
      </c>
      <c r="E1325" s="202">
        <v>2.8509856652361165E-2</v>
      </c>
      <c r="U1325" s="204"/>
    </row>
    <row r="1326" spans="1:21" x14ac:dyDescent="0.2">
      <c r="A1326" s="64" t="str">
        <f t="shared" si="21"/>
        <v>1w</v>
      </c>
      <c r="B1326" s="203">
        <f>_xll.qlCalendarAdvance(Calendar,B1325,A1326,"f",FALSE)</f>
        <v>48170</v>
      </c>
      <c r="C1326" s="237">
        <f>_xll.qlCalendarAdvance(Calendar,B1326,NDays&amp;"D")</f>
        <v>48172</v>
      </c>
      <c r="D1326" s="202">
        <v>2.8436676262127383E-2</v>
      </c>
      <c r="E1326" s="202">
        <v>2.8494000972791866E-2</v>
      </c>
      <c r="U1326" s="204"/>
    </row>
    <row r="1327" spans="1:21" x14ac:dyDescent="0.2">
      <c r="A1327" s="64" t="str">
        <f t="shared" si="21"/>
        <v>1w</v>
      </c>
      <c r="B1327" s="203">
        <f>_xll.qlCalendarAdvance(Calendar,B1326,A1327,"f",FALSE)</f>
        <v>48177</v>
      </c>
      <c r="C1327" s="237">
        <f>_xll.qlCalendarAdvance(Calendar,B1327,NDays&amp;"D")</f>
        <v>48179</v>
      </c>
      <c r="D1327" s="202">
        <v>2.8414176377182312E-2</v>
      </c>
      <c r="E1327" s="202">
        <v>2.8477691032993135E-2</v>
      </c>
      <c r="U1327" s="204"/>
    </row>
    <row r="1328" spans="1:21" x14ac:dyDescent="0.2">
      <c r="A1328" s="64" t="str">
        <f t="shared" si="21"/>
        <v>1w</v>
      </c>
      <c r="B1328" s="203">
        <f>_xll.qlCalendarAdvance(Calendar,B1327,A1328,"f",FALSE)</f>
        <v>48184</v>
      </c>
      <c r="C1328" s="237">
        <f>_xll.qlCalendarAdvance(Calendar,B1328,NDays&amp;"D")</f>
        <v>48186</v>
      </c>
      <c r="D1328" s="202">
        <v>2.8390530621213741E-2</v>
      </c>
      <c r="E1328" s="202">
        <v>2.8460926833124844E-2</v>
      </c>
      <c r="U1328" s="204"/>
    </row>
    <row r="1329" spans="1:21" x14ac:dyDescent="0.2">
      <c r="A1329" s="64" t="str">
        <f t="shared" si="21"/>
        <v>1w</v>
      </c>
      <c r="B1329" s="203">
        <f>_xll.qlCalendarAdvance(Calendar,B1328,A1329,"f",FALSE)</f>
        <v>48191</v>
      </c>
      <c r="C1329" s="237">
        <f>_xll.qlCalendarAdvance(Calendar,B1329,NDays&amp;"D")</f>
        <v>48193</v>
      </c>
      <c r="D1329" s="202">
        <v>2.8367098253335121E-2</v>
      </c>
      <c r="E1329" s="202">
        <v>2.8443708373426801E-2</v>
      </c>
      <c r="U1329" s="204"/>
    </row>
    <row r="1330" spans="1:21" x14ac:dyDescent="0.2">
      <c r="A1330" s="64" t="str">
        <f t="shared" si="21"/>
        <v>1w</v>
      </c>
      <c r="B1330" s="203">
        <f>_xll.qlCalendarAdvance(Calendar,B1329,A1330,"f",FALSE)</f>
        <v>48198</v>
      </c>
      <c r="C1330" s="237">
        <f>_xll.qlCalendarAdvance(Calendar,B1330,NDays&amp;"D")</f>
        <v>48200</v>
      </c>
      <c r="D1330" s="202">
        <v>2.8343264634830771E-2</v>
      </c>
      <c r="E1330" s="202">
        <v>2.8426035653579262E-2</v>
      </c>
      <c r="U1330" s="204"/>
    </row>
    <row r="1331" spans="1:21" x14ac:dyDescent="0.2">
      <c r="A1331" s="64" t="str">
        <f t="shared" si="21"/>
        <v>1w</v>
      </c>
      <c r="B1331" s="203">
        <f>_xll.qlCalendarAdvance(Calendar,B1330,A1331,"f",FALSE)</f>
        <v>48205</v>
      </c>
      <c r="C1331" s="237">
        <f>_xll.qlCalendarAdvance(Calendar,B1331,NDays&amp;"D")</f>
        <v>48211</v>
      </c>
      <c r="D1331" s="202">
        <v>2.8305091827552357E-2</v>
      </c>
      <c r="E1331" s="202">
        <v>2.8397346446569216E-2</v>
      </c>
      <c r="U1331" s="204"/>
    </row>
    <row r="1332" spans="1:21" x14ac:dyDescent="0.2">
      <c r="A1332" s="64" t="str">
        <f t="shared" si="21"/>
        <v>1w</v>
      </c>
      <c r="B1332" s="203">
        <f>_xll.qlCalendarAdvance(Calendar,B1331,A1332,"f",FALSE)</f>
        <v>48212</v>
      </c>
      <c r="C1332" s="237">
        <f>_xll.qlCalendarAdvance(Calendar,B1332,NDays&amp;"D")</f>
        <v>48215</v>
      </c>
      <c r="D1332" s="202">
        <v>2.8291792647093746E-2</v>
      </c>
      <c r="E1332" s="202">
        <v>2.8386169952199225E-2</v>
      </c>
      <c r="U1332" s="204"/>
    </row>
    <row r="1333" spans="1:21" x14ac:dyDescent="0.2">
      <c r="A1333" s="64" t="str">
        <f t="shared" si="21"/>
        <v>1w</v>
      </c>
      <c r="B1333" s="203">
        <f>_xll.qlCalendarAdvance(Calendar,B1332,A1333,"f",FALSE)</f>
        <v>48219</v>
      </c>
      <c r="C1333" s="237">
        <f>_xll.qlCalendarAdvance(Calendar,B1333,NDays&amp;"D")</f>
        <v>48221</v>
      </c>
      <c r="D1333" s="202">
        <v>2.8270517900690059E-2</v>
      </c>
      <c r="E1333" s="202">
        <v>2.837029193553775E-2</v>
      </c>
      <c r="U1333" s="204"/>
    </row>
    <row r="1334" spans="1:21" x14ac:dyDescent="0.2">
      <c r="A1334" s="64" t="str">
        <f t="shared" si="21"/>
        <v>1w</v>
      </c>
      <c r="B1334" s="203">
        <f>_xll.qlCalendarAdvance(Calendar,B1333,A1334,"f",FALSE)</f>
        <v>48226</v>
      </c>
      <c r="C1334" s="237">
        <f>_xll.qlCalendarAdvance(Calendar,B1334,NDays&amp;"D")</f>
        <v>48228</v>
      </c>
      <c r="D1334" s="202">
        <v>2.8245462582205925E-2</v>
      </c>
      <c r="E1334" s="202">
        <v>2.8350802176770884E-2</v>
      </c>
      <c r="U1334" s="204"/>
    </row>
    <row r="1335" spans="1:21" x14ac:dyDescent="0.2">
      <c r="A1335" s="64" t="str">
        <f t="shared" si="21"/>
        <v>1w</v>
      </c>
      <c r="B1335" s="203">
        <f>_xll.qlCalendarAdvance(Calendar,B1334,A1335,"f",FALSE)</f>
        <v>48233</v>
      </c>
      <c r="C1335" s="237">
        <f>_xll.qlCalendarAdvance(Calendar,B1335,NDays&amp;"D")</f>
        <v>48235</v>
      </c>
      <c r="D1335" s="202">
        <v>2.8220190529105165E-2</v>
      </c>
      <c r="E1335" s="202">
        <v>2.833085815849401E-2</v>
      </c>
      <c r="U1335" s="204"/>
    </row>
    <row r="1336" spans="1:21" x14ac:dyDescent="0.2">
      <c r="A1336" s="64" t="str">
        <f t="shared" si="21"/>
        <v>1w</v>
      </c>
      <c r="B1336" s="203">
        <f>_xll.qlCalendarAdvance(Calendar,B1335,A1336,"f",FALSE)</f>
        <v>48240</v>
      </c>
      <c r="C1336" s="237">
        <f>_xll.qlCalendarAdvance(Calendar,B1336,NDays&amp;"D")</f>
        <v>48242</v>
      </c>
      <c r="D1336" s="202">
        <v>2.8194739651420692E-2</v>
      </c>
      <c r="E1336" s="202">
        <v>2.8310459880627192E-2</v>
      </c>
      <c r="U1336" s="204"/>
    </row>
    <row r="1337" spans="1:21" x14ac:dyDescent="0.2">
      <c r="A1337" s="64" t="str">
        <f t="shared" si="21"/>
        <v>1w</v>
      </c>
      <c r="B1337" s="203">
        <f>_xll.qlCalendarAdvance(Calendar,B1336,A1337,"f",FALSE)</f>
        <v>48247</v>
      </c>
      <c r="C1337" s="237">
        <f>_xll.qlCalendarAdvance(Calendar,B1337,NDays&amp;"D")</f>
        <v>48249</v>
      </c>
      <c r="D1337" s="202">
        <v>2.8169147857317466E-2</v>
      </c>
      <c r="E1337" s="202">
        <v>2.8289607343490175E-2</v>
      </c>
      <c r="U1337" s="204"/>
    </row>
    <row r="1338" spans="1:21" x14ac:dyDescent="0.2">
      <c r="A1338" s="64" t="str">
        <f t="shared" si="21"/>
        <v>1w</v>
      </c>
      <c r="B1338" s="203">
        <f>_xll.qlCalendarAdvance(Calendar,B1337,A1338,"f",FALSE)</f>
        <v>48254</v>
      </c>
      <c r="C1338" s="237">
        <f>_xll.qlCalendarAdvance(Calendar,B1338,NDays&amp;"D")</f>
        <v>48256</v>
      </c>
      <c r="D1338" s="202">
        <v>2.8143453053061304E-2</v>
      </c>
      <c r="E1338" s="202">
        <v>2.8268300546923086E-2</v>
      </c>
      <c r="U1338" s="204"/>
    </row>
    <row r="1339" spans="1:21" x14ac:dyDescent="0.2">
      <c r="A1339" s="64" t="str">
        <f t="shared" si="21"/>
        <v>1w</v>
      </c>
      <c r="B1339" s="203">
        <f>_xll.qlCalendarAdvance(Calendar,B1338,A1339,"f",FALSE)</f>
        <v>48261</v>
      </c>
      <c r="C1339" s="237">
        <f>_xll.qlCalendarAdvance(Calendar,B1339,NDays&amp;"D")</f>
        <v>48263</v>
      </c>
      <c r="D1339" s="202">
        <v>2.8117693142998681E-2</v>
      </c>
      <c r="E1339" s="202">
        <v>2.8246539491085798E-2</v>
      </c>
      <c r="U1339" s="204"/>
    </row>
    <row r="1340" spans="1:21" x14ac:dyDescent="0.2">
      <c r="A1340" s="64" t="str">
        <f t="shared" si="21"/>
        <v>1w</v>
      </c>
      <c r="B1340" s="203">
        <f>_xll.qlCalendarAdvance(Calendar,B1339,A1340,"f",FALSE)</f>
        <v>48268</v>
      </c>
      <c r="C1340" s="237">
        <f>_xll.qlCalendarAdvance(Calendar,B1340,NDays&amp;"D")</f>
        <v>48270</v>
      </c>
      <c r="D1340" s="202">
        <v>2.8091906029536966E-2</v>
      </c>
      <c r="E1340" s="202">
        <v>2.8224324176058246E-2</v>
      </c>
      <c r="U1340" s="204"/>
    </row>
    <row r="1341" spans="1:21" x14ac:dyDescent="0.2">
      <c r="A1341" s="64" t="str">
        <f t="shared" si="21"/>
        <v>1w</v>
      </c>
      <c r="B1341" s="203">
        <f>_xll.qlCalendarAdvance(Calendar,B1340,A1341,"f",FALSE)</f>
        <v>48275</v>
      </c>
      <c r="C1341" s="237">
        <f>_xll.qlCalendarAdvance(Calendar,B1341,NDays&amp;"D")</f>
        <v>48277</v>
      </c>
      <c r="D1341" s="202">
        <v>2.8063216299646112E-2</v>
      </c>
      <c r="E1341" s="202">
        <v>2.8201654602000303E-2</v>
      </c>
      <c r="U1341" s="204"/>
    </row>
    <row r="1342" spans="1:21" x14ac:dyDescent="0.2">
      <c r="A1342" s="64" t="str">
        <f t="shared" si="21"/>
        <v>1w</v>
      </c>
      <c r="B1342" s="203">
        <f>_xll.qlCalendarAdvance(Calendar,B1341,A1342,"f",FALSE)</f>
        <v>48282</v>
      </c>
      <c r="C1342" s="237">
        <f>_xll.qlCalendarAdvance(Calendar,B1342,NDays&amp;"D")</f>
        <v>48284</v>
      </c>
      <c r="D1342" s="202">
        <v>2.8037571137157033E-2</v>
      </c>
      <c r="E1342" s="202">
        <v>2.8178530768911969E-2</v>
      </c>
      <c r="U1342" s="204"/>
    </row>
    <row r="1343" spans="1:21" x14ac:dyDescent="0.2">
      <c r="A1343" s="64" t="str">
        <f t="shared" si="21"/>
        <v>1w</v>
      </c>
      <c r="B1343" s="203">
        <f>_xll.qlCalendarAdvance(Calendar,B1342,A1343,"f",FALSE)</f>
        <v>48289</v>
      </c>
      <c r="C1343" s="237">
        <f>_xll.qlCalendarAdvance(Calendar,B1343,NDays&amp;"D")</f>
        <v>48291</v>
      </c>
      <c r="D1343" s="202">
        <v>2.8012021931958238E-2</v>
      </c>
      <c r="E1343" s="202">
        <v>2.8154952676873179E-2</v>
      </c>
      <c r="U1343" s="204"/>
    </row>
    <row r="1344" spans="1:21" x14ac:dyDescent="0.2">
      <c r="A1344" s="64" t="str">
        <f t="shared" si="21"/>
        <v>1w</v>
      </c>
      <c r="B1344" s="203">
        <f>_xll.qlCalendarAdvance(Calendar,B1343,A1344,"f",FALSE)</f>
        <v>48296</v>
      </c>
      <c r="C1344" s="237">
        <f>_xll.qlCalendarAdvance(Calendar,B1344,NDays&amp;"D")</f>
        <v>48298</v>
      </c>
      <c r="D1344" s="202">
        <v>2.7986605774576939E-2</v>
      </c>
      <c r="E1344" s="202">
        <v>2.8128355784120984E-2</v>
      </c>
      <c r="U1344" s="204"/>
    </row>
    <row r="1345" spans="1:21" x14ac:dyDescent="0.2">
      <c r="A1345" s="64" t="str">
        <f t="shared" si="21"/>
        <v>1w</v>
      </c>
      <c r="B1345" s="203">
        <f>_xll.qlCalendarAdvance(Calendar,B1344,A1345,"f",FALSE)</f>
        <v>48303</v>
      </c>
      <c r="C1345" s="237">
        <f>_xll.qlCalendarAdvance(Calendar,B1345,NDays&amp;"D")</f>
        <v>48305</v>
      </c>
      <c r="D1345" s="202">
        <v>2.7963251889906268E-2</v>
      </c>
      <c r="E1345" s="202">
        <v>2.8106433716503787E-2</v>
      </c>
      <c r="U1345" s="204"/>
    </row>
    <row r="1346" spans="1:21" x14ac:dyDescent="0.2">
      <c r="A1346" s="64" t="str">
        <f t="shared" si="21"/>
        <v>1w</v>
      </c>
      <c r="B1346" s="203">
        <f>_xll.qlCalendarAdvance(Calendar,B1345,A1346,"f",FALSE)</f>
        <v>48310</v>
      </c>
      <c r="C1346" s="237">
        <f>_xll.qlCalendarAdvance(Calendar,B1346,NDays&amp;"D")</f>
        <v>48312</v>
      </c>
      <c r="D1346" s="202">
        <v>2.793812620543382E-2</v>
      </c>
      <c r="E1346" s="202">
        <v>2.808149284825312E-2</v>
      </c>
      <c r="U1346" s="204"/>
    </row>
    <row r="1347" spans="1:21" x14ac:dyDescent="0.2">
      <c r="A1347" s="64" t="str">
        <f t="shared" si="21"/>
        <v>1w</v>
      </c>
      <c r="B1347" s="203">
        <f>_xll.qlCalendarAdvance(Calendar,B1346,A1347,"f",FALSE)</f>
        <v>48317</v>
      </c>
      <c r="C1347" s="237">
        <f>_xll.qlCalendarAdvance(Calendar,B1347,NDays&amp;"D")</f>
        <v>48319</v>
      </c>
      <c r="D1347" s="202">
        <v>2.7913240167489133E-2</v>
      </c>
      <c r="E1347" s="202">
        <v>2.8056097721531614E-2</v>
      </c>
      <c r="U1347" s="204"/>
    </row>
    <row r="1348" spans="1:21" x14ac:dyDescent="0.2">
      <c r="A1348" s="64" t="str">
        <f t="shared" si="21"/>
        <v>1w</v>
      </c>
      <c r="B1348" s="203">
        <f>_xll.qlCalendarAdvance(Calendar,B1347,A1348,"f",FALSE)</f>
        <v>48324</v>
      </c>
      <c r="C1348" s="237">
        <f>_xll.qlCalendarAdvance(Calendar,B1348,NDays&amp;"D")</f>
        <v>48326</v>
      </c>
      <c r="D1348" s="202">
        <v>2.7888631458959395E-2</v>
      </c>
      <c r="E1348" s="202">
        <v>2.8030248336179397E-2</v>
      </c>
      <c r="U1348" s="204"/>
    </row>
    <row r="1349" spans="1:21" x14ac:dyDescent="0.2">
      <c r="A1349" s="64" t="str">
        <f t="shared" si="21"/>
        <v>1w</v>
      </c>
      <c r="B1349" s="203">
        <f>_xll.qlCalendarAdvance(Calendar,B1348,A1349,"f",FALSE)</f>
        <v>48331</v>
      </c>
      <c r="C1349" s="237">
        <f>_xll.qlCalendarAdvance(Calendar,B1349,NDays&amp;"D")</f>
        <v>48333</v>
      </c>
      <c r="D1349" s="202">
        <v>2.7864337760980639E-2</v>
      </c>
      <c r="E1349" s="202">
        <v>2.8003944692676086E-2</v>
      </c>
      <c r="U1349" s="204"/>
    </row>
    <row r="1350" spans="1:21" x14ac:dyDescent="0.2">
      <c r="A1350" s="64" t="str">
        <f t="shared" si="21"/>
        <v>1w</v>
      </c>
      <c r="B1350" s="203">
        <f>_xll.qlCalendarAdvance(Calendar,B1349,A1350,"f",FALSE)</f>
        <v>48338</v>
      </c>
      <c r="C1350" s="237">
        <f>_xll.qlCalendarAdvance(Calendar,B1350,NDays&amp;"D")</f>
        <v>48340</v>
      </c>
      <c r="D1350" s="202">
        <v>2.7838979669033093E-2</v>
      </c>
      <c r="E1350" s="202">
        <v>2.7977186790781872E-2</v>
      </c>
      <c r="U1350" s="204"/>
    </row>
    <row r="1351" spans="1:21" x14ac:dyDescent="0.2">
      <c r="A1351" s="64" t="str">
        <f t="shared" ref="A1351:A1414" si="22">A1350</f>
        <v>1w</v>
      </c>
      <c r="B1351" s="203">
        <f>_xll.qlCalendarAdvance(Calendar,B1350,A1351,"f",FALSE)</f>
        <v>48345</v>
      </c>
      <c r="C1351" s="237">
        <f>_xll.qlCalendarAdvance(Calendar,B1351,NDays&amp;"D")</f>
        <v>48347</v>
      </c>
      <c r="D1351" s="202">
        <v>2.7815533226198098E-2</v>
      </c>
      <c r="E1351" s="202">
        <v>2.7949974630816499E-2</v>
      </c>
      <c r="U1351" s="204"/>
    </row>
    <row r="1352" spans="1:21" x14ac:dyDescent="0.2">
      <c r="A1352" s="64" t="str">
        <f t="shared" si="22"/>
        <v>1w</v>
      </c>
      <c r="B1352" s="203">
        <f>_xll.qlCalendarAdvance(Calendar,B1351,A1352,"f",FALSE)</f>
        <v>48352</v>
      </c>
      <c r="C1352" s="237">
        <f>_xll.qlCalendarAdvance(Calendar,B1352,NDays&amp;"D")</f>
        <v>48354</v>
      </c>
      <c r="D1352" s="202">
        <v>2.7792516490359114E-2</v>
      </c>
      <c r="E1352" s="202">
        <v>2.7922308212779967E-2</v>
      </c>
      <c r="U1352" s="204"/>
    </row>
    <row r="1353" spans="1:21" x14ac:dyDescent="0.2">
      <c r="A1353" s="64" t="str">
        <f t="shared" si="22"/>
        <v>1w</v>
      </c>
      <c r="B1353" s="203">
        <f>_xll.qlCalendarAdvance(Calendar,B1352,A1353,"f",FALSE)</f>
        <v>48359</v>
      </c>
      <c r="C1353" s="237">
        <f>_xll.qlCalendarAdvance(Calendar,B1353,NDays&amp;"D")</f>
        <v>48361</v>
      </c>
      <c r="D1353" s="202">
        <v>2.7769966536582161E-2</v>
      </c>
      <c r="E1353" s="202">
        <v>2.7894187536752213E-2</v>
      </c>
      <c r="U1353" s="204"/>
    </row>
    <row r="1354" spans="1:21" x14ac:dyDescent="0.2">
      <c r="A1354" s="64" t="str">
        <f t="shared" si="22"/>
        <v>1w</v>
      </c>
      <c r="B1354" s="203">
        <f>_xll.qlCalendarAdvance(Calendar,B1353,A1354,"f",FALSE)</f>
        <v>48366</v>
      </c>
      <c r="C1354" s="237">
        <f>_xll.qlCalendarAdvance(Calendar,B1354,NDays&amp;"D")</f>
        <v>48368</v>
      </c>
      <c r="D1354" s="202">
        <v>2.7748912659480277E-2</v>
      </c>
      <c r="E1354" s="202">
        <v>2.7865734888354865E-2</v>
      </c>
      <c r="U1354" s="204"/>
    </row>
    <row r="1355" spans="1:21" x14ac:dyDescent="0.2">
      <c r="A1355" s="64" t="str">
        <f t="shared" si="22"/>
        <v>1w</v>
      </c>
      <c r="B1355" s="203">
        <f>_xll.qlCalendarAdvance(Calendar,B1354,A1355,"f",FALSE)</f>
        <v>48373</v>
      </c>
      <c r="C1355" s="237">
        <f>_xll.qlCalendarAdvance(Calendar,B1355,NDays&amp;"D")</f>
        <v>48375</v>
      </c>
      <c r="D1355" s="202">
        <v>2.77272824195209E-2</v>
      </c>
      <c r="E1355" s="202">
        <v>2.7837677370525782E-2</v>
      </c>
      <c r="U1355" s="204"/>
    </row>
    <row r="1356" spans="1:21" x14ac:dyDescent="0.2">
      <c r="A1356" s="64" t="str">
        <f t="shared" si="22"/>
        <v>1w</v>
      </c>
      <c r="B1356" s="203">
        <f>_xll.qlCalendarAdvance(Calendar,B1355,A1356,"f",FALSE)</f>
        <v>48380</v>
      </c>
      <c r="C1356" s="237">
        <f>_xll.qlCalendarAdvance(Calendar,B1356,NDays&amp;"D")</f>
        <v>48382</v>
      </c>
      <c r="D1356" s="202">
        <v>2.7706177074348394E-2</v>
      </c>
      <c r="E1356" s="202">
        <v>2.7810137268406976E-2</v>
      </c>
      <c r="U1356" s="204"/>
    </row>
    <row r="1357" spans="1:21" x14ac:dyDescent="0.2">
      <c r="A1357" s="64" t="str">
        <f t="shared" si="22"/>
        <v>1w</v>
      </c>
      <c r="B1357" s="203">
        <f>_xll.qlCalendarAdvance(Calendar,B1356,A1357,"f",FALSE)</f>
        <v>48387</v>
      </c>
      <c r="C1357" s="237">
        <f>_xll.qlCalendarAdvance(Calendar,B1357,NDays&amp;"D")</f>
        <v>48389</v>
      </c>
      <c r="D1357" s="202">
        <v>2.7685596607306791E-2</v>
      </c>
      <c r="E1357" s="202">
        <v>2.7783114581918511E-2</v>
      </c>
      <c r="U1357" s="204"/>
    </row>
    <row r="1358" spans="1:21" x14ac:dyDescent="0.2">
      <c r="A1358" s="64" t="str">
        <f t="shared" si="22"/>
        <v>1w</v>
      </c>
      <c r="B1358" s="203">
        <f>_xll.qlCalendarAdvance(Calendar,B1357,A1358,"f",FALSE)</f>
        <v>48394</v>
      </c>
      <c r="C1358" s="237">
        <f>_xll.qlCalendarAdvance(Calendar,B1358,NDays&amp;"D")</f>
        <v>48396</v>
      </c>
      <c r="D1358" s="202">
        <v>2.7664979156325625E-2</v>
      </c>
      <c r="E1358" s="202">
        <v>2.7756609311140323E-2</v>
      </c>
      <c r="U1358" s="204"/>
    </row>
    <row r="1359" spans="1:21" x14ac:dyDescent="0.2">
      <c r="A1359" s="64" t="str">
        <f t="shared" si="22"/>
        <v>1w</v>
      </c>
      <c r="B1359" s="203">
        <f>_xll.qlCalendarAdvance(Calendar,B1358,A1359,"f",FALSE)</f>
        <v>48401</v>
      </c>
      <c r="C1359" s="237">
        <f>_xll.qlCalendarAdvance(Calendar,B1359,NDays&amp;"D")</f>
        <v>48403</v>
      </c>
      <c r="D1359" s="202">
        <v>2.7645556413439347E-2</v>
      </c>
      <c r="E1359" s="202">
        <v>2.7730621455672733E-2</v>
      </c>
      <c r="U1359" s="204"/>
    </row>
    <row r="1360" spans="1:21" x14ac:dyDescent="0.2">
      <c r="A1360" s="64" t="str">
        <f t="shared" si="22"/>
        <v>1w</v>
      </c>
      <c r="B1360" s="203">
        <f>_xll.qlCalendarAdvance(Calendar,B1359,A1360,"f",FALSE)</f>
        <v>48408</v>
      </c>
      <c r="C1360" s="237">
        <f>_xll.qlCalendarAdvance(Calendar,B1360,NDays&amp;"D")</f>
        <v>48410</v>
      </c>
      <c r="D1360" s="202">
        <v>2.7626658621173247E-2</v>
      </c>
      <c r="E1360" s="202">
        <v>2.7705151015595675E-2</v>
      </c>
      <c r="U1360" s="204"/>
    </row>
    <row r="1361" spans="1:21" x14ac:dyDescent="0.2">
      <c r="A1361" s="64" t="str">
        <f t="shared" si="22"/>
        <v>1w</v>
      </c>
      <c r="B1361" s="203">
        <f>_xll.qlCalendarAdvance(Calendar,B1360,A1361,"f",FALSE)</f>
        <v>48415</v>
      </c>
      <c r="C1361" s="237">
        <f>_xll.qlCalendarAdvance(Calendar,B1361,NDays&amp;"D")</f>
        <v>48417</v>
      </c>
      <c r="D1361" s="202">
        <v>2.7608285764371271E-2</v>
      </c>
      <c r="E1361" s="202">
        <v>2.7680197990749278E-2</v>
      </c>
      <c r="U1361" s="204"/>
    </row>
    <row r="1362" spans="1:21" x14ac:dyDescent="0.2">
      <c r="A1362" s="64" t="str">
        <f t="shared" si="22"/>
        <v>1w</v>
      </c>
      <c r="B1362" s="203">
        <f>_xll.qlCalendarAdvance(Calendar,B1361,A1362,"f",FALSE)</f>
        <v>48422</v>
      </c>
      <c r="C1362" s="237">
        <f>_xll.qlCalendarAdvance(Calendar,B1362,NDays&amp;"D")</f>
        <v>48424</v>
      </c>
      <c r="D1362" s="202">
        <v>2.759043782829726E-2</v>
      </c>
      <c r="E1362" s="202">
        <v>2.7655762381133542E-2</v>
      </c>
      <c r="U1362" s="204"/>
    </row>
    <row r="1363" spans="1:21" x14ac:dyDescent="0.2">
      <c r="A1363" s="64" t="str">
        <f t="shared" si="22"/>
        <v>1w</v>
      </c>
      <c r="B1363" s="203">
        <f>_xll.qlCalendarAdvance(Calendar,B1362,A1363,"f",FALSE)</f>
        <v>48429</v>
      </c>
      <c r="C1363" s="237">
        <f>_xll.qlCalendarAdvance(Calendar,B1363,NDays&amp;"D")</f>
        <v>48431</v>
      </c>
      <c r="D1363" s="202">
        <v>2.7573114798638353E-2</v>
      </c>
      <c r="E1363" s="202">
        <v>2.7631844186428722E-2</v>
      </c>
      <c r="U1363" s="204"/>
    </row>
    <row r="1364" spans="1:21" x14ac:dyDescent="0.2">
      <c r="A1364" s="64" t="str">
        <f t="shared" si="22"/>
        <v>1w</v>
      </c>
      <c r="B1364" s="203">
        <f>_xll.qlCalendarAdvance(Calendar,B1363,A1364,"f",FALSE)</f>
        <v>48436</v>
      </c>
      <c r="C1364" s="237">
        <f>_xll.qlCalendarAdvance(Calendar,B1364,NDays&amp;"D")</f>
        <v>48438</v>
      </c>
      <c r="D1364" s="202">
        <v>2.7556316661500723E-2</v>
      </c>
      <c r="E1364" s="202">
        <v>2.7608443406714755E-2</v>
      </c>
      <c r="U1364" s="204"/>
    </row>
    <row r="1365" spans="1:21" x14ac:dyDescent="0.2">
      <c r="A1365" s="64" t="str">
        <f t="shared" si="22"/>
        <v>1w</v>
      </c>
      <c r="B1365" s="203">
        <f>_xll.qlCalendarAdvance(Calendar,B1364,A1365,"f",FALSE)</f>
        <v>48443</v>
      </c>
      <c r="C1365" s="237">
        <f>_xll.qlCalendarAdvance(Calendar,B1365,NDays&amp;"D")</f>
        <v>48445</v>
      </c>
      <c r="D1365" s="202">
        <v>2.7540043403411707E-2</v>
      </c>
      <c r="E1365" s="202">
        <v>2.7585560041911705E-2</v>
      </c>
      <c r="U1365" s="204"/>
    </row>
    <row r="1366" spans="1:21" x14ac:dyDescent="0.2">
      <c r="A1366" s="64" t="str">
        <f t="shared" si="22"/>
        <v>1w</v>
      </c>
      <c r="B1366" s="203">
        <f>_xll.qlCalendarAdvance(Calendar,B1365,A1366,"f",FALSE)</f>
        <v>48450</v>
      </c>
      <c r="C1366" s="237">
        <f>_xll.qlCalendarAdvance(Calendar,B1366,NDays&amp;"D")</f>
        <v>48452</v>
      </c>
      <c r="D1366" s="202">
        <v>2.7524295011320664E-2</v>
      </c>
      <c r="E1366" s="202">
        <v>2.7563194091619891E-2</v>
      </c>
      <c r="U1366" s="204"/>
    </row>
    <row r="1367" spans="1:21" x14ac:dyDescent="0.2">
      <c r="A1367" s="64" t="str">
        <f t="shared" si="22"/>
        <v>1w</v>
      </c>
      <c r="B1367" s="203">
        <f>_xll.qlCalendarAdvance(Calendar,B1366,A1367,"f",FALSE)</f>
        <v>48457</v>
      </c>
      <c r="C1367" s="237">
        <f>_xll.qlCalendarAdvance(Calendar,B1367,NDays&amp;"D")</f>
        <v>48459</v>
      </c>
      <c r="D1367" s="202">
        <v>2.7508397881452529E-2</v>
      </c>
      <c r="E1367" s="202">
        <v>2.7541345555999186E-2</v>
      </c>
      <c r="U1367" s="204"/>
    </row>
    <row r="1368" spans="1:21" x14ac:dyDescent="0.2">
      <c r="A1368" s="64" t="str">
        <f t="shared" si="22"/>
        <v>1w</v>
      </c>
      <c r="B1368" s="203">
        <f>_xll.qlCalendarAdvance(Calendar,B1367,A1368,"f",FALSE)</f>
        <v>48464</v>
      </c>
      <c r="C1368" s="237">
        <f>_xll.qlCalendarAdvance(Calendar,B1368,NDays&amp;"D")</f>
        <v>48466</v>
      </c>
      <c r="D1368" s="202">
        <v>2.7493517394053781E-2</v>
      </c>
      <c r="E1368" s="202">
        <v>2.7520014434969653E-2</v>
      </c>
      <c r="U1368" s="204"/>
    </row>
    <row r="1369" spans="1:21" x14ac:dyDescent="0.2">
      <c r="A1369" s="64" t="str">
        <f t="shared" si="22"/>
        <v>1w</v>
      </c>
      <c r="B1369" s="203">
        <f>_xll.qlCalendarAdvance(Calendar,B1368,A1369,"f",FALSE)</f>
        <v>48471</v>
      </c>
      <c r="C1369" s="237">
        <f>_xll.qlCalendarAdvance(Calendar,B1369,NDays&amp;"D")</f>
        <v>48473</v>
      </c>
      <c r="D1369" s="202">
        <v>2.747916153804E-2</v>
      </c>
      <c r="E1369" s="202">
        <v>2.749920072837142E-2</v>
      </c>
      <c r="U1369" s="204"/>
    </row>
    <row r="1370" spans="1:21" x14ac:dyDescent="0.2">
      <c r="A1370" s="64" t="str">
        <f t="shared" si="22"/>
        <v>1w</v>
      </c>
      <c r="B1370" s="203">
        <f>_xll.qlCalendarAdvance(Calendar,B1369,A1370,"f",FALSE)</f>
        <v>48478</v>
      </c>
      <c r="C1370" s="237">
        <f>_xll.qlCalendarAdvance(Calendar,B1370,NDays&amp;"D")</f>
        <v>48480</v>
      </c>
      <c r="D1370" s="202">
        <v>2.7465330302207769E-2</v>
      </c>
      <c r="E1370" s="202">
        <v>2.7478904436124552E-2</v>
      </c>
      <c r="U1370" s="204"/>
    </row>
    <row r="1371" spans="1:21" x14ac:dyDescent="0.2">
      <c r="A1371" s="64" t="str">
        <f t="shared" si="22"/>
        <v>1w</v>
      </c>
      <c r="B1371" s="203">
        <f>_xll.qlCalendarAdvance(Calendar,B1370,A1371,"f",FALSE)</f>
        <v>48485</v>
      </c>
      <c r="C1371" s="237">
        <f>_xll.qlCalendarAdvance(Calendar,B1371,NDays&amp;"D")</f>
        <v>48487</v>
      </c>
      <c r="D1371" s="202">
        <v>2.7452297051282347E-2</v>
      </c>
      <c r="E1371" s="202">
        <v>2.7459125558069175E-2</v>
      </c>
      <c r="U1371" s="204"/>
    </row>
    <row r="1372" spans="1:21" x14ac:dyDescent="0.2">
      <c r="A1372" s="64" t="str">
        <f t="shared" si="22"/>
        <v>1w</v>
      </c>
      <c r="B1372" s="203">
        <f>_xll.qlCalendarAdvance(Calendar,B1371,A1372,"f",FALSE)</f>
        <v>48492</v>
      </c>
      <c r="C1372" s="237">
        <f>_xll.qlCalendarAdvance(Calendar,B1372,NDays&amp;"D")</f>
        <v>48494</v>
      </c>
      <c r="D1372" s="202">
        <v>2.743955152880272E-2</v>
      </c>
      <c r="E1372" s="202">
        <v>2.7439864094285227E-2</v>
      </c>
      <c r="U1372" s="204"/>
    </row>
    <row r="1373" spans="1:21" x14ac:dyDescent="0.2">
      <c r="A1373" s="64" t="str">
        <f t="shared" si="22"/>
        <v>1w</v>
      </c>
      <c r="B1373" s="203">
        <f>_xll.qlCalendarAdvance(Calendar,B1372,A1373,"f",FALSE)</f>
        <v>48499</v>
      </c>
      <c r="C1373" s="237">
        <f>_xll.qlCalendarAdvance(Calendar,B1373,NDays&amp;"D")</f>
        <v>48501</v>
      </c>
      <c r="D1373" s="202">
        <v>2.7427330634833838E-2</v>
      </c>
      <c r="E1373" s="202">
        <v>2.7421120044532898E-2</v>
      </c>
      <c r="U1373" s="204"/>
    </row>
    <row r="1374" spans="1:21" x14ac:dyDescent="0.2">
      <c r="A1374" s="64" t="str">
        <f t="shared" si="22"/>
        <v>1w</v>
      </c>
      <c r="B1374" s="203">
        <f>_xll.qlCalendarAdvance(Calendar,B1373,A1374,"f",FALSE)</f>
        <v>48506</v>
      </c>
      <c r="C1374" s="237">
        <f>_xll.qlCalendarAdvance(Calendar,B1374,NDays&amp;"D")</f>
        <v>48508</v>
      </c>
      <c r="D1374" s="202">
        <v>2.7415634359786886E-2</v>
      </c>
      <c r="E1374" s="202">
        <v>2.740289340881219E-2</v>
      </c>
      <c r="U1374" s="204"/>
    </row>
    <row r="1375" spans="1:21" x14ac:dyDescent="0.2">
      <c r="A1375" s="64" t="str">
        <f t="shared" si="22"/>
        <v>1w</v>
      </c>
      <c r="B1375" s="203">
        <f>_xll.qlCalendarAdvance(Calendar,B1374,A1375,"f",FALSE)</f>
        <v>48513</v>
      </c>
      <c r="C1375" s="237">
        <f>_xll.qlCalendarAdvance(Calendar,B1375,NDays&amp;"D")</f>
        <v>48515</v>
      </c>
      <c r="D1375" s="202">
        <v>2.7404462694482393E-2</v>
      </c>
      <c r="E1375" s="202">
        <v>2.7385184187043166E-2</v>
      </c>
      <c r="U1375" s="204"/>
    </row>
    <row r="1376" spans="1:21" x14ac:dyDescent="0.2">
      <c r="A1376" s="64" t="str">
        <f t="shared" si="22"/>
        <v>1w</v>
      </c>
      <c r="B1376" s="203">
        <f>_xll.qlCalendarAdvance(Calendar,B1375,A1376,"f",FALSE)</f>
        <v>48520</v>
      </c>
      <c r="C1376" s="237">
        <f>_xll.qlCalendarAdvance(Calendar,B1376,NDays&amp;"D")</f>
        <v>48522</v>
      </c>
      <c r="D1376" s="202">
        <v>2.7393359335218821E-2</v>
      </c>
      <c r="E1376" s="202">
        <v>2.7367992379145889E-2</v>
      </c>
      <c r="U1376" s="204"/>
    </row>
    <row r="1377" spans="1:21" x14ac:dyDescent="0.2">
      <c r="A1377" s="64" t="str">
        <f t="shared" si="22"/>
        <v>1w</v>
      </c>
      <c r="B1377" s="203">
        <f>_xll.qlCalendarAdvance(Calendar,B1376,A1377,"f",FALSE)</f>
        <v>48527</v>
      </c>
      <c r="C1377" s="237">
        <f>_xll.qlCalendarAdvance(Calendar,B1377,NDays&amp;"D")</f>
        <v>48529</v>
      </c>
      <c r="D1377" s="202">
        <v>2.73832001613507E-2</v>
      </c>
      <c r="E1377" s="202">
        <v>2.7351317984960488E-2</v>
      </c>
      <c r="U1377" s="204"/>
    </row>
    <row r="1378" spans="1:21" x14ac:dyDescent="0.2">
      <c r="A1378" s="64" t="str">
        <f t="shared" si="22"/>
        <v>1w</v>
      </c>
      <c r="B1378" s="203">
        <f>_xll.qlCalendarAdvance(Calendar,B1377,A1378,"f",FALSE)</f>
        <v>48534</v>
      </c>
      <c r="C1378" s="237">
        <f>_xll.qlCalendarAdvance(Calendar,B1378,NDays&amp;"D")</f>
        <v>48536</v>
      </c>
      <c r="D1378" s="202">
        <v>2.7373565532775087E-2</v>
      </c>
      <c r="E1378" s="202">
        <v>2.7335161004486963E-2</v>
      </c>
      <c r="U1378" s="204"/>
    </row>
    <row r="1379" spans="1:21" x14ac:dyDescent="0.2">
      <c r="A1379" s="64" t="str">
        <f t="shared" si="22"/>
        <v>1w</v>
      </c>
      <c r="B1379" s="203">
        <f>_xll.qlCalendarAdvance(Calendar,B1378,A1379,"f",FALSE)</f>
        <v>48541</v>
      </c>
      <c r="C1379" s="237">
        <f>_xll.qlCalendarAdvance(Calendar,B1379,NDays&amp;"D")</f>
        <v>48543</v>
      </c>
      <c r="D1379" s="202">
        <v>2.7364455441973135E-2</v>
      </c>
      <c r="E1379" s="202">
        <v>2.7319521437725314E-2</v>
      </c>
      <c r="U1379" s="204"/>
    </row>
    <row r="1380" spans="1:21" x14ac:dyDescent="0.2">
      <c r="A1380" s="64" t="str">
        <f t="shared" si="22"/>
        <v>1w</v>
      </c>
      <c r="B1380" s="203">
        <f>_xll.qlCalendarAdvance(Calendar,B1379,A1380,"f",FALSE)</f>
        <v>48548</v>
      </c>
      <c r="C1380" s="237">
        <f>_xll.qlCalendarAdvance(Calendar,B1380,NDays&amp;"D")</f>
        <v>48550</v>
      </c>
      <c r="D1380" s="202">
        <v>2.7356472844978014E-2</v>
      </c>
      <c r="E1380" s="202">
        <v>2.7304399284435732E-2</v>
      </c>
      <c r="U1380" s="204"/>
    </row>
    <row r="1381" spans="1:21" x14ac:dyDescent="0.2">
      <c r="A1381" s="64" t="str">
        <f t="shared" si="22"/>
        <v>1w</v>
      </c>
      <c r="B1381" s="203">
        <f>_xll.qlCalendarAdvance(Calendar,B1380,A1381,"f",FALSE)</f>
        <v>48555</v>
      </c>
      <c r="C1381" s="237">
        <f>_xll.qlCalendarAdvance(Calendar,B1381,NDays&amp;"D")</f>
        <v>48557</v>
      </c>
      <c r="D1381" s="202">
        <v>2.7348435093108654E-2</v>
      </c>
      <c r="E1381" s="202">
        <v>2.728979454477809E-2</v>
      </c>
      <c r="U1381" s="204"/>
    </row>
    <row r="1382" spans="1:21" x14ac:dyDescent="0.2">
      <c r="A1382" s="64" t="str">
        <f t="shared" si="22"/>
        <v>1w</v>
      </c>
      <c r="B1382" s="203">
        <f>_xll.qlCalendarAdvance(Calendar,B1381,A1382,"f",FALSE)</f>
        <v>48562</v>
      </c>
      <c r="C1382" s="237">
        <f>_xll.qlCalendarAdvance(Calendar,B1382,NDays&amp;"D")</f>
        <v>48564</v>
      </c>
      <c r="D1382" s="202">
        <v>2.7340880879518605E-2</v>
      </c>
      <c r="E1382" s="202">
        <v>2.7275707218512579E-2</v>
      </c>
      <c r="U1382" s="204"/>
    </row>
    <row r="1383" spans="1:21" x14ac:dyDescent="0.2">
      <c r="A1383" s="64" t="str">
        <f t="shared" si="22"/>
        <v>1w</v>
      </c>
      <c r="B1383" s="203">
        <f>_xll.qlCalendarAdvance(Calendar,B1382,A1383,"f",FALSE)</f>
        <v>48569</v>
      </c>
      <c r="C1383" s="237">
        <f>_xll.qlCalendarAdvance(Calendar,B1383,NDays&amp;"D")</f>
        <v>48571</v>
      </c>
      <c r="D1383" s="202">
        <v>2.733378148565373E-2</v>
      </c>
      <c r="E1383" s="202">
        <v>2.72621373056392E-2</v>
      </c>
      <c r="U1383" s="204"/>
    </row>
    <row r="1384" spans="1:21" x14ac:dyDescent="0.2">
      <c r="A1384" s="64" t="str">
        <f t="shared" si="22"/>
        <v>1w</v>
      </c>
      <c r="B1384" s="203">
        <f>_xll.qlCalendarAdvance(Calendar,B1383,A1384,"f",FALSE)</f>
        <v>48576</v>
      </c>
      <c r="C1384" s="237">
        <f>_xll.qlCalendarAdvance(Calendar,B1384,NDays&amp;"D")</f>
        <v>48578</v>
      </c>
      <c r="D1384" s="202">
        <v>2.7327108193689435E-2</v>
      </c>
      <c r="E1384" s="202">
        <v>2.7249084806078017E-2</v>
      </c>
      <c r="U1384" s="204"/>
    </row>
    <row r="1385" spans="1:21" x14ac:dyDescent="0.2">
      <c r="A1385" s="64" t="str">
        <f t="shared" si="22"/>
        <v>1w</v>
      </c>
      <c r="B1385" s="203">
        <f>_xll.qlCalendarAdvance(Calendar,B1384,A1385,"f",FALSE)</f>
        <v>48583</v>
      </c>
      <c r="C1385" s="237">
        <f>_xll.qlCalendarAdvance(Calendar,B1385,NDays&amp;"D")</f>
        <v>48585</v>
      </c>
      <c r="D1385" s="202">
        <v>2.7320099266851739E-2</v>
      </c>
      <c r="E1385" s="202">
        <v>2.7236549719749092E-2</v>
      </c>
      <c r="U1385" s="204"/>
    </row>
    <row r="1386" spans="1:21" x14ac:dyDescent="0.2">
      <c r="A1386" s="64" t="str">
        <f t="shared" si="22"/>
        <v>1w</v>
      </c>
      <c r="B1386" s="203">
        <f>_xll.qlCalendarAdvance(Calendar,B1385,A1386,"f",FALSE)</f>
        <v>48590</v>
      </c>
      <c r="C1386" s="237">
        <f>_xll.qlCalendarAdvance(Calendar,B1386,NDays&amp;"D")</f>
        <v>48592</v>
      </c>
      <c r="D1386" s="202">
        <v>2.7314176371050082E-2</v>
      </c>
      <c r="E1386" s="202">
        <v>2.7224532046652428E-2</v>
      </c>
      <c r="U1386" s="204"/>
    </row>
    <row r="1387" spans="1:21" x14ac:dyDescent="0.2">
      <c r="A1387" s="64" t="str">
        <f t="shared" si="22"/>
        <v>1w</v>
      </c>
      <c r="B1387" s="203">
        <f>_xll.qlCalendarAdvance(Calendar,B1386,A1387,"f",FALSE)</f>
        <v>48597</v>
      </c>
      <c r="C1387" s="237">
        <f>_xll.qlCalendarAdvance(Calendar,B1387,NDays&amp;"D")</f>
        <v>48599</v>
      </c>
      <c r="D1387" s="202">
        <v>2.7308596506336158E-2</v>
      </c>
      <c r="E1387" s="202">
        <v>2.7213031786788022E-2</v>
      </c>
      <c r="U1387" s="204"/>
    </row>
    <row r="1388" spans="1:21" x14ac:dyDescent="0.2">
      <c r="A1388" s="64" t="str">
        <f t="shared" si="22"/>
        <v>1w</v>
      </c>
      <c r="B1388" s="203">
        <f>_xll.qlCalendarAdvance(Calendar,B1387,A1388,"f",FALSE)</f>
        <v>48604</v>
      </c>
      <c r="C1388" s="237">
        <f>_xll.qlCalendarAdvance(Calendar,B1388,NDays&amp;"D")</f>
        <v>48606</v>
      </c>
      <c r="D1388" s="202">
        <v>2.7303330800733334E-2</v>
      </c>
      <c r="E1388" s="202">
        <v>2.7202048939916068E-2</v>
      </c>
      <c r="U1388" s="204"/>
    </row>
    <row r="1389" spans="1:21" x14ac:dyDescent="0.2">
      <c r="A1389" s="64" t="str">
        <f t="shared" si="22"/>
        <v>1w</v>
      </c>
      <c r="B1389" s="203">
        <f>_xll.qlCalendarAdvance(Calendar,B1388,A1389,"f",FALSE)</f>
        <v>48611</v>
      </c>
      <c r="C1389" s="237">
        <f>_xll.qlCalendarAdvance(Calendar,B1389,NDays&amp;"D")</f>
        <v>48613</v>
      </c>
      <c r="D1389" s="202">
        <v>2.7298350382725163E-2</v>
      </c>
      <c r="E1389" s="202">
        <v>2.7191583506196437E-2</v>
      </c>
      <c r="U1389" s="204"/>
    </row>
    <row r="1390" spans="1:21" x14ac:dyDescent="0.2">
      <c r="A1390" s="64" t="str">
        <f t="shared" si="22"/>
        <v>1w</v>
      </c>
      <c r="B1390" s="203">
        <f>_xll.qlCalendarAdvance(Calendar,B1389,A1390,"f",FALSE)</f>
        <v>48618</v>
      </c>
      <c r="C1390" s="237">
        <f>_xll.qlCalendarAdvance(Calendar,B1390,NDays&amp;"D")</f>
        <v>48620</v>
      </c>
      <c r="D1390" s="202">
        <v>2.7293626381210336E-2</v>
      </c>
      <c r="E1390" s="202">
        <v>2.7181635485549194E-2</v>
      </c>
      <c r="U1390" s="204"/>
    </row>
    <row r="1391" spans="1:21" x14ac:dyDescent="0.2">
      <c r="A1391" s="64" t="str">
        <f t="shared" si="22"/>
        <v>1w</v>
      </c>
      <c r="B1391" s="203">
        <f>_xll.qlCalendarAdvance(Calendar,B1390,A1391,"f",FALSE)</f>
        <v>48625</v>
      </c>
      <c r="C1391" s="237">
        <f>_xll.qlCalendarAdvance(Calendar,B1391,NDays&amp;"D")</f>
        <v>48627</v>
      </c>
      <c r="D1391" s="202">
        <v>2.7289129925462043E-2</v>
      </c>
      <c r="E1391" s="202">
        <v>2.7172204877814465E-2</v>
      </c>
      <c r="U1391" s="204"/>
    </row>
    <row r="1392" spans="1:21" x14ac:dyDescent="0.2">
      <c r="A1392" s="64" t="str">
        <f t="shared" si="22"/>
        <v>1w</v>
      </c>
      <c r="B1392" s="203">
        <f>_xll.qlCalendarAdvance(Calendar,B1391,A1392,"f",FALSE)</f>
        <v>48632</v>
      </c>
      <c r="C1392" s="237">
        <f>_xll.qlCalendarAdvance(Calendar,B1392,NDays&amp;"D")</f>
        <v>48634</v>
      </c>
      <c r="D1392" s="202">
        <v>2.7284832145095316E-2</v>
      </c>
      <c r="E1392" s="202">
        <v>2.7163291682992252E-2</v>
      </c>
      <c r="U1392" s="204"/>
    </row>
    <row r="1393" spans="1:21" x14ac:dyDescent="0.2">
      <c r="A1393" s="64" t="str">
        <f t="shared" si="22"/>
        <v>1w</v>
      </c>
      <c r="B1393" s="203">
        <f>_xll.qlCalendarAdvance(Calendar,B1392,A1393,"f",FALSE)</f>
        <v>48639</v>
      </c>
      <c r="C1393" s="237">
        <f>_xll.qlCalendarAdvance(Calendar,B1393,NDays&amp;"D")</f>
        <v>48641</v>
      </c>
      <c r="D1393" s="202">
        <v>2.728459899375513E-2</v>
      </c>
      <c r="E1393" s="202">
        <v>2.7154895901082554E-2</v>
      </c>
      <c r="U1393" s="204"/>
    </row>
    <row r="1394" spans="1:21" x14ac:dyDescent="0.2">
      <c r="A1394" s="64" t="str">
        <f t="shared" si="22"/>
        <v>1w</v>
      </c>
      <c r="B1394" s="203">
        <f>_xll.qlCalendarAdvance(Calendar,B1393,A1394,"f",FALSE)</f>
        <v>48646</v>
      </c>
      <c r="C1394" s="237">
        <f>_xll.qlCalendarAdvance(Calendar,B1394,NDays&amp;"D")</f>
        <v>48648</v>
      </c>
      <c r="D1394" s="202">
        <v>2.7280587738440987E-2</v>
      </c>
      <c r="E1394" s="202">
        <v>2.7147017532085371E-2</v>
      </c>
      <c r="U1394" s="204"/>
    </row>
    <row r="1395" spans="1:21" x14ac:dyDescent="0.2">
      <c r="A1395" s="64" t="str">
        <f t="shared" si="22"/>
        <v>1w</v>
      </c>
      <c r="B1395" s="203">
        <f>_xll.qlCalendarAdvance(Calendar,B1394,A1395,"f",FALSE)</f>
        <v>48653</v>
      </c>
      <c r="C1395" s="237">
        <f>_xll.qlCalendarAdvance(Calendar,B1395,NDays&amp;"D")</f>
        <v>48655</v>
      </c>
      <c r="D1395" s="202">
        <v>2.7276679608258934E-2</v>
      </c>
      <c r="E1395" s="202">
        <v>2.7139656575840831E-2</v>
      </c>
      <c r="U1395" s="204"/>
    </row>
    <row r="1396" spans="1:21" x14ac:dyDescent="0.2">
      <c r="A1396" s="64" t="str">
        <f t="shared" si="22"/>
        <v>1w</v>
      </c>
      <c r="B1396" s="203">
        <f>_xll.qlCalendarAdvance(Calendar,B1395,A1396,"f",FALSE)</f>
        <v>48660</v>
      </c>
      <c r="C1396" s="237">
        <f>_xll.qlCalendarAdvance(Calendar,B1396,NDays&amp;"D")</f>
        <v>48662</v>
      </c>
      <c r="D1396" s="202">
        <v>2.7272846499446644E-2</v>
      </c>
      <c r="E1396" s="202">
        <v>2.7132813032508807E-2</v>
      </c>
      <c r="U1396" s="204"/>
    </row>
    <row r="1397" spans="1:21" x14ac:dyDescent="0.2">
      <c r="A1397" s="64" t="str">
        <f t="shared" si="22"/>
        <v>1w</v>
      </c>
      <c r="B1397" s="203">
        <f>_xll.qlCalendarAdvance(Calendar,B1396,A1397,"f",FALSE)</f>
        <v>48667</v>
      </c>
      <c r="C1397" s="237">
        <f>_xll.qlCalendarAdvance(Calendar,B1397,NDays&amp;"D")</f>
        <v>48669</v>
      </c>
      <c r="D1397" s="202">
        <v>2.7266815849646492E-2</v>
      </c>
      <c r="E1397" s="202">
        <v>2.7126486901849489E-2</v>
      </c>
      <c r="U1397" s="204"/>
    </row>
    <row r="1398" spans="1:21" x14ac:dyDescent="0.2">
      <c r="A1398" s="64" t="str">
        <f t="shared" si="22"/>
        <v>1w</v>
      </c>
      <c r="B1398" s="203">
        <f>_xll.qlCalendarAdvance(Calendar,B1397,A1398,"f",FALSE)</f>
        <v>48674</v>
      </c>
      <c r="C1398" s="237">
        <f>_xll.qlCalendarAdvance(Calendar,B1398,NDays&amp;"D")</f>
        <v>48676</v>
      </c>
      <c r="D1398" s="202">
        <v>2.7263081875754443E-2</v>
      </c>
      <c r="E1398" s="202">
        <v>2.7120678183942815E-2</v>
      </c>
      <c r="U1398" s="204"/>
    </row>
    <row r="1399" spans="1:21" x14ac:dyDescent="0.2">
      <c r="A1399" s="64" t="str">
        <f t="shared" si="22"/>
        <v>1w</v>
      </c>
      <c r="B1399" s="203">
        <f>_xll.qlCalendarAdvance(Calendar,B1398,A1399,"f",FALSE)</f>
        <v>48681</v>
      </c>
      <c r="C1399" s="237">
        <f>_xll.qlCalendarAdvance(Calendar,B1399,NDays&amp;"D")</f>
        <v>48683</v>
      </c>
      <c r="D1399" s="202">
        <v>2.7259342102553378E-2</v>
      </c>
      <c r="E1399" s="202">
        <v>2.711806524572502E-2</v>
      </c>
      <c r="U1399" s="204"/>
    </row>
    <row r="1400" spans="1:21" x14ac:dyDescent="0.2">
      <c r="A1400" s="64" t="str">
        <f t="shared" si="22"/>
        <v>1w</v>
      </c>
      <c r="B1400" s="203">
        <f>_xll.qlCalendarAdvance(Calendar,B1399,A1400,"f",FALSE)</f>
        <v>48688</v>
      </c>
      <c r="C1400" s="237">
        <f>_xll.qlCalendarAdvance(Calendar,B1400,NDays&amp;"D")</f>
        <v>48690</v>
      </c>
      <c r="D1400" s="202">
        <v>2.7255567972867885E-2</v>
      </c>
      <c r="E1400" s="202">
        <v>2.7110612986227522E-2</v>
      </c>
      <c r="U1400" s="204"/>
    </row>
    <row r="1401" spans="1:21" x14ac:dyDescent="0.2">
      <c r="A1401" s="64" t="str">
        <f t="shared" si="22"/>
        <v>1w</v>
      </c>
      <c r="B1401" s="203">
        <f>_xll.qlCalendarAdvance(Calendar,B1400,A1401,"f",FALSE)</f>
        <v>48695</v>
      </c>
      <c r="C1401" s="237">
        <f>_xll.qlCalendarAdvance(Calendar,B1401,NDays&amp;"D")</f>
        <v>48697</v>
      </c>
      <c r="D1401" s="202">
        <v>2.7251730929744433E-2</v>
      </c>
      <c r="E1401" s="202">
        <v>2.7106356506498841E-2</v>
      </c>
      <c r="U1401" s="204"/>
    </row>
    <row r="1402" spans="1:21" x14ac:dyDescent="0.2">
      <c r="A1402" s="64" t="str">
        <f t="shared" si="22"/>
        <v>1w</v>
      </c>
      <c r="B1402" s="203">
        <f>_xll.qlCalendarAdvance(Calendar,B1401,A1402,"f",FALSE)</f>
        <v>48702</v>
      </c>
      <c r="C1402" s="237">
        <f>_xll.qlCalendarAdvance(Calendar,B1402,NDays&amp;"D")</f>
        <v>48704</v>
      </c>
      <c r="D1402" s="202">
        <v>2.7249849512853766E-2</v>
      </c>
      <c r="E1402" s="202">
        <v>2.7102617439282994E-2</v>
      </c>
      <c r="U1402" s="204"/>
    </row>
    <row r="1403" spans="1:21" x14ac:dyDescent="0.2">
      <c r="A1403" s="64" t="str">
        <f t="shared" si="22"/>
        <v>1w</v>
      </c>
      <c r="B1403" s="203">
        <f>_xll.qlCalendarAdvance(Calendar,B1402,A1403,"f",FALSE)</f>
        <v>48709</v>
      </c>
      <c r="C1403" s="237">
        <f>_xll.qlCalendarAdvance(Calendar,B1403,NDays&amp;"D")</f>
        <v>48711</v>
      </c>
      <c r="D1403" s="202">
        <v>2.7245754667022747E-2</v>
      </c>
      <c r="E1403" s="202">
        <v>2.7099395784819791E-2</v>
      </c>
      <c r="U1403" s="204"/>
    </row>
    <row r="1404" spans="1:21" x14ac:dyDescent="0.2">
      <c r="A1404" s="64" t="str">
        <f t="shared" si="22"/>
        <v>1w</v>
      </c>
      <c r="B1404" s="203">
        <f>_xll.qlCalendarAdvance(Calendar,B1403,A1404,"f",FALSE)</f>
        <v>48716</v>
      </c>
      <c r="C1404" s="237">
        <f>_xll.qlCalendarAdvance(Calendar,B1404,NDays&amp;"D")</f>
        <v>48718</v>
      </c>
      <c r="D1404" s="202">
        <v>2.7241510020529103E-2</v>
      </c>
      <c r="E1404" s="202">
        <v>2.7096691542949358E-2</v>
      </c>
      <c r="U1404" s="204"/>
    </row>
    <row r="1405" spans="1:21" x14ac:dyDescent="0.2">
      <c r="A1405" s="64" t="str">
        <f t="shared" si="22"/>
        <v>1w</v>
      </c>
      <c r="B1405" s="203">
        <f>_xll.qlCalendarAdvance(Calendar,B1404,A1405,"f",FALSE)</f>
        <v>48723</v>
      </c>
      <c r="C1405" s="237">
        <f>_xll.qlCalendarAdvance(Calendar,B1405,NDays&amp;"D")</f>
        <v>48725</v>
      </c>
      <c r="D1405" s="202">
        <v>2.723708747170861E-2</v>
      </c>
      <c r="E1405" s="202">
        <v>2.709450471359176E-2</v>
      </c>
      <c r="U1405" s="204"/>
    </row>
    <row r="1406" spans="1:21" x14ac:dyDescent="0.2">
      <c r="A1406" s="64" t="str">
        <f t="shared" si="22"/>
        <v>1w</v>
      </c>
      <c r="B1406" s="203">
        <f>_xll.qlCalendarAdvance(Calendar,B1405,A1406,"f",FALSE)</f>
        <v>48730</v>
      </c>
      <c r="C1406" s="237">
        <f>_xll.qlCalendarAdvance(Calendar,B1406,NDays&amp;"D")</f>
        <v>48732</v>
      </c>
      <c r="D1406" s="202">
        <v>2.7230602910152644E-2</v>
      </c>
      <c r="E1406" s="202">
        <v>2.7092742618242127E-2</v>
      </c>
      <c r="U1406" s="204"/>
    </row>
    <row r="1407" spans="1:21" x14ac:dyDescent="0.2">
      <c r="A1407" s="64" t="str">
        <f t="shared" si="22"/>
        <v>1w</v>
      </c>
      <c r="B1407" s="203">
        <f>_xll.qlCalendarAdvance(Calendar,B1406,A1407,"f",FALSE)</f>
        <v>48737</v>
      </c>
      <c r="C1407" s="237">
        <f>_xll.qlCalendarAdvance(Calendar,B1407,NDays&amp;"D")</f>
        <v>48739</v>
      </c>
      <c r="D1407" s="202">
        <v>2.7225802205209995E-2</v>
      </c>
      <c r="E1407" s="202">
        <v>2.7090854194105063E-2</v>
      </c>
      <c r="U1407" s="204"/>
    </row>
    <row r="1408" spans="1:21" x14ac:dyDescent="0.2">
      <c r="A1408" s="64" t="str">
        <f t="shared" si="22"/>
        <v>1w</v>
      </c>
      <c r="B1408" s="203">
        <f>_xll.qlCalendarAdvance(Calendar,B1407,A1408,"f",FALSE)</f>
        <v>48744</v>
      </c>
      <c r="C1408" s="237">
        <f>_xll.qlCalendarAdvance(Calendar,B1408,NDays&amp;"D")</f>
        <v>48746</v>
      </c>
      <c r="D1408" s="202">
        <v>2.7220779490549199E-2</v>
      </c>
      <c r="E1408" s="202">
        <v>2.7088746762355953E-2</v>
      </c>
      <c r="U1408" s="204"/>
    </row>
    <row r="1409" spans="1:21" x14ac:dyDescent="0.2">
      <c r="A1409" s="64" t="str">
        <f t="shared" si="22"/>
        <v>1w</v>
      </c>
      <c r="B1409" s="203">
        <f>_xll.qlCalendarAdvance(Calendar,B1408,A1409,"f",FALSE)</f>
        <v>48751</v>
      </c>
      <c r="C1409" s="237">
        <f>_xll.qlCalendarAdvance(Calendar,B1409,NDays&amp;"D")</f>
        <v>48753</v>
      </c>
      <c r="D1409" s="202">
        <v>2.7215534767846286E-2</v>
      </c>
      <c r="E1409" s="202">
        <v>2.7086420323234606E-2</v>
      </c>
      <c r="U1409" s="204"/>
    </row>
    <row r="1410" spans="1:21" x14ac:dyDescent="0.2">
      <c r="A1410" s="64" t="str">
        <f t="shared" si="22"/>
        <v>1w</v>
      </c>
      <c r="B1410" s="203">
        <f>_xll.qlCalendarAdvance(Calendar,B1409,A1410,"f",FALSE)</f>
        <v>48758</v>
      </c>
      <c r="C1410" s="237">
        <f>_xll.qlCalendarAdvance(Calendar,B1410,NDays&amp;"D")</f>
        <v>48760</v>
      </c>
      <c r="D1410" s="202">
        <v>2.7210068038854177E-2</v>
      </c>
      <c r="E1410" s="202">
        <v>2.7083874876501213E-2</v>
      </c>
      <c r="U1410" s="204"/>
    </row>
    <row r="1411" spans="1:21" x14ac:dyDescent="0.2">
      <c r="A1411" s="64" t="str">
        <f t="shared" si="22"/>
        <v>1w</v>
      </c>
      <c r="B1411" s="203">
        <f>_xll.qlCalendarAdvance(Calendar,B1410,A1411,"f",FALSE)</f>
        <v>48765</v>
      </c>
      <c r="C1411" s="237">
        <f>_xll.qlCalendarAdvance(Calendar,B1411,NDays&amp;"D")</f>
        <v>48767</v>
      </c>
      <c r="D1411" s="202">
        <v>2.7205991860321726E-2</v>
      </c>
      <c r="E1411" s="202">
        <v>2.7081110422395582E-2</v>
      </c>
      <c r="U1411" s="204"/>
    </row>
    <row r="1412" spans="1:21" x14ac:dyDescent="0.2">
      <c r="A1412" s="64" t="str">
        <f t="shared" si="22"/>
        <v>1w</v>
      </c>
      <c r="B1412" s="203">
        <f>_xll.qlCalendarAdvance(Calendar,B1411,A1412,"f",FALSE)</f>
        <v>48772</v>
      </c>
      <c r="C1412" s="237">
        <f>_xll.qlCalendarAdvance(Calendar,B1412,NDays&amp;"D")</f>
        <v>48774</v>
      </c>
      <c r="D1412" s="202">
        <v>2.7200032211755251E-2</v>
      </c>
      <c r="E1412" s="202">
        <v>2.7078126960757842E-2</v>
      </c>
      <c r="U1412" s="204"/>
    </row>
    <row r="1413" spans="1:21" x14ac:dyDescent="0.2">
      <c r="A1413" s="64" t="str">
        <f t="shared" si="22"/>
        <v>1w</v>
      </c>
      <c r="B1413" s="203">
        <f>_xll.qlCalendarAdvance(Calendar,B1412,A1413,"f",FALSE)</f>
        <v>48779</v>
      </c>
      <c r="C1413" s="237">
        <f>_xll.qlCalendarAdvance(Calendar,B1413,NDays&amp;"D")</f>
        <v>48781</v>
      </c>
      <c r="D1413" s="202">
        <v>2.7193850513381419E-2</v>
      </c>
      <c r="E1413" s="202">
        <v>2.7074924491667929E-2</v>
      </c>
      <c r="U1413" s="204"/>
    </row>
    <row r="1414" spans="1:21" x14ac:dyDescent="0.2">
      <c r="A1414" s="64" t="str">
        <f t="shared" si="22"/>
        <v>1w</v>
      </c>
      <c r="B1414" s="203">
        <f>_xll.qlCalendarAdvance(Calendar,B1413,A1414,"f",FALSE)</f>
        <v>48786</v>
      </c>
      <c r="C1414" s="237">
        <f>_xll.qlCalendarAdvance(Calendar,B1414,NDays&amp;"D")</f>
        <v>48788</v>
      </c>
      <c r="D1414" s="202">
        <v>2.7187446767298767E-2</v>
      </c>
      <c r="E1414" s="202">
        <v>2.7071503015045906E-2</v>
      </c>
      <c r="U1414" s="204"/>
    </row>
    <row r="1415" spans="1:21" x14ac:dyDescent="0.2">
      <c r="A1415" s="64" t="str">
        <f t="shared" ref="A1415:A1478" si="23">A1414</f>
        <v>1w</v>
      </c>
      <c r="B1415" s="203">
        <f>_xll.qlCalendarAdvance(Calendar,B1414,A1415,"f",FALSE)</f>
        <v>48793</v>
      </c>
      <c r="C1415" s="237">
        <f>_xll.qlCalendarAdvance(Calendar,B1415,NDays&amp;"D")</f>
        <v>48795</v>
      </c>
      <c r="D1415" s="202">
        <v>2.7180820975680177E-2</v>
      </c>
      <c r="E1415" s="202">
        <v>2.7067862530891773E-2</v>
      </c>
      <c r="U1415" s="204"/>
    </row>
    <row r="1416" spans="1:21" x14ac:dyDescent="0.2">
      <c r="A1416" s="64" t="str">
        <f t="shared" si="23"/>
        <v>1w</v>
      </c>
      <c r="B1416" s="203">
        <f>_xll.qlCalendarAdvance(Calendar,B1415,A1416,"f",FALSE)</f>
        <v>48800</v>
      </c>
      <c r="C1416" s="237">
        <f>_xll.qlCalendarAdvance(Calendar,B1416,NDays&amp;"D")</f>
        <v>48802</v>
      </c>
      <c r="D1416" s="202">
        <v>2.7173973140775895E-2</v>
      </c>
      <c r="E1416" s="202">
        <v>2.7064003039445339E-2</v>
      </c>
      <c r="U1416" s="204"/>
    </row>
    <row r="1417" spans="1:21" x14ac:dyDescent="0.2">
      <c r="A1417" s="64" t="str">
        <f t="shared" si="23"/>
        <v>1w</v>
      </c>
      <c r="B1417" s="203">
        <f>_xll.qlCalendarAdvance(Calendar,B1416,A1417,"f",FALSE)</f>
        <v>48807</v>
      </c>
      <c r="C1417" s="237">
        <f>_xll.qlCalendarAdvance(Calendar,B1417,NDays&amp;"D")</f>
        <v>48809</v>
      </c>
      <c r="D1417" s="202">
        <v>2.7166903264909219E-2</v>
      </c>
      <c r="E1417" s="202">
        <v>2.7059924540466795E-2</v>
      </c>
      <c r="U1417" s="204"/>
    </row>
    <row r="1418" spans="1:21" x14ac:dyDescent="0.2">
      <c r="A1418" s="64" t="str">
        <f t="shared" si="23"/>
        <v>1w</v>
      </c>
      <c r="B1418" s="203">
        <f>_xll.qlCalendarAdvance(Calendar,B1417,A1418,"f",FALSE)</f>
        <v>48814</v>
      </c>
      <c r="C1418" s="237">
        <f>_xll.qlCalendarAdvance(Calendar,B1418,NDays&amp;"D")</f>
        <v>48816</v>
      </c>
      <c r="D1418" s="202">
        <v>2.7159611350480384E-2</v>
      </c>
      <c r="E1418" s="202">
        <v>2.7055627034036078E-2</v>
      </c>
      <c r="U1418" s="204"/>
    </row>
    <row r="1419" spans="1:21" x14ac:dyDescent="0.2">
      <c r="A1419" s="64" t="str">
        <f t="shared" si="23"/>
        <v>1w</v>
      </c>
      <c r="B1419" s="203">
        <f>_xll.qlCalendarAdvance(Calendar,B1418,A1419,"f",FALSE)</f>
        <v>48821</v>
      </c>
      <c r="C1419" s="237">
        <f>_xll.qlCalendarAdvance(Calendar,B1419,NDays&amp;"D")</f>
        <v>48823</v>
      </c>
      <c r="D1419" s="202">
        <v>2.7150056514209441E-2</v>
      </c>
      <c r="E1419" s="202">
        <v>2.7051110520233124E-2</v>
      </c>
      <c r="U1419" s="204"/>
    </row>
    <row r="1420" spans="1:21" x14ac:dyDescent="0.2">
      <c r="A1420" s="64" t="str">
        <f t="shared" si="23"/>
        <v>1w</v>
      </c>
      <c r="B1420" s="203">
        <f>_xll.qlCalendarAdvance(Calendar,B1419,A1420,"f",FALSE)</f>
        <v>48828</v>
      </c>
      <c r="C1420" s="237">
        <f>_xll.qlCalendarAdvance(Calendar,B1420,NDays&amp;"D")</f>
        <v>48830</v>
      </c>
      <c r="D1420" s="202">
        <v>2.7142402692947362E-2</v>
      </c>
      <c r="E1420" s="202">
        <v>2.704637499889806E-2</v>
      </c>
      <c r="U1420" s="204"/>
    </row>
    <row r="1421" spans="1:21" x14ac:dyDescent="0.2">
      <c r="A1421" s="64" t="str">
        <f t="shared" si="23"/>
        <v>1w</v>
      </c>
      <c r="B1421" s="203">
        <f>_xll.qlCalendarAdvance(Calendar,B1420,A1421,"f",FALSE)</f>
        <v>48835</v>
      </c>
      <c r="C1421" s="237">
        <f>_xll.qlCalendarAdvance(Calendar,B1421,NDays&amp;"D")</f>
        <v>48837</v>
      </c>
      <c r="D1421" s="202">
        <v>2.7134526922081834E-2</v>
      </c>
      <c r="E1421" s="202">
        <v>2.7041420470190758E-2</v>
      </c>
      <c r="U1421" s="204"/>
    </row>
    <row r="1422" spans="1:21" x14ac:dyDescent="0.2">
      <c r="A1422" s="64" t="str">
        <f t="shared" si="23"/>
        <v>1w</v>
      </c>
      <c r="B1422" s="203">
        <f>_xll.qlCalendarAdvance(Calendar,B1421,A1422,"f",FALSE)</f>
        <v>48842</v>
      </c>
      <c r="C1422" s="237">
        <f>_xll.qlCalendarAdvance(Calendar,B1422,NDays&amp;"D")</f>
        <v>48844</v>
      </c>
      <c r="D1422" s="202">
        <v>2.7126429204214531E-2</v>
      </c>
      <c r="E1422" s="202">
        <v>2.7036246934111219E-2</v>
      </c>
      <c r="U1422" s="204"/>
    </row>
    <row r="1423" spans="1:21" x14ac:dyDescent="0.2">
      <c r="A1423" s="64" t="str">
        <f t="shared" si="23"/>
        <v>1w</v>
      </c>
      <c r="B1423" s="203">
        <f>_xll.qlCalendarAdvance(Calendar,B1422,A1423,"f",FALSE)</f>
        <v>48849</v>
      </c>
      <c r="C1423" s="237">
        <f>_xll.qlCalendarAdvance(Calendar,B1423,NDays&amp;"D")</f>
        <v>48851</v>
      </c>
      <c r="D1423" s="202">
        <v>2.7118109542019566E-2</v>
      </c>
      <c r="E1423" s="202">
        <v>2.7030854390579506E-2</v>
      </c>
      <c r="U1423" s="204"/>
    </row>
    <row r="1424" spans="1:21" x14ac:dyDescent="0.2">
      <c r="A1424" s="64" t="str">
        <f t="shared" si="23"/>
        <v>1w</v>
      </c>
      <c r="B1424" s="203">
        <f>_xll.qlCalendarAdvance(Calendar,B1423,A1424,"f",FALSE)</f>
        <v>48856</v>
      </c>
      <c r="C1424" s="237">
        <f>_xll.qlCalendarAdvance(Calendar,B1424,NDays&amp;"D")</f>
        <v>48858</v>
      </c>
      <c r="D1424" s="202">
        <v>2.7109896915072623E-2</v>
      </c>
      <c r="E1424" s="202">
        <v>2.7025242839675556E-2</v>
      </c>
      <c r="U1424" s="204"/>
    </row>
    <row r="1425" spans="1:21" x14ac:dyDescent="0.2">
      <c r="A1425" s="64" t="str">
        <f t="shared" si="23"/>
        <v>1w</v>
      </c>
      <c r="B1425" s="203">
        <f>_xll.qlCalendarAdvance(Calendar,B1424,A1425,"f",FALSE)</f>
        <v>48863</v>
      </c>
      <c r="C1425" s="237">
        <f>_xll.qlCalendarAdvance(Calendar,B1425,NDays&amp;"D")</f>
        <v>48865</v>
      </c>
      <c r="D1425" s="202">
        <v>2.7101116863614876E-2</v>
      </c>
      <c r="E1425" s="202">
        <v>2.7019412281399369E-2</v>
      </c>
      <c r="U1425" s="204"/>
    </row>
    <row r="1426" spans="1:21" x14ac:dyDescent="0.2">
      <c r="A1426" s="64" t="str">
        <f t="shared" si="23"/>
        <v>1w</v>
      </c>
      <c r="B1426" s="203">
        <f>_xll.qlCalendarAdvance(Calendar,B1425,A1426,"f",FALSE)</f>
        <v>48870</v>
      </c>
      <c r="C1426" s="237">
        <f>_xll.qlCalendarAdvance(Calendar,B1426,NDays&amp;"D")</f>
        <v>48872</v>
      </c>
      <c r="D1426" s="202">
        <v>2.7092114860132896E-2</v>
      </c>
      <c r="E1426" s="202">
        <v>2.7013362715750944E-2</v>
      </c>
      <c r="U1426" s="204"/>
    </row>
    <row r="1427" spans="1:21" x14ac:dyDescent="0.2">
      <c r="A1427" s="64" t="str">
        <f t="shared" si="23"/>
        <v>1w</v>
      </c>
      <c r="B1427" s="203">
        <f>_xll.qlCalendarAdvance(Calendar,B1426,A1427,"f",FALSE)</f>
        <v>48877</v>
      </c>
      <c r="C1427" s="237">
        <f>_xll.qlCalendarAdvance(Calendar,B1427,NDays&amp;"D")</f>
        <v>48879</v>
      </c>
      <c r="D1427" s="202">
        <v>2.7082890907615943E-2</v>
      </c>
      <c r="E1427" s="202">
        <v>2.7007094142730281E-2</v>
      </c>
      <c r="U1427" s="204"/>
    </row>
    <row r="1428" spans="1:21" x14ac:dyDescent="0.2">
      <c r="A1428" s="64" t="str">
        <f t="shared" si="23"/>
        <v>1w</v>
      </c>
      <c r="B1428" s="203">
        <f>_xll.qlCalendarAdvance(Calendar,B1427,A1428,"f",FALSE)</f>
        <v>48884</v>
      </c>
      <c r="C1428" s="237">
        <f>_xll.qlCalendarAdvance(Calendar,B1428,NDays&amp;"D")</f>
        <v>48886</v>
      </c>
      <c r="D1428" s="202">
        <v>2.7073182164874591E-2</v>
      </c>
      <c r="E1428" s="202">
        <v>2.7000606562257445E-2</v>
      </c>
      <c r="U1428" s="204"/>
    </row>
    <row r="1429" spans="1:21" x14ac:dyDescent="0.2">
      <c r="A1429" s="64" t="str">
        <f t="shared" si="23"/>
        <v>1w</v>
      </c>
      <c r="B1429" s="203">
        <f>_xll.qlCalendarAdvance(Calendar,B1428,A1429,"f",FALSE)</f>
        <v>48891</v>
      </c>
      <c r="C1429" s="237">
        <f>_xll.qlCalendarAdvance(Calendar,B1429,NDays&amp;"D")</f>
        <v>48893</v>
      </c>
      <c r="D1429" s="202">
        <v>2.706353089698673E-2</v>
      </c>
      <c r="E1429" s="202">
        <v>2.699389997465218E-2</v>
      </c>
      <c r="U1429" s="204"/>
    </row>
    <row r="1430" spans="1:21" x14ac:dyDescent="0.2">
      <c r="A1430" s="64" t="str">
        <f t="shared" si="23"/>
        <v>1w</v>
      </c>
      <c r="B1430" s="203">
        <f>_xll.qlCalendarAdvance(Calendar,B1429,A1430,"f",FALSE)</f>
        <v>48898</v>
      </c>
      <c r="C1430" s="237">
        <f>_xll.qlCalendarAdvance(Calendar,B1430,NDays&amp;"D")</f>
        <v>48900</v>
      </c>
      <c r="D1430" s="202">
        <v>2.7053657705546186E-2</v>
      </c>
      <c r="E1430" s="202">
        <v>2.6986974379674677E-2</v>
      </c>
      <c r="U1430" s="204"/>
    </row>
    <row r="1431" spans="1:21" x14ac:dyDescent="0.2">
      <c r="A1431" s="64" t="str">
        <f t="shared" si="23"/>
        <v>1w</v>
      </c>
      <c r="B1431" s="203">
        <f>_xll.qlCalendarAdvance(Calendar,B1430,A1431,"f",FALSE)</f>
        <v>48905</v>
      </c>
      <c r="C1431" s="237">
        <f>_xll.qlCalendarAdvance(Calendar,B1431,NDays&amp;"D")</f>
        <v>48907</v>
      </c>
      <c r="D1431" s="202">
        <v>2.704356259381311E-2</v>
      </c>
      <c r="E1431" s="202">
        <v>2.6979829777245001E-2</v>
      </c>
      <c r="U1431" s="204"/>
    </row>
    <row r="1432" spans="1:21" x14ac:dyDescent="0.2">
      <c r="A1432" s="64" t="str">
        <f t="shared" si="23"/>
        <v>1w</v>
      </c>
      <c r="B1432" s="203">
        <f>_xll.qlCalendarAdvance(Calendar,B1431,A1432,"f",FALSE)</f>
        <v>48912</v>
      </c>
      <c r="C1432" s="237">
        <f>_xll.qlCalendarAdvance(Calendar,B1432,NDays&amp;"D")</f>
        <v>48914</v>
      </c>
      <c r="D1432" s="202">
        <v>2.703344218413609E-2</v>
      </c>
      <c r="E1432" s="202">
        <v>2.6972466167682896E-2</v>
      </c>
      <c r="U1432" s="204"/>
    </row>
    <row r="1433" spans="1:21" x14ac:dyDescent="0.2">
      <c r="A1433" s="64" t="str">
        <f t="shared" si="23"/>
        <v>1w</v>
      </c>
      <c r="B1433" s="203">
        <f>_xll.qlCalendarAdvance(Calendar,B1432,A1433,"f",FALSE)</f>
        <v>48919</v>
      </c>
      <c r="C1433" s="237">
        <f>_xll.qlCalendarAdvance(Calendar,B1433,NDays&amp;"D")</f>
        <v>48921</v>
      </c>
      <c r="D1433" s="202">
        <v>2.702289254434621E-2</v>
      </c>
      <c r="E1433" s="202">
        <v>2.6964883550748553E-2</v>
      </c>
      <c r="U1433" s="204"/>
    </row>
    <row r="1434" spans="1:21" x14ac:dyDescent="0.2">
      <c r="A1434" s="64" t="str">
        <f t="shared" si="23"/>
        <v>1w</v>
      </c>
      <c r="B1434" s="203">
        <f>_xll.qlCalendarAdvance(Calendar,B1433,A1434,"f",FALSE)</f>
        <v>48926</v>
      </c>
      <c r="C1434" s="237">
        <f>_xll.qlCalendarAdvance(Calendar,B1434,NDays&amp;"D")</f>
        <v>48928</v>
      </c>
      <c r="D1434" s="202">
        <v>2.7012138926635187E-2</v>
      </c>
      <c r="E1434" s="202">
        <v>2.6957081926521909E-2</v>
      </c>
      <c r="U1434" s="204"/>
    </row>
    <row r="1435" spans="1:21" x14ac:dyDescent="0.2">
      <c r="A1435" s="64" t="str">
        <f t="shared" si="23"/>
        <v>1w</v>
      </c>
      <c r="B1435" s="203">
        <f>_xll.qlCalendarAdvance(Calendar,B1434,A1435,"f",FALSE)</f>
        <v>48933</v>
      </c>
      <c r="C1435" s="237">
        <f>_xll.qlCalendarAdvance(Calendar,B1435,NDays&amp;"D")</f>
        <v>48935</v>
      </c>
      <c r="D1435" s="202">
        <v>2.7001193897947421E-2</v>
      </c>
      <c r="E1435" s="202">
        <v>2.6949061295082899E-2</v>
      </c>
      <c r="U1435" s="204"/>
    </row>
    <row r="1436" spans="1:21" x14ac:dyDescent="0.2">
      <c r="A1436" s="64" t="str">
        <f t="shared" si="23"/>
        <v>1w</v>
      </c>
      <c r="B1436" s="203">
        <f>_xll.qlCalendarAdvance(Calendar,B1435,A1436,"f",FALSE)</f>
        <v>48940</v>
      </c>
      <c r="C1436" s="237">
        <f>_xll.qlCalendarAdvance(Calendar,B1436,NDays&amp;"D")</f>
        <v>48942</v>
      </c>
      <c r="D1436" s="202">
        <v>2.6990070025010793E-2</v>
      </c>
      <c r="E1436" s="202">
        <v>2.6940821656351588E-2</v>
      </c>
      <c r="U1436" s="204"/>
    </row>
    <row r="1437" spans="1:21" x14ac:dyDescent="0.2">
      <c r="A1437" s="64" t="str">
        <f t="shared" si="23"/>
        <v>1w</v>
      </c>
      <c r="B1437" s="203">
        <f>_xll.qlCalendarAdvance(Calendar,B1436,A1437,"f",FALSE)</f>
        <v>48947</v>
      </c>
      <c r="C1437" s="237">
        <f>_xll.qlCalendarAdvance(Calendar,B1437,NDays&amp;"D")</f>
        <v>48949</v>
      </c>
      <c r="D1437" s="202">
        <v>2.697864269709193E-2</v>
      </c>
      <c r="E1437" s="202">
        <v>2.6932363010487848E-2</v>
      </c>
      <c r="U1437" s="204"/>
    </row>
    <row r="1438" spans="1:21" x14ac:dyDescent="0.2">
      <c r="A1438" s="64" t="str">
        <f t="shared" si="23"/>
        <v>1w</v>
      </c>
      <c r="B1438" s="203">
        <f>_xll.qlCalendarAdvance(Calendar,B1437,A1438,"f",FALSE)</f>
        <v>48954</v>
      </c>
      <c r="C1438" s="237">
        <f>_xll.qlCalendarAdvance(Calendar,B1438,NDays&amp;"D")</f>
        <v>48956</v>
      </c>
      <c r="D1438" s="202">
        <v>2.6967206188954516E-2</v>
      </c>
      <c r="E1438" s="202">
        <v>2.6923685357331806E-2</v>
      </c>
      <c r="U1438" s="204"/>
    </row>
    <row r="1439" spans="1:21" x14ac:dyDescent="0.2">
      <c r="A1439" s="64" t="str">
        <f t="shared" si="23"/>
        <v>1w</v>
      </c>
      <c r="B1439" s="203">
        <f>_xll.qlCalendarAdvance(Calendar,B1438,A1439,"f",FALSE)</f>
        <v>48961</v>
      </c>
      <c r="C1439" s="237">
        <f>_xll.qlCalendarAdvance(Calendar,B1439,NDays&amp;"D")</f>
        <v>48963</v>
      </c>
      <c r="D1439" s="202">
        <v>2.6955627186967895E-2</v>
      </c>
      <c r="E1439" s="202">
        <v>2.6914788696963399E-2</v>
      </c>
      <c r="U1439" s="204"/>
    </row>
    <row r="1440" spans="1:21" x14ac:dyDescent="0.2">
      <c r="A1440" s="64" t="str">
        <f t="shared" si="23"/>
        <v>1w</v>
      </c>
      <c r="B1440" s="203">
        <f>_xll.qlCalendarAdvance(Calendar,B1439,A1440,"f",FALSE)</f>
        <v>48968</v>
      </c>
      <c r="C1440" s="237">
        <f>_xll.qlCalendarAdvance(Calendar,B1440,NDays&amp;"D")</f>
        <v>48970</v>
      </c>
      <c r="D1440" s="202">
        <v>2.6943918325369593E-2</v>
      </c>
      <c r="E1440" s="202">
        <v>2.6905673029542498E-2</v>
      </c>
      <c r="U1440" s="204"/>
    </row>
    <row r="1441" spans="1:21" x14ac:dyDescent="0.2">
      <c r="A1441" s="64" t="str">
        <f t="shared" si="23"/>
        <v>1w</v>
      </c>
      <c r="B1441" s="203">
        <f>_xll.qlCalendarAdvance(Calendar,B1440,A1441,"f",FALSE)</f>
        <v>48975</v>
      </c>
      <c r="C1441" s="237">
        <f>_xll.qlCalendarAdvance(Calendar,B1441,NDays&amp;"D")</f>
        <v>48977</v>
      </c>
      <c r="D1441" s="202">
        <v>2.6932092238128619E-2</v>
      </c>
      <c r="E1441" s="202">
        <v>2.6896338354909233E-2</v>
      </c>
      <c r="U1441" s="204"/>
    </row>
    <row r="1442" spans="1:21" x14ac:dyDescent="0.2">
      <c r="A1442" s="64" t="str">
        <f t="shared" si="23"/>
        <v>1w</v>
      </c>
      <c r="B1442" s="203">
        <f>_xll.qlCalendarAdvance(Calendar,B1441,A1442,"f",FALSE)</f>
        <v>48982</v>
      </c>
      <c r="C1442" s="237">
        <f>_xll.qlCalendarAdvance(Calendar,B1442,NDays&amp;"D")</f>
        <v>48984</v>
      </c>
      <c r="D1442" s="202">
        <v>2.6920161558941929E-2</v>
      </c>
      <c r="E1442" s="202">
        <v>2.6886784672983666E-2</v>
      </c>
      <c r="U1442" s="204"/>
    </row>
    <row r="1443" spans="1:21" x14ac:dyDescent="0.2">
      <c r="A1443" s="64" t="str">
        <f t="shared" si="23"/>
        <v>1w</v>
      </c>
      <c r="B1443" s="203">
        <f>_xll.qlCalendarAdvance(Calendar,B1442,A1443,"f",FALSE)</f>
        <v>48989</v>
      </c>
      <c r="C1443" s="237">
        <f>_xll.qlCalendarAdvance(Calendar,B1443,NDays&amp;"D")</f>
        <v>48991</v>
      </c>
      <c r="D1443" s="202">
        <v>2.6908138921223401E-2</v>
      </c>
      <c r="E1443" s="202">
        <v>2.6877011984085541E-2</v>
      </c>
      <c r="U1443" s="204"/>
    </row>
    <row r="1444" spans="1:21" x14ac:dyDescent="0.2">
      <c r="A1444" s="64" t="str">
        <f t="shared" si="23"/>
        <v>1w</v>
      </c>
      <c r="B1444" s="203">
        <f>_xll.qlCalendarAdvance(Calendar,B1443,A1444,"f",FALSE)</f>
        <v>48996</v>
      </c>
      <c r="C1444" s="237">
        <f>_xll.qlCalendarAdvance(Calendar,B1444,NDays&amp;"D")</f>
        <v>48998</v>
      </c>
      <c r="D1444" s="202">
        <v>2.6896036958100285E-2</v>
      </c>
      <c r="E1444" s="202">
        <v>2.6867020288054988E-2</v>
      </c>
      <c r="U1444" s="204"/>
    </row>
    <row r="1445" spans="1:21" x14ac:dyDescent="0.2">
      <c r="A1445" s="64" t="str">
        <f t="shared" si="23"/>
        <v>1w</v>
      </c>
      <c r="B1445" s="203">
        <f>_xll.qlCalendarAdvance(Calendar,B1444,A1445,"f",FALSE)</f>
        <v>49003</v>
      </c>
      <c r="C1445" s="237">
        <f>_xll.qlCalendarAdvance(Calendar,B1445,NDays&amp;"D")</f>
        <v>49005</v>
      </c>
      <c r="D1445" s="202">
        <v>2.6884433455330831E-2</v>
      </c>
      <c r="E1445" s="202">
        <v>2.6856809584892005E-2</v>
      </c>
      <c r="U1445" s="204"/>
    </row>
    <row r="1446" spans="1:21" x14ac:dyDescent="0.2">
      <c r="A1446" s="64" t="str">
        <f t="shared" si="23"/>
        <v>1w</v>
      </c>
      <c r="B1446" s="203">
        <f>_xll.qlCalendarAdvance(Calendar,B1445,A1446,"f",FALSE)</f>
        <v>49010</v>
      </c>
      <c r="C1446" s="237">
        <f>_xll.qlCalendarAdvance(Calendar,B1446,NDays&amp;"D")</f>
        <v>49012</v>
      </c>
      <c r="D1446" s="202">
        <v>2.6872218863723853E-2</v>
      </c>
      <c r="E1446" s="202">
        <v>2.6846379874676529E-2</v>
      </c>
      <c r="U1446" s="204"/>
    </row>
    <row r="1447" spans="1:21" x14ac:dyDescent="0.2">
      <c r="A1447" s="64" t="str">
        <f t="shared" si="23"/>
        <v>1w</v>
      </c>
      <c r="B1447" s="203">
        <f>_xll.qlCalendarAdvance(Calendar,B1446,A1447,"f",FALSE)</f>
        <v>49017</v>
      </c>
      <c r="C1447" s="237">
        <f>_xll.qlCalendarAdvance(Calendar,B1447,NDays&amp;"D")</f>
        <v>49019</v>
      </c>
      <c r="D1447" s="202">
        <v>2.685996676147067E-2</v>
      </c>
      <c r="E1447" s="202">
        <v>2.6835731157328624E-2</v>
      </c>
      <c r="U1447" s="204"/>
    </row>
    <row r="1448" spans="1:21" x14ac:dyDescent="0.2">
      <c r="A1448" s="64" t="str">
        <f t="shared" si="23"/>
        <v>1w</v>
      </c>
      <c r="B1448" s="203">
        <f>_xll.qlCalendarAdvance(Calendar,B1447,A1448,"f",FALSE)</f>
        <v>49024</v>
      </c>
      <c r="C1448" s="237">
        <f>_xll.qlCalendarAdvance(Calendar,B1448,NDays&amp;"D")</f>
        <v>49026</v>
      </c>
      <c r="D1448" s="202">
        <v>2.684768944542815E-2</v>
      </c>
      <c r="E1448" s="202">
        <v>2.6824863433008161E-2</v>
      </c>
      <c r="U1448" s="204"/>
    </row>
    <row r="1449" spans="1:21" x14ac:dyDescent="0.2">
      <c r="A1449" s="64" t="str">
        <f t="shared" si="23"/>
        <v>1w</v>
      </c>
      <c r="B1449" s="203">
        <f>_xll.qlCalendarAdvance(Calendar,B1448,A1449,"f",FALSE)</f>
        <v>49031</v>
      </c>
      <c r="C1449" s="237">
        <f>_xll.qlCalendarAdvance(Calendar,B1449,NDays&amp;"D")</f>
        <v>49033</v>
      </c>
      <c r="D1449" s="202">
        <v>2.6835025660923287E-2</v>
      </c>
      <c r="E1449" s="202">
        <v>2.6813776701715142E-2</v>
      </c>
      <c r="U1449" s="204"/>
    </row>
    <row r="1450" spans="1:21" x14ac:dyDescent="0.2">
      <c r="A1450" s="64" t="str">
        <f t="shared" si="23"/>
        <v>1w</v>
      </c>
      <c r="B1450" s="203">
        <f>_xll.qlCalendarAdvance(Calendar,B1449,A1450,"f",FALSE)</f>
        <v>49038</v>
      </c>
      <c r="C1450" s="237">
        <f>_xll.qlCalendarAdvance(Calendar,B1450,NDays&amp;"D")</f>
        <v>49040</v>
      </c>
      <c r="D1450" s="202">
        <v>2.6822721662354873E-2</v>
      </c>
      <c r="E1450" s="202">
        <v>2.6803186337001961E-2</v>
      </c>
      <c r="U1450" s="204"/>
    </row>
    <row r="1451" spans="1:21" x14ac:dyDescent="0.2">
      <c r="A1451" s="64" t="str">
        <f t="shared" si="23"/>
        <v>1w</v>
      </c>
      <c r="B1451" s="203">
        <f>_xll.qlCalendarAdvance(Calendar,B1450,A1451,"f",FALSE)</f>
        <v>49045</v>
      </c>
      <c r="C1451" s="237">
        <f>_xll.qlCalendarAdvance(Calendar,B1451,NDays&amp;"D")</f>
        <v>49047</v>
      </c>
      <c r="D1451" s="202">
        <v>2.6810427809245141E-2</v>
      </c>
      <c r="E1451" s="202">
        <v>2.6790946218131495E-2</v>
      </c>
      <c r="U1451" s="204"/>
    </row>
    <row r="1452" spans="1:21" x14ac:dyDescent="0.2">
      <c r="A1452" s="64" t="str">
        <f t="shared" si="23"/>
        <v>1w</v>
      </c>
      <c r="B1452" s="203">
        <f>_xll.qlCalendarAdvance(Calendar,B1451,A1452,"f",FALSE)</f>
        <v>49052</v>
      </c>
      <c r="C1452" s="237">
        <f>_xll.qlCalendarAdvance(Calendar,B1452,NDays&amp;"D")</f>
        <v>49054</v>
      </c>
      <c r="D1452" s="202">
        <v>2.6798156596068618E-2</v>
      </c>
      <c r="E1452" s="202">
        <v>2.6779202465920804E-2</v>
      </c>
      <c r="U1452" s="204"/>
    </row>
    <row r="1453" spans="1:21" x14ac:dyDescent="0.2">
      <c r="A1453" s="64" t="str">
        <f t="shared" si="23"/>
        <v>1w</v>
      </c>
      <c r="B1453" s="203">
        <f>_xll.qlCalendarAdvance(Calendar,B1452,A1453,"f",FALSE)</f>
        <v>49059</v>
      </c>
      <c r="C1453" s="237">
        <f>_xll.qlCalendarAdvance(Calendar,B1453,NDays&amp;"D")</f>
        <v>49061</v>
      </c>
      <c r="D1453" s="202">
        <v>2.6785920516991874E-2</v>
      </c>
      <c r="E1453" s="202">
        <v>2.6767239706577683E-2</v>
      </c>
      <c r="U1453" s="204"/>
    </row>
    <row r="1454" spans="1:21" x14ac:dyDescent="0.2">
      <c r="A1454" s="64" t="str">
        <f t="shared" si="23"/>
        <v>1w</v>
      </c>
      <c r="B1454" s="203">
        <f>_xll.qlCalendarAdvance(Calendar,B1453,A1454,"f",FALSE)</f>
        <v>49066</v>
      </c>
      <c r="C1454" s="237">
        <f>_xll.qlCalendarAdvance(Calendar,B1454,NDays&amp;"D")</f>
        <v>49068</v>
      </c>
      <c r="D1454" s="202">
        <v>2.6774184644819808E-2</v>
      </c>
      <c r="E1454" s="202">
        <v>2.6755057940501814E-2</v>
      </c>
      <c r="U1454" s="204"/>
    </row>
    <row r="1455" spans="1:21" x14ac:dyDescent="0.2">
      <c r="A1455" s="64" t="str">
        <f t="shared" si="23"/>
        <v>1w</v>
      </c>
      <c r="B1455" s="203">
        <f>_xll.qlCalendarAdvance(Calendar,B1454,A1455,"f",FALSE)</f>
        <v>49073</v>
      </c>
      <c r="C1455" s="237">
        <f>_xll.qlCalendarAdvance(Calendar,B1455,NDays&amp;"D")</f>
        <v>49075</v>
      </c>
      <c r="D1455" s="202">
        <v>2.6762075118423122E-2</v>
      </c>
      <c r="E1455" s="202">
        <v>2.6742657167533324E-2</v>
      </c>
      <c r="U1455" s="204"/>
    </row>
    <row r="1456" spans="1:21" x14ac:dyDescent="0.2">
      <c r="A1456" s="64" t="str">
        <f t="shared" si="23"/>
        <v>1w</v>
      </c>
      <c r="B1456" s="203">
        <f>_xll.qlCalendarAdvance(Calendar,B1455,A1456,"f",FALSE)</f>
        <v>49080</v>
      </c>
      <c r="C1456" s="237">
        <f>_xll.qlCalendarAdvance(Calendar,B1456,NDays&amp;"D")</f>
        <v>49082</v>
      </c>
      <c r="D1456" s="202">
        <v>2.675003874205097E-2</v>
      </c>
      <c r="E1456" s="202">
        <v>2.6730037387752148E-2</v>
      </c>
      <c r="U1456" s="204"/>
    </row>
    <row r="1457" spans="1:21" x14ac:dyDescent="0.2">
      <c r="A1457" s="64" t="str">
        <f t="shared" si="23"/>
        <v>1w</v>
      </c>
      <c r="B1457" s="203">
        <f>_xll.qlCalendarAdvance(Calendar,B1456,A1457,"f",FALSE)</f>
        <v>49087</v>
      </c>
      <c r="C1457" s="237">
        <f>_xll.qlCalendarAdvance(Calendar,B1457,NDays&amp;"D")</f>
        <v>49089</v>
      </c>
      <c r="D1457" s="202">
        <v>2.6738087809823483E-2</v>
      </c>
      <c r="E1457" s="202">
        <v>2.6717198600998415E-2</v>
      </c>
      <c r="U1457" s="204"/>
    </row>
    <row r="1458" spans="1:21" x14ac:dyDescent="0.2">
      <c r="A1458" s="64" t="str">
        <f t="shared" si="23"/>
        <v>1w</v>
      </c>
      <c r="B1458" s="203">
        <f>_xll.qlCalendarAdvance(Calendar,B1457,A1458,"f",FALSE)</f>
        <v>49094</v>
      </c>
      <c r="C1458" s="237">
        <f>_xll.qlCalendarAdvance(Calendar,B1458,NDays&amp;"D")</f>
        <v>49096</v>
      </c>
      <c r="D1458" s="202">
        <v>2.6725704243817556E-2</v>
      </c>
      <c r="E1458" s="202">
        <v>2.6704181366588031E-2</v>
      </c>
      <c r="U1458" s="204"/>
    </row>
    <row r="1459" spans="1:21" x14ac:dyDescent="0.2">
      <c r="A1459" s="64" t="str">
        <f t="shared" si="23"/>
        <v>1w</v>
      </c>
      <c r="B1459" s="203">
        <f>_xll.qlCalendarAdvance(Calendar,B1458,A1459,"f",FALSE)</f>
        <v>49101</v>
      </c>
      <c r="C1459" s="237">
        <f>_xll.qlCalendarAdvance(Calendar,B1459,NDays&amp;"D")</f>
        <v>49103</v>
      </c>
      <c r="D1459" s="202">
        <v>2.6713935422882501E-2</v>
      </c>
      <c r="E1459" s="202">
        <v>2.6691226846411453E-2</v>
      </c>
      <c r="U1459" s="204"/>
    </row>
    <row r="1460" spans="1:21" x14ac:dyDescent="0.2">
      <c r="A1460" s="64" t="str">
        <f t="shared" si="23"/>
        <v>1w</v>
      </c>
      <c r="B1460" s="203">
        <f>_xll.qlCalendarAdvance(Calendar,B1459,A1460,"f",FALSE)</f>
        <v>49108</v>
      </c>
      <c r="C1460" s="237">
        <f>_xll.qlCalendarAdvance(Calendar,B1460,NDays&amp;"D")</f>
        <v>49110</v>
      </c>
      <c r="D1460" s="202">
        <v>2.6702271338279838E-2</v>
      </c>
      <c r="E1460" s="202">
        <v>2.6678375599464843E-2</v>
      </c>
      <c r="U1460" s="204"/>
    </row>
    <row r="1461" spans="1:21" x14ac:dyDescent="0.2">
      <c r="A1461" s="64" t="str">
        <f t="shared" si="23"/>
        <v>1w</v>
      </c>
      <c r="B1461" s="203">
        <f>_xll.qlCalendarAdvance(Calendar,B1460,A1461,"f",FALSE)</f>
        <v>49115</v>
      </c>
      <c r="C1461" s="237">
        <f>_xll.qlCalendarAdvance(Calendar,B1461,NDays&amp;"D")</f>
        <v>49117</v>
      </c>
      <c r="D1461" s="202">
        <v>2.6690711988173663E-2</v>
      </c>
      <c r="E1461" s="202">
        <v>2.6665627625988009E-2</v>
      </c>
      <c r="U1461" s="204"/>
    </row>
    <row r="1462" spans="1:21" x14ac:dyDescent="0.2">
      <c r="A1462" s="64" t="str">
        <f t="shared" si="23"/>
        <v>1w</v>
      </c>
      <c r="B1462" s="203">
        <f>_xll.qlCalendarAdvance(Calendar,B1461,A1462,"f",FALSE)</f>
        <v>49122</v>
      </c>
      <c r="C1462" s="237">
        <f>_xll.qlCalendarAdvance(Calendar,B1462,NDays&amp;"D")</f>
        <v>49124</v>
      </c>
      <c r="D1462" s="202">
        <v>2.6679257370741605E-2</v>
      </c>
      <c r="E1462" s="202">
        <v>2.665298292558127E-2</v>
      </c>
      <c r="U1462" s="204"/>
    </row>
    <row r="1463" spans="1:21" x14ac:dyDescent="0.2">
      <c r="A1463" s="64" t="str">
        <f t="shared" si="23"/>
        <v>1w</v>
      </c>
      <c r="B1463" s="203">
        <f>_xll.qlCalendarAdvance(Calendar,B1462,A1463,"f",FALSE)</f>
        <v>49129</v>
      </c>
      <c r="C1463" s="237">
        <f>_xll.qlCalendarAdvance(Calendar,B1463,NDays&amp;"D")</f>
        <v>49131</v>
      </c>
      <c r="D1463" s="202">
        <v>2.6668537158877893E-2</v>
      </c>
      <c r="E1463" s="202">
        <v>2.6640441498484435E-2</v>
      </c>
      <c r="U1463" s="204"/>
    </row>
    <row r="1464" spans="1:21" x14ac:dyDescent="0.2">
      <c r="A1464" s="64" t="str">
        <f t="shared" si="23"/>
        <v>1w</v>
      </c>
      <c r="B1464" s="203">
        <f>_xll.qlCalendarAdvance(Calendar,B1463,A1464,"f",FALSE)</f>
        <v>49136</v>
      </c>
      <c r="C1464" s="237">
        <f>_xll.qlCalendarAdvance(Calendar,B1464,NDays&amp;"D")</f>
        <v>49138</v>
      </c>
      <c r="D1464" s="202">
        <v>2.6657311965719674E-2</v>
      </c>
      <c r="E1464" s="202">
        <v>2.662800334477744E-2</v>
      </c>
      <c r="U1464" s="204"/>
    </row>
    <row r="1465" spans="1:21" x14ac:dyDescent="0.2">
      <c r="A1465" s="64" t="str">
        <f t="shared" si="23"/>
        <v>1w</v>
      </c>
      <c r="B1465" s="203">
        <f>_xll.qlCalendarAdvance(Calendar,B1464,A1465,"f",FALSE)</f>
        <v>49143</v>
      </c>
      <c r="C1465" s="237">
        <f>_xll.qlCalendarAdvance(Calendar,B1465,NDays&amp;"D")</f>
        <v>49145</v>
      </c>
      <c r="D1465" s="202">
        <v>2.6646191523634646E-2</v>
      </c>
      <c r="E1465" s="202">
        <v>2.6615668464220477E-2</v>
      </c>
      <c r="U1465" s="204"/>
    </row>
    <row r="1466" spans="1:21" x14ac:dyDescent="0.2">
      <c r="A1466" s="64" t="str">
        <f t="shared" si="23"/>
        <v>1w</v>
      </c>
      <c r="B1466" s="203">
        <f>_xll.qlCalendarAdvance(Calendar,B1465,A1466,"f",FALSE)</f>
        <v>49150</v>
      </c>
      <c r="C1466" s="237">
        <f>_xll.qlCalendarAdvance(Calendar,B1466,NDays&amp;"D")</f>
        <v>49152</v>
      </c>
      <c r="D1466" s="202">
        <v>2.6635175830844019E-2</v>
      </c>
      <c r="E1466" s="202">
        <v>2.6603436856973417E-2</v>
      </c>
      <c r="U1466" s="204"/>
    </row>
    <row r="1467" spans="1:21" x14ac:dyDescent="0.2">
      <c r="A1467" s="64" t="str">
        <f t="shared" si="23"/>
        <v>1w</v>
      </c>
      <c r="B1467" s="203">
        <f>_xll.qlCalendarAdvance(Calendar,B1466,A1467,"f",FALSE)</f>
        <v>49157</v>
      </c>
      <c r="C1467" s="237">
        <f>_xll.qlCalendarAdvance(Calendar,B1467,NDays&amp;"D")</f>
        <v>49159</v>
      </c>
      <c r="D1467" s="202">
        <v>2.6624264885582751E-2</v>
      </c>
      <c r="E1467" s="202">
        <v>2.6591308522956325E-2</v>
      </c>
      <c r="U1467" s="204"/>
    </row>
    <row r="1468" spans="1:21" x14ac:dyDescent="0.2">
      <c r="A1468" s="64" t="str">
        <f t="shared" si="23"/>
        <v>1w</v>
      </c>
      <c r="B1468" s="203">
        <f>_xll.qlCalendarAdvance(Calendar,B1467,A1468,"f",FALSE)</f>
        <v>49164</v>
      </c>
      <c r="C1468" s="237">
        <f>_xll.qlCalendarAdvance(Calendar,B1468,NDays&amp;"D")</f>
        <v>49166</v>
      </c>
      <c r="D1468" s="202">
        <v>2.6613458686105144E-2</v>
      </c>
      <c r="E1468" s="202">
        <v>2.6579283462089265E-2</v>
      </c>
      <c r="U1468" s="204"/>
    </row>
    <row r="1469" spans="1:21" x14ac:dyDescent="0.2">
      <c r="A1469" s="64" t="str">
        <f t="shared" si="23"/>
        <v>1w</v>
      </c>
      <c r="B1469" s="203">
        <f>_xll.qlCalendarAdvance(Calendar,B1468,A1469,"f",FALSE)</f>
        <v>49171</v>
      </c>
      <c r="C1469" s="237">
        <f>_xll.qlCalendarAdvance(Calendar,B1469,NDays&amp;"D")</f>
        <v>49173</v>
      </c>
      <c r="D1469" s="202">
        <v>2.6602757230680108E-2</v>
      </c>
      <c r="E1469" s="202">
        <v>2.6567361674452172E-2</v>
      </c>
      <c r="U1469" s="204"/>
    </row>
    <row r="1470" spans="1:21" x14ac:dyDescent="0.2">
      <c r="A1470" s="64" t="str">
        <f t="shared" si="23"/>
        <v>1w</v>
      </c>
      <c r="B1470" s="203">
        <f>_xll.qlCalendarAdvance(Calendar,B1469,A1470,"f",FALSE)</f>
        <v>49178</v>
      </c>
      <c r="C1470" s="237">
        <f>_xll.qlCalendarAdvance(Calendar,B1470,NDays&amp;"D")</f>
        <v>49180</v>
      </c>
      <c r="D1470" s="202">
        <v>2.6592160517595463E-2</v>
      </c>
      <c r="E1470" s="202">
        <v>2.6555543160045048E-2</v>
      </c>
      <c r="U1470" s="204"/>
    </row>
    <row r="1471" spans="1:21" x14ac:dyDescent="0.2">
      <c r="A1471" s="64" t="str">
        <f t="shared" si="23"/>
        <v>1w</v>
      </c>
      <c r="B1471" s="203">
        <f>_xll.qlCalendarAdvance(Calendar,B1470,A1471,"f",FALSE)</f>
        <v>49185</v>
      </c>
      <c r="C1471" s="237">
        <f>_xll.qlCalendarAdvance(Calendar,B1471,NDays&amp;"D")</f>
        <v>49187</v>
      </c>
      <c r="D1471" s="202">
        <v>2.6580355066289117E-2</v>
      </c>
      <c r="E1471" s="202">
        <v>2.6543827918787954E-2</v>
      </c>
      <c r="U1471" s="204"/>
    </row>
    <row r="1472" spans="1:21" x14ac:dyDescent="0.2">
      <c r="A1472" s="64" t="str">
        <f t="shared" si="23"/>
        <v>1w</v>
      </c>
      <c r="B1472" s="203">
        <f>_xll.qlCalendarAdvance(Calendar,B1471,A1472,"f",FALSE)</f>
        <v>49192</v>
      </c>
      <c r="C1472" s="237">
        <f>_xll.qlCalendarAdvance(Calendar,B1472,NDays&amp;"D")</f>
        <v>49194</v>
      </c>
      <c r="D1472" s="202">
        <v>2.6569934248645625E-2</v>
      </c>
      <c r="E1472" s="202">
        <v>2.6532215950680893E-2</v>
      </c>
      <c r="U1472" s="204"/>
    </row>
    <row r="1473" spans="1:21" x14ac:dyDescent="0.2">
      <c r="A1473" s="64" t="str">
        <f t="shared" si="23"/>
        <v>1w</v>
      </c>
      <c r="B1473" s="203">
        <f>_xll.qlCalendarAdvance(Calendar,B1472,A1473,"f",FALSE)</f>
        <v>49199</v>
      </c>
      <c r="C1473" s="237">
        <f>_xll.qlCalendarAdvance(Calendar,B1473,NDays&amp;"D")</f>
        <v>49201</v>
      </c>
      <c r="D1473" s="202">
        <v>2.6559618129024756E-2</v>
      </c>
      <c r="E1473" s="202">
        <v>2.6520707255723863E-2</v>
      </c>
      <c r="U1473" s="204"/>
    </row>
    <row r="1474" spans="1:21" x14ac:dyDescent="0.2">
      <c r="A1474" s="64" t="str">
        <f t="shared" si="23"/>
        <v>1w</v>
      </c>
      <c r="B1474" s="203">
        <f>_xll.qlCalendarAdvance(Calendar,B1473,A1474,"f",FALSE)</f>
        <v>49206</v>
      </c>
      <c r="C1474" s="237">
        <f>_xll.qlCalendarAdvance(Calendar,B1474,NDays&amp;"D")</f>
        <v>49208</v>
      </c>
      <c r="D1474" s="202">
        <v>2.6549406705819848E-2</v>
      </c>
      <c r="E1474" s="202">
        <v>2.6509301834076737E-2</v>
      </c>
      <c r="U1474" s="204"/>
    </row>
    <row r="1475" spans="1:21" x14ac:dyDescent="0.2">
      <c r="A1475" s="64" t="str">
        <f t="shared" si="23"/>
        <v>1w</v>
      </c>
      <c r="B1475" s="203">
        <f>_xll.qlCalendarAdvance(Calendar,B1474,A1475,"f",FALSE)</f>
        <v>49213</v>
      </c>
      <c r="C1475" s="237">
        <f>_xll.qlCalendarAdvance(Calendar,B1475,NDays&amp;"D")</f>
        <v>49215</v>
      </c>
      <c r="D1475" s="202">
        <v>2.6539299977439239E-2</v>
      </c>
      <c r="E1475" s="202">
        <v>2.6497999685419771E-2</v>
      </c>
      <c r="U1475" s="204"/>
    </row>
    <row r="1476" spans="1:21" x14ac:dyDescent="0.2">
      <c r="A1476" s="64" t="str">
        <f t="shared" si="23"/>
        <v>1w</v>
      </c>
      <c r="B1476" s="203">
        <f>_xll.qlCalendarAdvance(Calendar,B1475,A1476,"f",FALSE)</f>
        <v>49220</v>
      </c>
      <c r="C1476" s="237">
        <f>_xll.qlCalendarAdvance(Calendar,B1476,NDays&amp;"D")</f>
        <v>49222</v>
      </c>
      <c r="D1476" s="202">
        <v>2.6529592979536436E-2</v>
      </c>
      <c r="E1476" s="202">
        <v>2.6486800809992772E-2</v>
      </c>
      <c r="U1476" s="204"/>
    </row>
    <row r="1477" spans="1:21" x14ac:dyDescent="0.2">
      <c r="A1477" s="64" t="str">
        <f t="shared" si="23"/>
        <v>1w</v>
      </c>
      <c r="B1477" s="203">
        <f>_xll.qlCalendarAdvance(Calendar,B1476,A1477,"f",FALSE)</f>
        <v>49227</v>
      </c>
      <c r="C1477" s="237">
        <f>_xll.qlCalendarAdvance(Calendar,B1477,NDays&amp;"D")</f>
        <v>49229</v>
      </c>
      <c r="D1477" s="202">
        <v>2.6519702389993897E-2</v>
      </c>
      <c r="E1477" s="202">
        <v>2.6475705207715805E-2</v>
      </c>
      <c r="U1477" s="204"/>
    </row>
    <row r="1478" spans="1:21" x14ac:dyDescent="0.2">
      <c r="A1478" s="64" t="str">
        <f t="shared" si="23"/>
        <v>1w</v>
      </c>
      <c r="B1478" s="203">
        <f>_xll.qlCalendarAdvance(Calendar,B1477,A1478,"f",FALSE)</f>
        <v>49234</v>
      </c>
      <c r="C1478" s="237">
        <f>_xll.qlCalendarAdvance(Calendar,B1478,NDays&amp;"D")</f>
        <v>49236</v>
      </c>
      <c r="D1478" s="202">
        <v>2.6509916498419897E-2</v>
      </c>
      <c r="E1478" s="202">
        <v>2.6464712878428998E-2</v>
      </c>
      <c r="U1478" s="204"/>
    </row>
    <row r="1479" spans="1:21" x14ac:dyDescent="0.2">
      <c r="A1479" s="64" t="str">
        <f t="shared" ref="A1479:A1542" si="24">A1478</f>
        <v>1w</v>
      </c>
      <c r="B1479" s="203">
        <f>_xll.qlCalendarAdvance(Calendar,B1478,A1479,"f",FALSE)</f>
        <v>49241</v>
      </c>
      <c r="C1479" s="237">
        <f>_xll.qlCalendarAdvance(Calendar,B1479,NDays&amp;"D")</f>
        <v>49243</v>
      </c>
      <c r="D1479" s="202">
        <v>2.6500235303282473E-2</v>
      </c>
      <c r="E1479" s="202">
        <v>2.6453823822452094E-2</v>
      </c>
      <c r="U1479" s="204"/>
    </row>
    <row r="1480" spans="1:21" x14ac:dyDescent="0.2">
      <c r="A1480" s="64" t="str">
        <f t="shared" si="24"/>
        <v>1w</v>
      </c>
      <c r="B1480" s="203">
        <f>_xll.qlCalendarAdvance(Calendar,B1479,A1480,"f",FALSE)</f>
        <v>49248</v>
      </c>
      <c r="C1480" s="237">
        <f>_xll.qlCalendarAdvance(Calendar,B1480,NDays&amp;"D")</f>
        <v>49250</v>
      </c>
      <c r="D1480" s="202">
        <v>2.6490336703373737E-2</v>
      </c>
      <c r="E1480" s="202">
        <v>2.6443038039385414E-2</v>
      </c>
      <c r="U1480" s="204"/>
    </row>
    <row r="1481" spans="1:21" x14ac:dyDescent="0.2">
      <c r="A1481" s="64" t="str">
        <f t="shared" si="24"/>
        <v>1w</v>
      </c>
      <c r="B1481" s="203">
        <f>_xll.qlCalendarAdvance(Calendar,B1480,A1481,"f",FALSE)</f>
        <v>49255</v>
      </c>
      <c r="C1481" s="237">
        <f>_xll.qlCalendarAdvance(Calendar,B1481,NDays&amp;"D")</f>
        <v>49257</v>
      </c>
      <c r="D1481" s="202">
        <v>2.6480858111449568E-2</v>
      </c>
      <c r="E1481" s="202">
        <v>2.6432355529468765E-2</v>
      </c>
      <c r="U1481" s="204"/>
    </row>
    <row r="1482" spans="1:21" x14ac:dyDescent="0.2">
      <c r="A1482" s="64" t="str">
        <f t="shared" si="24"/>
        <v>1w</v>
      </c>
      <c r="B1482" s="203">
        <f>_xll.qlCalendarAdvance(Calendar,B1481,A1482,"f",FALSE)</f>
        <v>49262</v>
      </c>
      <c r="C1482" s="237">
        <f>_xll.qlCalendarAdvance(Calendar,B1482,NDays&amp;"D")</f>
        <v>49264</v>
      </c>
      <c r="D1482" s="202">
        <v>2.6471484203670952E-2</v>
      </c>
      <c r="E1482" s="202">
        <v>2.6421776292622212E-2</v>
      </c>
      <c r="U1482" s="204"/>
    </row>
    <row r="1483" spans="1:21" x14ac:dyDescent="0.2">
      <c r="A1483" s="64" t="str">
        <f t="shared" si="24"/>
        <v>1w</v>
      </c>
      <c r="B1483" s="203">
        <f>_xll.qlCalendarAdvance(Calendar,B1482,A1483,"f",FALSE)</f>
        <v>49269</v>
      </c>
      <c r="C1483" s="237">
        <f>_xll.qlCalendarAdvance(Calendar,B1483,NDays&amp;"D")</f>
        <v>49271</v>
      </c>
      <c r="D1483" s="202">
        <v>2.6462214978578719E-2</v>
      </c>
      <c r="E1483" s="202">
        <v>2.6411300328925691E-2</v>
      </c>
      <c r="U1483" s="204"/>
    </row>
    <row r="1484" spans="1:21" x14ac:dyDescent="0.2">
      <c r="A1484" s="64" t="str">
        <f t="shared" si="24"/>
        <v>1w</v>
      </c>
      <c r="B1484" s="203">
        <f>_xll.qlCalendarAdvance(Calendar,B1483,A1484,"f",FALSE)</f>
        <v>49276</v>
      </c>
      <c r="C1484" s="237">
        <f>_xll.qlCalendarAdvance(Calendar,B1484,NDays&amp;"D")</f>
        <v>49278</v>
      </c>
      <c r="D1484" s="202">
        <v>2.645339969775146E-2</v>
      </c>
      <c r="E1484" s="202">
        <v>2.6400927638219329E-2</v>
      </c>
      <c r="U1484" s="204"/>
    </row>
    <row r="1485" spans="1:21" x14ac:dyDescent="0.2">
      <c r="A1485" s="64" t="str">
        <f t="shared" si="24"/>
        <v>1w</v>
      </c>
      <c r="B1485" s="203">
        <f>_xll.qlCalendarAdvance(Calendar,B1484,A1485,"f",FALSE)</f>
        <v>49283</v>
      </c>
      <c r="C1485" s="237">
        <f>_xll.qlCalendarAdvance(Calendar,B1485,NDays&amp;"D")</f>
        <v>49285</v>
      </c>
      <c r="D1485" s="202">
        <v>2.6444344497749326E-2</v>
      </c>
      <c r="E1485" s="202">
        <v>2.6390658220662999E-2</v>
      </c>
      <c r="U1485" s="204"/>
    </row>
    <row r="1486" spans="1:21" x14ac:dyDescent="0.2">
      <c r="A1486" s="64" t="str">
        <f t="shared" si="24"/>
        <v>1w</v>
      </c>
      <c r="B1486" s="203">
        <f>_xll.qlCalendarAdvance(Calendar,B1485,A1486,"f",FALSE)</f>
        <v>49290</v>
      </c>
      <c r="C1486" s="237">
        <f>_xll.qlCalendarAdvance(Calendar,B1486,NDays&amp;"D")</f>
        <v>49292</v>
      </c>
      <c r="D1486" s="202">
        <v>2.6435386085569779E-2</v>
      </c>
      <c r="E1486" s="202">
        <v>2.6380492076016893E-2</v>
      </c>
      <c r="U1486" s="204"/>
    </row>
    <row r="1487" spans="1:21" x14ac:dyDescent="0.2">
      <c r="A1487" s="64" t="str">
        <f t="shared" si="24"/>
        <v>1w</v>
      </c>
      <c r="B1487" s="203">
        <f>_xll.qlCalendarAdvance(Calendar,B1486,A1487,"f",FALSE)</f>
        <v>49297</v>
      </c>
      <c r="C1487" s="237">
        <f>_xll.qlCalendarAdvance(Calendar,B1487,NDays&amp;"D")</f>
        <v>49299</v>
      </c>
      <c r="D1487" s="202">
        <v>2.6426518316771827E-2</v>
      </c>
      <c r="E1487" s="202">
        <v>2.6370429204520818E-2</v>
      </c>
      <c r="U1487" s="204"/>
    </row>
    <row r="1488" spans="1:21" x14ac:dyDescent="0.2">
      <c r="A1488" s="64" t="str">
        <f t="shared" si="24"/>
        <v>1w</v>
      </c>
      <c r="B1488" s="203">
        <f>_xll.qlCalendarAdvance(Calendar,B1487,A1488,"f",FALSE)</f>
        <v>49305</v>
      </c>
      <c r="C1488" s="237">
        <f>_xll.qlCalendarAdvance(Calendar,B1488,NDays&amp;"D")</f>
        <v>49307</v>
      </c>
      <c r="D1488" s="202">
        <v>2.6416486833836076E-2</v>
      </c>
      <c r="E1488" s="202">
        <v>2.6359833627245255E-2</v>
      </c>
      <c r="U1488" s="204"/>
    </row>
    <row r="1489" spans="1:21" x14ac:dyDescent="0.2">
      <c r="A1489" s="64" t="str">
        <f t="shared" si="24"/>
        <v>1w</v>
      </c>
      <c r="B1489" s="203">
        <f>_xll.qlCalendarAdvance(Calendar,B1488,A1489,"f",FALSE)</f>
        <v>49312</v>
      </c>
      <c r="C1489" s="237">
        <f>_xll.qlCalendarAdvance(Calendar,B1489,NDays&amp;"D")</f>
        <v>49314</v>
      </c>
      <c r="D1489" s="202">
        <v>2.6407419955781559E-2</v>
      </c>
      <c r="E1489" s="202">
        <v>2.6349745259643953E-2</v>
      </c>
      <c r="U1489" s="204"/>
    </row>
    <row r="1490" spans="1:21" x14ac:dyDescent="0.2">
      <c r="A1490" s="64" t="str">
        <f t="shared" si="24"/>
        <v>1w</v>
      </c>
      <c r="B1490" s="203">
        <f>_xll.qlCalendarAdvance(Calendar,B1489,A1490,"f",FALSE)</f>
        <v>49319</v>
      </c>
      <c r="C1490" s="237">
        <f>_xll.qlCalendarAdvance(Calendar,B1490,NDays&amp;"D")</f>
        <v>49321</v>
      </c>
      <c r="D1490" s="202">
        <v>2.6398794787978599E-2</v>
      </c>
      <c r="E1490" s="202">
        <v>2.6340020290627209E-2</v>
      </c>
      <c r="U1490" s="204"/>
    </row>
    <row r="1491" spans="1:21" x14ac:dyDescent="0.2">
      <c r="A1491" s="64" t="str">
        <f t="shared" si="24"/>
        <v>1w</v>
      </c>
      <c r="B1491" s="203">
        <f>_xll.qlCalendarAdvance(Calendar,B1490,A1491,"f",FALSE)</f>
        <v>49326</v>
      </c>
      <c r="C1491" s="237">
        <f>_xll.qlCalendarAdvance(Calendar,B1491,NDays&amp;"D")</f>
        <v>49328</v>
      </c>
      <c r="D1491" s="202">
        <v>2.6390235468571544E-2</v>
      </c>
      <c r="E1491" s="202">
        <v>2.6330398610294736E-2</v>
      </c>
      <c r="U1491" s="204"/>
    </row>
    <row r="1492" spans="1:21" x14ac:dyDescent="0.2">
      <c r="A1492" s="64" t="str">
        <f t="shared" si="24"/>
        <v>1w</v>
      </c>
      <c r="B1492" s="203">
        <f>_xll.qlCalendarAdvance(Calendar,B1491,A1492,"f",FALSE)</f>
        <v>49333</v>
      </c>
      <c r="C1492" s="237">
        <f>_xll.qlCalendarAdvance(Calendar,B1492,NDays&amp;"D")</f>
        <v>49335</v>
      </c>
      <c r="D1492" s="202">
        <v>2.6381735820223302E-2</v>
      </c>
      <c r="E1492" s="202">
        <v>2.632088021851331E-2</v>
      </c>
      <c r="U1492" s="204"/>
    </row>
    <row r="1493" spans="1:21" x14ac:dyDescent="0.2">
      <c r="A1493" s="64" t="str">
        <f t="shared" si="24"/>
        <v>1w</v>
      </c>
      <c r="B1493" s="203">
        <f>_xll.qlCalendarAdvance(Calendar,B1492,A1493,"f",FALSE)</f>
        <v>49340</v>
      </c>
      <c r="C1493" s="237">
        <f>_xll.qlCalendarAdvance(Calendar,B1493,NDays&amp;"D")</f>
        <v>49342</v>
      </c>
      <c r="D1493" s="202">
        <v>2.6373289665707188E-2</v>
      </c>
      <c r="E1493" s="202">
        <v>2.6311465115362864E-2</v>
      </c>
      <c r="U1493" s="204"/>
    </row>
    <row r="1494" spans="1:21" x14ac:dyDescent="0.2">
      <c r="A1494" s="64" t="str">
        <f t="shared" si="24"/>
        <v>1w</v>
      </c>
      <c r="B1494" s="203">
        <f>_xll.qlCalendarAdvance(Calendar,B1493,A1494,"f",FALSE)</f>
        <v>49347</v>
      </c>
      <c r="C1494" s="237">
        <f>_xll.qlCalendarAdvance(Calendar,B1494,NDays&amp;"D")</f>
        <v>49349</v>
      </c>
      <c r="D1494" s="202">
        <v>2.6364890827902946E-2</v>
      </c>
      <c r="E1494" s="202">
        <v>2.6302153300763464E-2</v>
      </c>
      <c r="U1494" s="204"/>
    </row>
    <row r="1495" spans="1:21" x14ac:dyDescent="0.2">
      <c r="A1495" s="64" t="str">
        <f t="shared" si="24"/>
        <v>1w</v>
      </c>
      <c r="B1495" s="203">
        <f>_xll.qlCalendarAdvance(Calendar,B1494,A1495,"f",FALSE)</f>
        <v>49354</v>
      </c>
      <c r="C1495" s="237">
        <f>_xll.qlCalendarAdvance(Calendar,B1495,NDays&amp;"D")</f>
        <v>49356</v>
      </c>
      <c r="D1495" s="202">
        <v>2.6356533129797646E-2</v>
      </c>
      <c r="E1495" s="202">
        <v>2.6292944774661819E-2</v>
      </c>
      <c r="U1495" s="204"/>
    </row>
    <row r="1496" spans="1:21" x14ac:dyDescent="0.2">
      <c r="A1496" s="64" t="str">
        <f t="shared" si="24"/>
        <v>1w</v>
      </c>
      <c r="B1496" s="203">
        <f>_xll.qlCalendarAdvance(Calendar,B1495,A1496,"f",FALSE)</f>
        <v>49361</v>
      </c>
      <c r="C1496" s="237">
        <f>_xll.qlCalendarAdvance(Calendar,B1496,NDays&amp;"D")</f>
        <v>49363</v>
      </c>
      <c r="D1496" s="202">
        <v>2.6348210394485667E-2</v>
      </c>
      <c r="E1496" s="202">
        <v>2.628383953711122E-2</v>
      </c>
      <c r="U1496" s="204"/>
    </row>
    <row r="1497" spans="1:21" x14ac:dyDescent="0.2">
      <c r="A1497" s="64" t="str">
        <f t="shared" si="24"/>
        <v>1w</v>
      </c>
      <c r="B1497" s="203">
        <f>_xll.qlCalendarAdvance(Calendar,B1496,A1497,"f",FALSE)</f>
        <v>49368</v>
      </c>
      <c r="C1497" s="237">
        <f>_xll.qlCalendarAdvance(Calendar,B1497,NDays&amp;"D")</f>
        <v>49370</v>
      </c>
      <c r="D1497" s="202">
        <v>2.6341411874701851E-2</v>
      </c>
      <c r="E1497" s="202">
        <v>2.627483758803173E-2</v>
      </c>
      <c r="U1497" s="204"/>
    </row>
    <row r="1498" spans="1:21" x14ac:dyDescent="0.2">
      <c r="A1498" s="64" t="str">
        <f t="shared" si="24"/>
        <v>1w</v>
      </c>
      <c r="B1498" s="203">
        <f>_xll.qlCalendarAdvance(Calendar,B1497,A1498,"f",FALSE)</f>
        <v>49375</v>
      </c>
      <c r="C1498" s="237">
        <f>_xll.qlCalendarAdvance(Calendar,B1498,NDays&amp;"D")</f>
        <v>49377</v>
      </c>
      <c r="D1498" s="202">
        <v>2.6333132138992695E-2</v>
      </c>
      <c r="E1498" s="202">
        <v>2.6265938927423349E-2</v>
      </c>
      <c r="U1498" s="204"/>
    </row>
    <row r="1499" spans="1:21" x14ac:dyDescent="0.2">
      <c r="A1499" s="64" t="str">
        <f t="shared" si="24"/>
        <v>1w</v>
      </c>
      <c r="B1499" s="203">
        <f>_xll.qlCalendarAdvance(Calendar,B1498,A1499,"f",FALSE)</f>
        <v>49382</v>
      </c>
      <c r="C1499" s="237">
        <f>_xll.qlCalendarAdvance(Calendar,B1499,NDays&amp;"D")</f>
        <v>49384</v>
      </c>
      <c r="D1499" s="202">
        <v>2.6324867295811395E-2</v>
      </c>
      <c r="E1499" s="202">
        <v>2.6257143555259432E-2</v>
      </c>
      <c r="U1499" s="204"/>
    </row>
    <row r="1500" spans="1:21" x14ac:dyDescent="0.2">
      <c r="A1500" s="64" t="str">
        <f t="shared" si="24"/>
        <v>1w</v>
      </c>
      <c r="B1500" s="203">
        <f>_xll.qlCalendarAdvance(Calendar,B1499,A1500,"f",FALSE)</f>
        <v>49389</v>
      </c>
      <c r="C1500" s="237">
        <f>_xll.qlCalendarAdvance(Calendar,B1500,NDays&amp;"D")</f>
        <v>49395</v>
      </c>
      <c r="D1500" s="202">
        <v>2.6311531117820856E-2</v>
      </c>
      <c r="E1500" s="202">
        <v>2.6242844143364863E-2</v>
      </c>
      <c r="U1500" s="204"/>
    </row>
    <row r="1501" spans="1:21" x14ac:dyDescent="0.2">
      <c r="A1501" s="64" t="str">
        <f t="shared" si="24"/>
        <v>1w</v>
      </c>
      <c r="B1501" s="203">
        <f>_xll.qlCalendarAdvance(Calendar,B1500,A1501,"f",FALSE)</f>
        <v>49396</v>
      </c>
      <c r="C1501" s="237">
        <f>_xll.qlCalendarAdvance(Calendar,B1501,NDays&amp;"D")</f>
        <v>49398</v>
      </c>
      <c r="D1501" s="202">
        <v>2.6307268822254998E-2</v>
      </c>
      <c r="E1501" s="202">
        <v>2.6239862676131764E-2</v>
      </c>
      <c r="U1501" s="204"/>
    </row>
    <row r="1502" spans="1:21" x14ac:dyDescent="0.2">
      <c r="A1502" s="64" t="str">
        <f t="shared" si="24"/>
        <v>1w</v>
      </c>
      <c r="B1502" s="203">
        <f>_xll.qlCalendarAdvance(Calendar,B1501,A1502,"f",FALSE)</f>
        <v>49403</v>
      </c>
      <c r="C1502" s="237">
        <f>_xll.qlCalendarAdvance(Calendar,B1502,NDays&amp;"D")</f>
        <v>49405</v>
      </c>
      <c r="D1502" s="202">
        <v>2.6300101675061131E-2</v>
      </c>
      <c r="E1502" s="202">
        <v>2.6231377169168013E-2</v>
      </c>
      <c r="U1502" s="204"/>
    </row>
    <row r="1503" spans="1:21" x14ac:dyDescent="0.2">
      <c r="A1503" s="64" t="str">
        <f t="shared" si="24"/>
        <v>1w</v>
      </c>
      <c r="B1503" s="203">
        <f>_xll.qlCalendarAdvance(Calendar,B1502,A1503,"f",FALSE)</f>
        <v>49410</v>
      </c>
      <c r="C1503" s="237">
        <f>_xll.qlCalendarAdvance(Calendar,B1503,NDays&amp;"D")</f>
        <v>49412</v>
      </c>
      <c r="D1503" s="202">
        <v>2.6291835956124152E-2</v>
      </c>
      <c r="E1503" s="202">
        <v>2.6222994950542144E-2</v>
      </c>
      <c r="U1503" s="204"/>
    </row>
    <row r="1504" spans="1:21" x14ac:dyDescent="0.2">
      <c r="A1504" s="64" t="str">
        <f t="shared" si="24"/>
        <v>1w</v>
      </c>
      <c r="B1504" s="203">
        <f>_xll.qlCalendarAdvance(Calendar,B1503,A1504,"f",FALSE)</f>
        <v>49417</v>
      </c>
      <c r="C1504" s="237">
        <f>_xll.qlCalendarAdvance(Calendar,B1504,NDays&amp;"D")</f>
        <v>49419</v>
      </c>
      <c r="D1504" s="202">
        <v>2.6283554907287225E-2</v>
      </c>
      <c r="E1504" s="202">
        <v>2.6214716020227513E-2</v>
      </c>
      <c r="U1504" s="204"/>
    </row>
    <row r="1505" spans="1:21" x14ac:dyDescent="0.2">
      <c r="A1505" s="64" t="str">
        <f t="shared" si="24"/>
        <v>1w</v>
      </c>
      <c r="B1505" s="203">
        <f>_xll.qlCalendarAdvance(Calendar,B1504,A1505,"f",FALSE)</f>
        <v>49424</v>
      </c>
      <c r="C1505" s="237">
        <f>_xll.qlCalendarAdvance(Calendar,B1505,NDays&amp;"D")</f>
        <v>49426</v>
      </c>
      <c r="D1505" s="202">
        <v>2.6275252484369845E-2</v>
      </c>
      <c r="E1505" s="202">
        <v>2.6206540378250764E-2</v>
      </c>
      <c r="U1505" s="204"/>
    </row>
    <row r="1506" spans="1:21" x14ac:dyDescent="0.2">
      <c r="A1506" s="64" t="str">
        <f t="shared" si="24"/>
        <v>1w</v>
      </c>
      <c r="B1506" s="203">
        <f>_xll.qlCalendarAdvance(Calendar,B1505,A1506,"f",FALSE)</f>
        <v>49431</v>
      </c>
      <c r="C1506" s="237">
        <f>_xll.qlCalendarAdvance(Calendar,B1506,NDays&amp;"D")</f>
        <v>49433</v>
      </c>
      <c r="D1506" s="202">
        <v>2.6266922643293483E-2</v>
      </c>
      <c r="E1506" s="202">
        <v>2.6198468024531962E-2</v>
      </c>
      <c r="U1506" s="204"/>
    </row>
    <row r="1507" spans="1:21" x14ac:dyDescent="0.2">
      <c r="A1507" s="64" t="str">
        <f t="shared" si="24"/>
        <v>1w</v>
      </c>
      <c r="B1507" s="203">
        <f>_xll.qlCalendarAdvance(Calendar,B1506,A1507,"f",FALSE)</f>
        <v>49438</v>
      </c>
      <c r="C1507" s="237">
        <f>_xll.qlCalendarAdvance(Calendar,B1507,NDays&amp;"D")</f>
        <v>49440</v>
      </c>
      <c r="D1507" s="202">
        <v>2.6258559340082002E-2</v>
      </c>
      <c r="E1507" s="202">
        <v>2.6190498959124398E-2</v>
      </c>
      <c r="U1507" s="204"/>
    </row>
    <row r="1508" spans="1:21" x14ac:dyDescent="0.2">
      <c r="A1508" s="64" t="str">
        <f t="shared" si="24"/>
        <v>1w</v>
      </c>
      <c r="B1508" s="203">
        <f>_xll.qlCalendarAdvance(Calendar,B1507,A1508,"f",FALSE)</f>
        <v>49445</v>
      </c>
      <c r="C1508" s="237">
        <f>_xll.qlCalendarAdvance(Calendar,B1508,NDays&amp;"D")</f>
        <v>49447</v>
      </c>
      <c r="D1508" s="202">
        <v>2.6250156530863409E-2</v>
      </c>
      <c r="E1508" s="202">
        <v>2.6182633181921489E-2</v>
      </c>
      <c r="U1508" s="204"/>
    </row>
    <row r="1509" spans="1:21" x14ac:dyDescent="0.2">
      <c r="A1509" s="64" t="str">
        <f t="shared" si="24"/>
        <v>1w</v>
      </c>
      <c r="B1509" s="203">
        <f>_xll.qlCalendarAdvance(Calendar,B1508,A1509,"f",FALSE)</f>
        <v>49452</v>
      </c>
      <c r="C1509" s="237">
        <f>_xll.qlCalendarAdvance(Calendar,B1509,NDays&amp;"D")</f>
        <v>49454</v>
      </c>
      <c r="D1509" s="202">
        <v>2.6241708171872425E-2</v>
      </c>
      <c r="E1509" s="202">
        <v>2.6174870692976526E-2</v>
      </c>
      <c r="U1509" s="204"/>
    </row>
    <row r="1510" spans="1:21" x14ac:dyDescent="0.2">
      <c r="A1510" s="64" t="str">
        <f t="shared" si="24"/>
        <v>1w</v>
      </c>
      <c r="B1510" s="203">
        <f>_xll.qlCalendarAdvance(Calendar,B1509,A1510,"f",FALSE)</f>
        <v>49459</v>
      </c>
      <c r="C1510" s="237">
        <f>_xll.qlCalendarAdvance(Calendar,B1510,NDays&amp;"D")</f>
        <v>49461</v>
      </c>
      <c r="D1510" s="202">
        <v>2.6233208298746216E-2</v>
      </c>
      <c r="E1510" s="202">
        <v>2.6167177710005873E-2</v>
      </c>
      <c r="U1510" s="204"/>
    </row>
    <row r="1511" spans="1:21" x14ac:dyDescent="0.2">
      <c r="A1511" s="64" t="str">
        <f t="shared" si="24"/>
        <v>1w</v>
      </c>
      <c r="B1511" s="203">
        <f>_xll.qlCalendarAdvance(Calendar,B1510,A1511,"f",FALSE)</f>
        <v>49466</v>
      </c>
      <c r="C1511" s="237">
        <f>_xll.qlCalendarAdvance(Calendar,B1511,NDays&amp;"D")</f>
        <v>49468</v>
      </c>
      <c r="D1511" s="202">
        <v>2.6224653566977837E-2</v>
      </c>
      <c r="E1511" s="202">
        <v>2.6159441625672741E-2</v>
      </c>
      <c r="U1511" s="204"/>
    </row>
    <row r="1512" spans="1:21" x14ac:dyDescent="0.2">
      <c r="A1512" s="64" t="str">
        <f t="shared" si="24"/>
        <v>1w</v>
      </c>
      <c r="B1512" s="203">
        <f>_xll.qlCalendarAdvance(Calendar,B1511,A1512,"f",FALSE)</f>
        <v>49473</v>
      </c>
      <c r="C1512" s="237">
        <f>_xll.qlCalendarAdvance(Calendar,B1512,NDays&amp;"D")</f>
        <v>49475</v>
      </c>
      <c r="D1512" s="202">
        <v>2.6216043789319018E-2</v>
      </c>
      <c r="E1512" s="202">
        <v>2.6151651179144864E-2</v>
      </c>
      <c r="U1512" s="204"/>
    </row>
    <row r="1513" spans="1:21" x14ac:dyDescent="0.2">
      <c r="A1513" s="64" t="str">
        <f t="shared" si="24"/>
        <v>1w</v>
      </c>
      <c r="B1513" s="203">
        <f>_xll.qlCalendarAdvance(Calendar,B1512,A1513,"f",FALSE)</f>
        <v>49480</v>
      </c>
      <c r="C1513" s="237">
        <f>_xll.qlCalendarAdvance(Calendar,B1513,NDays&amp;"D")</f>
        <v>49482</v>
      </c>
      <c r="D1513" s="202">
        <v>2.6207378966490481E-2</v>
      </c>
      <c r="E1513" s="202">
        <v>2.6143806370555467E-2</v>
      </c>
      <c r="U1513" s="204"/>
    </row>
    <row r="1514" spans="1:21" x14ac:dyDescent="0.2">
      <c r="A1514" s="64" t="str">
        <f t="shared" si="24"/>
        <v>1w</v>
      </c>
      <c r="B1514" s="203">
        <f>_xll.qlCalendarAdvance(Calendar,B1513,A1514,"f",FALSE)</f>
        <v>49487</v>
      </c>
      <c r="C1514" s="237">
        <f>_xll.qlCalendarAdvance(Calendar,B1514,NDays&amp;"D")</f>
        <v>49489</v>
      </c>
      <c r="D1514" s="202">
        <v>2.6198659099218129E-2</v>
      </c>
      <c r="E1514" s="202">
        <v>2.6135907199877906E-2</v>
      </c>
      <c r="U1514" s="204"/>
    </row>
    <row r="1515" spans="1:21" x14ac:dyDescent="0.2">
      <c r="A1515" s="64" t="str">
        <f t="shared" si="24"/>
        <v>1w</v>
      </c>
      <c r="B1515" s="203">
        <f>_xll.qlCalendarAdvance(Calendar,B1514,A1515,"f",FALSE)</f>
        <v>49494</v>
      </c>
      <c r="C1515" s="237">
        <f>_xll.qlCalendarAdvance(Calendar,B1515,NDays&amp;"D")</f>
        <v>49496</v>
      </c>
      <c r="D1515" s="202">
        <v>2.6189884188232621E-2</v>
      </c>
      <c r="E1515" s="202">
        <v>2.612795366705889E-2</v>
      </c>
      <c r="U1515" s="204"/>
    </row>
    <row r="1516" spans="1:21" x14ac:dyDescent="0.2">
      <c r="A1516" s="64" t="str">
        <f t="shared" si="24"/>
        <v>1w</v>
      </c>
      <c r="B1516" s="203">
        <f>_xll.qlCalendarAdvance(Calendar,B1515,A1516,"f",FALSE)</f>
        <v>49501</v>
      </c>
      <c r="C1516" s="237">
        <f>_xll.qlCalendarAdvance(Calendar,B1516,NDays&amp;"D")</f>
        <v>49503</v>
      </c>
      <c r="D1516" s="202">
        <v>2.6181054234268936E-2</v>
      </c>
      <c r="E1516" s="202">
        <v>2.6119945772178355E-2</v>
      </c>
      <c r="U1516" s="204"/>
    </row>
    <row r="1517" spans="1:21" x14ac:dyDescent="0.2">
      <c r="A1517" s="64" t="str">
        <f t="shared" si="24"/>
        <v>1w</v>
      </c>
      <c r="B1517" s="203">
        <f>_xll.qlCalendarAdvance(Calendar,B1516,A1517,"f",FALSE)</f>
        <v>49508</v>
      </c>
      <c r="C1517" s="237">
        <f>_xll.qlCalendarAdvance(Calendar,B1517,NDays&amp;"D")</f>
        <v>49510</v>
      </c>
      <c r="D1517" s="202">
        <v>2.6172169238066811E-2</v>
      </c>
      <c r="E1517" s="202">
        <v>2.61118835152363E-2</v>
      </c>
      <c r="U1517" s="204"/>
    </row>
    <row r="1518" spans="1:21" x14ac:dyDescent="0.2">
      <c r="A1518" s="64" t="str">
        <f t="shared" si="24"/>
        <v>1w</v>
      </c>
      <c r="B1518" s="203">
        <f>_xll.qlCalendarAdvance(Calendar,B1517,A1518,"f",FALSE)</f>
        <v>49515</v>
      </c>
      <c r="C1518" s="237">
        <f>_xll.qlCalendarAdvance(Calendar,B1518,NDays&amp;"D")</f>
        <v>49517</v>
      </c>
      <c r="D1518" s="202">
        <v>2.6163229200370296E-2</v>
      </c>
      <c r="E1518" s="202">
        <v>2.6103766896259373E-2</v>
      </c>
      <c r="U1518" s="204"/>
    </row>
    <row r="1519" spans="1:21" x14ac:dyDescent="0.2">
      <c r="A1519" s="64" t="str">
        <f t="shared" si="24"/>
        <v>1w</v>
      </c>
      <c r="B1519" s="203">
        <f>_xll.qlCalendarAdvance(Calendar,B1518,A1519,"f",FALSE)</f>
        <v>49522</v>
      </c>
      <c r="C1519" s="237">
        <f>_xll.qlCalendarAdvance(Calendar,B1519,NDays&amp;"D")</f>
        <v>49524</v>
      </c>
      <c r="D1519" s="202">
        <v>2.6154234121928199E-2</v>
      </c>
      <c r="E1519" s="202">
        <v>2.6095595915220926E-2</v>
      </c>
      <c r="U1519" s="204"/>
    </row>
    <row r="1520" spans="1:21" x14ac:dyDescent="0.2">
      <c r="A1520" s="64" t="str">
        <f t="shared" si="24"/>
        <v>1w</v>
      </c>
      <c r="B1520" s="203">
        <f>_xll.qlCalendarAdvance(Calendar,B1519,A1520,"f",FALSE)</f>
        <v>49529</v>
      </c>
      <c r="C1520" s="237">
        <f>_xll.qlCalendarAdvance(Calendar,B1520,NDays&amp;"D")</f>
        <v>49531</v>
      </c>
      <c r="D1520" s="202">
        <v>2.6145184003494942E-2</v>
      </c>
      <c r="E1520" s="202">
        <v>2.608737057212096E-2</v>
      </c>
      <c r="U1520" s="204"/>
    </row>
    <row r="1521" spans="1:21" x14ac:dyDescent="0.2">
      <c r="A1521" s="64" t="str">
        <f t="shared" si="24"/>
        <v>1w</v>
      </c>
      <c r="B1521" s="203">
        <f>_xll.qlCalendarAdvance(Calendar,B1520,A1521,"f",FALSE)</f>
        <v>49536</v>
      </c>
      <c r="C1521" s="237">
        <f>_xll.qlCalendarAdvance(Calendar,B1521,NDays&amp;"D")</f>
        <v>49538</v>
      </c>
      <c r="D1521" s="202">
        <v>2.6136078845827974E-2</v>
      </c>
      <c r="E1521" s="202">
        <v>2.6079090867012766E-2</v>
      </c>
      <c r="U1521" s="204"/>
    </row>
    <row r="1522" spans="1:21" x14ac:dyDescent="0.2">
      <c r="A1522" s="64" t="str">
        <f t="shared" si="24"/>
        <v>1w</v>
      </c>
      <c r="B1522" s="203">
        <f>_xll.qlCalendarAdvance(Calendar,B1521,A1522,"f",FALSE)</f>
        <v>49543</v>
      </c>
      <c r="C1522" s="237">
        <f>_xll.qlCalendarAdvance(Calendar,B1522,NDays&amp;"D")</f>
        <v>49545</v>
      </c>
      <c r="D1522" s="202">
        <v>2.612691864969036E-2</v>
      </c>
      <c r="E1522" s="202">
        <v>2.6070756799922989E-2</v>
      </c>
      <c r="U1522" s="204"/>
    </row>
    <row r="1523" spans="1:21" x14ac:dyDescent="0.2">
      <c r="A1523" s="64" t="str">
        <f t="shared" si="24"/>
        <v>1w</v>
      </c>
      <c r="B1523" s="203">
        <f>_xll.qlCalendarAdvance(Calendar,B1522,A1523,"f",FALSE)</f>
        <v>49550</v>
      </c>
      <c r="C1523" s="237">
        <f>_xll.qlCalendarAdvance(Calendar,B1523,NDays&amp;"D")</f>
        <v>49552</v>
      </c>
      <c r="D1523" s="202">
        <v>2.6116904478961821E-2</v>
      </c>
      <c r="E1523" s="202">
        <v>2.6062368370771694E-2</v>
      </c>
      <c r="U1523" s="204"/>
    </row>
    <row r="1524" spans="1:21" x14ac:dyDescent="0.2">
      <c r="A1524" s="64" t="str">
        <f t="shared" si="24"/>
        <v>1w</v>
      </c>
      <c r="B1524" s="203">
        <f>_xll.qlCalendarAdvance(Calendar,B1523,A1524,"f",FALSE)</f>
        <v>49557</v>
      </c>
      <c r="C1524" s="237">
        <f>_xll.qlCalendarAdvance(Calendar,B1524,NDays&amp;"D")</f>
        <v>49559</v>
      </c>
      <c r="D1524" s="202">
        <v>2.6107648002777151E-2</v>
      </c>
      <c r="E1524" s="202">
        <v>2.605392557966546E-2</v>
      </c>
      <c r="U1524" s="204"/>
    </row>
    <row r="1525" spans="1:21" x14ac:dyDescent="0.2">
      <c r="A1525" s="64" t="str">
        <f t="shared" si="24"/>
        <v>1w</v>
      </c>
      <c r="B1525" s="203">
        <f>_xll.qlCalendarAdvance(Calendar,B1524,A1525,"f",FALSE)</f>
        <v>49564</v>
      </c>
      <c r="C1525" s="237">
        <f>_xll.qlCalendarAdvance(Calendar,B1525,NDays&amp;"D")</f>
        <v>49566</v>
      </c>
      <c r="D1525" s="202">
        <v>2.609833650145419E-2</v>
      </c>
      <c r="E1525" s="202">
        <v>2.6045428426577644E-2</v>
      </c>
      <c r="U1525" s="204"/>
    </row>
    <row r="1526" spans="1:21" x14ac:dyDescent="0.2">
      <c r="A1526" s="64" t="str">
        <f t="shared" si="24"/>
        <v>1w</v>
      </c>
      <c r="B1526" s="203">
        <f>_xll.qlCalendarAdvance(Calendar,B1525,A1526,"f",FALSE)</f>
        <v>49571</v>
      </c>
      <c r="C1526" s="237">
        <f>_xll.qlCalendarAdvance(Calendar,B1526,NDays&amp;"D")</f>
        <v>49573</v>
      </c>
      <c r="D1526" s="202">
        <v>2.6088969975761551E-2</v>
      </c>
      <c r="E1526" s="202">
        <v>2.6036876911508244E-2</v>
      </c>
      <c r="U1526" s="204"/>
    </row>
    <row r="1527" spans="1:21" x14ac:dyDescent="0.2">
      <c r="A1527" s="64" t="str">
        <f t="shared" si="24"/>
        <v>1w</v>
      </c>
      <c r="B1527" s="203">
        <f>_xll.qlCalendarAdvance(Calendar,B1526,A1527,"f",FALSE)</f>
        <v>49578</v>
      </c>
      <c r="C1527" s="237">
        <f>_xll.qlCalendarAdvance(Calendar,B1527,NDays&amp;"D")</f>
        <v>49580</v>
      </c>
      <c r="D1527" s="202">
        <v>2.6080292118955371E-2</v>
      </c>
      <c r="E1527" s="202">
        <v>2.6028271034483907E-2</v>
      </c>
      <c r="U1527" s="204"/>
    </row>
    <row r="1528" spans="1:21" x14ac:dyDescent="0.2">
      <c r="A1528" s="64" t="str">
        <f t="shared" si="24"/>
        <v>1w</v>
      </c>
      <c r="B1528" s="203">
        <f>_xll.qlCalendarAdvance(Calendar,B1527,A1528,"f",FALSE)</f>
        <v>49585</v>
      </c>
      <c r="C1528" s="237">
        <f>_xll.qlCalendarAdvance(Calendar,B1528,NDays&amp;"D")</f>
        <v>49587</v>
      </c>
      <c r="D1528" s="202">
        <v>2.6070801708267567E-2</v>
      </c>
      <c r="E1528" s="202">
        <v>2.6019610795531278E-2</v>
      </c>
      <c r="U1528" s="204"/>
    </row>
    <row r="1529" spans="1:21" x14ac:dyDescent="0.2">
      <c r="A1529" s="64" t="str">
        <f t="shared" si="24"/>
        <v>1w</v>
      </c>
      <c r="B1529" s="203">
        <f>_xll.qlCalendarAdvance(Calendar,B1528,A1529,"f",FALSE)</f>
        <v>49592</v>
      </c>
      <c r="C1529" s="237">
        <f>_xll.qlCalendarAdvance(Calendar,B1529,NDays&amp;"D")</f>
        <v>49594</v>
      </c>
      <c r="D1529" s="202">
        <v>2.6061494072417545E-2</v>
      </c>
      <c r="E1529" s="202">
        <v>2.6010896194650357E-2</v>
      </c>
      <c r="U1529" s="204"/>
    </row>
    <row r="1530" spans="1:21" x14ac:dyDescent="0.2">
      <c r="A1530" s="64" t="str">
        <f t="shared" si="24"/>
        <v>1w</v>
      </c>
      <c r="B1530" s="203">
        <f>_xll.qlCalendarAdvance(Calendar,B1529,A1530,"f",FALSE)</f>
        <v>49599</v>
      </c>
      <c r="C1530" s="237">
        <f>_xll.qlCalendarAdvance(Calendar,B1530,NDays&amp;"D")</f>
        <v>49601</v>
      </c>
      <c r="D1530" s="202">
        <v>2.6051655788683122E-2</v>
      </c>
      <c r="E1530" s="202">
        <v>2.6002127231814498E-2</v>
      </c>
      <c r="U1530" s="204"/>
    </row>
    <row r="1531" spans="1:21" x14ac:dyDescent="0.2">
      <c r="A1531" s="64" t="str">
        <f t="shared" si="24"/>
        <v>1w</v>
      </c>
      <c r="B1531" s="203">
        <f>_xll.qlCalendarAdvance(Calendar,B1530,A1531,"f",FALSE)</f>
        <v>49606</v>
      </c>
      <c r="C1531" s="237">
        <f>_xll.qlCalendarAdvance(Calendar,B1531,NDays&amp;"D")</f>
        <v>49608</v>
      </c>
      <c r="D1531" s="202">
        <v>2.6042000281390393E-2</v>
      </c>
      <c r="E1531" s="202">
        <v>2.5993303907076992E-2</v>
      </c>
      <c r="U1531" s="204"/>
    </row>
    <row r="1532" spans="1:21" x14ac:dyDescent="0.2">
      <c r="A1532" s="64" t="str">
        <f t="shared" si="24"/>
        <v>1w</v>
      </c>
      <c r="B1532" s="203">
        <f>_xll.qlCalendarAdvance(Calendar,B1531,A1532,"f",FALSE)</f>
        <v>49613</v>
      </c>
      <c r="C1532" s="237">
        <f>_xll.qlCalendarAdvance(Calendar,B1532,NDays&amp;"D")</f>
        <v>49615</v>
      </c>
      <c r="D1532" s="202">
        <v>2.6031615353365074E-2</v>
      </c>
      <c r="E1532" s="202">
        <v>2.5984426220464485E-2</v>
      </c>
      <c r="U1532" s="204"/>
    </row>
    <row r="1533" spans="1:21" x14ac:dyDescent="0.2">
      <c r="A1533" s="64" t="str">
        <f t="shared" si="24"/>
        <v>1w</v>
      </c>
      <c r="B1533" s="203">
        <f>_xll.qlCalendarAdvance(Calendar,B1532,A1533,"f",FALSE)</f>
        <v>49620</v>
      </c>
      <c r="C1533" s="237">
        <f>_xll.qlCalendarAdvance(Calendar,B1533,NDays&amp;"D")</f>
        <v>49622</v>
      </c>
      <c r="D1533" s="202">
        <v>2.6021863678945462E-2</v>
      </c>
      <c r="E1533" s="202">
        <v>2.5975494171923685E-2</v>
      </c>
      <c r="U1533" s="204"/>
    </row>
    <row r="1534" spans="1:21" x14ac:dyDescent="0.2">
      <c r="A1534" s="64" t="str">
        <f t="shared" si="24"/>
        <v>1w</v>
      </c>
      <c r="B1534" s="203">
        <f>_xll.qlCalendarAdvance(Calendar,B1533,A1534,"f",FALSE)</f>
        <v>49627</v>
      </c>
      <c r="C1534" s="237">
        <f>_xll.qlCalendarAdvance(Calendar,B1534,NDays&amp;"D")</f>
        <v>49629</v>
      </c>
      <c r="D1534" s="202">
        <v>2.6012056986456623E-2</v>
      </c>
      <c r="E1534" s="202">
        <v>2.596650776153453E-2</v>
      </c>
      <c r="U1534" s="204"/>
    </row>
    <row r="1535" spans="1:21" x14ac:dyDescent="0.2">
      <c r="A1535" s="64" t="str">
        <f t="shared" si="24"/>
        <v>1w</v>
      </c>
      <c r="B1535" s="203">
        <f>_xll.qlCalendarAdvance(Calendar,B1534,A1535,"f",FALSE)</f>
        <v>49634</v>
      </c>
      <c r="C1535" s="237">
        <f>_xll.qlCalendarAdvance(Calendar,B1535,NDays&amp;"D")</f>
        <v>49636</v>
      </c>
      <c r="D1535" s="202">
        <v>2.6002195276708027E-2</v>
      </c>
      <c r="E1535" s="202">
        <v>2.5957466989297018E-2</v>
      </c>
      <c r="U1535" s="204"/>
    </row>
    <row r="1536" spans="1:21" x14ac:dyDescent="0.2">
      <c r="A1536" s="64" t="str">
        <f t="shared" si="24"/>
        <v>1w</v>
      </c>
      <c r="B1536" s="203">
        <f>_xll.qlCalendarAdvance(Calendar,B1535,A1536,"f",FALSE)</f>
        <v>49641</v>
      </c>
      <c r="C1536" s="237">
        <f>_xll.qlCalendarAdvance(Calendar,B1536,NDays&amp;"D")</f>
        <v>49643</v>
      </c>
      <c r="D1536" s="202">
        <v>2.5992278554421173E-2</v>
      </c>
      <c r="E1536" s="202">
        <v>2.5948371855184504E-2</v>
      </c>
      <c r="U1536" s="204"/>
    </row>
    <row r="1537" spans="1:21" x14ac:dyDescent="0.2">
      <c r="A1537" s="64" t="str">
        <f t="shared" si="24"/>
        <v>1w</v>
      </c>
      <c r="B1537" s="203">
        <f>_xll.qlCalendarAdvance(Calendar,B1536,A1537,"f",FALSE)</f>
        <v>49648</v>
      </c>
      <c r="C1537" s="237">
        <f>_xll.qlCalendarAdvance(Calendar,B1537,NDays&amp;"D")</f>
        <v>49650</v>
      </c>
      <c r="D1537" s="202">
        <v>2.5982916743946653E-2</v>
      </c>
      <c r="E1537" s="202">
        <v>2.593922235925028E-2</v>
      </c>
      <c r="U1537" s="204"/>
    </row>
    <row r="1538" spans="1:21" x14ac:dyDescent="0.2">
      <c r="A1538" s="64" t="str">
        <f t="shared" si="24"/>
        <v>1w</v>
      </c>
      <c r="B1538" s="203">
        <f>_xll.qlCalendarAdvance(Calendar,B1537,A1538,"f",FALSE)</f>
        <v>49655</v>
      </c>
      <c r="C1538" s="237">
        <f>_xll.qlCalendarAdvance(Calendar,B1538,NDays&amp;"D")</f>
        <v>49657</v>
      </c>
      <c r="D1538" s="202">
        <v>2.5972893354041331E-2</v>
      </c>
      <c r="E1538" s="202">
        <v>2.5930018501520991E-2</v>
      </c>
      <c r="U1538" s="204"/>
    </row>
    <row r="1539" spans="1:21" x14ac:dyDescent="0.2">
      <c r="A1539" s="64" t="str">
        <f t="shared" si="24"/>
        <v>1w</v>
      </c>
      <c r="B1539" s="203">
        <f>_xll.qlCalendarAdvance(Calendar,B1538,A1539,"f",FALSE)</f>
        <v>49662</v>
      </c>
      <c r="C1539" s="237">
        <f>_xll.qlCalendarAdvance(Calendar,B1539,NDays&amp;"D")</f>
        <v>49664</v>
      </c>
      <c r="D1539" s="202">
        <v>2.5962835296149473E-2</v>
      </c>
      <c r="E1539" s="202">
        <v>2.5920760281943345E-2</v>
      </c>
      <c r="U1539" s="204"/>
    </row>
    <row r="1540" spans="1:21" x14ac:dyDescent="0.2">
      <c r="A1540" s="64" t="str">
        <f t="shared" si="24"/>
        <v>1w</v>
      </c>
      <c r="B1540" s="203">
        <f>_xll.qlCalendarAdvance(Calendar,B1539,A1540,"f",FALSE)</f>
        <v>49670</v>
      </c>
      <c r="C1540" s="237">
        <f>_xll.qlCalendarAdvance(Calendar,B1540,NDays&amp;"D")</f>
        <v>49674</v>
      </c>
      <c r="D1540" s="202">
        <v>2.5947828420876257E-2</v>
      </c>
      <c r="E1540" s="202">
        <v>2.5907176660755482E-2</v>
      </c>
      <c r="U1540" s="204"/>
    </row>
    <row r="1541" spans="1:21" x14ac:dyDescent="0.2">
      <c r="A1541" s="64" t="str">
        <f t="shared" si="24"/>
        <v>1w</v>
      </c>
      <c r="B1541" s="203">
        <f>_xll.qlCalendarAdvance(Calendar,B1540,A1541,"f",FALSE)</f>
        <v>49677</v>
      </c>
      <c r="C1541" s="237">
        <f>_xll.qlCalendarAdvance(Calendar,B1541,NDays&amp;"D")</f>
        <v>49681</v>
      </c>
      <c r="D1541" s="202">
        <v>2.5937716842766932E-2</v>
      </c>
      <c r="E1541" s="202">
        <v>2.5897531822307585E-2</v>
      </c>
      <c r="U1541" s="204"/>
    </row>
    <row r="1542" spans="1:21" x14ac:dyDescent="0.2">
      <c r="A1542" s="64" t="str">
        <f t="shared" si="24"/>
        <v>1w</v>
      </c>
      <c r="B1542" s="203">
        <f>_xll.qlCalendarAdvance(Calendar,B1541,A1542,"f",FALSE)</f>
        <v>49684</v>
      </c>
      <c r="C1542" s="237">
        <f>_xll.qlCalendarAdvance(Calendar,B1542,NDays&amp;"D")</f>
        <v>49688</v>
      </c>
      <c r="D1542" s="202">
        <v>2.5927595075967719E-2</v>
      </c>
      <c r="E1542" s="202">
        <v>2.5888096342709943E-2</v>
      </c>
      <c r="U1542" s="204"/>
    </row>
    <row r="1543" spans="1:21" x14ac:dyDescent="0.2">
      <c r="A1543" s="64" t="str">
        <f t="shared" ref="A1543:A1606" si="25">A1542</f>
        <v>1w</v>
      </c>
      <c r="B1543" s="203">
        <f>_xll.qlCalendarAdvance(Calendar,B1542,A1543,"f",FALSE)</f>
        <v>49691</v>
      </c>
      <c r="C1543" s="237">
        <f>_xll.qlCalendarAdvance(Calendar,B1543,NDays&amp;"D")</f>
        <v>49695</v>
      </c>
      <c r="D1543" s="202">
        <v>2.5917471165833324E-2</v>
      </c>
      <c r="E1543" s="202">
        <v>2.587860650875129E-2</v>
      </c>
      <c r="U1543" s="204"/>
    </row>
    <row r="1544" spans="1:21" x14ac:dyDescent="0.2">
      <c r="A1544" s="64" t="str">
        <f t="shared" si="25"/>
        <v>1w</v>
      </c>
      <c r="B1544" s="203">
        <f>_xll.qlCalendarAdvance(Calendar,B1543,A1544,"f",FALSE)</f>
        <v>49698</v>
      </c>
      <c r="C1544" s="237">
        <f>_xll.qlCalendarAdvance(Calendar,B1544,NDays&amp;"D")</f>
        <v>49702</v>
      </c>
      <c r="D1544" s="202">
        <v>2.5907353157556393E-2</v>
      </c>
      <c r="E1544" s="202">
        <v>2.5869062320431624E-2</v>
      </c>
      <c r="U1544" s="204"/>
    </row>
    <row r="1545" spans="1:21" x14ac:dyDescent="0.2">
      <c r="A1545" s="64" t="str">
        <f t="shared" si="25"/>
        <v>1w</v>
      </c>
      <c r="B1545" s="203">
        <f>_xll.qlCalendarAdvance(Calendar,B1544,A1545,"f",FALSE)</f>
        <v>49705</v>
      </c>
      <c r="C1545" s="237">
        <f>_xll.qlCalendarAdvance(Calendar,B1545,NDays&amp;"D")</f>
        <v>49709</v>
      </c>
      <c r="D1545" s="202">
        <v>2.5897249096168383E-2</v>
      </c>
      <c r="E1545" s="202">
        <v>2.5859463777591074E-2</v>
      </c>
      <c r="U1545" s="204"/>
    </row>
    <row r="1546" spans="1:21" x14ac:dyDescent="0.2">
      <c r="A1546" s="64" t="str">
        <f t="shared" si="25"/>
        <v>1w</v>
      </c>
      <c r="B1546" s="203">
        <f>_xll.qlCalendarAdvance(Calendar,B1545,A1546,"f",FALSE)</f>
        <v>49712</v>
      </c>
      <c r="C1546" s="237">
        <f>_xll.qlCalendarAdvance(Calendar,B1546,NDays&amp;"D")</f>
        <v>49716</v>
      </c>
      <c r="D1546" s="202">
        <v>2.5887167026537358E-2</v>
      </c>
      <c r="E1546" s="202">
        <v>2.5849810880389512E-2</v>
      </c>
      <c r="U1546" s="204"/>
    </row>
    <row r="1547" spans="1:21" x14ac:dyDescent="0.2">
      <c r="A1547" s="64" t="str">
        <f t="shared" si="25"/>
        <v>1w</v>
      </c>
      <c r="B1547" s="203">
        <f>_xll.qlCalendarAdvance(Calendar,B1546,A1547,"f",FALSE)</f>
        <v>49719</v>
      </c>
      <c r="C1547" s="237">
        <f>_xll.qlCalendarAdvance(Calendar,B1547,NDays&amp;"D")</f>
        <v>49723</v>
      </c>
      <c r="D1547" s="202">
        <v>2.5877114993370639E-2</v>
      </c>
      <c r="E1547" s="202">
        <v>2.5840103628667066E-2</v>
      </c>
      <c r="U1547" s="204"/>
    </row>
    <row r="1548" spans="1:21" x14ac:dyDescent="0.2">
      <c r="A1548" s="64" t="str">
        <f t="shared" si="25"/>
        <v>1w</v>
      </c>
      <c r="B1548" s="203">
        <f>_xll.qlCalendarAdvance(Calendar,B1547,A1548,"f",FALSE)</f>
        <v>49726</v>
      </c>
      <c r="C1548" s="237">
        <f>_xll.qlCalendarAdvance(Calendar,B1548,NDays&amp;"D")</f>
        <v>49730</v>
      </c>
      <c r="D1548" s="202">
        <v>2.5867101041214351E-2</v>
      </c>
      <c r="E1548" s="202">
        <v>2.5830342022583608E-2</v>
      </c>
      <c r="U1548" s="204"/>
    </row>
    <row r="1549" spans="1:21" x14ac:dyDescent="0.2">
      <c r="A1549" s="64" t="str">
        <f t="shared" si="25"/>
        <v>1w</v>
      </c>
      <c r="B1549" s="203">
        <f>_xll.qlCalendarAdvance(Calendar,B1548,A1549,"f",FALSE)</f>
        <v>49733</v>
      </c>
      <c r="C1549" s="237">
        <f>_xll.qlCalendarAdvance(Calendar,B1549,NDays&amp;"D")</f>
        <v>49737</v>
      </c>
      <c r="D1549" s="202">
        <v>2.5857598678540223E-2</v>
      </c>
      <c r="E1549" s="202">
        <v>2.5820526062059201E-2</v>
      </c>
      <c r="U1549" s="204"/>
    </row>
    <row r="1550" spans="1:21" x14ac:dyDescent="0.2">
      <c r="A1550" s="64" t="str">
        <f t="shared" si="25"/>
        <v>1w</v>
      </c>
      <c r="B1550" s="203">
        <f>_xll.qlCalendarAdvance(Calendar,B1549,A1550,"f",FALSE)</f>
        <v>49740</v>
      </c>
      <c r="C1550" s="237">
        <f>_xll.qlCalendarAdvance(Calendar,B1550,NDays&amp;"D")</f>
        <v>49744</v>
      </c>
      <c r="D1550" s="202">
        <v>2.5847699406202282E-2</v>
      </c>
      <c r="E1550" s="202">
        <v>2.5810655747253719E-2</v>
      </c>
      <c r="U1550" s="204"/>
    </row>
    <row r="1551" spans="1:21" x14ac:dyDescent="0.2">
      <c r="A1551" s="64" t="str">
        <f t="shared" si="25"/>
        <v>1w</v>
      </c>
      <c r="B1551" s="203">
        <f>_xll.qlCalendarAdvance(Calendar,B1550,A1551,"f",FALSE)</f>
        <v>49747</v>
      </c>
      <c r="C1551" s="237">
        <f>_xll.qlCalendarAdvance(Calendar,B1551,NDays&amp;"D")</f>
        <v>49751</v>
      </c>
      <c r="D1551" s="202">
        <v>2.583786335628642E-2</v>
      </c>
      <c r="E1551" s="202">
        <v>2.5800731077927352E-2</v>
      </c>
      <c r="U1551" s="204"/>
    </row>
    <row r="1552" spans="1:21" x14ac:dyDescent="0.2">
      <c r="A1552" s="64" t="str">
        <f t="shared" si="25"/>
        <v>1w</v>
      </c>
      <c r="B1552" s="203">
        <f>_xll.qlCalendarAdvance(Calendar,B1551,A1552,"f",FALSE)</f>
        <v>49754</v>
      </c>
      <c r="C1552" s="237">
        <f>_xll.qlCalendarAdvance(Calendar,B1552,NDays&amp;"D")</f>
        <v>49758</v>
      </c>
      <c r="D1552" s="202">
        <v>2.5828098486378098E-2</v>
      </c>
      <c r="E1552" s="202">
        <v>2.5790752054239974E-2</v>
      </c>
      <c r="U1552" s="204"/>
    </row>
    <row r="1553" spans="1:21" x14ac:dyDescent="0.2">
      <c r="A1553" s="64" t="str">
        <f t="shared" si="25"/>
        <v>1w</v>
      </c>
      <c r="B1553" s="203">
        <f>_xll.qlCalendarAdvance(Calendar,B1552,A1553,"f",FALSE)</f>
        <v>49761</v>
      </c>
      <c r="C1553" s="237">
        <f>_xll.qlCalendarAdvance(Calendar,B1553,NDays&amp;"D")</f>
        <v>49765</v>
      </c>
      <c r="D1553" s="202">
        <v>2.5818147923276035E-2</v>
      </c>
      <c r="E1553" s="202">
        <v>2.5780718676111647E-2</v>
      </c>
      <c r="U1553" s="204"/>
    </row>
    <row r="1554" spans="1:21" x14ac:dyDescent="0.2">
      <c r="A1554" s="64" t="str">
        <f t="shared" si="25"/>
        <v>1w</v>
      </c>
      <c r="B1554" s="203">
        <f>_xll.qlCalendarAdvance(Calendar,B1553,A1554,"f",FALSE)</f>
        <v>49768</v>
      </c>
      <c r="C1554" s="237">
        <f>_xll.qlCalendarAdvance(Calendar,B1554,NDays&amp;"D")</f>
        <v>49772</v>
      </c>
      <c r="D1554" s="202">
        <v>2.5808540326530755E-2</v>
      </c>
      <c r="E1554" s="202">
        <v>2.5770630943702244E-2</v>
      </c>
      <c r="U1554" s="204"/>
    </row>
    <row r="1555" spans="1:21" x14ac:dyDescent="0.2">
      <c r="A1555" s="64" t="str">
        <f t="shared" si="25"/>
        <v>1w</v>
      </c>
      <c r="B1555" s="203">
        <f>_xll.qlCalendarAdvance(Calendar,B1554,A1555,"f",FALSE)</f>
        <v>49775</v>
      </c>
      <c r="C1555" s="237">
        <f>_xll.qlCalendarAdvance(Calendar,B1555,NDays&amp;"D")</f>
        <v>49781</v>
      </c>
      <c r="D1555" s="202">
        <v>2.5796328004934369E-2</v>
      </c>
      <c r="E1555" s="202">
        <v>2.5757581134229213E-2</v>
      </c>
      <c r="U1555" s="204"/>
    </row>
    <row r="1556" spans="1:21" x14ac:dyDescent="0.2">
      <c r="A1556" s="64" t="str">
        <f t="shared" si="25"/>
        <v>1w</v>
      </c>
      <c r="B1556" s="203">
        <f>_xll.qlCalendarAdvance(Calendar,B1555,A1556,"f",FALSE)</f>
        <v>49782</v>
      </c>
      <c r="C1556" s="237">
        <f>_xll.qlCalendarAdvance(Calendar,B1556,NDays&amp;"D")</f>
        <v>49786</v>
      </c>
      <c r="D1556" s="202">
        <v>2.5789617298805877E-2</v>
      </c>
      <c r="E1556" s="202">
        <v>2.5750292415560594E-2</v>
      </c>
      <c r="U1556" s="204"/>
    </row>
    <row r="1557" spans="1:21" x14ac:dyDescent="0.2">
      <c r="A1557" s="64" t="str">
        <f t="shared" si="25"/>
        <v>1w</v>
      </c>
      <c r="B1557" s="203">
        <f>_xll.qlCalendarAdvance(Calendar,B1556,A1557,"f",FALSE)</f>
        <v>49789</v>
      </c>
      <c r="C1557" s="237">
        <f>_xll.qlCalendarAdvance(Calendar,B1557,NDays&amp;"D")</f>
        <v>49793</v>
      </c>
      <c r="D1557" s="202">
        <v>2.5780317867565076E-2</v>
      </c>
      <c r="E1557" s="202">
        <v>2.5740041619988219E-2</v>
      </c>
      <c r="U1557" s="204"/>
    </row>
    <row r="1558" spans="1:21" x14ac:dyDescent="0.2">
      <c r="A1558" s="64" t="str">
        <f t="shared" si="25"/>
        <v>1w</v>
      </c>
      <c r="B1558" s="203">
        <f>_xll.qlCalendarAdvance(Calendar,B1557,A1558,"f",FALSE)</f>
        <v>49797</v>
      </c>
      <c r="C1558" s="237">
        <f>_xll.qlCalendarAdvance(Calendar,B1558,NDays&amp;"D")</f>
        <v>49801</v>
      </c>
      <c r="D1558" s="202">
        <v>2.5770149726858482E-2</v>
      </c>
      <c r="E1558" s="202">
        <v>2.5728259868573744E-2</v>
      </c>
      <c r="U1558" s="204"/>
    </row>
    <row r="1559" spans="1:21" x14ac:dyDescent="0.2">
      <c r="A1559" s="64" t="str">
        <f t="shared" si="25"/>
        <v>1w</v>
      </c>
      <c r="B1559" s="203">
        <f>_xll.qlCalendarAdvance(Calendar,B1558,A1559,"f",FALSE)</f>
        <v>49804</v>
      </c>
      <c r="C1559" s="237">
        <f>_xll.qlCalendarAdvance(Calendar,B1559,NDays&amp;"D")</f>
        <v>49808</v>
      </c>
      <c r="D1559" s="202">
        <v>2.5761124692307052E-2</v>
      </c>
      <c r="E1559" s="202">
        <v>2.5717892599290693E-2</v>
      </c>
      <c r="U1559" s="204"/>
    </row>
    <row r="1560" spans="1:21" x14ac:dyDescent="0.2">
      <c r="A1560" s="64" t="str">
        <f t="shared" si="25"/>
        <v>1w</v>
      </c>
      <c r="B1560" s="203">
        <f>_xll.qlCalendarAdvance(Calendar,B1559,A1560,"f",FALSE)</f>
        <v>49811</v>
      </c>
      <c r="C1560" s="237">
        <f>_xll.qlCalendarAdvance(Calendar,B1560,NDays&amp;"D")</f>
        <v>49815</v>
      </c>
      <c r="D1560" s="202">
        <v>2.5752235629974758E-2</v>
      </c>
      <c r="E1560" s="202">
        <v>2.5707470975726565E-2</v>
      </c>
      <c r="U1560" s="204"/>
    </row>
    <row r="1561" spans="1:21" x14ac:dyDescent="0.2">
      <c r="A1561" s="64" t="str">
        <f t="shared" si="25"/>
        <v>1w</v>
      </c>
      <c r="B1561" s="203">
        <f>_xll.qlCalendarAdvance(Calendar,B1560,A1561,"f",FALSE)</f>
        <v>49818</v>
      </c>
      <c r="C1561" s="237">
        <f>_xll.qlCalendarAdvance(Calendar,B1561,NDays&amp;"D")</f>
        <v>49822</v>
      </c>
      <c r="D1561" s="202">
        <v>2.5743490496217176E-2</v>
      </c>
      <c r="E1561" s="202">
        <v>2.569699499772149E-2</v>
      </c>
      <c r="U1561" s="204"/>
    </row>
    <row r="1562" spans="1:21" x14ac:dyDescent="0.2">
      <c r="A1562" s="64" t="str">
        <f t="shared" si="25"/>
        <v>1w</v>
      </c>
      <c r="B1562" s="203">
        <f>_xll.qlCalendarAdvance(Calendar,B1561,A1562,"f",FALSE)</f>
        <v>49825</v>
      </c>
      <c r="C1562" s="237">
        <f>_xll.qlCalendarAdvance(Calendar,B1562,NDays&amp;"D")</f>
        <v>49829</v>
      </c>
      <c r="D1562" s="202">
        <v>2.5734541543221731E-2</v>
      </c>
      <c r="E1562" s="202">
        <v>2.5686528577351098E-2</v>
      </c>
      <c r="U1562" s="204"/>
    </row>
    <row r="1563" spans="1:21" x14ac:dyDescent="0.2">
      <c r="A1563" s="64" t="str">
        <f t="shared" si="25"/>
        <v>1w</v>
      </c>
      <c r="B1563" s="203">
        <f>_xll.qlCalendarAdvance(Calendar,B1562,A1563,"f",FALSE)</f>
        <v>49832</v>
      </c>
      <c r="C1563" s="237">
        <f>_xll.qlCalendarAdvance(Calendar,B1563,NDays&amp;"D")</f>
        <v>49836</v>
      </c>
      <c r="D1563" s="202">
        <v>2.5726091525722024E-2</v>
      </c>
      <c r="E1563" s="202">
        <v>2.5676209370901759E-2</v>
      </c>
      <c r="U1563" s="204"/>
    </row>
    <row r="1564" spans="1:21" x14ac:dyDescent="0.2">
      <c r="A1564" s="64" t="str">
        <f t="shared" si="25"/>
        <v>1w</v>
      </c>
      <c r="B1564" s="203">
        <f>_xll.qlCalendarAdvance(Calendar,B1563,A1564,"f",FALSE)</f>
        <v>49839</v>
      </c>
      <c r="C1564" s="237">
        <f>_xll.qlCalendarAdvance(Calendar,B1564,NDays&amp;"D")</f>
        <v>49843</v>
      </c>
      <c r="D1564" s="202">
        <v>2.5717795651850891E-2</v>
      </c>
      <c r="E1564" s="202">
        <v>2.5666042294680835E-2</v>
      </c>
      <c r="U1564" s="204"/>
    </row>
    <row r="1565" spans="1:21" x14ac:dyDescent="0.2">
      <c r="A1565" s="64" t="str">
        <f t="shared" si="25"/>
        <v>1w</v>
      </c>
      <c r="B1565" s="203">
        <f>_xll.qlCalendarAdvance(Calendar,B1564,A1565,"f",FALSE)</f>
        <v>49846</v>
      </c>
      <c r="C1565" s="237">
        <f>_xll.qlCalendarAdvance(Calendar,B1565,NDays&amp;"D")</f>
        <v>49850</v>
      </c>
      <c r="D1565" s="202">
        <v>2.5709653919684623E-2</v>
      </c>
      <c r="E1565" s="202">
        <v>2.5656027348688326E-2</v>
      </c>
      <c r="U1565" s="204"/>
    </row>
    <row r="1566" spans="1:21" x14ac:dyDescent="0.2">
      <c r="A1566" s="64" t="str">
        <f t="shared" si="25"/>
        <v>1w</v>
      </c>
      <c r="B1566" s="203">
        <f>_xll.qlCalendarAdvance(Calendar,B1565,A1566,"f",FALSE)</f>
        <v>49853</v>
      </c>
      <c r="C1566" s="237">
        <f>_xll.qlCalendarAdvance(Calendar,B1566,NDays&amp;"D")</f>
        <v>49857</v>
      </c>
      <c r="D1566" s="202">
        <v>2.5702461206134536E-2</v>
      </c>
      <c r="E1566" s="202">
        <v>2.5646164533084104E-2</v>
      </c>
      <c r="U1566" s="204"/>
    </row>
    <row r="1567" spans="1:21" x14ac:dyDescent="0.2">
      <c r="A1567" s="64" t="str">
        <f t="shared" si="25"/>
        <v>1w</v>
      </c>
      <c r="B1567" s="203">
        <f>_xll.qlCalendarAdvance(Calendar,B1566,A1567,"f",FALSE)</f>
        <v>49860</v>
      </c>
      <c r="C1567" s="237">
        <f>_xll.qlCalendarAdvance(Calendar,B1567,NDays&amp;"D")</f>
        <v>49864</v>
      </c>
      <c r="D1567" s="202">
        <v>2.5694240257868307E-2</v>
      </c>
      <c r="E1567" s="202">
        <v>2.563645384762836E-2</v>
      </c>
      <c r="U1567" s="204"/>
    </row>
    <row r="1568" spans="1:21" x14ac:dyDescent="0.2">
      <c r="A1568" s="64" t="str">
        <f t="shared" si="25"/>
        <v>1w</v>
      </c>
      <c r="B1568" s="203">
        <f>_xll.qlCalendarAdvance(Calendar,B1567,A1568,"f",FALSE)</f>
        <v>49867</v>
      </c>
      <c r="C1568" s="237">
        <f>_xll.qlCalendarAdvance(Calendar,B1568,NDays&amp;"D")</f>
        <v>49871</v>
      </c>
      <c r="D1568" s="202">
        <v>2.5686571405410894E-2</v>
      </c>
      <c r="E1568" s="202">
        <v>2.5626895292401031E-2</v>
      </c>
      <c r="U1568" s="204"/>
    </row>
    <row r="1569" spans="1:21" x14ac:dyDescent="0.2">
      <c r="A1569" s="64" t="str">
        <f t="shared" si="25"/>
        <v>1w</v>
      </c>
      <c r="B1569" s="203">
        <f>_xll.qlCalendarAdvance(Calendar,B1568,A1569,"f",FALSE)</f>
        <v>49874</v>
      </c>
      <c r="C1569" s="237">
        <f>_xll.qlCalendarAdvance(Calendar,B1569,NDays&amp;"D")</f>
        <v>49878</v>
      </c>
      <c r="D1569" s="202">
        <v>2.5679056698279551E-2</v>
      </c>
      <c r="E1569" s="202">
        <v>2.561748886732218E-2</v>
      </c>
      <c r="U1569" s="204"/>
    </row>
    <row r="1570" spans="1:21" x14ac:dyDescent="0.2">
      <c r="A1570" s="64" t="str">
        <f t="shared" si="25"/>
        <v>1w</v>
      </c>
      <c r="B1570" s="203">
        <f>_xll.qlCalendarAdvance(Calendar,B1569,A1570,"f",FALSE)</f>
        <v>49881</v>
      </c>
      <c r="C1570" s="237">
        <f>_xll.qlCalendarAdvance(Calendar,B1570,NDays&amp;"D")</f>
        <v>49885</v>
      </c>
      <c r="D1570" s="202">
        <v>2.5671696134721329E-2</v>
      </c>
      <c r="E1570" s="202">
        <v>2.5608234572391808E-2</v>
      </c>
      <c r="U1570" s="204"/>
    </row>
    <row r="1571" spans="1:21" x14ac:dyDescent="0.2">
      <c r="A1571" s="64" t="str">
        <f t="shared" si="25"/>
        <v>1w</v>
      </c>
      <c r="B1571" s="203">
        <f>_xll.qlCalendarAdvance(Calendar,B1570,A1571,"f",FALSE)</f>
        <v>49888</v>
      </c>
      <c r="C1571" s="237">
        <f>_xll.qlCalendarAdvance(Calendar,B1571,NDays&amp;"D")</f>
        <v>49892</v>
      </c>
      <c r="D1571" s="202">
        <v>2.566448971301934E-2</v>
      </c>
      <c r="E1571" s="202">
        <v>2.5599132407769787E-2</v>
      </c>
      <c r="U1571" s="204"/>
    </row>
    <row r="1572" spans="1:21" x14ac:dyDescent="0.2">
      <c r="A1572" s="64" t="str">
        <f t="shared" si="25"/>
        <v>1w</v>
      </c>
      <c r="B1572" s="203">
        <f>_xll.qlCalendarAdvance(Calendar,B1571,A1572,"f",FALSE)</f>
        <v>49895</v>
      </c>
      <c r="C1572" s="237">
        <f>_xll.qlCalendarAdvance(Calendar,B1572,NDays&amp;"D")</f>
        <v>49899</v>
      </c>
      <c r="D1572" s="202">
        <v>2.5657437431491893E-2</v>
      </c>
      <c r="E1572" s="202">
        <v>2.5590182373296244E-2</v>
      </c>
      <c r="U1572" s="204"/>
    </row>
    <row r="1573" spans="1:21" x14ac:dyDescent="0.2">
      <c r="A1573" s="64" t="str">
        <f t="shared" si="25"/>
        <v>1w</v>
      </c>
      <c r="B1573" s="203">
        <f>_xll.qlCalendarAdvance(Calendar,B1572,A1573,"f",FALSE)</f>
        <v>49902</v>
      </c>
      <c r="C1573" s="237">
        <f>_xll.qlCalendarAdvance(Calendar,B1573,NDays&amp;"D")</f>
        <v>49906</v>
      </c>
      <c r="D1573" s="202">
        <v>2.5650539288495078E-2</v>
      </c>
      <c r="E1573" s="202">
        <v>2.5581384468811308E-2</v>
      </c>
      <c r="U1573" s="204"/>
    </row>
    <row r="1574" spans="1:21" x14ac:dyDescent="0.2">
      <c r="A1574" s="64" t="str">
        <f t="shared" si="25"/>
        <v>1w</v>
      </c>
      <c r="B1574" s="203">
        <f>_xll.qlCalendarAdvance(Calendar,B1573,A1574,"f",FALSE)</f>
        <v>49909</v>
      </c>
      <c r="C1574" s="237">
        <f>_xll.qlCalendarAdvance(Calendar,B1574,NDays&amp;"D")</f>
        <v>49913</v>
      </c>
      <c r="D1574" s="202">
        <v>2.5643795282419318E-2</v>
      </c>
      <c r="E1574" s="202">
        <v>2.5572738694634722E-2</v>
      </c>
      <c r="U1574" s="204"/>
    </row>
    <row r="1575" spans="1:21" x14ac:dyDescent="0.2">
      <c r="A1575" s="64" t="str">
        <f t="shared" si="25"/>
        <v>1w</v>
      </c>
      <c r="B1575" s="203">
        <f>_xll.qlCalendarAdvance(Calendar,B1574,A1575,"f",FALSE)</f>
        <v>49916</v>
      </c>
      <c r="C1575" s="237">
        <f>_xll.qlCalendarAdvance(Calendar,B1575,NDays&amp;"D")</f>
        <v>49920</v>
      </c>
      <c r="D1575" s="202">
        <v>2.5635734254656189E-2</v>
      </c>
      <c r="E1575" s="202">
        <v>2.5564245050606615E-2</v>
      </c>
      <c r="U1575" s="204"/>
    </row>
    <row r="1576" spans="1:21" x14ac:dyDescent="0.2">
      <c r="A1576" s="64" t="str">
        <f t="shared" si="25"/>
        <v>1w</v>
      </c>
      <c r="B1576" s="203">
        <f>_xll.qlCalendarAdvance(Calendar,B1575,A1576,"f",FALSE)</f>
        <v>49923</v>
      </c>
      <c r="C1576" s="237">
        <f>_xll.qlCalendarAdvance(Calendar,B1576,NDays&amp;"D")</f>
        <v>49927</v>
      </c>
      <c r="D1576" s="202">
        <v>2.5629266862442816E-2</v>
      </c>
      <c r="E1576" s="202">
        <v>2.5555903536647051E-2</v>
      </c>
      <c r="U1576" s="204"/>
    </row>
    <row r="1577" spans="1:21" x14ac:dyDescent="0.2">
      <c r="A1577" s="64" t="str">
        <f t="shared" si="25"/>
        <v>1w</v>
      </c>
      <c r="B1577" s="203">
        <f>_xll.qlCalendarAdvance(Calendar,B1576,A1577,"f",FALSE)</f>
        <v>49930</v>
      </c>
      <c r="C1577" s="237">
        <f>_xll.qlCalendarAdvance(Calendar,B1577,NDays&amp;"D")</f>
        <v>49934</v>
      </c>
      <c r="D1577" s="202">
        <v>2.562295356980453E-2</v>
      </c>
      <c r="E1577" s="202">
        <v>2.5547714152756029E-2</v>
      </c>
      <c r="U1577" s="204"/>
    </row>
    <row r="1578" spans="1:21" x14ac:dyDescent="0.2">
      <c r="A1578" s="64" t="str">
        <f t="shared" si="25"/>
        <v>1w</v>
      </c>
      <c r="B1578" s="203">
        <f>_xll.qlCalendarAdvance(Calendar,B1577,A1578,"f",FALSE)</f>
        <v>49937</v>
      </c>
      <c r="C1578" s="237">
        <f>_xll.qlCalendarAdvance(Calendar,B1578,NDays&amp;"D")</f>
        <v>49941</v>
      </c>
      <c r="D1578" s="202">
        <v>2.5616794375294096E-2</v>
      </c>
      <c r="E1578" s="202">
        <v>2.5539676899013486E-2</v>
      </c>
      <c r="U1578" s="204"/>
    </row>
    <row r="1579" spans="1:21" x14ac:dyDescent="0.2">
      <c r="A1579" s="64" t="str">
        <f t="shared" si="25"/>
        <v>1w</v>
      </c>
      <c r="B1579" s="203">
        <f>_xll.qlCalendarAdvance(Calendar,B1578,A1579,"f",FALSE)</f>
        <v>49944</v>
      </c>
      <c r="C1579" s="237">
        <f>_xll.qlCalendarAdvance(Calendar,B1579,NDays&amp;"D")</f>
        <v>49948</v>
      </c>
      <c r="D1579" s="202">
        <v>2.5611320897535834E-2</v>
      </c>
      <c r="E1579" s="202">
        <v>2.5531791775339485E-2</v>
      </c>
      <c r="U1579" s="204"/>
    </row>
    <row r="1580" spans="1:21" x14ac:dyDescent="0.2">
      <c r="A1580" s="64" t="str">
        <f t="shared" si="25"/>
        <v>1w</v>
      </c>
      <c r="B1580" s="203">
        <f>_xll.qlCalendarAdvance(Calendar,B1579,A1580,"f",FALSE)</f>
        <v>49951</v>
      </c>
      <c r="C1580" s="237">
        <f>_xll.qlCalendarAdvance(Calendar,B1580,NDays&amp;"D")</f>
        <v>49955</v>
      </c>
      <c r="D1580" s="202">
        <v>2.560548048892064E-2</v>
      </c>
      <c r="E1580" s="202">
        <v>2.5524058781734027E-2</v>
      </c>
      <c r="U1580" s="204"/>
    </row>
    <row r="1581" spans="1:21" x14ac:dyDescent="0.2">
      <c r="A1581" s="64" t="str">
        <f t="shared" si="25"/>
        <v>1w</v>
      </c>
      <c r="B1581" s="203">
        <f>_xll.qlCalendarAdvance(Calendar,B1580,A1581,"f",FALSE)</f>
        <v>49958</v>
      </c>
      <c r="C1581" s="237">
        <f>_xll.qlCalendarAdvance(Calendar,B1581,NDays&amp;"D")</f>
        <v>49962</v>
      </c>
      <c r="D1581" s="202">
        <v>2.5599794185189904E-2</v>
      </c>
      <c r="E1581" s="202">
        <v>2.5516477918117175E-2</v>
      </c>
      <c r="U1581" s="204"/>
    </row>
    <row r="1582" spans="1:21" x14ac:dyDescent="0.2">
      <c r="A1582" s="64" t="str">
        <f t="shared" si="25"/>
        <v>1w</v>
      </c>
      <c r="B1582" s="203">
        <f>_xll.qlCalendarAdvance(Calendar,B1581,A1582,"f",FALSE)</f>
        <v>49965</v>
      </c>
      <c r="C1582" s="237">
        <f>_xll.qlCalendarAdvance(Calendar,B1582,NDays&amp;"D")</f>
        <v>49969</v>
      </c>
      <c r="D1582" s="202">
        <v>2.5594261985030831E-2</v>
      </c>
      <c r="E1582" s="202">
        <v>2.5509049184648802E-2</v>
      </c>
      <c r="U1582" s="204"/>
    </row>
    <row r="1583" spans="1:21" x14ac:dyDescent="0.2">
      <c r="A1583" s="64" t="str">
        <f t="shared" si="25"/>
        <v>1w</v>
      </c>
      <c r="B1583" s="203">
        <f>_xll.qlCalendarAdvance(Calendar,B1582,A1583,"f",FALSE)</f>
        <v>49972</v>
      </c>
      <c r="C1583" s="237">
        <f>_xll.qlCalendarAdvance(Calendar,B1583,NDays&amp;"D")</f>
        <v>49976</v>
      </c>
      <c r="D1583" s="202">
        <v>2.5588883887166635E-2</v>
      </c>
      <c r="E1583" s="202">
        <v>2.5501772581328908E-2</v>
      </c>
      <c r="U1583" s="204"/>
    </row>
    <row r="1584" spans="1:21" x14ac:dyDescent="0.2">
      <c r="A1584" s="64" t="str">
        <f t="shared" si="25"/>
        <v>1w</v>
      </c>
      <c r="B1584" s="203">
        <f>_xll.qlCalendarAdvance(Calendar,B1583,A1584,"f",FALSE)</f>
        <v>49979</v>
      </c>
      <c r="C1584" s="237">
        <f>_xll.qlCalendarAdvance(Calendar,B1584,NDays&amp;"D")</f>
        <v>49983</v>
      </c>
      <c r="D1584" s="202">
        <v>2.5583075192227606E-2</v>
      </c>
      <c r="E1584" s="202">
        <v>2.5494648107917683E-2</v>
      </c>
      <c r="U1584" s="204"/>
    </row>
    <row r="1585" spans="1:21" x14ac:dyDescent="0.2">
      <c r="A1585" s="64" t="str">
        <f t="shared" si="25"/>
        <v>1w</v>
      </c>
      <c r="B1585" s="203">
        <f>_xll.qlCalendarAdvance(Calendar,B1584,A1585,"f",FALSE)</f>
        <v>49986</v>
      </c>
      <c r="C1585" s="237">
        <f>_xll.qlCalendarAdvance(Calendar,B1585,NDays&amp;"D")</f>
        <v>49990</v>
      </c>
      <c r="D1585" s="202">
        <v>2.5577994647013904E-2</v>
      </c>
      <c r="E1585" s="202">
        <v>2.5487675764495066E-2</v>
      </c>
      <c r="U1585" s="204"/>
    </row>
    <row r="1586" spans="1:21" x14ac:dyDescent="0.2">
      <c r="A1586" s="64" t="str">
        <f t="shared" si="25"/>
        <v>1w</v>
      </c>
      <c r="B1586" s="203">
        <f>_xll.qlCalendarAdvance(Calendar,B1585,A1586,"f",FALSE)</f>
        <v>49993</v>
      </c>
      <c r="C1586" s="237">
        <f>_xll.qlCalendarAdvance(Calendar,B1586,NDays&amp;"D")</f>
        <v>49997</v>
      </c>
      <c r="D1586" s="202">
        <v>2.5573068189611883E-2</v>
      </c>
      <c r="E1586" s="202">
        <v>2.5480855551300863E-2</v>
      </c>
      <c r="U1586" s="204"/>
    </row>
    <row r="1587" spans="1:21" x14ac:dyDescent="0.2">
      <c r="A1587" s="64" t="str">
        <f t="shared" si="25"/>
        <v>1w</v>
      </c>
      <c r="B1587" s="203">
        <f>_xll.qlCalendarAdvance(Calendar,B1586,A1587,"f",FALSE)</f>
        <v>50000</v>
      </c>
      <c r="C1587" s="237">
        <f>_xll.qlCalendarAdvance(Calendar,B1587,NDays&amp;"D")</f>
        <v>50004</v>
      </c>
      <c r="D1587" s="202">
        <v>2.5568295818890512E-2</v>
      </c>
      <c r="E1587" s="202">
        <v>2.5474187467935394E-2</v>
      </c>
      <c r="U1587" s="204"/>
    </row>
    <row r="1588" spans="1:21" x14ac:dyDescent="0.2">
      <c r="A1588" s="64" t="str">
        <f t="shared" si="25"/>
        <v>1w</v>
      </c>
      <c r="B1588" s="203">
        <f>_xll.qlCalendarAdvance(Calendar,B1587,A1588,"f",FALSE)</f>
        <v>50007</v>
      </c>
      <c r="C1588" s="237">
        <f>_xll.qlCalendarAdvance(Calendar,B1588,NDays&amp;"D")</f>
        <v>50011</v>
      </c>
      <c r="D1588" s="202">
        <v>2.5564304313036745E-2</v>
      </c>
      <c r="E1588" s="202">
        <v>2.5467671514638468E-2</v>
      </c>
      <c r="U1588" s="204"/>
    </row>
    <row r="1589" spans="1:21" x14ac:dyDescent="0.2">
      <c r="A1589" s="64" t="str">
        <f t="shared" si="25"/>
        <v>1w</v>
      </c>
      <c r="B1589" s="203">
        <f>_xll.qlCalendarAdvance(Calendar,B1588,A1589,"f",FALSE)</f>
        <v>50014</v>
      </c>
      <c r="C1589" s="237">
        <f>_xll.qlCalendarAdvance(Calendar,B1589,NDays&amp;"D")</f>
        <v>50018</v>
      </c>
      <c r="D1589" s="202">
        <v>2.5559839380285748E-2</v>
      </c>
      <c r="E1589" s="202">
        <v>2.5461307691410084E-2</v>
      </c>
      <c r="U1589" s="204"/>
    </row>
    <row r="1590" spans="1:21" x14ac:dyDescent="0.2">
      <c r="A1590" s="64" t="str">
        <f t="shared" si="25"/>
        <v>1w</v>
      </c>
      <c r="B1590" s="203">
        <f>_xll.qlCalendarAdvance(Calendar,B1589,A1590,"f",FALSE)</f>
        <v>50021</v>
      </c>
      <c r="C1590" s="237">
        <f>_xll.qlCalendarAdvance(Calendar,B1590,NDays&amp;"D")</f>
        <v>50025</v>
      </c>
      <c r="D1590" s="202">
        <v>2.5555499382789858E-2</v>
      </c>
      <c r="E1590" s="202">
        <v>2.5455095998090371E-2</v>
      </c>
      <c r="U1590" s="204"/>
    </row>
    <row r="1591" spans="1:21" x14ac:dyDescent="0.2">
      <c r="A1591" s="64" t="str">
        <f t="shared" si="25"/>
        <v>1w</v>
      </c>
      <c r="B1591" s="203">
        <f>_xll.qlCalendarAdvance(Calendar,B1590,A1591,"f",FALSE)</f>
        <v>50028</v>
      </c>
      <c r="C1591" s="237">
        <f>_xll.qlCalendarAdvance(Calendar,B1591,NDays&amp;"D")</f>
        <v>50032</v>
      </c>
      <c r="D1591" s="202">
        <v>2.5551265763954573E-2</v>
      </c>
      <c r="E1591" s="202">
        <v>2.5449036434839201E-2</v>
      </c>
      <c r="U1591" s="204"/>
    </row>
    <row r="1592" spans="1:21" x14ac:dyDescent="0.2">
      <c r="A1592" s="64" t="str">
        <f t="shared" si="25"/>
        <v>1w</v>
      </c>
      <c r="B1592" s="203">
        <f>_xll.qlCalendarAdvance(Calendar,B1591,A1592,"f",FALSE)</f>
        <v>50038</v>
      </c>
      <c r="C1592" s="237">
        <f>_xll.qlCalendarAdvance(Calendar,B1592,NDays&amp;"D")</f>
        <v>50040</v>
      </c>
      <c r="D1592" s="202">
        <v>2.5545889038221831E-2</v>
      </c>
      <c r="E1592" s="202">
        <v>2.5442782316416057E-2</v>
      </c>
      <c r="U1592" s="204"/>
    </row>
    <row r="1593" spans="1:21" x14ac:dyDescent="0.2">
      <c r="A1593" s="64" t="str">
        <f t="shared" si="25"/>
        <v>1w</v>
      </c>
      <c r="B1593" s="203">
        <f>_xll.qlCalendarAdvance(Calendar,B1592,A1593,"f",FALSE)</f>
        <v>50045</v>
      </c>
      <c r="C1593" s="237">
        <f>_xll.qlCalendarAdvance(Calendar,B1593,NDays&amp;"D")</f>
        <v>50047</v>
      </c>
      <c r="D1593" s="202">
        <v>2.554182247834625E-2</v>
      </c>
      <c r="E1593" s="202">
        <v>2.5436563930529843E-2</v>
      </c>
      <c r="U1593" s="204"/>
    </row>
    <row r="1594" spans="1:21" x14ac:dyDescent="0.2">
      <c r="A1594" s="64" t="str">
        <f t="shared" si="25"/>
        <v>1w</v>
      </c>
      <c r="B1594" s="203">
        <f>_xll.qlCalendarAdvance(Calendar,B1593,A1594,"f",FALSE)</f>
        <v>50052</v>
      </c>
      <c r="C1594" s="237">
        <f>_xll.qlCalendarAdvance(Calendar,B1594,NDays&amp;"D")</f>
        <v>50054</v>
      </c>
      <c r="D1594" s="202">
        <v>2.5537806053572049E-2</v>
      </c>
      <c r="E1594" s="202">
        <v>2.5430982490020071E-2</v>
      </c>
      <c r="U1594" s="204"/>
    </row>
    <row r="1595" spans="1:21" x14ac:dyDescent="0.2">
      <c r="A1595" s="64" t="str">
        <f t="shared" si="25"/>
        <v>1w</v>
      </c>
      <c r="B1595" s="203">
        <f>_xll.qlCalendarAdvance(Calendar,B1594,A1595,"f",FALSE)</f>
        <v>50059</v>
      </c>
      <c r="C1595" s="237">
        <f>_xll.qlCalendarAdvance(Calendar,B1595,NDays&amp;"D")</f>
        <v>50061</v>
      </c>
      <c r="D1595" s="202">
        <v>2.5533821106766365E-2</v>
      </c>
      <c r="E1595" s="202">
        <v>2.5425553179339033E-2</v>
      </c>
      <c r="U1595" s="204"/>
    </row>
    <row r="1596" spans="1:21" x14ac:dyDescent="0.2">
      <c r="A1596" s="64" t="str">
        <f t="shared" si="25"/>
        <v>1w</v>
      </c>
      <c r="B1596" s="203">
        <f>_xll.qlCalendarAdvance(Calendar,B1595,A1596,"f",FALSE)</f>
        <v>50066</v>
      </c>
      <c r="C1596" s="237">
        <f>_xll.qlCalendarAdvance(Calendar,B1596,NDays&amp;"D")</f>
        <v>50068</v>
      </c>
      <c r="D1596" s="202">
        <v>2.5529848980948268E-2</v>
      </c>
      <c r="E1596" s="202">
        <v>2.5420275998726538E-2</v>
      </c>
      <c r="U1596" s="204"/>
    </row>
    <row r="1597" spans="1:21" x14ac:dyDescent="0.2">
      <c r="A1597" s="64" t="str">
        <f t="shared" si="25"/>
        <v>1w</v>
      </c>
      <c r="B1597" s="203">
        <f>_xll.qlCalendarAdvance(Calendar,B1596,A1597,"f",FALSE)</f>
        <v>50073</v>
      </c>
      <c r="C1597" s="237">
        <f>_xll.qlCalendarAdvance(Calendar,B1597,NDays&amp;"D")</f>
        <v>50075</v>
      </c>
      <c r="D1597" s="202">
        <v>2.552587101928212E-2</v>
      </c>
      <c r="E1597" s="202">
        <v>2.5415150948022713E-2</v>
      </c>
      <c r="U1597" s="204"/>
    </row>
    <row r="1598" spans="1:21" x14ac:dyDescent="0.2">
      <c r="A1598" s="64" t="str">
        <f t="shared" si="25"/>
        <v>1w</v>
      </c>
      <c r="B1598" s="203">
        <f>_xll.qlCalendarAdvance(Calendar,B1597,A1598,"f",FALSE)</f>
        <v>50080</v>
      </c>
      <c r="C1598" s="237">
        <f>_xll.qlCalendarAdvance(Calendar,B1598,NDays&amp;"D")</f>
        <v>50082</v>
      </c>
      <c r="D1598" s="202">
        <v>2.5521868565080683E-2</v>
      </c>
      <c r="E1598" s="202">
        <v>2.5410178027147623E-2</v>
      </c>
      <c r="U1598" s="204"/>
    </row>
    <row r="1599" spans="1:21" x14ac:dyDescent="0.2">
      <c r="A1599" s="64" t="str">
        <f t="shared" si="25"/>
        <v>1w</v>
      </c>
      <c r="B1599" s="203">
        <f>_xll.qlCalendarAdvance(Calendar,B1598,A1599,"f",FALSE)</f>
        <v>50087</v>
      </c>
      <c r="C1599" s="237">
        <f>_xll.qlCalendarAdvance(Calendar,B1599,NDays&amp;"D")</f>
        <v>50089</v>
      </c>
      <c r="D1599" s="202">
        <v>2.5517822961805978E-2</v>
      </c>
      <c r="E1599" s="202">
        <v>2.5405357236341075E-2</v>
      </c>
      <c r="U1599" s="204"/>
    </row>
    <row r="1600" spans="1:21" x14ac:dyDescent="0.2">
      <c r="A1600" s="64" t="str">
        <f t="shared" si="25"/>
        <v>1w</v>
      </c>
      <c r="B1600" s="203">
        <f>_xll.qlCalendarAdvance(Calendar,B1599,A1600,"f",FALSE)</f>
        <v>50094</v>
      </c>
      <c r="C1600" s="237">
        <f>_xll.qlCalendarAdvance(Calendar,B1600,NDays&amp;"D")</f>
        <v>50096</v>
      </c>
      <c r="D1600" s="202">
        <v>2.5513715553071963E-2</v>
      </c>
      <c r="E1600" s="202">
        <v>2.5400688575363262E-2</v>
      </c>
      <c r="U1600" s="204"/>
    </row>
    <row r="1601" spans="1:21" x14ac:dyDescent="0.2">
      <c r="A1601" s="64" t="str">
        <f t="shared" si="25"/>
        <v>1w</v>
      </c>
      <c r="B1601" s="203">
        <f>_xll.qlCalendarAdvance(Calendar,B1600,A1601,"f",FALSE)</f>
        <v>50101</v>
      </c>
      <c r="C1601" s="237">
        <f>_xll.qlCalendarAdvance(Calendar,B1601,NDays&amp;"D")</f>
        <v>50103</v>
      </c>
      <c r="D1601" s="202">
        <v>2.5511214629463569E-2</v>
      </c>
      <c r="E1601" s="202">
        <v>2.5396172044214183E-2</v>
      </c>
      <c r="U1601" s="204"/>
    </row>
    <row r="1602" spans="1:21" x14ac:dyDescent="0.2">
      <c r="A1602" s="64" t="str">
        <f t="shared" si="25"/>
        <v>1w</v>
      </c>
      <c r="B1602" s="203">
        <f>_xll.qlCalendarAdvance(Calendar,B1601,A1602,"f",FALSE)</f>
        <v>50108</v>
      </c>
      <c r="C1602" s="237">
        <f>_xll.qlCalendarAdvance(Calendar,B1602,NDays&amp;"D")</f>
        <v>50110</v>
      </c>
      <c r="D1602" s="202">
        <v>2.5506877508564625E-2</v>
      </c>
      <c r="E1602" s="202">
        <v>2.5391807643133646E-2</v>
      </c>
      <c r="U1602" s="204"/>
    </row>
    <row r="1603" spans="1:21" x14ac:dyDescent="0.2">
      <c r="A1603" s="64" t="str">
        <f t="shared" si="25"/>
        <v>1w</v>
      </c>
      <c r="B1603" s="203">
        <f>_xll.qlCalendarAdvance(Calendar,B1602,A1603,"f",FALSE)</f>
        <v>50115</v>
      </c>
      <c r="C1603" s="237">
        <f>_xll.qlCalendarAdvance(Calendar,B1603,NDays&amp;"D")</f>
        <v>50117</v>
      </c>
      <c r="D1603" s="202">
        <v>2.550241915593798E-2</v>
      </c>
      <c r="E1603" s="202">
        <v>2.538759537196178E-2</v>
      </c>
      <c r="U1603" s="204"/>
    </row>
    <row r="1604" spans="1:21" x14ac:dyDescent="0.2">
      <c r="A1604" s="64" t="str">
        <f t="shared" si="25"/>
        <v>1w</v>
      </c>
      <c r="B1604" s="203">
        <f>_xll.qlCalendarAdvance(Calendar,B1603,A1604,"f",FALSE)</f>
        <v>50122</v>
      </c>
      <c r="C1604" s="237">
        <f>_xll.qlCalendarAdvance(Calendar,B1604,NDays&amp;"D")</f>
        <v>50124</v>
      </c>
      <c r="D1604" s="202">
        <v>2.5497821216234222E-2</v>
      </c>
      <c r="E1604" s="202">
        <v>2.5383535230618648E-2</v>
      </c>
      <c r="U1604" s="204"/>
    </row>
    <row r="1605" spans="1:21" x14ac:dyDescent="0.2">
      <c r="A1605" s="64" t="str">
        <f t="shared" si="25"/>
        <v>1w</v>
      </c>
      <c r="B1605" s="203">
        <f>_xll.qlCalendarAdvance(Calendar,B1604,A1605,"f",FALSE)</f>
        <v>50129</v>
      </c>
      <c r="C1605" s="237">
        <f>_xll.qlCalendarAdvance(Calendar,B1605,NDays&amp;"D")</f>
        <v>50131</v>
      </c>
      <c r="D1605" s="202">
        <v>2.5492578522177744E-2</v>
      </c>
      <c r="E1605" s="202">
        <v>2.5379627219184187E-2</v>
      </c>
      <c r="U1605" s="204"/>
    </row>
    <row r="1606" spans="1:21" x14ac:dyDescent="0.2">
      <c r="A1606" s="64" t="str">
        <f t="shared" si="25"/>
        <v>1w</v>
      </c>
      <c r="B1606" s="203">
        <f>_xll.qlCalendarAdvance(Calendar,B1605,A1606,"f",FALSE)</f>
        <v>50137</v>
      </c>
      <c r="C1606" s="237">
        <f>_xll.qlCalendarAdvance(Calendar,B1606,NDays&amp;"D")</f>
        <v>50139</v>
      </c>
      <c r="D1606" s="202">
        <v>2.5486950070072043E-2</v>
      </c>
      <c r="E1606" s="202">
        <v>2.5375347201803677E-2</v>
      </c>
      <c r="U1606" s="204"/>
    </row>
    <row r="1607" spans="1:21" x14ac:dyDescent="0.2">
      <c r="A1607" s="64" t="str">
        <f t="shared" ref="A1607:A1670" si="26">A1606</f>
        <v>1w</v>
      </c>
      <c r="B1607" s="203">
        <f>_xll.qlCalendarAdvance(Calendar,B1606,A1607,"f",FALSE)</f>
        <v>50144</v>
      </c>
      <c r="C1607" s="237">
        <f>_xll.qlCalendarAdvance(Calendar,B1607,NDays&amp;"D")</f>
        <v>50146</v>
      </c>
      <c r="D1607" s="202">
        <v>2.5481815533259709E-2</v>
      </c>
      <c r="E1607" s="202">
        <v>2.5371765182962136E-2</v>
      </c>
      <c r="U1607" s="204"/>
    </row>
    <row r="1608" spans="1:21" x14ac:dyDescent="0.2">
      <c r="A1608" s="64" t="str">
        <f t="shared" si="26"/>
        <v>1w</v>
      </c>
      <c r="B1608" s="203">
        <f>_xll.qlCalendarAdvance(Calendar,B1607,A1608,"f",FALSE)</f>
        <v>50151</v>
      </c>
      <c r="C1608" s="237">
        <f>_xll.qlCalendarAdvance(Calendar,B1608,NDays&amp;"D")</f>
        <v>50153</v>
      </c>
      <c r="D1608" s="202">
        <v>2.5476465999096302E-2</v>
      </c>
      <c r="E1608" s="202">
        <v>2.5368335294029265E-2</v>
      </c>
      <c r="U1608" s="204"/>
    </row>
    <row r="1609" spans="1:21" x14ac:dyDescent="0.2">
      <c r="A1609" s="64" t="str">
        <f t="shared" si="26"/>
        <v>1w</v>
      </c>
      <c r="B1609" s="203">
        <f>_xll.qlCalendarAdvance(Calendar,B1608,A1609,"f",FALSE)</f>
        <v>50158</v>
      </c>
      <c r="C1609" s="237">
        <f>_xll.qlCalendarAdvance(Calendar,B1609,NDays&amp;"D")</f>
        <v>50160</v>
      </c>
      <c r="D1609" s="202">
        <v>2.5470883014379584E-2</v>
      </c>
      <c r="E1609" s="202">
        <v>2.5367057648479907E-2</v>
      </c>
      <c r="U1609" s="204"/>
    </row>
    <row r="1610" spans="1:21" x14ac:dyDescent="0.2">
      <c r="A1610" s="64" t="str">
        <f t="shared" si="26"/>
        <v>1w</v>
      </c>
      <c r="B1610" s="203">
        <f>_xll.qlCalendarAdvance(Calendar,B1609,A1610,"f",FALSE)</f>
        <v>50165</v>
      </c>
      <c r="C1610" s="237">
        <f>_xll.qlCalendarAdvance(Calendar,B1610,NDays&amp;"D")</f>
        <v>50167</v>
      </c>
      <c r="D1610" s="202">
        <v>2.54661610551816E-2</v>
      </c>
      <c r="E1610" s="202">
        <v>2.5361931905729662E-2</v>
      </c>
      <c r="U1610" s="204"/>
    </row>
    <row r="1611" spans="1:21" x14ac:dyDescent="0.2">
      <c r="A1611" s="64" t="str">
        <f t="shared" si="26"/>
        <v>1w</v>
      </c>
      <c r="B1611" s="203">
        <f>_xll.qlCalendarAdvance(Calendar,B1610,A1611,"f",FALSE)</f>
        <v>50172</v>
      </c>
      <c r="C1611" s="237">
        <f>_xll.qlCalendarAdvance(Calendar,B1611,NDays&amp;"D")</f>
        <v>50174</v>
      </c>
      <c r="D1611" s="202">
        <v>2.5459985200081591E-2</v>
      </c>
      <c r="E1611" s="202">
        <v>2.5358958406442866E-2</v>
      </c>
      <c r="U1611" s="204"/>
    </row>
    <row r="1612" spans="1:21" x14ac:dyDescent="0.2">
      <c r="A1612" s="64" t="str">
        <f t="shared" si="26"/>
        <v>1w</v>
      </c>
      <c r="B1612" s="203">
        <f>_xll.qlCalendarAdvance(Calendar,B1611,A1612,"f",FALSE)</f>
        <v>50179</v>
      </c>
      <c r="C1612" s="237">
        <f>_xll.qlCalendarAdvance(Calendar,B1612,NDays&amp;"D")</f>
        <v>50181</v>
      </c>
      <c r="D1612" s="202">
        <v>2.5453519838771609E-2</v>
      </c>
      <c r="E1612" s="202">
        <v>2.5356137036904869E-2</v>
      </c>
      <c r="U1612" s="204"/>
    </row>
    <row r="1613" spans="1:21" x14ac:dyDescent="0.2">
      <c r="A1613" s="64" t="str">
        <f t="shared" si="26"/>
        <v>1w</v>
      </c>
      <c r="B1613" s="203">
        <f>_xll.qlCalendarAdvance(Calendar,B1612,A1613,"f",FALSE)</f>
        <v>50186</v>
      </c>
      <c r="C1613" s="237">
        <f>_xll.qlCalendarAdvance(Calendar,B1613,NDays&amp;"D")</f>
        <v>50188</v>
      </c>
      <c r="D1613" s="202">
        <v>2.5446746813260413E-2</v>
      </c>
      <c r="E1613" s="202">
        <v>2.5353467797195606E-2</v>
      </c>
      <c r="U1613" s="204"/>
    </row>
    <row r="1614" spans="1:21" x14ac:dyDescent="0.2">
      <c r="A1614" s="64" t="str">
        <f t="shared" si="26"/>
        <v>1w</v>
      </c>
      <c r="B1614" s="203">
        <f>_xll.qlCalendarAdvance(Calendar,B1613,A1614,"f",FALSE)</f>
        <v>50193</v>
      </c>
      <c r="C1614" s="237">
        <f>_xll.qlCalendarAdvance(Calendar,B1614,NDays&amp;"D")</f>
        <v>50195</v>
      </c>
      <c r="D1614" s="202">
        <v>2.5438822428575477E-2</v>
      </c>
      <c r="E1614" s="202">
        <v>2.5350744925267676E-2</v>
      </c>
      <c r="U1614" s="204"/>
    </row>
    <row r="1615" spans="1:21" x14ac:dyDescent="0.2">
      <c r="A1615" s="64" t="str">
        <f t="shared" si="26"/>
        <v>1w</v>
      </c>
      <c r="B1615" s="203">
        <f>_xll.qlCalendarAdvance(Calendar,B1614,A1615,"f",FALSE)</f>
        <v>50200</v>
      </c>
      <c r="C1615" s="237">
        <f>_xll.qlCalendarAdvance(Calendar,B1615,NDays&amp;"D")</f>
        <v>50202</v>
      </c>
      <c r="D1615" s="202">
        <v>2.5431469004983907E-2</v>
      </c>
      <c r="E1615" s="202">
        <v>2.5347699472018093E-2</v>
      </c>
      <c r="U1615" s="204"/>
    </row>
    <row r="1616" spans="1:21" x14ac:dyDescent="0.2">
      <c r="A1616" s="64" t="str">
        <f t="shared" si="26"/>
        <v>1w</v>
      </c>
      <c r="B1616" s="203">
        <f>_xll.qlCalendarAdvance(Calendar,B1615,A1616,"f",FALSE)</f>
        <v>50207</v>
      </c>
      <c r="C1616" s="237">
        <f>_xll.qlCalendarAdvance(Calendar,B1616,NDays&amp;"D")</f>
        <v>50209</v>
      </c>
      <c r="D1616" s="202">
        <v>2.5423787240271927E-2</v>
      </c>
      <c r="E1616" s="202">
        <v>2.5344329817462707E-2</v>
      </c>
      <c r="U1616" s="204"/>
    </row>
    <row r="1617" spans="1:21" x14ac:dyDescent="0.2">
      <c r="A1617" s="64" t="str">
        <f t="shared" si="26"/>
        <v>1w</v>
      </c>
      <c r="B1617" s="203">
        <f>_xll.qlCalendarAdvance(Calendar,B1616,A1617,"f",FALSE)</f>
        <v>50214</v>
      </c>
      <c r="C1617" s="237">
        <f>_xll.qlCalendarAdvance(Calendar,B1617,NDays&amp;"D")</f>
        <v>50216</v>
      </c>
      <c r="D1617" s="202">
        <v>2.5416388613919792E-2</v>
      </c>
      <c r="E1617" s="202">
        <v>2.5340635961521585E-2</v>
      </c>
      <c r="U1617" s="204"/>
    </row>
    <row r="1618" spans="1:21" x14ac:dyDescent="0.2">
      <c r="A1618" s="64" t="str">
        <f t="shared" si="26"/>
        <v>1w</v>
      </c>
      <c r="B1618" s="203">
        <f>_xll.qlCalendarAdvance(Calendar,B1617,A1618,"f",FALSE)</f>
        <v>50221</v>
      </c>
      <c r="C1618" s="237">
        <f>_xll.qlCalendarAdvance(Calendar,B1618,NDays&amp;"D")</f>
        <v>50223</v>
      </c>
      <c r="D1618" s="202">
        <v>2.5407978053896735E-2</v>
      </c>
      <c r="E1618" s="202">
        <v>2.5336617904114789E-2</v>
      </c>
      <c r="U1618" s="204"/>
    </row>
    <row r="1619" spans="1:21" x14ac:dyDescent="0.2">
      <c r="A1619" s="64" t="str">
        <f t="shared" si="26"/>
        <v>1w</v>
      </c>
      <c r="B1619" s="203">
        <f>_xll.qlCalendarAdvance(Calendar,B1618,A1619,"f",FALSE)</f>
        <v>50228</v>
      </c>
      <c r="C1619" s="237">
        <f>_xll.qlCalendarAdvance(Calendar,B1619,NDays&amp;"D")</f>
        <v>50230</v>
      </c>
      <c r="D1619" s="202">
        <v>2.5399239097120451E-2</v>
      </c>
      <c r="E1619" s="202">
        <v>2.5332275645242319E-2</v>
      </c>
      <c r="U1619" s="204"/>
    </row>
    <row r="1620" spans="1:21" x14ac:dyDescent="0.2">
      <c r="A1620" s="64" t="str">
        <f t="shared" si="26"/>
        <v>1w</v>
      </c>
      <c r="B1620" s="203">
        <f>_xll.qlCalendarAdvance(Calendar,B1619,A1620,"f",FALSE)</f>
        <v>50235</v>
      </c>
      <c r="C1620" s="237">
        <f>_xll.qlCalendarAdvance(Calendar,B1620,NDays&amp;"D")</f>
        <v>50237</v>
      </c>
      <c r="D1620" s="202">
        <v>2.5390171747981399E-2</v>
      </c>
      <c r="E1620" s="202">
        <v>2.5327609184984112E-2</v>
      </c>
      <c r="U1620" s="204"/>
    </row>
    <row r="1621" spans="1:21" x14ac:dyDescent="0.2">
      <c r="A1621" s="64" t="str">
        <f t="shared" si="26"/>
        <v>1w</v>
      </c>
      <c r="B1621" s="203">
        <f>_xll.qlCalendarAdvance(Calendar,B1620,A1621,"f",FALSE)</f>
        <v>50242</v>
      </c>
      <c r="C1621" s="237">
        <f>_xll.qlCalendarAdvance(Calendar,B1621,NDays&amp;"D")</f>
        <v>50244</v>
      </c>
      <c r="D1621" s="202">
        <v>2.5380776011036367E-2</v>
      </c>
      <c r="E1621" s="202">
        <v>2.532261852350004E-2</v>
      </c>
      <c r="U1621" s="204"/>
    </row>
    <row r="1622" spans="1:21" x14ac:dyDescent="0.2">
      <c r="A1622" s="64" t="str">
        <f t="shared" si="26"/>
        <v>1w</v>
      </c>
      <c r="B1622" s="203">
        <f>_xll.qlCalendarAdvance(Calendar,B1621,A1622,"f",FALSE)</f>
        <v>50249</v>
      </c>
      <c r="C1622" s="237">
        <f>_xll.qlCalendarAdvance(Calendar,B1622,NDays&amp;"D")</f>
        <v>50251</v>
      </c>
      <c r="D1622" s="202">
        <v>2.5370801712499818E-2</v>
      </c>
      <c r="E1622" s="202">
        <v>2.5317303660470358E-2</v>
      </c>
      <c r="U1622" s="204"/>
    </row>
    <row r="1623" spans="1:21" x14ac:dyDescent="0.2">
      <c r="A1623" s="64" t="str">
        <f t="shared" si="26"/>
        <v>1w</v>
      </c>
      <c r="B1623" s="203">
        <f>_xll.qlCalendarAdvance(Calendar,B1622,A1623,"f",FALSE)</f>
        <v>50256</v>
      </c>
      <c r="C1623" s="237">
        <f>_xll.qlCalendarAdvance(Calendar,B1623,NDays&amp;"D")</f>
        <v>50258</v>
      </c>
      <c r="D1623" s="202">
        <v>2.5360999392776352E-2</v>
      </c>
      <c r="E1623" s="202">
        <v>2.5311664596294747E-2</v>
      </c>
      <c r="U1623" s="204"/>
    </row>
    <row r="1624" spans="1:21" x14ac:dyDescent="0.2">
      <c r="A1624" s="64" t="str">
        <f t="shared" si="26"/>
        <v>1w</v>
      </c>
      <c r="B1624" s="203">
        <f>_xll.qlCalendarAdvance(Calendar,B1623,A1624,"f",FALSE)</f>
        <v>50263</v>
      </c>
      <c r="C1624" s="237">
        <f>_xll.qlCalendarAdvance(Calendar,B1624,NDays&amp;"D")</f>
        <v>50265</v>
      </c>
      <c r="D1624" s="202">
        <v>2.5350618521397937E-2</v>
      </c>
      <c r="E1624" s="202">
        <v>2.5305701330653463E-2</v>
      </c>
      <c r="U1624" s="204"/>
    </row>
    <row r="1625" spans="1:21" x14ac:dyDescent="0.2">
      <c r="A1625" s="64" t="str">
        <f t="shared" si="26"/>
        <v>1w</v>
      </c>
      <c r="B1625" s="203">
        <f>_xll.qlCalendarAdvance(Calendar,B1624,A1625,"f",FALSE)</f>
        <v>50270</v>
      </c>
      <c r="C1625" s="237">
        <f>_xll.qlCalendarAdvance(Calendar,B1625,NDays&amp;"D")</f>
        <v>50272</v>
      </c>
      <c r="D1625" s="202">
        <v>2.5339909282087108E-2</v>
      </c>
      <c r="E1625" s="202">
        <v>2.5299413863866249E-2</v>
      </c>
      <c r="U1625" s="204"/>
    </row>
    <row r="1626" spans="1:21" x14ac:dyDescent="0.2">
      <c r="A1626" s="64" t="str">
        <f t="shared" si="26"/>
        <v>1w</v>
      </c>
      <c r="B1626" s="203">
        <f>_xll.qlCalendarAdvance(Calendar,B1625,A1626,"f",FALSE)</f>
        <v>50277</v>
      </c>
      <c r="C1626" s="237">
        <f>_xll.qlCalendarAdvance(Calendar,B1626,NDays&amp;"D")</f>
        <v>50279</v>
      </c>
      <c r="D1626" s="202">
        <v>2.532891174733936E-2</v>
      </c>
      <c r="E1626" s="202">
        <v>2.5292802195613362E-2</v>
      </c>
      <c r="U1626" s="204"/>
    </row>
    <row r="1627" spans="1:21" x14ac:dyDescent="0.2">
      <c r="A1627" s="64" t="str">
        <f t="shared" si="26"/>
        <v>1w</v>
      </c>
      <c r="B1627" s="203">
        <f>_xll.qlCalendarAdvance(Calendar,B1626,A1627,"f",FALSE)</f>
        <v>50284</v>
      </c>
      <c r="C1627" s="237">
        <f>_xll.qlCalendarAdvance(Calendar,B1627,NDays&amp;"D")</f>
        <v>50286</v>
      </c>
      <c r="D1627" s="202">
        <v>2.5317682109883163E-2</v>
      </c>
      <c r="E1627" s="202">
        <v>2.5285866326294482E-2</v>
      </c>
      <c r="U1627" s="204"/>
    </row>
    <row r="1628" spans="1:21" x14ac:dyDescent="0.2">
      <c r="A1628" s="64" t="str">
        <f t="shared" si="26"/>
        <v>1w</v>
      </c>
      <c r="B1628" s="203">
        <f>_xll.qlCalendarAdvance(Calendar,B1627,A1628,"f",FALSE)</f>
        <v>50291</v>
      </c>
      <c r="C1628" s="237">
        <f>_xll.qlCalendarAdvance(Calendar,B1628,NDays&amp;"D")</f>
        <v>50293</v>
      </c>
      <c r="D1628" s="202">
        <v>2.5306109107918678E-2</v>
      </c>
      <c r="E1628" s="202">
        <v>2.5278606255589864E-2</v>
      </c>
      <c r="U1628" s="204"/>
    </row>
    <row r="1629" spans="1:21" x14ac:dyDescent="0.2">
      <c r="A1629" s="64" t="str">
        <f t="shared" si="26"/>
        <v>1w</v>
      </c>
      <c r="B1629" s="203">
        <f>_xll.qlCalendarAdvance(Calendar,B1628,A1629,"f",FALSE)</f>
        <v>50298</v>
      </c>
      <c r="C1629" s="237">
        <f>_xll.qlCalendarAdvance(Calendar,B1629,NDays&amp;"D")</f>
        <v>50300</v>
      </c>
      <c r="D1629" s="202">
        <v>2.5294207871098765E-2</v>
      </c>
      <c r="E1629" s="202">
        <v>2.5271021983659381E-2</v>
      </c>
      <c r="U1629" s="204"/>
    </row>
    <row r="1630" spans="1:21" x14ac:dyDescent="0.2">
      <c r="A1630" s="64" t="str">
        <f t="shared" si="26"/>
        <v>1w</v>
      </c>
      <c r="B1630" s="203">
        <f>_xll.qlCalendarAdvance(Calendar,B1629,A1630,"f",FALSE)</f>
        <v>50305</v>
      </c>
      <c r="C1630" s="237">
        <f>_xll.qlCalendarAdvance(Calendar,B1630,NDays&amp;"D")</f>
        <v>50307</v>
      </c>
      <c r="D1630" s="202">
        <v>2.5281978405242416E-2</v>
      </c>
      <c r="E1630" s="202">
        <v>2.5263113510503032E-2</v>
      </c>
      <c r="U1630" s="204"/>
    </row>
    <row r="1631" spans="1:21" x14ac:dyDescent="0.2">
      <c r="A1631" s="64" t="str">
        <f t="shared" si="26"/>
        <v>1w</v>
      </c>
      <c r="B1631" s="203">
        <f>_xll.qlCalendarAdvance(Calendar,B1630,A1631,"f",FALSE)</f>
        <v>50312</v>
      </c>
      <c r="C1631" s="237">
        <f>_xll.qlCalendarAdvance(Calendar,B1631,NDays&amp;"D")</f>
        <v>50314</v>
      </c>
      <c r="D1631" s="202">
        <v>2.5269292926560567E-2</v>
      </c>
      <c r="E1631" s="202">
        <v>2.5254880836200755E-2</v>
      </c>
      <c r="U1631" s="204"/>
    </row>
    <row r="1632" spans="1:21" x14ac:dyDescent="0.2">
      <c r="A1632" s="64" t="str">
        <f t="shared" si="26"/>
        <v>1w</v>
      </c>
      <c r="B1632" s="203">
        <f>_xll.qlCalendarAdvance(Calendar,B1631,A1632,"f",FALSE)</f>
        <v>50319</v>
      </c>
      <c r="C1632" s="237">
        <f>_xll.qlCalendarAdvance(Calendar,B1632,NDays&amp;"D")</f>
        <v>50321</v>
      </c>
      <c r="D1632" s="202">
        <v>2.5256382677351537E-2</v>
      </c>
      <c r="E1632" s="202">
        <v>2.5246323960672612E-2</v>
      </c>
      <c r="U1632" s="204"/>
    </row>
    <row r="1633" spans="1:21" x14ac:dyDescent="0.2">
      <c r="A1633" s="64" t="str">
        <f t="shared" si="26"/>
        <v>1w</v>
      </c>
      <c r="B1633" s="203">
        <f>_xll.qlCalendarAdvance(Calendar,B1632,A1633,"f",FALSE)</f>
        <v>50326</v>
      </c>
      <c r="C1633" s="237">
        <f>_xll.qlCalendarAdvance(Calendar,B1633,NDays&amp;"D")</f>
        <v>50328</v>
      </c>
      <c r="D1633" s="202">
        <v>2.5243144195585772E-2</v>
      </c>
      <c r="E1633" s="202">
        <v>2.5237442884078476E-2</v>
      </c>
      <c r="U1633" s="204"/>
    </row>
    <row r="1634" spans="1:21" x14ac:dyDescent="0.2">
      <c r="A1634" s="64" t="str">
        <f t="shared" si="26"/>
        <v>1w</v>
      </c>
      <c r="B1634" s="203">
        <f>_xll.qlCalendarAdvance(Calendar,B1633,A1634,"f",FALSE)</f>
        <v>50333</v>
      </c>
      <c r="C1634" s="237">
        <f>_xll.qlCalendarAdvance(Calendar,B1634,NDays&amp;"D")</f>
        <v>50335</v>
      </c>
      <c r="D1634" s="202">
        <v>2.5229577487772346E-2</v>
      </c>
      <c r="E1634" s="202">
        <v>2.5228237606338411E-2</v>
      </c>
      <c r="U1634" s="204"/>
    </row>
    <row r="1635" spans="1:21" x14ac:dyDescent="0.2">
      <c r="A1635" s="64" t="str">
        <f t="shared" si="26"/>
        <v>1w</v>
      </c>
      <c r="B1635" s="203">
        <f>_xll.qlCalendarAdvance(Calendar,B1634,A1635,"f",FALSE)</f>
        <v>50340</v>
      </c>
      <c r="C1635" s="237">
        <f>_xll.qlCalendarAdvance(Calendar,B1635,NDays&amp;"D")</f>
        <v>50342</v>
      </c>
      <c r="D1635" s="202">
        <v>2.5215682560581092E-2</v>
      </c>
      <c r="E1635" s="202">
        <v>2.5218708127452416E-2</v>
      </c>
      <c r="U1635" s="204"/>
    </row>
    <row r="1636" spans="1:21" x14ac:dyDescent="0.2">
      <c r="A1636" s="64" t="str">
        <f t="shared" si="26"/>
        <v>1w</v>
      </c>
      <c r="B1636" s="203">
        <f>_xll.qlCalendarAdvance(Calendar,B1635,A1636,"f",FALSE)</f>
        <v>50347</v>
      </c>
      <c r="C1636" s="237">
        <f>_xll.qlCalendarAdvance(Calendar,B1636,NDays&amp;"D")</f>
        <v>50349</v>
      </c>
      <c r="D1636" s="202">
        <v>2.5201709146424309E-2</v>
      </c>
      <c r="E1636" s="202">
        <v>2.5208854447420492E-2</v>
      </c>
      <c r="U1636" s="204"/>
    </row>
    <row r="1637" spans="1:21" x14ac:dyDescent="0.2">
      <c r="A1637" s="64" t="str">
        <f t="shared" si="26"/>
        <v>1w</v>
      </c>
      <c r="B1637" s="203">
        <f>_xll.qlCalendarAdvance(Calendar,B1636,A1637,"f",FALSE)</f>
        <v>50354</v>
      </c>
      <c r="C1637" s="237">
        <f>_xll.qlCalendarAdvance(Calendar,B1637,NDays&amp;"D")</f>
        <v>50356</v>
      </c>
      <c r="D1637" s="202">
        <v>2.5187182253723833E-2</v>
      </c>
      <c r="E1637" s="202">
        <v>2.5198676566562384E-2</v>
      </c>
      <c r="U1637" s="204"/>
    </row>
    <row r="1638" spans="1:21" x14ac:dyDescent="0.2">
      <c r="A1638" s="64" t="str">
        <f t="shared" si="26"/>
        <v>1w</v>
      </c>
      <c r="B1638" s="203">
        <f>_xll.qlCalendarAdvance(Calendar,B1637,A1638,"f",FALSE)</f>
        <v>50361</v>
      </c>
      <c r="C1638" s="237">
        <f>_xll.qlCalendarAdvance(Calendar,B1638,NDays&amp;"D")</f>
        <v>50363</v>
      </c>
      <c r="D1638" s="202">
        <v>2.5172327184314128E-2</v>
      </c>
      <c r="E1638" s="202">
        <v>2.5188174484398473E-2</v>
      </c>
      <c r="U1638" s="204"/>
    </row>
    <row r="1639" spans="1:21" x14ac:dyDescent="0.2">
      <c r="A1639" s="64" t="str">
        <f t="shared" si="26"/>
        <v>1w</v>
      </c>
      <c r="B1639" s="203">
        <f>_xll.qlCalendarAdvance(Calendar,B1638,A1639,"f",FALSE)</f>
        <v>50368</v>
      </c>
      <c r="C1639" s="237">
        <f>_xll.qlCalendarAdvance(Calendar,B1639,NDays&amp;"D")</f>
        <v>50370</v>
      </c>
      <c r="D1639" s="202">
        <v>2.5157143945458767E-2</v>
      </c>
      <c r="E1639" s="202">
        <v>2.5177348201488314E-2</v>
      </c>
      <c r="U1639" s="204"/>
    </row>
    <row r="1640" spans="1:21" x14ac:dyDescent="0.2">
      <c r="A1640" s="64" t="str">
        <f t="shared" si="26"/>
        <v>1w</v>
      </c>
      <c r="B1640" s="203">
        <f>_xll.qlCalendarAdvance(Calendar,B1639,A1640,"f",FALSE)</f>
        <v>50375</v>
      </c>
      <c r="C1640" s="237">
        <f>_xll.qlCalendarAdvance(Calendar,B1640,NDays&amp;"D")</f>
        <v>50377</v>
      </c>
      <c r="D1640" s="202">
        <v>2.5141285266950798E-2</v>
      </c>
      <c r="E1640" s="202">
        <v>2.5166197717512162E-2</v>
      </c>
      <c r="U1640" s="204"/>
    </row>
    <row r="1641" spans="1:21" x14ac:dyDescent="0.2">
      <c r="A1641" s="64" t="str">
        <f t="shared" si="26"/>
        <v>1w</v>
      </c>
      <c r="B1641" s="203">
        <f>_xll.qlCalendarAdvance(Calendar,B1640,A1641,"f",FALSE)</f>
        <v>50382</v>
      </c>
      <c r="C1641" s="237">
        <f>_xll.qlCalendarAdvance(Calendar,B1641,NDays&amp;"D")</f>
        <v>50384</v>
      </c>
      <c r="D1641" s="202">
        <v>2.5125435164350274E-2</v>
      </c>
      <c r="E1641" s="202">
        <v>2.5154723032709825E-2</v>
      </c>
      <c r="U1641" s="204"/>
    </row>
    <row r="1642" spans="1:21" x14ac:dyDescent="0.2">
      <c r="A1642" s="64" t="str">
        <f t="shared" si="26"/>
        <v>1w</v>
      </c>
      <c r="B1642" s="203">
        <f>_xll.qlCalendarAdvance(Calendar,B1641,A1642,"f",FALSE)</f>
        <v>50389</v>
      </c>
      <c r="C1642" s="237">
        <f>_xll.qlCalendarAdvance(Calendar,B1642,NDays&amp;"D")</f>
        <v>50391</v>
      </c>
      <c r="D1642" s="202">
        <v>2.5109299170279695E-2</v>
      </c>
      <c r="E1642" s="202">
        <v>2.514292414692143E-2</v>
      </c>
      <c r="U1642" s="204"/>
    </row>
    <row r="1643" spans="1:21" x14ac:dyDescent="0.2">
      <c r="A1643" s="64" t="str">
        <f t="shared" si="26"/>
        <v>1w</v>
      </c>
      <c r="B1643" s="203">
        <f>_xll.qlCalendarAdvance(Calendar,B1642,A1643,"f",FALSE)</f>
        <v>50396</v>
      </c>
      <c r="C1643" s="237">
        <f>_xll.qlCalendarAdvance(Calendar,B1643,NDays&amp;"D")</f>
        <v>50398</v>
      </c>
      <c r="D1643" s="202">
        <v>2.5092906885258896E-2</v>
      </c>
      <c r="E1643" s="202">
        <v>2.5130787998455251E-2</v>
      </c>
      <c r="U1643" s="204"/>
    </row>
    <row r="1644" spans="1:21" x14ac:dyDescent="0.2">
      <c r="A1644" s="64" t="str">
        <f t="shared" si="26"/>
        <v>1w</v>
      </c>
      <c r="B1644" s="203">
        <f>_xll.qlCalendarAdvance(Calendar,B1643,A1644,"f",FALSE)</f>
        <v>50403</v>
      </c>
      <c r="C1644" s="237">
        <f>_xll.qlCalendarAdvance(Calendar,B1644,NDays&amp;"D")</f>
        <v>50405</v>
      </c>
      <c r="D1644" s="202">
        <v>2.5076695844267704E-2</v>
      </c>
      <c r="E1644" s="202">
        <v>2.511826861882227E-2</v>
      </c>
      <c r="U1644" s="204"/>
    </row>
    <row r="1645" spans="1:21" x14ac:dyDescent="0.2">
      <c r="A1645" s="64" t="str">
        <f t="shared" si="26"/>
        <v>1w</v>
      </c>
      <c r="B1645" s="203">
        <f>_xll.qlCalendarAdvance(Calendar,B1644,A1645,"f",FALSE)</f>
        <v>50410</v>
      </c>
      <c r="C1645" s="237">
        <f>_xll.qlCalendarAdvance(Calendar,B1645,NDays&amp;"D")</f>
        <v>50412</v>
      </c>
      <c r="D1645" s="202">
        <v>2.5059885722069165E-2</v>
      </c>
      <c r="E1645" s="202">
        <v>2.5105582284439265E-2</v>
      </c>
      <c r="U1645" s="204"/>
    </row>
    <row r="1646" spans="1:21" x14ac:dyDescent="0.2">
      <c r="A1646" s="64" t="str">
        <f t="shared" si="26"/>
        <v>1w</v>
      </c>
      <c r="B1646" s="203">
        <f>_xll.qlCalendarAdvance(Calendar,B1645,A1646,"f",FALSE)</f>
        <v>50417</v>
      </c>
      <c r="C1646" s="237">
        <f>_xll.qlCalendarAdvance(Calendar,B1646,NDays&amp;"D")</f>
        <v>50419</v>
      </c>
      <c r="D1646" s="202">
        <v>2.5042904752656237E-2</v>
      </c>
      <c r="E1646" s="202">
        <v>2.5092486595426067E-2</v>
      </c>
      <c r="U1646" s="204"/>
    </row>
    <row r="1647" spans="1:21" x14ac:dyDescent="0.2">
      <c r="A1647" s="64" t="str">
        <f t="shared" si="26"/>
        <v>1w</v>
      </c>
      <c r="B1647" s="203">
        <f>_xll.qlCalendarAdvance(Calendar,B1646,A1647,"f",FALSE)</f>
        <v>50424</v>
      </c>
      <c r="C1647" s="237">
        <f>_xll.qlCalendarAdvance(Calendar,B1647,NDays&amp;"D")</f>
        <v>50426</v>
      </c>
      <c r="D1647" s="202">
        <v>2.502578269442092E-2</v>
      </c>
      <c r="E1647" s="202">
        <v>2.5079066705746555E-2</v>
      </c>
      <c r="U1647" s="204"/>
    </row>
    <row r="1648" spans="1:21" x14ac:dyDescent="0.2">
      <c r="A1648" s="64" t="str">
        <f t="shared" si="26"/>
        <v>1w</v>
      </c>
      <c r="B1648" s="203">
        <f>_xll.qlCalendarAdvance(Calendar,B1647,A1648,"f",FALSE)</f>
        <v>50431</v>
      </c>
      <c r="C1648" s="237">
        <f>_xll.qlCalendarAdvance(Calendar,B1648,NDays&amp;"D")</f>
        <v>50433</v>
      </c>
      <c r="D1648" s="202">
        <v>2.5008549304780071E-2</v>
      </c>
      <c r="E1648" s="202">
        <v>2.5065322615240859E-2</v>
      </c>
      <c r="U1648" s="204"/>
    </row>
    <row r="1649" spans="1:21" x14ac:dyDescent="0.2">
      <c r="A1649" s="64" t="str">
        <f t="shared" si="26"/>
        <v>1w</v>
      </c>
      <c r="B1649" s="203">
        <f>_xll.qlCalendarAdvance(Calendar,B1648,A1649,"f",FALSE)</f>
        <v>50438</v>
      </c>
      <c r="C1649" s="237">
        <f>_xll.qlCalendarAdvance(Calendar,B1649,NDays&amp;"D")</f>
        <v>50440</v>
      </c>
      <c r="D1649" s="202">
        <v>2.4991234340152896E-2</v>
      </c>
      <c r="E1649" s="202">
        <v>2.505125432406885E-2</v>
      </c>
      <c r="U1649" s="204"/>
    </row>
    <row r="1650" spans="1:21" x14ac:dyDescent="0.2">
      <c r="A1650" s="64" t="str">
        <f t="shared" si="26"/>
        <v>1w</v>
      </c>
      <c r="B1650" s="203">
        <f>_xll.qlCalendarAdvance(Calendar,B1649,A1650,"f",FALSE)</f>
        <v>50445</v>
      </c>
      <c r="C1650" s="237">
        <f>_xll.qlCalendarAdvance(Calendar,B1650,NDays&amp;"D")</f>
        <v>50447</v>
      </c>
      <c r="D1650" s="202">
        <v>2.4973867555947701E-2</v>
      </c>
      <c r="E1650" s="202">
        <v>2.5036861832310464E-2</v>
      </c>
      <c r="U1650" s="204"/>
    </row>
    <row r="1651" spans="1:21" x14ac:dyDescent="0.2">
      <c r="A1651" s="64" t="str">
        <f t="shared" si="26"/>
        <v>1w</v>
      </c>
      <c r="B1651" s="203">
        <f>_xll.qlCalendarAdvance(Calendar,B1650,A1651,"f",FALSE)</f>
        <v>50452</v>
      </c>
      <c r="C1651" s="237">
        <f>_xll.qlCalendarAdvance(Calendar,B1651,NDays&amp;"D")</f>
        <v>50454</v>
      </c>
      <c r="D1651" s="202">
        <v>2.4956478706554378E-2</v>
      </c>
      <c r="E1651" s="202">
        <v>2.5022145140045637E-2</v>
      </c>
      <c r="U1651" s="204"/>
    </row>
    <row r="1652" spans="1:21" x14ac:dyDescent="0.2">
      <c r="A1652" s="64" t="str">
        <f t="shared" si="26"/>
        <v>1w</v>
      </c>
      <c r="B1652" s="203">
        <f>_xll.qlCalendarAdvance(Calendar,B1651,A1652,"f",FALSE)</f>
        <v>50459</v>
      </c>
      <c r="C1652" s="237">
        <f>_xll.qlCalendarAdvance(Calendar,B1652,NDays&amp;"D")</f>
        <v>50461</v>
      </c>
      <c r="D1652" s="202">
        <v>2.4939097545334687E-2</v>
      </c>
      <c r="E1652" s="202">
        <v>2.5007104247194434E-2</v>
      </c>
      <c r="U1652" s="204"/>
    </row>
    <row r="1653" spans="1:21" x14ac:dyDescent="0.2">
      <c r="A1653" s="64" t="str">
        <f t="shared" si="26"/>
        <v>1w</v>
      </c>
      <c r="B1653" s="203">
        <f>_xll.qlCalendarAdvance(Calendar,B1652,A1653,"f",FALSE)</f>
        <v>50466</v>
      </c>
      <c r="C1653" s="237">
        <f>_xll.qlCalendarAdvance(Calendar,B1653,NDays&amp;"D")</f>
        <v>50468</v>
      </c>
      <c r="D1653" s="202">
        <v>2.492000508692575E-2</v>
      </c>
      <c r="E1653" s="202">
        <v>2.4991739153836789E-2</v>
      </c>
      <c r="U1653" s="204"/>
    </row>
    <row r="1654" spans="1:21" x14ac:dyDescent="0.2">
      <c r="A1654" s="64" t="str">
        <f t="shared" si="26"/>
        <v>1w</v>
      </c>
      <c r="B1654" s="203">
        <f>_xll.qlCalendarAdvance(Calendar,B1653,A1654,"f",FALSE)</f>
        <v>50473</v>
      </c>
      <c r="C1654" s="237">
        <f>_xll.qlCalendarAdvance(Calendar,B1654,NDays&amp;"D")</f>
        <v>50475</v>
      </c>
      <c r="D1654" s="202">
        <v>2.490282192272928E-2</v>
      </c>
      <c r="E1654" s="202">
        <v>2.497604986005264E-2</v>
      </c>
      <c r="U1654" s="204"/>
    </row>
    <row r="1655" spans="1:21" x14ac:dyDescent="0.2">
      <c r="A1655" s="64" t="str">
        <f t="shared" si="26"/>
        <v>1w</v>
      </c>
      <c r="B1655" s="203">
        <f>_xll.qlCalendarAdvance(Calendar,B1654,A1655,"f",FALSE)</f>
        <v>50480</v>
      </c>
      <c r="C1655" s="237">
        <f>_xll.qlCalendarAdvance(Calendar,B1655,NDays&amp;"D")</f>
        <v>50482</v>
      </c>
      <c r="D1655" s="202">
        <v>2.4885744993833371E-2</v>
      </c>
      <c r="E1655" s="202">
        <v>2.4960036365762051E-2</v>
      </c>
      <c r="U1655" s="204"/>
    </row>
    <row r="1656" spans="1:21" x14ac:dyDescent="0.2">
      <c r="A1656" s="64" t="str">
        <f t="shared" si="26"/>
        <v>1w</v>
      </c>
      <c r="B1656" s="203">
        <f>_xll.qlCalendarAdvance(Calendar,B1655,A1656,"f",FALSE)</f>
        <v>50487</v>
      </c>
      <c r="C1656" s="237">
        <f>_xll.qlCalendarAdvance(Calendar,B1656,NDays&amp;"D")</f>
        <v>50489</v>
      </c>
      <c r="D1656" s="202">
        <v>2.4868803259313583E-2</v>
      </c>
      <c r="E1656" s="202">
        <v>2.4943698671204828E-2</v>
      </c>
      <c r="U1656" s="204"/>
    </row>
    <row r="1657" spans="1:21" x14ac:dyDescent="0.2">
      <c r="A1657" s="64" t="str">
        <f t="shared" si="26"/>
        <v>1w</v>
      </c>
      <c r="B1657" s="203">
        <f>_xll.qlCalendarAdvance(Calendar,B1656,A1657,"f",FALSE)</f>
        <v>50494</v>
      </c>
      <c r="C1657" s="237">
        <f>_xll.qlCalendarAdvance(Calendar,B1657,NDays&amp;"D")</f>
        <v>50496</v>
      </c>
      <c r="D1657" s="202">
        <v>2.4852811175036557E-2</v>
      </c>
      <c r="E1657" s="202">
        <v>2.4927036776301037E-2</v>
      </c>
      <c r="U1657" s="204"/>
    </row>
    <row r="1658" spans="1:21" x14ac:dyDescent="0.2">
      <c r="A1658" s="64" t="str">
        <f t="shared" si="26"/>
        <v>1w</v>
      </c>
      <c r="B1658" s="203">
        <f>_xll.qlCalendarAdvance(Calendar,B1657,A1658,"f",FALSE)</f>
        <v>50501</v>
      </c>
      <c r="C1658" s="237">
        <f>_xll.qlCalendarAdvance(Calendar,B1658,NDays&amp;"D")</f>
        <v>50503</v>
      </c>
      <c r="D1658" s="202">
        <v>2.483615104311291E-2</v>
      </c>
      <c r="E1658" s="202">
        <v>2.4910050680970741E-2</v>
      </c>
      <c r="U1658" s="204"/>
    </row>
    <row r="1659" spans="1:21" x14ac:dyDescent="0.2">
      <c r="A1659" s="64" t="str">
        <f t="shared" si="26"/>
        <v>1w</v>
      </c>
      <c r="B1659" s="203">
        <f>_xll.qlCalendarAdvance(Calendar,B1658,A1659,"f",FALSE)</f>
        <v>50508</v>
      </c>
      <c r="C1659" s="237">
        <f>_xll.qlCalendarAdvance(Calendar,B1659,NDays&amp;"D")</f>
        <v>50510</v>
      </c>
      <c r="D1659" s="202">
        <v>2.4819709336829244E-2</v>
      </c>
      <c r="E1659" s="202">
        <v>2.4892740385453749E-2</v>
      </c>
      <c r="U1659" s="204"/>
    </row>
    <row r="1660" spans="1:21" x14ac:dyDescent="0.2">
      <c r="A1660" s="64" t="str">
        <f t="shared" si="26"/>
        <v>1w</v>
      </c>
      <c r="B1660" s="203">
        <f>_xll.qlCalendarAdvance(Calendar,B1659,A1660,"f",FALSE)</f>
        <v>50515</v>
      </c>
      <c r="C1660" s="237">
        <f>_xll.qlCalendarAdvance(Calendar,B1660,NDays&amp;"D")</f>
        <v>50517</v>
      </c>
      <c r="D1660" s="202">
        <v>2.4803515480425212E-2</v>
      </c>
      <c r="E1660" s="202">
        <v>2.4873437742002125E-2</v>
      </c>
      <c r="U1660" s="204"/>
    </row>
    <row r="1661" spans="1:21" x14ac:dyDescent="0.2">
      <c r="A1661" s="64" t="str">
        <f t="shared" si="26"/>
        <v>1w</v>
      </c>
      <c r="B1661" s="203">
        <f>_xll.qlCalendarAdvance(Calendar,B1660,A1661,"f",FALSE)</f>
        <v>50522</v>
      </c>
      <c r="C1661" s="237">
        <f>_xll.qlCalendarAdvance(Calendar,B1661,NDays&amp;"D")</f>
        <v>50524</v>
      </c>
      <c r="D1661" s="202">
        <v>2.4787598897268167E-2</v>
      </c>
      <c r="E1661" s="202">
        <v>2.4857147194099483E-2</v>
      </c>
      <c r="U1661" s="204"/>
    </row>
    <row r="1662" spans="1:21" x14ac:dyDescent="0.2">
      <c r="A1662" s="64" t="str">
        <f t="shared" si="26"/>
        <v>1w</v>
      </c>
      <c r="B1662" s="203">
        <f>_xll.qlCalendarAdvance(Calendar,B1661,A1662,"f",FALSE)</f>
        <v>50529</v>
      </c>
      <c r="C1662" s="237">
        <f>_xll.qlCalendarAdvance(Calendar,B1662,NDays&amp;"D")</f>
        <v>50531</v>
      </c>
      <c r="D1662" s="202">
        <v>2.4771613522345103E-2</v>
      </c>
      <c r="E1662" s="202">
        <v>2.4838864298262209E-2</v>
      </c>
      <c r="U1662" s="204"/>
    </row>
    <row r="1663" spans="1:21" x14ac:dyDescent="0.2">
      <c r="A1663" s="64" t="str">
        <f t="shared" si="26"/>
        <v>1w</v>
      </c>
      <c r="B1663" s="203">
        <f>_xll.qlCalendarAdvance(Calendar,B1662,A1663,"f",FALSE)</f>
        <v>50536</v>
      </c>
      <c r="C1663" s="237">
        <f>_xll.qlCalendarAdvance(Calendar,B1663,NDays&amp;"D")</f>
        <v>50538</v>
      </c>
      <c r="D1663" s="202">
        <v>2.4756428923825888E-2</v>
      </c>
      <c r="E1663" s="202">
        <v>2.4820257202238238E-2</v>
      </c>
      <c r="U1663" s="204"/>
    </row>
    <row r="1664" spans="1:21" x14ac:dyDescent="0.2">
      <c r="A1664" s="64" t="str">
        <f t="shared" si="26"/>
        <v>1w</v>
      </c>
      <c r="B1664" s="203">
        <f>_xll.qlCalendarAdvance(Calendar,B1663,A1664,"f",FALSE)</f>
        <v>50543</v>
      </c>
      <c r="C1664" s="237">
        <f>_xll.qlCalendarAdvance(Calendar,B1664,NDays&amp;"D")</f>
        <v>50545</v>
      </c>
      <c r="D1664" s="202">
        <v>2.4741611159513986E-2</v>
      </c>
      <c r="E1664" s="202">
        <v>2.4801325906347316E-2</v>
      </c>
      <c r="U1664" s="204"/>
    </row>
    <row r="1665" spans="1:21" x14ac:dyDescent="0.2">
      <c r="A1665" s="64" t="str">
        <f t="shared" si="26"/>
        <v>1w</v>
      </c>
      <c r="B1665" s="203">
        <f>_xll.qlCalendarAdvance(Calendar,B1664,A1665,"f",FALSE)</f>
        <v>50550</v>
      </c>
      <c r="C1665" s="237">
        <f>_xll.qlCalendarAdvance(Calendar,B1665,NDays&amp;"D")</f>
        <v>50552</v>
      </c>
      <c r="D1665" s="202">
        <v>2.4727189180848489E-2</v>
      </c>
      <c r="E1665" s="202">
        <v>2.4782070410509505E-2</v>
      </c>
      <c r="U1665" s="204"/>
    </row>
    <row r="1666" spans="1:21" x14ac:dyDescent="0.2">
      <c r="A1666" s="64" t="str">
        <f t="shared" si="26"/>
        <v>1w</v>
      </c>
      <c r="B1666" s="203">
        <f>_xll.qlCalendarAdvance(Calendar,B1665,A1666,"f",FALSE)</f>
        <v>50557</v>
      </c>
      <c r="C1666" s="237">
        <f>_xll.qlCalendarAdvance(Calendar,B1666,NDays&amp;"D")</f>
        <v>50559</v>
      </c>
      <c r="D1666" s="202">
        <v>2.4713204456229612E-2</v>
      </c>
      <c r="E1666" s="202">
        <v>2.4762586341831039E-2</v>
      </c>
      <c r="U1666" s="204"/>
    </row>
    <row r="1667" spans="1:21" x14ac:dyDescent="0.2">
      <c r="A1667" s="64" t="str">
        <f t="shared" si="26"/>
        <v>1w</v>
      </c>
      <c r="B1667" s="203">
        <f>_xll.qlCalendarAdvance(Calendar,B1666,A1667,"f",FALSE)</f>
        <v>50564</v>
      </c>
      <c r="C1667" s="237">
        <f>_xll.qlCalendarAdvance(Calendar,B1667,NDays&amp;"D")</f>
        <v>50566</v>
      </c>
      <c r="D1667" s="202">
        <v>2.4699555446628378E-2</v>
      </c>
      <c r="E1667" s="202">
        <v>2.4743442293564399E-2</v>
      </c>
      <c r="U1667" s="204"/>
    </row>
    <row r="1668" spans="1:21" x14ac:dyDescent="0.2">
      <c r="A1668" s="64" t="str">
        <f t="shared" si="26"/>
        <v>1w</v>
      </c>
      <c r="B1668" s="203">
        <f>_xll.qlCalendarAdvance(Calendar,B1667,A1668,"f",FALSE)</f>
        <v>50571</v>
      </c>
      <c r="C1668" s="237">
        <f>_xll.qlCalendarAdvance(Calendar,B1668,NDays&amp;"D")</f>
        <v>50573</v>
      </c>
      <c r="D1668" s="202">
        <v>2.4686347613561574E-2</v>
      </c>
      <c r="E1668" s="202">
        <v>2.4724733892895756E-2</v>
      </c>
      <c r="U1668" s="204"/>
    </row>
    <row r="1669" spans="1:21" x14ac:dyDescent="0.2">
      <c r="A1669" s="64" t="str">
        <f t="shared" si="26"/>
        <v>1w</v>
      </c>
      <c r="B1669" s="203">
        <f>_xll.qlCalendarAdvance(Calendar,B1668,A1669,"f",FALSE)</f>
        <v>50578</v>
      </c>
      <c r="C1669" s="237">
        <f>_xll.qlCalendarAdvance(Calendar,B1669,NDays&amp;"D")</f>
        <v>50580</v>
      </c>
      <c r="D1669" s="202">
        <v>2.467358094825458E-2</v>
      </c>
      <c r="E1669" s="202">
        <v>2.4706461139585301E-2</v>
      </c>
      <c r="U1669" s="204"/>
    </row>
    <row r="1670" spans="1:21" x14ac:dyDescent="0.2">
      <c r="A1670" s="64" t="str">
        <f t="shared" si="26"/>
        <v>1w</v>
      </c>
      <c r="B1670" s="203">
        <f>_xll.qlCalendarAdvance(Calendar,B1669,A1670,"f",FALSE)</f>
        <v>50585</v>
      </c>
      <c r="C1670" s="237">
        <f>_xll.qlCalendarAdvance(Calendar,B1670,NDays&amp;"D")</f>
        <v>50587</v>
      </c>
      <c r="D1670" s="202">
        <v>2.4661610133528231E-2</v>
      </c>
      <c r="E1670" s="202">
        <v>2.4688624033553097E-2</v>
      </c>
      <c r="U1670" s="204"/>
    </row>
    <row r="1671" spans="1:21" x14ac:dyDescent="0.2">
      <c r="A1671" s="64" t="str">
        <f t="shared" ref="A1671:A1734" si="27">A1670</f>
        <v>1w</v>
      </c>
      <c r="B1671" s="203">
        <f>_xll.qlCalendarAdvance(Calendar,B1670,A1671,"f",FALSE)</f>
        <v>50592</v>
      </c>
      <c r="C1671" s="237">
        <f>_xll.qlCalendarAdvance(Calendar,B1671,NDays&amp;"D")</f>
        <v>50594</v>
      </c>
      <c r="D1671" s="202">
        <v>2.4649817900135887E-2</v>
      </c>
      <c r="E1671" s="202">
        <v>2.4671222574879081E-2</v>
      </c>
      <c r="U1671" s="204"/>
    </row>
    <row r="1672" spans="1:21" x14ac:dyDescent="0.2">
      <c r="A1672" s="64" t="str">
        <f t="shared" si="27"/>
        <v>1w</v>
      </c>
      <c r="B1672" s="203">
        <f>_xll.qlCalendarAdvance(Calendar,B1671,A1672,"f",FALSE)</f>
        <v>50599</v>
      </c>
      <c r="C1672" s="237">
        <f>_xll.qlCalendarAdvance(Calendar,B1672,NDays&amp;"D")</f>
        <v>50601</v>
      </c>
      <c r="D1672" s="202">
        <v>2.4638466899531919E-2</v>
      </c>
      <c r="E1672" s="202">
        <v>2.4654256763483318E-2</v>
      </c>
      <c r="U1672" s="204"/>
    </row>
    <row r="1673" spans="1:21" x14ac:dyDescent="0.2">
      <c r="A1673" s="64" t="str">
        <f t="shared" si="27"/>
        <v>1w</v>
      </c>
      <c r="B1673" s="203">
        <f>_xll.qlCalendarAdvance(Calendar,B1672,A1673,"f",FALSE)</f>
        <v>50606</v>
      </c>
      <c r="C1673" s="237">
        <f>_xll.qlCalendarAdvance(Calendar,B1673,NDays&amp;"D")</f>
        <v>50608</v>
      </c>
      <c r="D1673" s="202">
        <v>2.4627557124052773E-2</v>
      </c>
      <c r="E1673" s="202">
        <v>2.463772659928587E-2</v>
      </c>
      <c r="U1673" s="204"/>
    </row>
    <row r="1674" spans="1:21" x14ac:dyDescent="0.2">
      <c r="A1674" s="64" t="str">
        <f t="shared" si="27"/>
        <v>1w</v>
      </c>
      <c r="B1674" s="203">
        <f>_xll.qlCalendarAdvance(Calendar,B1673,A1674,"f",FALSE)</f>
        <v>50613</v>
      </c>
      <c r="C1674" s="237">
        <f>_xll.qlCalendarAdvance(Calendar,B1674,NDays&amp;"D")</f>
        <v>50615</v>
      </c>
      <c r="D1674" s="202">
        <v>2.4617088566330578E-2</v>
      </c>
      <c r="E1674" s="202">
        <v>2.4621632082126865E-2</v>
      </c>
      <c r="U1674" s="204"/>
    </row>
    <row r="1675" spans="1:21" x14ac:dyDescent="0.2">
      <c r="A1675" s="64" t="str">
        <f t="shared" si="27"/>
        <v>1w</v>
      </c>
      <c r="B1675" s="203">
        <f>_xll.qlCalendarAdvance(Calendar,B1674,A1675,"f",FALSE)</f>
        <v>50620</v>
      </c>
      <c r="C1675" s="237">
        <f>_xll.qlCalendarAdvance(Calendar,B1675,NDays&amp;"D")</f>
        <v>50622</v>
      </c>
      <c r="D1675" s="202">
        <v>2.4607061219297014E-2</v>
      </c>
      <c r="E1675" s="202">
        <v>2.4605973212006305E-2</v>
      </c>
      <c r="U1675" s="204"/>
    </row>
    <row r="1676" spans="1:21" x14ac:dyDescent="0.2">
      <c r="A1676" s="64" t="str">
        <f t="shared" si="27"/>
        <v>1w</v>
      </c>
      <c r="B1676" s="203">
        <f>_xll.qlCalendarAdvance(Calendar,B1675,A1676,"f",FALSE)</f>
        <v>50627</v>
      </c>
      <c r="C1676" s="237">
        <f>_xll.qlCalendarAdvance(Calendar,B1676,NDays&amp;"D")</f>
        <v>50629</v>
      </c>
      <c r="D1676" s="202">
        <v>2.4597475076181582E-2</v>
      </c>
      <c r="E1676" s="202">
        <v>2.4590749988764316E-2</v>
      </c>
      <c r="U1676" s="204"/>
    </row>
    <row r="1677" spans="1:21" x14ac:dyDescent="0.2">
      <c r="A1677" s="64" t="str">
        <f t="shared" si="27"/>
        <v>1w</v>
      </c>
      <c r="B1677" s="203">
        <f>_xll.qlCalendarAdvance(Calendar,B1676,A1677,"f",FALSE)</f>
        <v>50634</v>
      </c>
      <c r="C1677" s="237">
        <f>_xll.qlCalendarAdvance(Calendar,B1677,NDays&amp;"D")</f>
        <v>50636</v>
      </c>
      <c r="D1677" s="202">
        <v>2.458833013051161E-2</v>
      </c>
      <c r="E1677" s="202">
        <v>2.4575962412640706E-2</v>
      </c>
      <c r="U1677" s="204"/>
    </row>
    <row r="1678" spans="1:21" x14ac:dyDescent="0.2">
      <c r="A1678" s="64" t="str">
        <f t="shared" si="27"/>
        <v>1w</v>
      </c>
      <c r="B1678" s="203">
        <f>_xll.qlCalendarAdvance(Calendar,B1677,A1678,"f",FALSE)</f>
        <v>50641</v>
      </c>
      <c r="C1678" s="237">
        <f>_xll.qlCalendarAdvance(Calendar,B1678,NDays&amp;"D")</f>
        <v>50643</v>
      </c>
      <c r="D1678" s="202">
        <v>2.4579626376111392E-2</v>
      </c>
      <c r="E1678" s="202">
        <v>2.4561610483315732E-2</v>
      </c>
      <c r="U1678" s="204"/>
    </row>
    <row r="1679" spans="1:21" x14ac:dyDescent="0.2">
      <c r="A1679" s="64" t="str">
        <f t="shared" si="27"/>
        <v>1w</v>
      </c>
      <c r="B1679" s="203">
        <f>_xll.qlCalendarAdvance(Calendar,B1678,A1679,"f",FALSE)</f>
        <v>50648</v>
      </c>
      <c r="C1679" s="237">
        <f>_xll.qlCalendarAdvance(Calendar,B1679,NDays&amp;"D")</f>
        <v>50650</v>
      </c>
      <c r="D1679" s="202">
        <v>2.4569400355179759E-2</v>
      </c>
      <c r="E1679" s="202">
        <v>2.454769420086933E-2</v>
      </c>
      <c r="U1679" s="204"/>
    </row>
    <row r="1680" spans="1:21" x14ac:dyDescent="0.2">
      <c r="A1680" s="64" t="str">
        <f t="shared" si="27"/>
        <v>1w</v>
      </c>
      <c r="B1680" s="203">
        <f>_xll.qlCalendarAdvance(Calendar,B1679,A1680,"f",FALSE)</f>
        <v>50655</v>
      </c>
      <c r="C1680" s="237">
        <f>_xll.qlCalendarAdvance(Calendar,B1680,NDays&amp;"D")</f>
        <v>50657</v>
      </c>
      <c r="D1680" s="202">
        <v>2.4561424110366836E-2</v>
      </c>
      <c r="E1680" s="202">
        <v>2.4534213565141627E-2</v>
      </c>
      <c r="U1680" s="204"/>
    </row>
    <row r="1681" spans="1:21" x14ac:dyDescent="0.2">
      <c r="A1681" s="64" t="str">
        <f t="shared" si="27"/>
        <v>1w</v>
      </c>
      <c r="B1681" s="203">
        <f>_xll.qlCalendarAdvance(Calendar,B1680,A1681,"f",FALSE)</f>
        <v>50662</v>
      </c>
      <c r="C1681" s="237">
        <f>_xll.qlCalendarAdvance(Calendar,B1681,NDays&amp;"D")</f>
        <v>50664</v>
      </c>
      <c r="D1681" s="202">
        <v>2.4553888891406216E-2</v>
      </c>
      <c r="E1681" s="202">
        <v>2.4521168576132624E-2</v>
      </c>
      <c r="U1681" s="204"/>
    </row>
    <row r="1682" spans="1:21" x14ac:dyDescent="0.2">
      <c r="A1682" s="64" t="str">
        <f t="shared" si="27"/>
        <v>1w</v>
      </c>
      <c r="B1682" s="203">
        <f>_xll.qlCalendarAdvance(Calendar,B1681,A1682,"f",FALSE)</f>
        <v>50669</v>
      </c>
      <c r="C1682" s="237">
        <f>_xll.qlCalendarAdvance(Calendar,B1682,NDays&amp;"D")</f>
        <v>50671</v>
      </c>
      <c r="D1682" s="202">
        <v>2.4546794693346721E-2</v>
      </c>
      <c r="E1682" s="202">
        <v>2.450855923384232E-2</v>
      </c>
      <c r="U1682" s="204"/>
    </row>
    <row r="1683" spans="1:21" x14ac:dyDescent="0.2">
      <c r="A1683" s="64" t="str">
        <f t="shared" si="27"/>
        <v>1w</v>
      </c>
      <c r="B1683" s="203">
        <f>_xll.qlCalendarAdvance(Calendar,B1682,A1683,"f",FALSE)</f>
        <v>50676</v>
      </c>
      <c r="C1683" s="237">
        <f>_xll.qlCalendarAdvance(Calendar,B1683,NDays&amp;"D")</f>
        <v>50678</v>
      </c>
      <c r="D1683" s="202">
        <v>2.4540652274794107E-2</v>
      </c>
      <c r="E1683" s="202">
        <v>2.4496385538190779E-2</v>
      </c>
      <c r="U1683" s="204"/>
    </row>
    <row r="1684" spans="1:21" x14ac:dyDescent="0.2">
      <c r="A1684" s="64" t="str">
        <f t="shared" si="27"/>
        <v>1w</v>
      </c>
      <c r="B1684" s="203">
        <f>_xll.qlCalendarAdvance(Calendar,B1683,A1684,"f",FALSE)</f>
        <v>50683</v>
      </c>
      <c r="C1684" s="237">
        <f>_xll.qlCalendarAdvance(Calendar,B1684,NDays&amp;"D")</f>
        <v>50685</v>
      </c>
      <c r="D1684" s="202">
        <v>2.453447118641627E-2</v>
      </c>
      <c r="E1684" s="202">
        <v>2.4484647489098066E-2</v>
      </c>
      <c r="U1684" s="204"/>
    </row>
    <row r="1685" spans="1:21" x14ac:dyDescent="0.2">
      <c r="A1685" s="64" t="str">
        <f t="shared" si="27"/>
        <v>1w</v>
      </c>
      <c r="B1685" s="203">
        <f>_xll.qlCalendarAdvance(Calendar,B1684,A1685,"f",FALSE)</f>
        <v>50690</v>
      </c>
      <c r="C1685" s="237">
        <f>_xll.qlCalendarAdvance(Calendar,B1685,NDays&amp;"D")</f>
        <v>50692</v>
      </c>
      <c r="D1685" s="202">
        <v>2.4528731135542534E-2</v>
      </c>
      <c r="E1685" s="202">
        <v>2.447334508656418E-2</v>
      </c>
      <c r="U1685" s="204"/>
    </row>
    <row r="1686" spans="1:21" x14ac:dyDescent="0.2">
      <c r="A1686" s="64" t="str">
        <f t="shared" si="27"/>
        <v>1w</v>
      </c>
      <c r="B1686" s="203">
        <f>_xll.qlCalendarAdvance(Calendar,B1685,A1686,"f",FALSE)</f>
        <v>50697</v>
      </c>
      <c r="C1686" s="237">
        <f>_xll.qlCalendarAdvance(Calendar,B1686,NDays&amp;"D")</f>
        <v>50699</v>
      </c>
      <c r="D1686" s="202">
        <v>2.4523432118381646E-2</v>
      </c>
      <c r="E1686" s="202">
        <v>2.4462478330509185E-2</v>
      </c>
      <c r="U1686" s="204"/>
    </row>
    <row r="1687" spans="1:21" x14ac:dyDescent="0.2">
      <c r="A1687" s="64" t="str">
        <f t="shared" si="27"/>
        <v>1w</v>
      </c>
      <c r="B1687" s="203">
        <f>_xll.qlCalendarAdvance(Calendar,B1686,A1687,"f",FALSE)</f>
        <v>50704</v>
      </c>
      <c r="C1687" s="237">
        <f>_xll.qlCalendarAdvance(Calendar,B1687,NDays&amp;"D")</f>
        <v>50706</v>
      </c>
      <c r="D1687" s="202">
        <v>2.451857413143179E-2</v>
      </c>
      <c r="E1687" s="202">
        <v>2.4452047221013018E-2</v>
      </c>
      <c r="U1687" s="204"/>
    </row>
    <row r="1688" spans="1:21" x14ac:dyDescent="0.2">
      <c r="A1688" s="64" t="str">
        <f t="shared" si="27"/>
        <v>1w</v>
      </c>
      <c r="B1688" s="203">
        <f>_xll.qlCalendarAdvance(Calendar,B1687,A1688,"f",FALSE)</f>
        <v>50711</v>
      </c>
      <c r="C1688" s="237">
        <f>_xll.qlCalendarAdvance(Calendar,B1688,NDays&amp;"D")</f>
        <v>50713</v>
      </c>
      <c r="D1688" s="202">
        <v>2.4513490703157878E-2</v>
      </c>
      <c r="E1688" s="202">
        <v>2.444205175783587E-2</v>
      </c>
      <c r="U1688" s="204"/>
    </row>
    <row r="1689" spans="1:21" x14ac:dyDescent="0.2">
      <c r="A1689" s="64" t="str">
        <f t="shared" si="27"/>
        <v>1w</v>
      </c>
      <c r="B1689" s="203">
        <f>_xll.qlCalendarAdvance(Calendar,B1688,A1689,"f",FALSE)</f>
        <v>50718</v>
      </c>
      <c r="C1689" s="237">
        <f>_xll.qlCalendarAdvance(Calendar,B1689,NDays&amp;"D")</f>
        <v>50720</v>
      </c>
      <c r="D1689" s="202">
        <v>2.4509483537115358E-2</v>
      </c>
      <c r="E1689" s="202">
        <v>2.4432491941137613E-2</v>
      </c>
      <c r="U1689" s="204"/>
    </row>
    <row r="1690" spans="1:21" x14ac:dyDescent="0.2">
      <c r="A1690" s="64" t="str">
        <f t="shared" si="27"/>
        <v>1w</v>
      </c>
      <c r="B1690" s="203">
        <f>_xll.qlCalendarAdvance(Calendar,B1689,A1690,"f",FALSE)</f>
        <v>50725</v>
      </c>
      <c r="C1690" s="237">
        <f>_xll.qlCalendarAdvance(Calendar,B1690,NDays&amp;"D")</f>
        <v>50727</v>
      </c>
      <c r="D1690" s="202">
        <v>2.4505917362795972E-2</v>
      </c>
      <c r="E1690" s="202">
        <v>2.4423367770758375E-2</v>
      </c>
      <c r="U1690" s="204"/>
    </row>
    <row r="1691" spans="1:21" x14ac:dyDescent="0.2">
      <c r="A1691" s="64" t="str">
        <f t="shared" si="27"/>
        <v>1w</v>
      </c>
      <c r="B1691" s="203">
        <f>_xll.qlCalendarAdvance(Calendar,B1690,A1691,"f",FALSE)</f>
        <v>50732</v>
      </c>
      <c r="C1691" s="237">
        <f>_xll.qlCalendarAdvance(Calendar,B1691,NDays&amp;"D")</f>
        <v>50734</v>
      </c>
      <c r="D1691" s="202">
        <v>2.4502792177858175E-2</v>
      </c>
      <c r="E1691" s="202">
        <v>2.4414679246778093E-2</v>
      </c>
      <c r="U1691" s="204"/>
    </row>
    <row r="1692" spans="1:21" x14ac:dyDescent="0.2">
      <c r="A1692" s="64" t="str">
        <f t="shared" si="27"/>
        <v>1w</v>
      </c>
      <c r="B1692" s="203">
        <f>_xll.qlCalendarAdvance(Calendar,B1691,A1692,"f",FALSE)</f>
        <v>50739</v>
      </c>
      <c r="C1692" s="237">
        <f>_xll.qlCalendarAdvance(Calendar,B1692,NDays&amp;"D")</f>
        <v>50741</v>
      </c>
      <c r="D1692" s="202">
        <v>2.4500899009957222E-2</v>
      </c>
      <c r="E1692" s="202">
        <v>2.4406426368956957E-2</v>
      </c>
      <c r="U1692" s="204"/>
    </row>
    <row r="1693" spans="1:21" x14ac:dyDescent="0.2">
      <c r="A1693" s="64" t="str">
        <f t="shared" si="27"/>
        <v>1w</v>
      </c>
      <c r="B1693" s="203">
        <f>_xll.qlCalendarAdvance(Calendar,B1692,A1693,"f",FALSE)</f>
        <v>50746</v>
      </c>
      <c r="C1693" s="237">
        <f>_xll.qlCalendarAdvance(Calendar,B1693,NDays&amp;"D")</f>
        <v>50748</v>
      </c>
      <c r="D1693" s="202">
        <v>2.4498667768052138E-2</v>
      </c>
      <c r="E1693" s="202">
        <v>2.4398609137614713E-2</v>
      </c>
      <c r="U1693" s="204"/>
    </row>
    <row r="1694" spans="1:21" x14ac:dyDescent="0.2">
      <c r="A1694" s="64" t="str">
        <f t="shared" si="27"/>
        <v>1w</v>
      </c>
      <c r="B1694" s="203">
        <f>_xll.qlCalendarAdvance(Calendar,B1693,A1694,"f",FALSE)</f>
        <v>50753</v>
      </c>
      <c r="C1694" s="237">
        <f>_xll.qlCalendarAdvance(Calendar,B1694,NDays&amp;"D")</f>
        <v>50755</v>
      </c>
      <c r="D1694" s="202">
        <v>2.4496818984786319E-2</v>
      </c>
      <c r="E1694" s="202">
        <v>2.439122755235168E-2</v>
      </c>
      <c r="U1694" s="204"/>
    </row>
    <row r="1695" spans="1:21" x14ac:dyDescent="0.2">
      <c r="A1695" s="64" t="str">
        <f t="shared" si="27"/>
        <v>1w</v>
      </c>
      <c r="B1695" s="203">
        <f>_xll.qlCalendarAdvance(Calendar,B1694,A1695,"f",FALSE)</f>
        <v>50760</v>
      </c>
      <c r="C1695" s="237">
        <f>_xll.qlCalendarAdvance(Calendar,B1695,NDays&amp;"D")</f>
        <v>50762</v>
      </c>
      <c r="D1695" s="202">
        <v>2.4495311670451433E-2</v>
      </c>
      <c r="E1695" s="202">
        <v>2.438428161332773E-2</v>
      </c>
      <c r="U1695" s="204"/>
    </row>
    <row r="1696" spans="1:21" x14ac:dyDescent="0.2">
      <c r="A1696" s="64" t="str">
        <f t="shared" si="27"/>
        <v>1w</v>
      </c>
      <c r="B1696" s="203">
        <f>_xll.qlCalendarAdvance(Calendar,B1695,A1696,"f",FALSE)</f>
        <v>50767</v>
      </c>
      <c r="C1696" s="237">
        <f>_xll.qlCalendarAdvance(Calendar,B1696,NDays&amp;"D")</f>
        <v>50769</v>
      </c>
      <c r="D1696" s="202">
        <v>2.4494104835651866E-2</v>
      </c>
      <c r="E1696" s="202">
        <v>2.437777132038299E-2</v>
      </c>
      <c r="U1696" s="204"/>
    </row>
    <row r="1697" spans="1:21" x14ac:dyDescent="0.2">
      <c r="A1697" s="64" t="str">
        <f t="shared" si="27"/>
        <v>1w</v>
      </c>
      <c r="B1697" s="203">
        <f>_xll.qlCalendarAdvance(Calendar,B1696,A1697,"f",FALSE)</f>
        <v>50774</v>
      </c>
      <c r="C1697" s="237">
        <f>_xll.qlCalendarAdvance(Calendar,B1697,NDays&amp;"D")</f>
        <v>50776</v>
      </c>
      <c r="D1697" s="202">
        <v>2.4492287403665124E-2</v>
      </c>
      <c r="E1697" s="202">
        <v>2.4371696673677334E-2</v>
      </c>
      <c r="U1697" s="204"/>
    </row>
    <row r="1698" spans="1:21" x14ac:dyDescent="0.2">
      <c r="A1698" s="64" t="str">
        <f t="shared" si="27"/>
        <v>1w</v>
      </c>
      <c r="B1698" s="203">
        <f>_xll.qlCalendarAdvance(Calendar,B1697,A1698,"f",FALSE)</f>
        <v>50781</v>
      </c>
      <c r="C1698" s="237">
        <f>_xll.qlCalendarAdvance(Calendar,B1698,NDays&amp;"D")</f>
        <v>50783</v>
      </c>
      <c r="D1698" s="202">
        <v>2.4491557606181245E-2</v>
      </c>
      <c r="E1698" s="202">
        <v>2.4366057673130825E-2</v>
      </c>
      <c r="U1698" s="204"/>
    </row>
    <row r="1699" spans="1:21" x14ac:dyDescent="0.2">
      <c r="A1699" s="64" t="str">
        <f t="shared" si="27"/>
        <v>1w</v>
      </c>
      <c r="B1699" s="203">
        <f>_xll.qlCalendarAdvance(Calendar,B1698,A1699,"f",FALSE)</f>
        <v>50788</v>
      </c>
      <c r="C1699" s="237">
        <f>_xll.qlCalendarAdvance(Calendar,B1699,NDays&amp;"D")</f>
        <v>50790</v>
      </c>
      <c r="D1699" s="202">
        <v>2.4491009741072826E-2</v>
      </c>
      <c r="E1699" s="202">
        <v>2.4360854318743463E-2</v>
      </c>
      <c r="U1699" s="204"/>
    </row>
    <row r="1700" spans="1:21" x14ac:dyDescent="0.2">
      <c r="A1700" s="64" t="str">
        <f t="shared" si="27"/>
        <v>1w</v>
      </c>
      <c r="B1700" s="203">
        <f>_xll.qlCalendarAdvance(Calendar,B1699,A1700,"f",FALSE)</f>
        <v>50795</v>
      </c>
      <c r="C1700" s="237">
        <f>_xll.qlCalendarAdvance(Calendar,B1700,NDays&amp;"D")</f>
        <v>50797</v>
      </c>
      <c r="D1700" s="202">
        <v>2.449060259595344E-2</v>
      </c>
      <c r="E1700" s="202">
        <v>2.4356086610355376E-2</v>
      </c>
      <c r="U1700" s="204"/>
    </row>
    <row r="1701" spans="1:21" x14ac:dyDescent="0.2">
      <c r="A1701" s="64" t="str">
        <f t="shared" si="27"/>
        <v>1w</v>
      </c>
      <c r="B1701" s="203">
        <f>_xll.qlCalendarAdvance(Calendar,B1700,A1701,"f",FALSE)</f>
        <v>50802</v>
      </c>
      <c r="C1701" s="237">
        <f>_xll.qlCalendarAdvance(Calendar,B1701,NDays&amp;"D")</f>
        <v>50804</v>
      </c>
      <c r="D1701" s="202">
        <v>2.4490294958503779E-2</v>
      </c>
      <c r="E1701" s="202">
        <v>2.4351754548126436E-2</v>
      </c>
      <c r="U1701" s="204"/>
    </row>
    <row r="1702" spans="1:21" x14ac:dyDescent="0.2">
      <c r="A1702" s="64" t="str">
        <f t="shared" si="27"/>
        <v>1w</v>
      </c>
      <c r="B1702" s="203">
        <f>_xll.qlCalendarAdvance(Calendar,B1701,A1702,"f",FALSE)</f>
        <v>50809</v>
      </c>
      <c r="C1702" s="237">
        <f>_xll.qlCalendarAdvance(Calendar,B1702,NDays&amp;"D")</f>
        <v>50811</v>
      </c>
      <c r="D1702" s="202">
        <v>2.449004561645092E-2</v>
      </c>
      <c r="E1702" s="202">
        <v>2.4347858131976707E-2</v>
      </c>
      <c r="U1702" s="204"/>
    </row>
    <row r="1703" spans="1:21" x14ac:dyDescent="0.2">
      <c r="A1703" s="64" t="str">
        <f t="shared" si="27"/>
        <v>1w</v>
      </c>
      <c r="B1703" s="203">
        <f>_xll.qlCalendarAdvance(Calendar,B1702,A1703,"f",FALSE)</f>
        <v>50816</v>
      </c>
      <c r="C1703" s="237">
        <f>_xll.qlCalendarAdvance(Calendar,B1703,NDays&amp;"D")</f>
        <v>50818</v>
      </c>
      <c r="D1703" s="202">
        <v>2.4489813357548865E-2</v>
      </c>
      <c r="E1703" s="202">
        <v>2.4344397361906189E-2</v>
      </c>
      <c r="U1703" s="204"/>
    </row>
    <row r="1704" spans="1:21" x14ac:dyDescent="0.2">
      <c r="A1704" s="64" t="str">
        <f t="shared" si="27"/>
        <v>1w</v>
      </c>
      <c r="B1704" s="203">
        <f>_xll.qlCalendarAdvance(Calendar,B1703,A1704,"f",FALSE)</f>
        <v>50823</v>
      </c>
      <c r="C1704" s="237">
        <f>_xll.qlCalendarAdvance(Calendar,B1704,NDays&amp;"D")</f>
        <v>50825</v>
      </c>
      <c r="D1704" s="202">
        <v>2.4489556969574146E-2</v>
      </c>
      <c r="E1704" s="202">
        <v>2.434137223775501E-2</v>
      </c>
      <c r="U1704" s="204"/>
    </row>
    <row r="1705" spans="1:21" x14ac:dyDescent="0.2">
      <c r="A1705" s="64" t="str">
        <f t="shared" si="27"/>
        <v>1w</v>
      </c>
      <c r="B1705" s="203">
        <f>_xll.qlCalendarAdvance(Calendar,B1704,A1705,"f",FALSE)</f>
        <v>50830</v>
      </c>
      <c r="C1705" s="237">
        <f>_xll.qlCalendarAdvance(Calendar,B1705,NDays&amp;"D")</f>
        <v>50832</v>
      </c>
      <c r="D1705" s="202">
        <v>2.4493033565469023E-2</v>
      </c>
      <c r="E1705" s="202">
        <v>2.4338782759683042E-2</v>
      </c>
      <c r="U1705" s="204"/>
    </row>
    <row r="1706" spans="1:21" x14ac:dyDescent="0.2">
      <c r="A1706" s="64" t="str">
        <f t="shared" si="27"/>
        <v>1w</v>
      </c>
      <c r="B1706" s="203">
        <f>_xll.qlCalendarAdvance(Calendar,B1705,A1706,"f",FALSE)</f>
        <v>50837</v>
      </c>
      <c r="C1706" s="237">
        <f>_xll.qlCalendarAdvance(Calendar,B1706,NDays&amp;"D")</f>
        <v>50839</v>
      </c>
      <c r="D1706" s="202">
        <v>2.4492462764887597E-2</v>
      </c>
      <c r="E1706" s="202">
        <v>2.4336628927690285E-2</v>
      </c>
      <c r="U1706" s="204"/>
    </row>
    <row r="1707" spans="1:21" x14ac:dyDescent="0.2">
      <c r="A1707" s="64" t="str">
        <f t="shared" si="27"/>
        <v>1w</v>
      </c>
      <c r="B1707" s="203">
        <f>_xll.qlCalendarAdvance(Calendar,B1706,A1707,"f",FALSE)</f>
        <v>50844</v>
      </c>
      <c r="C1707" s="237">
        <f>_xll.qlCalendarAdvance(Calendar,B1707,NDays&amp;"D")</f>
        <v>50846</v>
      </c>
      <c r="D1707" s="202">
        <v>2.4491731325110466E-2</v>
      </c>
      <c r="E1707" s="202">
        <v>2.433491074153693E-2</v>
      </c>
      <c r="U1707" s="204"/>
    </row>
    <row r="1708" spans="1:21" x14ac:dyDescent="0.2">
      <c r="A1708" s="64" t="str">
        <f t="shared" si="27"/>
        <v>1w</v>
      </c>
      <c r="B1708" s="203">
        <f>_xll.qlCalendarAdvance(Calendar,B1707,A1708,"f",FALSE)</f>
        <v>50851</v>
      </c>
      <c r="C1708" s="237">
        <f>_xll.qlCalendarAdvance(Calendar,B1708,NDays&amp;"D")</f>
        <v>50853</v>
      </c>
      <c r="D1708" s="202">
        <v>2.4490799128455115E-2</v>
      </c>
      <c r="E1708" s="202">
        <v>2.4333628201542723E-2</v>
      </c>
      <c r="U1708" s="204"/>
    </row>
    <row r="1709" spans="1:21" x14ac:dyDescent="0.2">
      <c r="A1709" s="64" t="str">
        <f t="shared" si="27"/>
        <v>1w</v>
      </c>
      <c r="B1709" s="203">
        <f>_xll.qlCalendarAdvance(Calendar,B1708,A1709,"f",FALSE)</f>
        <v>50858</v>
      </c>
      <c r="C1709" s="237">
        <f>_xll.qlCalendarAdvance(Calendar,B1709,NDays&amp;"D")</f>
        <v>50860</v>
      </c>
      <c r="D1709" s="202">
        <v>2.4487744778998469E-2</v>
      </c>
      <c r="E1709" s="202">
        <v>2.4332781307547791E-2</v>
      </c>
      <c r="U1709" s="204"/>
    </row>
    <row r="1710" spans="1:21" x14ac:dyDescent="0.2">
      <c r="A1710" s="64" t="str">
        <f t="shared" si="27"/>
        <v>1w</v>
      </c>
      <c r="B1710" s="203">
        <f>_xll.qlCalendarAdvance(Calendar,B1709,A1710,"f",FALSE)</f>
        <v>50865</v>
      </c>
      <c r="C1710" s="237">
        <f>_xll.qlCalendarAdvance(Calendar,B1710,NDays&amp;"D")</f>
        <v>50867</v>
      </c>
      <c r="D1710" s="202">
        <v>2.4486403435891063E-2</v>
      </c>
      <c r="E1710" s="202">
        <v>2.4335630927735608E-2</v>
      </c>
      <c r="U1710" s="204"/>
    </row>
    <row r="1711" spans="1:21" x14ac:dyDescent="0.2">
      <c r="A1711" s="64" t="str">
        <f t="shared" si="27"/>
        <v>1w</v>
      </c>
      <c r="B1711" s="203">
        <f>_xll.qlCalendarAdvance(Calendar,B1710,A1711,"f",FALSE)</f>
        <v>50872</v>
      </c>
      <c r="C1711" s="237">
        <f>_xll.qlCalendarAdvance(Calendar,B1711,NDays&amp;"D")</f>
        <v>50874</v>
      </c>
      <c r="D1711" s="202">
        <v>2.4484746027107294E-2</v>
      </c>
      <c r="E1711" s="202">
        <v>2.433239445755575E-2</v>
      </c>
      <c r="U1711" s="204"/>
    </row>
    <row r="1712" spans="1:21" x14ac:dyDescent="0.2">
      <c r="A1712" s="64" t="str">
        <f t="shared" si="27"/>
        <v>1w</v>
      </c>
      <c r="B1712" s="203">
        <f>_xll.qlCalendarAdvance(Calendar,B1711,A1712,"f",FALSE)</f>
        <v>50879</v>
      </c>
      <c r="C1712" s="237">
        <f>_xll.qlCalendarAdvance(Calendar,B1712,NDays&amp;"D")</f>
        <v>50881</v>
      </c>
      <c r="D1712" s="202">
        <v>2.4482731786285947E-2</v>
      </c>
      <c r="E1712" s="202">
        <v>2.4332854501398771E-2</v>
      </c>
      <c r="U1712" s="204"/>
    </row>
    <row r="1713" spans="1:21" x14ac:dyDescent="0.2">
      <c r="A1713" s="64" t="str">
        <f t="shared" si="27"/>
        <v>1w</v>
      </c>
      <c r="B1713" s="203">
        <f>_xll.qlCalendarAdvance(Calendar,B1712,A1713,"f",FALSE)</f>
        <v>50886</v>
      </c>
      <c r="C1713" s="237">
        <f>_xll.qlCalendarAdvance(Calendar,B1713,NDays&amp;"D")</f>
        <v>50888</v>
      </c>
      <c r="D1713" s="202">
        <v>2.4480319947409134E-2</v>
      </c>
      <c r="E1713" s="202">
        <v>2.4333750191400938E-2</v>
      </c>
      <c r="U1713" s="204"/>
    </row>
    <row r="1714" spans="1:21" x14ac:dyDescent="0.2">
      <c r="A1714" s="64" t="str">
        <f t="shared" si="27"/>
        <v>1w</v>
      </c>
      <c r="B1714" s="203">
        <f>_xll.qlCalendarAdvance(Calendar,B1713,A1714,"f",FALSE)</f>
        <v>50893</v>
      </c>
      <c r="C1714" s="237">
        <f>_xll.qlCalendarAdvance(Calendar,B1714,NDays&amp;"D")</f>
        <v>50895</v>
      </c>
      <c r="D1714" s="202">
        <v>2.4478743486657576E-2</v>
      </c>
      <c r="E1714" s="202">
        <v>2.433508152740238E-2</v>
      </c>
      <c r="U1714" s="204"/>
    </row>
    <row r="1715" spans="1:21" x14ac:dyDescent="0.2">
      <c r="A1715" s="64" t="str">
        <f t="shared" si="27"/>
        <v>1w</v>
      </c>
      <c r="B1715" s="203">
        <f>_xll.qlCalendarAdvance(Calendar,B1714,A1715,"f",FALSE)</f>
        <v>50900</v>
      </c>
      <c r="C1715" s="237">
        <f>_xll.qlCalendarAdvance(Calendar,B1715,NDays&amp;"D")</f>
        <v>50902</v>
      </c>
      <c r="D1715" s="202">
        <v>2.4475282714424059E-2</v>
      </c>
      <c r="E1715" s="202">
        <v>2.4336848509243225E-2</v>
      </c>
      <c r="U1715" s="204"/>
    </row>
    <row r="1716" spans="1:21" x14ac:dyDescent="0.2">
      <c r="A1716" s="64" t="str">
        <f t="shared" si="27"/>
        <v>1w</v>
      </c>
      <c r="B1716" s="203">
        <f>_xll.qlCalendarAdvance(Calendar,B1715,A1716,"f",FALSE)</f>
        <v>50907</v>
      </c>
      <c r="C1716" s="237">
        <f>_xll.qlCalendarAdvance(Calendar,B1716,NDays&amp;"D")</f>
        <v>50909</v>
      </c>
      <c r="D1716" s="202">
        <v>2.447130025338011E-2</v>
      </c>
      <c r="E1716" s="202">
        <v>2.4339051137323153E-2</v>
      </c>
      <c r="U1716" s="204"/>
    </row>
    <row r="1717" spans="1:21" x14ac:dyDescent="0.2">
      <c r="A1717" s="64" t="str">
        <f t="shared" si="27"/>
        <v>1w</v>
      </c>
      <c r="B1717" s="203">
        <f>_xll.qlCalendarAdvance(Calendar,B1716,A1717,"f",FALSE)</f>
        <v>50914</v>
      </c>
      <c r="C1717" s="237">
        <f>_xll.qlCalendarAdvance(Calendar,B1717,NDays&amp;"D")</f>
        <v>50916</v>
      </c>
      <c r="D1717" s="202">
        <v>2.4466755989334191E-2</v>
      </c>
      <c r="E1717" s="202">
        <v>2.434168941132242E-2</v>
      </c>
      <c r="U1717" s="204"/>
    </row>
    <row r="1718" spans="1:21" x14ac:dyDescent="0.2">
      <c r="A1718" s="64" t="str">
        <f t="shared" si="27"/>
        <v>1w</v>
      </c>
      <c r="B1718" s="203">
        <f>_xll.qlCalendarAdvance(Calendar,B1717,A1718,"f",FALSE)</f>
        <v>50921</v>
      </c>
      <c r="C1718" s="237">
        <f>_xll.qlCalendarAdvance(Calendar,B1718,NDays&amp;"D")</f>
        <v>50923</v>
      </c>
      <c r="D1718" s="202">
        <v>2.4460870540838606E-2</v>
      </c>
      <c r="E1718" s="202">
        <v>2.4344630843620152E-2</v>
      </c>
      <c r="U1718" s="204"/>
    </row>
    <row r="1719" spans="1:21" x14ac:dyDescent="0.2">
      <c r="A1719" s="64" t="str">
        <f t="shared" si="27"/>
        <v>1w</v>
      </c>
      <c r="B1719" s="203">
        <f>_xll.qlCalendarAdvance(Calendar,B1718,A1719,"f",FALSE)</f>
        <v>50928</v>
      </c>
      <c r="C1719" s="237">
        <f>_xll.qlCalendarAdvance(Calendar,B1719,NDays&amp;"D")</f>
        <v>50930</v>
      </c>
      <c r="D1719" s="202">
        <v>2.4455236331233074E-2</v>
      </c>
      <c r="E1719" s="202">
        <v>2.4347087669562839E-2</v>
      </c>
      <c r="U1719" s="204"/>
    </row>
    <row r="1720" spans="1:21" x14ac:dyDescent="0.2">
      <c r="A1720" s="64" t="str">
        <f t="shared" si="27"/>
        <v>1w</v>
      </c>
      <c r="B1720" s="203">
        <f>_xll.qlCalendarAdvance(Calendar,B1719,A1720,"f",FALSE)</f>
        <v>50935</v>
      </c>
      <c r="C1720" s="237">
        <f>_xll.qlCalendarAdvance(Calendar,B1720,NDays&amp;"D")</f>
        <v>50937</v>
      </c>
      <c r="D1720" s="202">
        <v>2.4448977416259891E-2</v>
      </c>
      <c r="E1720" s="202">
        <v>2.4348927401529608E-2</v>
      </c>
      <c r="U1720" s="204"/>
    </row>
    <row r="1721" spans="1:21" x14ac:dyDescent="0.2">
      <c r="A1721" s="64" t="str">
        <f t="shared" si="27"/>
        <v>1w</v>
      </c>
      <c r="B1721" s="203">
        <f>_xll.qlCalendarAdvance(Calendar,B1720,A1721,"f",FALSE)</f>
        <v>50942</v>
      </c>
      <c r="C1721" s="237">
        <f>_xll.qlCalendarAdvance(Calendar,B1721,NDays&amp;"D")</f>
        <v>50944</v>
      </c>
      <c r="D1721" s="202">
        <v>2.4442093801808111E-2</v>
      </c>
      <c r="E1721" s="202">
        <v>2.4350150039440521E-2</v>
      </c>
      <c r="U1721" s="204"/>
    </row>
    <row r="1722" spans="1:21" x14ac:dyDescent="0.2">
      <c r="A1722" s="64" t="str">
        <f t="shared" si="27"/>
        <v>1w</v>
      </c>
      <c r="B1722" s="203">
        <f>_xll.qlCalendarAdvance(Calendar,B1721,A1722,"f",FALSE)</f>
        <v>50949</v>
      </c>
      <c r="C1722" s="237">
        <f>_xll.qlCalendarAdvance(Calendar,B1722,NDays&amp;"D")</f>
        <v>50951</v>
      </c>
      <c r="D1722" s="202">
        <v>2.4434585494356051E-2</v>
      </c>
      <c r="E1722" s="202">
        <v>2.4350755583135708E-2</v>
      </c>
      <c r="U1722" s="204"/>
    </row>
    <row r="1723" spans="1:21" x14ac:dyDescent="0.2">
      <c r="A1723" s="64" t="str">
        <f t="shared" si="27"/>
        <v>1w</v>
      </c>
      <c r="B1723" s="203">
        <f>_xll.qlCalendarAdvance(Calendar,B1722,A1723,"f",FALSE)</f>
        <v>50956</v>
      </c>
      <c r="C1723" s="237">
        <f>_xll.qlCalendarAdvance(Calendar,B1723,NDays&amp;"D")</f>
        <v>50958</v>
      </c>
      <c r="D1723" s="202">
        <v>2.4426515886339924E-2</v>
      </c>
      <c r="E1723" s="202">
        <v>2.435074403277504E-2</v>
      </c>
      <c r="U1723" s="204"/>
    </row>
    <row r="1724" spans="1:21" x14ac:dyDescent="0.2">
      <c r="A1724" s="64" t="str">
        <f t="shared" si="27"/>
        <v>1w</v>
      </c>
      <c r="B1724" s="203">
        <f>_xll.qlCalendarAdvance(Calendar,B1723,A1724,"f",FALSE)</f>
        <v>50963</v>
      </c>
      <c r="C1724" s="237">
        <f>_xll.qlCalendarAdvance(Calendar,B1724,NDays&amp;"D")</f>
        <v>50965</v>
      </c>
      <c r="D1724" s="202">
        <v>2.4417622560276825E-2</v>
      </c>
      <c r="E1724" s="202">
        <v>2.4350115388438454E-2</v>
      </c>
      <c r="U1724" s="204"/>
    </row>
    <row r="1725" spans="1:21" x14ac:dyDescent="0.2">
      <c r="A1725" s="64" t="str">
        <f t="shared" si="27"/>
        <v>1w</v>
      </c>
      <c r="B1725" s="203">
        <f>_xll.qlCalendarAdvance(Calendar,B1724,A1725,"f",FALSE)</f>
        <v>50970</v>
      </c>
      <c r="C1725" s="237">
        <f>_xll.qlCalendarAdvance(Calendar,B1725,NDays&amp;"D")</f>
        <v>50972</v>
      </c>
      <c r="D1725" s="202">
        <v>2.440810444057195E-2</v>
      </c>
      <c r="E1725" s="202">
        <v>2.4348869649966076E-2</v>
      </c>
      <c r="U1725" s="204"/>
    </row>
    <row r="1726" spans="1:21" x14ac:dyDescent="0.2">
      <c r="A1726" s="64" t="str">
        <f t="shared" si="27"/>
        <v>1w</v>
      </c>
      <c r="B1726" s="203">
        <f>_xll.qlCalendarAdvance(Calendar,B1725,A1726,"f",FALSE)</f>
        <v>50977</v>
      </c>
      <c r="C1726" s="237">
        <f>_xll.qlCalendarAdvance(Calendar,B1726,NDays&amp;"D")</f>
        <v>50979</v>
      </c>
      <c r="D1726" s="202">
        <v>2.4397961536328134E-2</v>
      </c>
      <c r="E1726" s="202">
        <v>2.4347006817437844E-2</v>
      </c>
      <c r="U1726" s="204"/>
    </row>
    <row r="1727" spans="1:21" x14ac:dyDescent="0.2">
      <c r="A1727" s="64" t="str">
        <f t="shared" si="27"/>
        <v>1w</v>
      </c>
      <c r="B1727" s="203">
        <f>_xll.qlCalendarAdvance(Calendar,B1726,A1727,"f",FALSE)</f>
        <v>50984</v>
      </c>
      <c r="C1727" s="237">
        <f>_xll.qlCalendarAdvance(Calendar,B1727,NDays&amp;"D")</f>
        <v>50986</v>
      </c>
      <c r="D1727" s="202">
        <v>2.4387193857246862E-2</v>
      </c>
      <c r="E1727" s="202">
        <v>2.4344526890853757E-2</v>
      </c>
      <c r="U1727" s="204"/>
    </row>
    <row r="1728" spans="1:21" x14ac:dyDescent="0.2">
      <c r="A1728" s="64" t="str">
        <f t="shared" si="27"/>
        <v>1w</v>
      </c>
      <c r="B1728" s="203">
        <f>_xll.qlCalendarAdvance(Calendar,B1727,A1728,"f",FALSE)</f>
        <v>50991</v>
      </c>
      <c r="C1728" s="237">
        <f>_xll.qlCalendarAdvance(Calendar,B1728,NDays&amp;"D")</f>
        <v>50993</v>
      </c>
      <c r="D1728" s="202">
        <v>2.4375801413626132E-2</v>
      </c>
      <c r="E1728" s="202">
        <v>2.4341429870293751E-2</v>
      </c>
      <c r="U1728" s="204"/>
    </row>
    <row r="1729" spans="1:21" x14ac:dyDescent="0.2">
      <c r="A1729" s="64" t="str">
        <f t="shared" si="27"/>
        <v>1w</v>
      </c>
      <c r="B1729" s="203">
        <f>_xll.qlCalendarAdvance(Calendar,B1728,A1729,"f",FALSE)</f>
        <v>50998</v>
      </c>
      <c r="C1729" s="237">
        <f>_xll.qlCalendarAdvance(Calendar,B1729,NDays&amp;"D")</f>
        <v>51000</v>
      </c>
      <c r="D1729" s="202">
        <v>2.4363784216361744E-2</v>
      </c>
      <c r="E1729" s="202">
        <v>2.4337715755757827E-2</v>
      </c>
      <c r="U1729" s="204"/>
    </row>
    <row r="1730" spans="1:21" x14ac:dyDescent="0.2">
      <c r="A1730" s="64" t="str">
        <f t="shared" si="27"/>
        <v>1w</v>
      </c>
      <c r="B1730" s="203">
        <f>_xll.qlCalendarAdvance(Calendar,B1729,A1730,"f",FALSE)</f>
        <v>51005</v>
      </c>
      <c r="C1730" s="237">
        <f>_xll.qlCalendarAdvance(Calendar,B1730,NDays&amp;"D")</f>
        <v>51007</v>
      </c>
      <c r="D1730" s="202">
        <v>2.4351142276946441E-2</v>
      </c>
      <c r="E1730" s="202">
        <v>2.433338454692624E-2</v>
      </c>
      <c r="U1730" s="204"/>
    </row>
    <row r="1731" spans="1:21" x14ac:dyDescent="0.2">
      <c r="A1731" s="64" t="str">
        <f t="shared" si="27"/>
        <v>1w</v>
      </c>
      <c r="B1731" s="203">
        <f>_xll.qlCalendarAdvance(Calendar,B1730,A1731,"f",FALSE)</f>
        <v>51012</v>
      </c>
      <c r="C1731" s="237">
        <f>_xll.qlCalendarAdvance(Calendar,B1731,NDays&amp;"D")</f>
        <v>51014</v>
      </c>
      <c r="D1731" s="202">
        <v>2.4339233931065057E-2</v>
      </c>
      <c r="E1731" s="202">
        <v>2.4328436244358542E-2</v>
      </c>
      <c r="U1731" s="204"/>
    </row>
    <row r="1732" spans="1:21" x14ac:dyDescent="0.2">
      <c r="A1732" s="64" t="str">
        <f t="shared" si="27"/>
        <v>1w</v>
      </c>
      <c r="B1732" s="203">
        <f>_xll.qlCalendarAdvance(Calendar,B1731,A1732,"f",FALSE)</f>
        <v>51019</v>
      </c>
      <c r="C1732" s="237">
        <f>_xll.qlCalendarAdvance(Calendar,B1732,NDays&amp;"D")</f>
        <v>51021</v>
      </c>
      <c r="D1732" s="202">
        <v>2.4325524712397961E-2</v>
      </c>
      <c r="E1732" s="202">
        <v>2.4322870847655054E-2</v>
      </c>
      <c r="U1732" s="204"/>
    </row>
    <row r="1733" spans="1:21" x14ac:dyDescent="0.2">
      <c r="A1733" s="64" t="str">
        <f t="shared" si="27"/>
        <v>1w</v>
      </c>
      <c r="B1733" s="203">
        <f>_xll.qlCalendarAdvance(Calendar,B1732,A1733,"f",FALSE)</f>
        <v>51026</v>
      </c>
      <c r="C1733" s="237">
        <f>_xll.qlCalendarAdvance(Calendar,B1733,NDays&amp;"D")</f>
        <v>51028</v>
      </c>
      <c r="D1733" s="202">
        <v>2.4311190951176054E-2</v>
      </c>
      <c r="E1733" s="202">
        <v>2.4316688357215455E-2</v>
      </c>
      <c r="U1733" s="204"/>
    </row>
    <row r="1734" spans="1:21" x14ac:dyDescent="0.2">
      <c r="A1734" s="64" t="str">
        <f t="shared" si="27"/>
        <v>1w</v>
      </c>
      <c r="B1734" s="203">
        <f>_xll.qlCalendarAdvance(Calendar,B1733,A1734,"f",FALSE)</f>
        <v>51033</v>
      </c>
      <c r="C1734" s="237">
        <f>_xll.qlCalendarAdvance(Calendar,B1734,NDays&amp;"D")</f>
        <v>51035</v>
      </c>
      <c r="D1734" s="202">
        <v>2.4296232660811459E-2</v>
      </c>
      <c r="E1734" s="202">
        <v>2.4309888772720001E-2</v>
      </c>
      <c r="U1734" s="204"/>
    </row>
    <row r="1735" spans="1:21" x14ac:dyDescent="0.2">
      <c r="A1735" s="64" t="str">
        <f t="shared" ref="A1735:A1798" si="28">A1734</f>
        <v>1w</v>
      </c>
      <c r="B1735" s="203">
        <f>_xll.qlCalendarAdvance(Calendar,B1734,A1735,"f",FALSE)</f>
        <v>51040</v>
      </c>
      <c r="C1735" s="237">
        <f>_xll.qlCalendarAdvance(Calendar,B1735,NDays&amp;"D")</f>
        <v>51042</v>
      </c>
      <c r="D1735" s="202">
        <v>2.428064985530309E-2</v>
      </c>
      <c r="E1735" s="202">
        <v>2.43024720944085E-2</v>
      </c>
      <c r="U1735" s="204"/>
    </row>
    <row r="1736" spans="1:21" x14ac:dyDescent="0.2">
      <c r="A1736" s="64" t="str">
        <f t="shared" si="28"/>
        <v>1w</v>
      </c>
      <c r="B1736" s="203">
        <f>_xll.qlCalendarAdvance(Calendar,B1735,A1736,"f",FALSE)</f>
        <v>51047</v>
      </c>
      <c r="C1736" s="237">
        <f>_xll.qlCalendarAdvance(Calendar,B1736,NDays&amp;"D")</f>
        <v>51049</v>
      </c>
      <c r="D1736" s="202">
        <v>2.426388145124922E-2</v>
      </c>
      <c r="E1736" s="202">
        <v>2.4294438322201017E-2</v>
      </c>
      <c r="U1736" s="204"/>
    </row>
    <row r="1737" spans="1:21" x14ac:dyDescent="0.2">
      <c r="A1737" s="64" t="str">
        <f t="shared" si="28"/>
        <v>1w</v>
      </c>
      <c r="B1737" s="203">
        <f>_xll.qlCalendarAdvance(Calendar,B1736,A1737,"f",FALSE)</f>
        <v>51054</v>
      </c>
      <c r="C1737" s="237">
        <f>_xll.qlCalendarAdvance(Calendar,B1737,NDays&amp;"D")</f>
        <v>51056</v>
      </c>
      <c r="D1737" s="202">
        <v>2.4247003925762314E-2</v>
      </c>
      <c r="E1737" s="202">
        <v>2.4285787456257424E-2</v>
      </c>
      <c r="U1737" s="204"/>
    </row>
    <row r="1738" spans="1:21" x14ac:dyDescent="0.2">
      <c r="A1738" s="64" t="str">
        <f t="shared" si="28"/>
        <v>1w</v>
      </c>
      <c r="B1738" s="203">
        <f>_xll.qlCalendarAdvance(Calendar,B1737,A1738,"f",FALSE)</f>
        <v>51061</v>
      </c>
      <c r="C1738" s="237">
        <f>_xll.qlCalendarAdvance(Calendar,B1738,NDays&amp;"D")</f>
        <v>51063</v>
      </c>
      <c r="D1738" s="202">
        <v>2.4229501890847629E-2</v>
      </c>
      <c r="E1738" s="202">
        <v>2.4276519496737592E-2</v>
      </c>
      <c r="U1738" s="204"/>
    </row>
    <row r="1739" spans="1:21" x14ac:dyDescent="0.2">
      <c r="A1739" s="64" t="str">
        <f t="shared" si="28"/>
        <v>1w</v>
      </c>
      <c r="B1739" s="203">
        <f>_xll.qlCalendarAdvance(Calendar,B1738,A1739,"f",FALSE)</f>
        <v>51068</v>
      </c>
      <c r="C1739" s="237">
        <f>_xll.qlCalendarAdvance(Calendar,B1739,NDays&amp;"D")</f>
        <v>51070</v>
      </c>
      <c r="D1739" s="202">
        <v>2.4211375362971119E-2</v>
      </c>
      <c r="E1739" s="202">
        <v>2.4266634443321777E-2</v>
      </c>
      <c r="U1739" s="204"/>
    </row>
    <row r="1740" spans="1:21" x14ac:dyDescent="0.2">
      <c r="A1740" s="64" t="str">
        <f t="shared" si="28"/>
        <v>1w</v>
      </c>
      <c r="B1740" s="203">
        <f>_xll.qlCalendarAdvance(Calendar,B1739,A1740,"f",FALSE)</f>
        <v>51075</v>
      </c>
      <c r="C1740" s="237">
        <f>_xll.qlCalendarAdvance(Calendar,B1740,NDays&amp;"D")</f>
        <v>51077</v>
      </c>
      <c r="D1740" s="202">
        <v>2.4193368631441534E-2</v>
      </c>
      <c r="E1740" s="202">
        <v>2.4256132296249788E-2</v>
      </c>
      <c r="U1740" s="204"/>
    </row>
    <row r="1741" spans="1:21" x14ac:dyDescent="0.2">
      <c r="A1741" s="64" t="str">
        <f t="shared" si="28"/>
        <v>1w</v>
      </c>
      <c r="B1741" s="203">
        <f>_xll.qlCalendarAdvance(Calendar,B1740,A1741,"f",FALSE)</f>
        <v>51082</v>
      </c>
      <c r="C1741" s="237">
        <f>_xll.qlCalendarAdvance(Calendar,B1741,NDays&amp;"D")</f>
        <v>51084</v>
      </c>
      <c r="D1741" s="202">
        <v>2.4174039061751619E-2</v>
      </c>
      <c r="E1741" s="202">
        <v>2.4245013055601561E-2</v>
      </c>
      <c r="U1741" s="204"/>
    </row>
    <row r="1742" spans="1:21" x14ac:dyDescent="0.2">
      <c r="A1742" s="64" t="str">
        <f t="shared" si="28"/>
        <v>1w</v>
      </c>
      <c r="B1742" s="203">
        <f>_xll.qlCalendarAdvance(Calendar,B1741,A1742,"f",FALSE)</f>
        <v>51089</v>
      </c>
      <c r="C1742" s="237">
        <f>_xll.qlCalendarAdvance(Calendar,B1742,NDays&amp;"D")</f>
        <v>51091</v>
      </c>
      <c r="D1742" s="202">
        <v>2.4154085091265577E-2</v>
      </c>
      <c r="E1742" s="202">
        <v>2.4233276721536967E-2</v>
      </c>
      <c r="U1742" s="204"/>
    </row>
    <row r="1743" spans="1:21" x14ac:dyDescent="0.2">
      <c r="A1743" s="64" t="str">
        <f t="shared" si="28"/>
        <v>1w</v>
      </c>
      <c r="B1743" s="203">
        <f>_xll.qlCalendarAdvance(Calendar,B1742,A1743,"f",FALSE)</f>
        <v>51096</v>
      </c>
      <c r="C1743" s="237">
        <f>_xll.qlCalendarAdvance(Calendar,B1743,NDays&amp;"D")</f>
        <v>51098</v>
      </c>
      <c r="D1743" s="202">
        <v>2.4133506738654633E-2</v>
      </c>
      <c r="E1743" s="202">
        <v>2.4220923293976071E-2</v>
      </c>
      <c r="U1743" s="204"/>
    </row>
    <row r="1744" spans="1:21" x14ac:dyDescent="0.2">
      <c r="A1744" s="64" t="str">
        <f t="shared" si="28"/>
        <v>1w</v>
      </c>
      <c r="B1744" s="203">
        <f>_xll.qlCalendarAdvance(Calendar,B1743,A1744,"f",FALSE)</f>
        <v>51103</v>
      </c>
      <c r="C1744" s="237">
        <f>_xll.qlCalendarAdvance(Calendar,B1744,NDays&amp;"D")</f>
        <v>51105</v>
      </c>
      <c r="D1744" s="202">
        <v>2.4111376622860361E-2</v>
      </c>
      <c r="E1744" s="202">
        <v>2.4207952772918873E-2</v>
      </c>
      <c r="U1744" s="204"/>
    </row>
    <row r="1745" spans="1:21" x14ac:dyDescent="0.2">
      <c r="A1745" s="64" t="str">
        <f t="shared" si="28"/>
        <v>1w</v>
      </c>
      <c r="B1745" s="203">
        <f>_xll.qlCalendarAdvance(Calendar,B1744,A1745,"f",FALSE)</f>
        <v>51110</v>
      </c>
      <c r="C1745" s="237">
        <f>_xll.qlCalendarAdvance(Calendar,B1745,NDays&amp;"D")</f>
        <v>51112</v>
      </c>
      <c r="D1745" s="202">
        <v>2.4089527882737886E-2</v>
      </c>
      <c r="E1745" s="202">
        <v>2.4194365158525244E-2</v>
      </c>
      <c r="U1745" s="204"/>
    </row>
    <row r="1746" spans="1:21" x14ac:dyDescent="0.2">
      <c r="A1746" s="64" t="str">
        <f t="shared" si="28"/>
        <v>1w</v>
      </c>
      <c r="B1746" s="203">
        <f>_xll.qlCalendarAdvance(Calendar,B1745,A1746,"f",FALSE)</f>
        <v>51117</v>
      </c>
      <c r="C1746" s="237">
        <f>_xll.qlCalendarAdvance(Calendar,B1746,NDays&amp;"D")</f>
        <v>51119</v>
      </c>
      <c r="D1746" s="202">
        <v>2.4067128406284114E-2</v>
      </c>
      <c r="E1746" s="202">
        <v>2.4180160450955057E-2</v>
      </c>
      <c r="U1746" s="204"/>
    </row>
    <row r="1747" spans="1:21" x14ac:dyDescent="0.2">
      <c r="A1747" s="64" t="str">
        <f t="shared" si="28"/>
        <v>1w</v>
      </c>
      <c r="B1747" s="203">
        <f>_xll.qlCalendarAdvance(Calendar,B1746,A1747,"f",FALSE)</f>
        <v>51124</v>
      </c>
      <c r="C1747" s="237">
        <f>_xll.qlCalendarAdvance(Calendar,B1747,NDays&amp;"D")</f>
        <v>51126</v>
      </c>
      <c r="D1747" s="202">
        <v>2.4044229749317029E-2</v>
      </c>
      <c r="E1747" s="202">
        <v>2.4165338650128376E-2</v>
      </c>
      <c r="U1747" s="204"/>
    </row>
    <row r="1748" spans="1:21" x14ac:dyDescent="0.2">
      <c r="A1748" s="64" t="str">
        <f t="shared" si="28"/>
        <v>1w</v>
      </c>
      <c r="B1748" s="203">
        <f>_xll.qlCalendarAdvance(Calendar,B1747,A1748,"f",FALSE)</f>
        <v>51131</v>
      </c>
      <c r="C1748" s="237">
        <f>_xll.qlCalendarAdvance(Calendar,B1748,NDays&amp;"D")</f>
        <v>51133</v>
      </c>
      <c r="D1748" s="202">
        <v>2.4020883465684588E-2</v>
      </c>
      <c r="E1748" s="202">
        <v>2.4149899756205073E-2</v>
      </c>
      <c r="U1748" s="204"/>
    </row>
    <row r="1749" spans="1:21" x14ac:dyDescent="0.2">
      <c r="A1749" s="64" t="str">
        <f t="shared" si="28"/>
        <v>1w</v>
      </c>
      <c r="B1749" s="203">
        <f>_xll.qlCalendarAdvance(Calendar,B1748,A1749,"f",FALSE)</f>
        <v>51138</v>
      </c>
      <c r="C1749" s="237">
        <f>_xll.qlCalendarAdvance(Calendar,B1749,NDays&amp;"D")</f>
        <v>51140</v>
      </c>
      <c r="D1749" s="202">
        <v>2.3998201045242525E-2</v>
      </c>
      <c r="E1749" s="202">
        <v>2.4133843769185148E-2</v>
      </c>
      <c r="U1749" s="204"/>
    </row>
    <row r="1750" spans="1:21" x14ac:dyDescent="0.2">
      <c r="A1750" s="64" t="str">
        <f t="shared" si="28"/>
        <v>1w</v>
      </c>
      <c r="B1750" s="203">
        <f>_xll.qlCalendarAdvance(Calendar,B1749,A1750,"f",FALSE)</f>
        <v>51145</v>
      </c>
      <c r="C1750" s="237">
        <f>_xll.qlCalendarAdvance(Calendar,B1750,NDays&amp;"D")</f>
        <v>51147</v>
      </c>
      <c r="D1750" s="202">
        <v>2.3974121975627389E-2</v>
      </c>
      <c r="E1750" s="202">
        <v>2.4117170689228473E-2</v>
      </c>
      <c r="U1750" s="204"/>
    </row>
    <row r="1751" spans="1:21" x14ac:dyDescent="0.2">
      <c r="A1751" s="64" t="str">
        <f t="shared" si="28"/>
        <v>1w</v>
      </c>
      <c r="B1751" s="203">
        <f>_xll.qlCalendarAdvance(Calendar,B1750,A1751,"f",FALSE)</f>
        <v>51152</v>
      </c>
      <c r="C1751" s="237">
        <f>_xll.qlCalendarAdvance(Calendar,B1751,NDays&amp;"D")</f>
        <v>51154</v>
      </c>
      <c r="D1751" s="202">
        <v>2.3949744363388665E-2</v>
      </c>
      <c r="E1751" s="202">
        <v>2.4099880516335048E-2</v>
      </c>
      <c r="U1751" s="204"/>
    </row>
    <row r="1752" spans="1:21" x14ac:dyDescent="0.2">
      <c r="A1752" s="64" t="str">
        <f t="shared" si="28"/>
        <v>1w</v>
      </c>
      <c r="B1752" s="203">
        <f>_xll.qlCalendarAdvance(Calendar,B1751,A1752,"f",FALSE)</f>
        <v>51159</v>
      </c>
      <c r="C1752" s="237">
        <f>_xll.qlCalendarAdvance(Calendar,B1752,NDays&amp;"D")</f>
        <v>51161</v>
      </c>
      <c r="D1752" s="202">
        <v>2.3925120033334094E-2</v>
      </c>
      <c r="E1752" s="202">
        <v>2.4081973250744682E-2</v>
      </c>
      <c r="U1752" s="204"/>
    </row>
    <row r="1753" spans="1:21" x14ac:dyDescent="0.2">
      <c r="A1753" s="64" t="str">
        <f t="shared" si="28"/>
        <v>1w</v>
      </c>
      <c r="B1753" s="203">
        <f>_xll.qlCalendarAdvance(Calendar,B1752,A1753,"f",FALSE)</f>
        <v>51166</v>
      </c>
      <c r="C1753" s="237">
        <f>_xll.qlCalendarAdvance(Calendar,B1753,NDays&amp;"D")</f>
        <v>51168</v>
      </c>
      <c r="D1753" s="202">
        <v>2.390030080782941E-2</v>
      </c>
      <c r="E1753" s="202">
        <v>2.4063448892457373E-2</v>
      </c>
      <c r="U1753" s="204"/>
    </row>
    <row r="1754" spans="1:21" x14ac:dyDescent="0.2">
      <c r="A1754" s="64" t="str">
        <f t="shared" si="28"/>
        <v>1w</v>
      </c>
      <c r="B1754" s="203">
        <f>_xll.qlCalendarAdvance(Calendar,B1753,A1754,"f",FALSE)</f>
        <v>51173</v>
      </c>
      <c r="C1754" s="237">
        <f>_xll.qlCalendarAdvance(Calendar,B1754,NDays&amp;"D")</f>
        <v>51175</v>
      </c>
      <c r="D1754" s="202">
        <v>2.3875338506737308E-2</v>
      </c>
      <c r="E1754" s="202">
        <v>2.4044307441553059E-2</v>
      </c>
      <c r="U1754" s="204"/>
    </row>
    <row r="1755" spans="1:21" x14ac:dyDescent="0.2">
      <c r="A1755" s="64" t="str">
        <f t="shared" si="28"/>
        <v>1w</v>
      </c>
      <c r="B1755" s="203">
        <f>_xll.qlCalendarAdvance(Calendar,B1754,A1755,"f",FALSE)</f>
        <v>51180</v>
      </c>
      <c r="C1755" s="237">
        <f>_xll.qlCalendarAdvance(Calendar,B1755,NDays&amp;"D")</f>
        <v>51182</v>
      </c>
      <c r="D1755" s="202">
        <v>2.3850284947376132E-2</v>
      </c>
      <c r="E1755" s="202">
        <v>2.4024548898031739E-2</v>
      </c>
      <c r="U1755" s="204"/>
    </row>
    <row r="1756" spans="1:21" x14ac:dyDescent="0.2">
      <c r="A1756" s="64" t="str">
        <f t="shared" si="28"/>
        <v>1w</v>
      </c>
      <c r="B1756" s="203">
        <f>_xll.qlCalendarAdvance(Calendar,B1755,A1756,"f",FALSE)</f>
        <v>51187</v>
      </c>
      <c r="C1756" s="237">
        <f>_xll.qlCalendarAdvance(Calendar,B1756,NDays&amp;"D")</f>
        <v>51189</v>
      </c>
      <c r="D1756" s="202">
        <v>2.3825191944490468E-2</v>
      </c>
      <c r="E1756" s="202">
        <v>2.4004173262213158E-2</v>
      </c>
      <c r="U1756" s="204"/>
    </row>
    <row r="1757" spans="1:21" x14ac:dyDescent="0.2">
      <c r="A1757" s="64" t="str">
        <f t="shared" si="28"/>
        <v>1w</v>
      </c>
      <c r="B1757" s="203">
        <f>_xll.qlCalendarAdvance(Calendar,B1756,A1757,"f",FALSE)</f>
        <v>51194</v>
      </c>
      <c r="C1757" s="237">
        <f>_xll.qlCalendarAdvance(Calendar,B1757,NDays&amp;"D")</f>
        <v>51196</v>
      </c>
      <c r="D1757" s="202">
        <v>2.3796204091699968E-2</v>
      </c>
      <c r="E1757" s="202">
        <v>2.3983180534097315E-2</v>
      </c>
      <c r="U1757" s="204"/>
    </row>
    <row r="1758" spans="1:21" x14ac:dyDescent="0.2">
      <c r="A1758" s="64" t="str">
        <f t="shared" si="28"/>
        <v>1w</v>
      </c>
      <c r="B1758" s="203">
        <f>_xll.qlCalendarAdvance(Calendar,B1757,A1758,"f",FALSE)</f>
        <v>51201</v>
      </c>
      <c r="C1758" s="237">
        <f>_xll.qlCalendarAdvance(Calendar,B1758,NDays&amp;"D")</f>
        <v>51203</v>
      </c>
      <c r="D1758" s="202">
        <v>2.3771304479676122E-2</v>
      </c>
      <c r="E1758" s="202">
        <v>2.3961570713844083E-2</v>
      </c>
      <c r="U1758" s="204"/>
    </row>
    <row r="1759" spans="1:21" x14ac:dyDescent="0.2">
      <c r="A1759" s="64" t="str">
        <f t="shared" si="28"/>
        <v>1w</v>
      </c>
      <c r="B1759" s="203">
        <f>_xll.qlCalendarAdvance(Calendar,B1758,A1759,"f",FALSE)</f>
        <v>51208</v>
      </c>
      <c r="C1759" s="237">
        <f>_xll.qlCalendarAdvance(Calendar,B1759,NDays&amp;"D")</f>
        <v>51210</v>
      </c>
      <c r="D1759" s="202">
        <v>2.3746533941762387E-2</v>
      </c>
      <c r="E1759" s="202">
        <v>2.3939343801453461E-2</v>
      </c>
      <c r="U1759" s="204"/>
    </row>
    <row r="1760" spans="1:21" x14ac:dyDescent="0.2">
      <c r="A1760" s="64" t="str">
        <f t="shared" si="28"/>
        <v>1w</v>
      </c>
      <c r="B1760" s="203">
        <f>_xll.qlCalendarAdvance(Calendar,B1759,A1760,"f",FALSE)</f>
        <v>51215</v>
      </c>
      <c r="C1760" s="237">
        <f>_xll.qlCalendarAdvance(Calendar,B1760,NDays&amp;"D")</f>
        <v>51217</v>
      </c>
      <c r="D1760" s="202">
        <v>2.3721943180747825E-2</v>
      </c>
      <c r="E1760" s="202">
        <v>2.3916499797165258E-2</v>
      </c>
      <c r="U1760" s="204"/>
    </row>
    <row r="1761" spans="1:21" x14ac:dyDescent="0.2">
      <c r="A1761" s="64" t="str">
        <f t="shared" si="28"/>
        <v>1w</v>
      </c>
      <c r="B1761" s="203">
        <f>_xll.qlCalendarAdvance(Calendar,B1760,A1761,"f",FALSE)</f>
        <v>51222</v>
      </c>
      <c r="C1761" s="237">
        <f>_xll.qlCalendarAdvance(Calendar,B1761,NDays&amp;"D")</f>
        <v>51224</v>
      </c>
      <c r="D1761" s="202">
        <v>2.3700100578067821E-2</v>
      </c>
      <c r="E1761" s="202">
        <v>2.3889379531579991E-2</v>
      </c>
      <c r="U1761" s="204"/>
    </row>
    <row r="1762" spans="1:21" x14ac:dyDescent="0.2">
      <c r="A1762" s="64" t="str">
        <f t="shared" si="28"/>
        <v>1w</v>
      </c>
      <c r="B1762" s="203">
        <f>_xll.qlCalendarAdvance(Calendar,B1761,A1762,"f",FALSE)</f>
        <v>51229</v>
      </c>
      <c r="C1762" s="237">
        <f>_xll.qlCalendarAdvance(Calendar,B1762,NDays&amp;"D")</f>
        <v>51231</v>
      </c>
      <c r="D1762" s="202">
        <v>2.3675899364043546E-2</v>
      </c>
      <c r="E1762" s="202">
        <v>2.3868960512976045E-2</v>
      </c>
      <c r="U1762" s="204"/>
    </row>
    <row r="1763" spans="1:21" x14ac:dyDescent="0.2">
      <c r="A1763" s="64" t="str">
        <f t="shared" si="28"/>
        <v>1w</v>
      </c>
      <c r="B1763" s="203">
        <f>_xll.qlCalendarAdvance(Calendar,B1762,A1763,"f",FALSE)</f>
        <v>51236</v>
      </c>
      <c r="C1763" s="237">
        <f>_xll.qlCalendarAdvance(Calendar,B1763,NDays&amp;"D")</f>
        <v>51238</v>
      </c>
      <c r="D1763" s="202">
        <v>2.3652023543347292E-2</v>
      </c>
      <c r="E1763" s="202">
        <v>2.3844265233474715E-2</v>
      </c>
      <c r="U1763" s="204"/>
    </row>
    <row r="1764" spans="1:21" x14ac:dyDescent="0.2">
      <c r="A1764" s="64" t="str">
        <f t="shared" si="28"/>
        <v>1w</v>
      </c>
      <c r="B1764" s="203">
        <f>_xll.qlCalendarAdvance(Calendar,B1763,A1764,"f",FALSE)</f>
        <v>51243</v>
      </c>
      <c r="C1764" s="237">
        <f>_xll.qlCalendarAdvance(Calendar,B1764,NDays&amp;"D")</f>
        <v>51245</v>
      </c>
      <c r="D1764" s="202">
        <v>2.3628524630743969E-2</v>
      </c>
      <c r="E1764" s="202">
        <v>2.3818952862475484E-2</v>
      </c>
      <c r="U1764" s="204"/>
    </row>
    <row r="1765" spans="1:21" x14ac:dyDescent="0.2">
      <c r="A1765" s="64" t="str">
        <f t="shared" si="28"/>
        <v>1w</v>
      </c>
      <c r="B1765" s="203">
        <f>_xll.qlCalendarAdvance(Calendar,B1764,A1765,"f",FALSE)</f>
        <v>51250</v>
      </c>
      <c r="C1765" s="237">
        <f>_xll.qlCalendarAdvance(Calendar,B1765,NDays&amp;"D")</f>
        <v>51252</v>
      </c>
      <c r="D1765" s="202">
        <v>2.3605454138765962E-2</v>
      </c>
      <c r="E1765" s="202">
        <v>2.3793023400218161E-2</v>
      </c>
      <c r="U1765" s="204"/>
    </row>
    <row r="1766" spans="1:21" x14ac:dyDescent="0.2">
      <c r="A1766" s="64" t="str">
        <f t="shared" si="28"/>
        <v>1w</v>
      </c>
      <c r="B1766" s="203">
        <f>_xll.qlCalendarAdvance(Calendar,B1765,A1766,"f",FALSE)</f>
        <v>51258</v>
      </c>
      <c r="C1766" s="237">
        <f>_xll.qlCalendarAdvance(Calendar,B1766,NDays&amp;"D")</f>
        <v>51260</v>
      </c>
      <c r="D1766" s="202">
        <v>2.3578453868400611E-2</v>
      </c>
      <c r="E1766" s="202">
        <v>2.3760342608625251E-2</v>
      </c>
      <c r="U1766" s="204"/>
    </row>
    <row r="1767" spans="1:21" x14ac:dyDescent="0.2">
      <c r="A1767" s="64" t="str">
        <f t="shared" si="28"/>
        <v>1w</v>
      </c>
      <c r="B1767" s="203">
        <f>_xll.qlCalendarAdvance(Calendar,B1766,A1767,"f",FALSE)</f>
        <v>51265</v>
      </c>
      <c r="C1767" s="237">
        <f>_xll.qlCalendarAdvance(Calendar,B1767,NDays&amp;"D")</f>
        <v>51267</v>
      </c>
      <c r="D1767" s="202">
        <v>2.3556572626443239E-2</v>
      </c>
      <c r="E1767" s="202">
        <v>2.37329990455315E-2</v>
      </c>
      <c r="U1767" s="204"/>
    </row>
    <row r="1768" spans="1:21" x14ac:dyDescent="0.2">
      <c r="A1768" s="64" t="str">
        <f t="shared" si="28"/>
        <v>1w</v>
      </c>
      <c r="B1768" s="203">
        <f>_xll.qlCalendarAdvance(Calendar,B1767,A1768,"f",FALSE)</f>
        <v>51272</v>
      </c>
      <c r="C1768" s="237">
        <f>_xll.qlCalendarAdvance(Calendar,B1768,NDays&amp;"D")</f>
        <v>51274</v>
      </c>
      <c r="D1768" s="202">
        <v>2.3535283197204913E-2</v>
      </c>
      <c r="E1768" s="202">
        <v>2.3705038314520976E-2</v>
      </c>
      <c r="U1768" s="204"/>
    </row>
    <row r="1769" spans="1:21" x14ac:dyDescent="0.2">
      <c r="A1769" s="64" t="str">
        <f t="shared" si="28"/>
        <v>1w</v>
      </c>
      <c r="B1769" s="203">
        <f>_xll.qlCalendarAdvance(Calendar,B1768,A1769,"f",FALSE)</f>
        <v>51279</v>
      </c>
      <c r="C1769" s="237">
        <f>_xll.qlCalendarAdvance(Calendar,B1769,NDays&amp;"D")</f>
        <v>51281</v>
      </c>
      <c r="D1769" s="202">
        <v>2.3514636534586193E-2</v>
      </c>
      <c r="E1769" s="202">
        <v>2.367646041588678E-2</v>
      </c>
      <c r="U1769" s="204"/>
    </row>
    <row r="1770" spans="1:21" x14ac:dyDescent="0.2">
      <c r="A1770" s="64" t="str">
        <f t="shared" si="28"/>
        <v>1w</v>
      </c>
      <c r="B1770" s="203">
        <f>_xll.qlCalendarAdvance(Calendar,B1769,A1770,"f",FALSE)</f>
        <v>51286</v>
      </c>
      <c r="C1770" s="237">
        <f>_xll.qlCalendarAdvance(Calendar,B1770,NDays&amp;"D")</f>
        <v>51288</v>
      </c>
      <c r="D1770" s="202">
        <v>2.3494682922211695E-2</v>
      </c>
      <c r="E1770" s="202">
        <v>2.3647550633798531E-2</v>
      </c>
      <c r="U1770" s="204"/>
    </row>
    <row r="1771" spans="1:21" x14ac:dyDescent="0.2">
      <c r="A1771" s="64" t="str">
        <f t="shared" si="28"/>
        <v>1w</v>
      </c>
      <c r="B1771" s="203">
        <f>_xll.qlCalendarAdvance(Calendar,B1770,A1771,"f",FALSE)</f>
        <v>51293</v>
      </c>
      <c r="C1771" s="237">
        <f>_xll.qlCalendarAdvance(Calendar,B1771,NDays&amp;"D")</f>
        <v>51295</v>
      </c>
      <c r="D1771" s="202">
        <v>2.347545054951275E-2</v>
      </c>
      <c r="E1771" s="202">
        <v>2.3619259913818524E-2</v>
      </c>
      <c r="U1771" s="204"/>
    </row>
    <row r="1772" spans="1:21" x14ac:dyDescent="0.2">
      <c r="A1772" s="64" t="str">
        <f t="shared" si="28"/>
        <v>1w</v>
      </c>
      <c r="B1772" s="203">
        <f>_xll.qlCalendarAdvance(Calendar,B1771,A1772,"f",FALSE)</f>
        <v>51300</v>
      </c>
      <c r="C1772" s="237">
        <f>_xll.qlCalendarAdvance(Calendar,B1772,NDays&amp;"D")</f>
        <v>51302</v>
      </c>
      <c r="D1772" s="202">
        <v>2.3456940980486281E-2</v>
      </c>
      <c r="E1772" s="202">
        <v>2.3591683350012715E-2</v>
      </c>
      <c r="U1772" s="204"/>
    </row>
    <row r="1773" spans="1:21" x14ac:dyDescent="0.2">
      <c r="A1773" s="64" t="str">
        <f t="shared" si="28"/>
        <v>1w</v>
      </c>
      <c r="B1773" s="203">
        <f>_xll.qlCalendarAdvance(Calendar,B1772,A1773,"f",FALSE)</f>
        <v>51307</v>
      </c>
      <c r="C1773" s="237">
        <f>_xll.qlCalendarAdvance(Calendar,B1773,NDays&amp;"D")</f>
        <v>51309</v>
      </c>
      <c r="D1773" s="202">
        <v>2.3439154194755518E-2</v>
      </c>
      <c r="E1773" s="202">
        <v>2.3564820941874842E-2</v>
      </c>
      <c r="U1773" s="204"/>
    </row>
    <row r="1774" spans="1:21" x14ac:dyDescent="0.2">
      <c r="A1774" s="64" t="str">
        <f t="shared" si="28"/>
        <v>1w</v>
      </c>
      <c r="B1774" s="203">
        <f>_xll.qlCalendarAdvance(Calendar,B1773,A1774,"f",FALSE)</f>
        <v>51314</v>
      </c>
      <c r="C1774" s="237">
        <f>_xll.qlCalendarAdvance(Calendar,B1774,NDays&amp;"D")</f>
        <v>51316</v>
      </c>
      <c r="D1774" s="202">
        <v>2.3422090172741307E-2</v>
      </c>
      <c r="E1774" s="202">
        <v>2.3538672688978579E-2</v>
      </c>
      <c r="U1774" s="204"/>
    </row>
    <row r="1775" spans="1:21" x14ac:dyDescent="0.2">
      <c r="A1775" s="64" t="str">
        <f t="shared" si="28"/>
        <v>1w</v>
      </c>
      <c r="B1775" s="203">
        <f>_xll.qlCalendarAdvance(Calendar,B1774,A1775,"f",FALSE)</f>
        <v>51321</v>
      </c>
      <c r="C1775" s="237">
        <f>_xll.qlCalendarAdvance(Calendar,B1775,NDays&amp;"D")</f>
        <v>51323</v>
      </c>
      <c r="D1775" s="202">
        <v>2.3405748895656945E-2</v>
      </c>
      <c r="E1775" s="202">
        <v>2.3513238590791019E-2</v>
      </c>
      <c r="U1775" s="204"/>
    </row>
    <row r="1776" spans="1:21" x14ac:dyDescent="0.2">
      <c r="A1776" s="64" t="str">
        <f t="shared" si="28"/>
        <v>1w</v>
      </c>
      <c r="B1776" s="203">
        <f>_xll.qlCalendarAdvance(Calendar,B1775,A1776,"f",FALSE)</f>
        <v>51328</v>
      </c>
      <c r="C1776" s="237">
        <f>_xll.qlCalendarAdvance(Calendar,B1776,NDays&amp;"D")</f>
        <v>51330</v>
      </c>
      <c r="D1776" s="202">
        <v>2.3390130345515091E-2</v>
      </c>
      <c r="E1776" s="202">
        <v>2.3488518646912482E-2</v>
      </c>
      <c r="U1776" s="204"/>
    </row>
    <row r="1777" spans="1:21" x14ac:dyDescent="0.2">
      <c r="A1777" s="64" t="str">
        <f t="shared" si="28"/>
        <v>1w</v>
      </c>
      <c r="B1777" s="203">
        <f>_xll.qlCalendarAdvance(Calendar,B1776,A1777,"f",FALSE)</f>
        <v>51335</v>
      </c>
      <c r="C1777" s="237">
        <f>_xll.qlCalendarAdvance(Calendar,B1777,NDays&amp;"D")</f>
        <v>51337</v>
      </c>
      <c r="D1777" s="202">
        <v>2.3375234505121283E-2</v>
      </c>
      <c r="E1777" s="202">
        <v>2.3464512856863351E-2</v>
      </c>
      <c r="U1777" s="204"/>
    </row>
    <row r="1778" spans="1:21" x14ac:dyDescent="0.2">
      <c r="A1778" s="64" t="str">
        <f t="shared" si="28"/>
        <v>1w</v>
      </c>
      <c r="B1778" s="203">
        <f>_xll.qlCalendarAdvance(Calendar,B1777,A1778,"f",FALSE)</f>
        <v>51342</v>
      </c>
      <c r="C1778" s="237">
        <f>_xll.qlCalendarAdvance(Calendar,B1778,NDays&amp;"D")</f>
        <v>51344</v>
      </c>
      <c r="D1778" s="202">
        <v>2.3361061358079124E-2</v>
      </c>
      <c r="E1778" s="202">
        <v>2.3441221220243946E-2</v>
      </c>
      <c r="U1778" s="204"/>
    </row>
    <row r="1779" spans="1:21" x14ac:dyDescent="0.2">
      <c r="A1779" s="64" t="str">
        <f t="shared" si="28"/>
        <v>1w</v>
      </c>
      <c r="B1779" s="203">
        <f>_xll.qlCalendarAdvance(Calendar,B1778,A1779,"f",FALSE)</f>
        <v>51349</v>
      </c>
      <c r="C1779" s="237">
        <f>_xll.qlCalendarAdvance(Calendar,B1779,NDays&amp;"D")</f>
        <v>51351</v>
      </c>
      <c r="D1779" s="202">
        <v>2.3347610888784665E-2</v>
      </c>
      <c r="E1779" s="202">
        <v>2.3418643736627942E-2</v>
      </c>
      <c r="U1779" s="204"/>
    </row>
    <row r="1780" spans="1:21" x14ac:dyDescent="0.2">
      <c r="A1780" s="64" t="str">
        <f t="shared" si="28"/>
        <v>1w</v>
      </c>
      <c r="B1780" s="203">
        <f>_xll.qlCalendarAdvance(Calendar,B1779,A1780,"f",FALSE)</f>
        <v>51356</v>
      </c>
      <c r="C1780" s="237">
        <f>_xll.qlCalendarAdvance(Calendar,B1780,NDays&amp;"D")</f>
        <v>51358</v>
      </c>
      <c r="D1780" s="202">
        <v>2.3334883082432884E-2</v>
      </c>
      <c r="E1780" s="202">
        <v>2.3396780405562367E-2</v>
      </c>
      <c r="U1780" s="204"/>
    </row>
    <row r="1781" spans="1:21" x14ac:dyDescent="0.2">
      <c r="A1781" s="64" t="str">
        <f t="shared" si="28"/>
        <v>1w</v>
      </c>
      <c r="B1781" s="203">
        <f>_xll.qlCalendarAdvance(Calendar,B1780,A1781,"f",FALSE)</f>
        <v>51363</v>
      </c>
      <c r="C1781" s="237">
        <f>_xll.qlCalendarAdvance(Calendar,B1781,NDays&amp;"D")</f>
        <v>51365</v>
      </c>
      <c r="D1781" s="202">
        <v>2.332287792501336E-2</v>
      </c>
      <c r="E1781" s="202">
        <v>2.3375631226780769E-2</v>
      </c>
      <c r="U1781" s="204"/>
    </row>
    <row r="1782" spans="1:21" x14ac:dyDescent="0.2">
      <c r="A1782" s="64" t="str">
        <f t="shared" si="28"/>
        <v>1w</v>
      </c>
      <c r="B1782" s="203">
        <f>_xll.qlCalendarAdvance(Calendar,B1781,A1782,"f",FALSE)</f>
        <v>51370</v>
      </c>
      <c r="C1782" s="237">
        <f>_xll.qlCalendarAdvance(Calendar,B1782,NDays&amp;"D")</f>
        <v>51372</v>
      </c>
      <c r="D1782" s="202">
        <v>2.3311595403309432E-2</v>
      </c>
      <c r="E1782" s="202">
        <v>2.3355196199776884E-2</v>
      </c>
      <c r="U1782" s="204"/>
    </row>
    <row r="1783" spans="1:21" x14ac:dyDescent="0.2">
      <c r="A1783" s="64" t="str">
        <f t="shared" si="28"/>
        <v>1w</v>
      </c>
      <c r="B1783" s="203">
        <f>_xll.qlCalendarAdvance(Calendar,B1782,A1783,"f",FALSE)</f>
        <v>51377</v>
      </c>
      <c r="C1783" s="237">
        <f>_xll.qlCalendarAdvance(Calendar,B1783,NDays&amp;"D")</f>
        <v>51379</v>
      </c>
      <c r="D1783" s="202">
        <v>2.3300074745348533E-2</v>
      </c>
      <c r="E1783" s="202">
        <v>2.3335475324257615E-2</v>
      </c>
      <c r="U1783" s="204"/>
    </row>
    <row r="1784" spans="1:21" x14ac:dyDescent="0.2">
      <c r="A1784" s="64" t="str">
        <f t="shared" si="28"/>
        <v>1w</v>
      </c>
      <c r="B1784" s="203">
        <f>_xll.qlCalendarAdvance(Calendar,B1783,A1784,"f",FALSE)</f>
        <v>51384</v>
      </c>
      <c r="C1784" s="237">
        <f>_xll.qlCalendarAdvance(Calendar,B1784,NDays&amp;"D")</f>
        <v>51386</v>
      </c>
      <c r="D1784" s="202">
        <v>2.3290033588086404E-2</v>
      </c>
      <c r="E1784" s="202">
        <v>2.3316468599849927E-2</v>
      </c>
      <c r="U1784" s="204"/>
    </row>
    <row r="1785" spans="1:21" x14ac:dyDescent="0.2">
      <c r="A1785" s="64" t="str">
        <f t="shared" si="28"/>
        <v>1w</v>
      </c>
      <c r="B1785" s="203">
        <f>_xll.qlCalendarAdvance(Calendar,B1784,A1785,"f",FALSE)</f>
        <v>51391</v>
      </c>
      <c r="C1785" s="237">
        <f>_xll.qlCalendarAdvance(Calendar,B1785,NDays&amp;"D")</f>
        <v>51393</v>
      </c>
      <c r="D1785" s="202">
        <v>2.3280714847434787E-2</v>
      </c>
      <c r="E1785" s="202">
        <v>2.3298176026207429E-2</v>
      </c>
      <c r="U1785" s="204"/>
    </row>
    <row r="1786" spans="1:21" x14ac:dyDescent="0.2">
      <c r="A1786" s="64" t="str">
        <f t="shared" si="28"/>
        <v>1w</v>
      </c>
      <c r="B1786" s="203">
        <f>_xll.qlCalendarAdvance(Calendar,B1785,A1786,"f",FALSE)</f>
        <v>51398</v>
      </c>
      <c r="C1786" s="237">
        <f>_xll.qlCalendarAdvance(Calendar,B1786,NDays&amp;"D")</f>
        <v>51400</v>
      </c>
      <c r="D1786" s="202">
        <v>2.3272118513360158E-2</v>
      </c>
      <c r="E1786" s="202">
        <v>2.3280597603037023E-2</v>
      </c>
      <c r="U1786" s="204"/>
    </row>
    <row r="1787" spans="1:21" x14ac:dyDescent="0.2">
      <c r="A1787" s="64" t="str">
        <f t="shared" si="28"/>
        <v>1w</v>
      </c>
      <c r="B1787" s="203">
        <f>_xll.qlCalendarAdvance(Calendar,B1786,A1787,"f",FALSE)</f>
        <v>51405</v>
      </c>
      <c r="C1787" s="237">
        <f>_xll.qlCalendarAdvance(Calendar,B1787,NDays&amp;"D")</f>
        <v>51407</v>
      </c>
      <c r="D1787" s="202">
        <v>2.3264681552330916E-2</v>
      </c>
      <c r="E1787" s="202">
        <v>2.326373332999232E-2</v>
      </c>
      <c r="U1787" s="204"/>
    </row>
    <row r="1788" spans="1:21" x14ac:dyDescent="0.2">
      <c r="A1788" s="64" t="str">
        <f t="shared" si="28"/>
        <v>1w</v>
      </c>
      <c r="B1788" s="203">
        <f>_xll.qlCalendarAdvance(Calendar,B1787,A1788,"f",FALSE)</f>
        <v>51412</v>
      </c>
      <c r="C1788" s="237">
        <f>_xll.qlCalendarAdvance(Calendar,B1788,NDays&amp;"D")</f>
        <v>51414</v>
      </c>
      <c r="D1788" s="202">
        <v>2.3257581146426801E-2</v>
      </c>
      <c r="E1788" s="202">
        <v>2.3247583206753575E-2</v>
      </c>
      <c r="U1788" s="204"/>
    </row>
    <row r="1789" spans="1:21" x14ac:dyDescent="0.2">
      <c r="A1789" s="64" t="str">
        <f t="shared" si="28"/>
        <v>1w</v>
      </c>
      <c r="B1789" s="203">
        <f>_xll.qlCalendarAdvance(Calendar,B1788,A1789,"f",FALSE)</f>
        <v>51419</v>
      </c>
      <c r="C1789" s="237">
        <f>_xll.qlCalendarAdvance(Calendar,B1789,NDays&amp;"D")</f>
        <v>51421</v>
      </c>
      <c r="D1789" s="202">
        <v>2.3251203167740951E-2</v>
      </c>
      <c r="E1789" s="202">
        <v>2.3232147233054334E-2</v>
      </c>
      <c r="U1789" s="204"/>
    </row>
    <row r="1790" spans="1:21" x14ac:dyDescent="0.2">
      <c r="A1790" s="64" t="str">
        <f t="shared" si="28"/>
        <v>1w</v>
      </c>
      <c r="B1790" s="203">
        <f>_xll.qlCalendarAdvance(Calendar,B1789,A1790,"f",FALSE)</f>
        <v>51426</v>
      </c>
      <c r="C1790" s="237">
        <f>_xll.qlCalendarAdvance(Calendar,B1790,NDays&amp;"D")</f>
        <v>51428</v>
      </c>
      <c r="D1790" s="202">
        <v>2.3247959043768845E-2</v>
      </c>
      <c r="E1790" s="202">
        <v>2.321742540865479E-2</v>
      </c>
      <c r="U1790" s="204"/>
    </row>
    <row r="1791" spans="1:21" x14ac:dyDescent="0.2">
      <c r="A1791" s="64" t="str">
        <f t="shared" si="28"/>
        <v>1w</v>
      </c>
      <c r="B1791" s="203">
        <f>_xll.qlCalendarAdvance(Calendar,B1790,A1791,"f",FALSE)</f>
        <v>51433</v>
      </c>
      <c r="C1791" s="237">
        <f>_xll.qlCalendarAdvance(Calendar,B1791,NDays&amp;"D")</f>
        <v>51435</v>
      </c>
      <c r="D1791" s="202">
        <v>2.3240614465180033E-2</v>
      </c>
      <c r="E1791" s="202">
        <v>2.3203417733261844E-2</v>
      </c>
      <c r="U1791" s="204"/>
    </row>
    <row r="1792" spans="1:21" x14ac:dyDescent="0.2">
      <c r="A1792" s="64" t="str">
        <f t="shared" si="28"/>
        <v>1w</v>
      </c>
      <c r="B1792" s="203">
        <f>_xll.qlCalendarAdvance(Calendar,B1791,A1792,"f",FALSE)</f>
        <v>51440</v>
      </c>
      <c r="C1792" s="237">
        <f>_xll.qlCalendarAdvance(Calendar,B1792,NDays&amp;"D")</f>
        <v>51442</v>
      </c>
      <c r="D1792" s="202">
        <v>2.3235710583007416E-2</v>
      </c>
      <c r="E1792" s="202">
        <v>2.3190124206609042E-2</v>
      </c>
      <c r="U1792" s="204"/>
    </row>
    <row r="1793" spans="1:21" x14ac:dyDescent="0.2">
      <c r="A1793" s="64" t="str">
        <f t="shared" si="28"/>
        <v>1w</v>
      </c>
      <c r="B1793" s="203">
        <f>_xll.qlCalendarAdvance(Calendar,B1792,A1793,"f",FALSE)</f>
        <v>51447</v>
      </c>
      <c r="C1793" s="237">
        <f>_xll.qlCalendarAdvance(Calendar,B1793,NDays&amp;"D")</f>
        <v>51449</v>
      </c>
      <c r="D1793" s="202">
        <v>2.3232170879303786E-2</v>
      </c>
      <c r="E1793" s="202">
        <v>2.3177544828456575E-2</v>
      </c>
      <c r="U1793" s="204"/>
    </row>
    <row r="1794" spans="1:21" x14ac:dyDescent="0.2">
      <c r="A1794" s="64" t="str">
        <f t="shared" si="28"/>
        <v>1w</v>
      </c>
      <c r="B1794" s="203">
        <f>_xll.qlCalendarAdvance(Calendar,B1793,A1794,"f",FALSE)</f>
        <v>51454</v>
      </c>
      <c r="C1794" s="237">
        <f>_xll.qlCalendarAdvance(Calendar,B1794,NDays&amp;"D")</f>
        <v>51456</v>
      </c>
      <c r="D1794" s="202">
        <v>2.3229353529896316E-2</v>
      </c>
      <c r="E1794" s="202">
        <v>2.3165679598671218E-2</v>
      </c>
      <c r="U1794" s="204"/>
    </row>
    <row r="1795" spans="1:21" x14ac:dyDescent="0.2">
      <c r="A1795" s="64" t="str">
        <f t="shared" si="28"/>
        <v>1w</v>
      </c>
      <c r="B1795" s="203">
        <f>_xll.qlCalendarAdvance(Calendar,B1794,A1795,"f",FALSE)</f>
        <v>51461</v>
      </c>
      <c r="C1795" s="237">
        <f>_xll.qlCalendarAdvance(Calendar,B1795,NDays&amp;"D")</f>
        <v>51463</v>
      </c>
      <c r="D1795" s="202">
        <v>2.3227258531749201E-2</v>
      </c>
      <c r="E1795" s="202">
        <v>2.3154528516879935E-2</v>
      </c>
      <c r="U1795" s="204"/>
    </row>
    <row r="1796" spans="1:21" x14ac:dyDescent="0.2">
      <c r="A1796" s="64" t="str">
        <f t="shared" si="28"/>
        <v>1w</v>
      </c>
      <c r="B1796" s="203">
        <f>_xll.qlCalendarAdvance(Calendar,B1795,A1796,"f",FALSE)</f>
        <v>51468</v>
      </c>
      <c r="C1796" s="237">
        <f>_xll.qlCalendarAdvance(Calendar,B1796,NDays&amp;"D")</f>
        <v>51470</v>
      </c>
      <c r="D1796" s="202">
        <v>2.3226784675496912E-2</v>
      </c>
      <c r="E1796" s="202">
        <v>2.314409158300279E-2</v>
      </c>
      <c r="U1796" s="204"/>
    </row>
    <row r="1797" spans="1:21" x14ac:dyDescent="0.2">
      <c r="A1797" s="64" t="str">
        <f t="shared" si="28"/>
        <v>1w</v>
      </c>
      <c r="B1797" s="203">
        <f>_xll.qlCalendarAdvance(Calendar,B1796,A1797,"f",FALSE)</f>
        <v>51475</v>
      </c>
      <c r="C1797" s="237">
        <f>_xll.qlCalendarAdvance(Calendar,B1797,NDays&amp;"D")</f>
        <v>51477</v>
      </c>
      <c r="D1797" s="202">
        <v>2.3226174940117365E-2</v>
      </c>
      <c r="E1797" s="202">
        <v>2.3134368796853266E-2</v>
      </c>
      <c r="U1797" s="204"/>
    </row>
    <row r="1798" spans="1:21" x14ac:dyDescent="0.2">
      <c r="A1798" s="64" t="str">
        <f t="shared" si="28"/>
        <v>1w</v>
      </c>
      <c r="B1798" s="203">
        <f>_xll.qlCalendarAdvance(Calendar,B1797,A1798,"f",FALSE)</f>
        <v>51482</v>
      </c>
      <c r="C1798" s="237">
        <f>_xll.qlCalendarAdvance(Calendar,B1798,NDays&amp;"D")</f>
        <v>51484</v>
      </c>
      <c r="D1798" s="202">
        <v>2.3226247260182905E-2</v>
      </c>
      <c r="E1798" s="202">
        <v>2.31253601582182E-2</v>
      </c>
      <c r="U1798" s="204"/>
    </row>
    <row r="1799" spans="1:21" x14ac:dyDescent="0.2">
      <c r="A1799" s="64" t="str">
        <f t="shared" ref="A1799:A1862" si="29">A1798</f>
        <v>1w</v>
      </c>
      <c r="B1799" s="203">
        <f>_xll.qlCalendarAdvance(Calendar,B1798,A1799,"f",FALSE)</f>
        <v>51489</v>
      </c>
      <c r="C1799" s="237">
        <f>_xll.qlCalendarAdvance(Calendar,B1799,NDays&amp;"D")</f>
        <v>51491</v>
      </c>
      <c r="D1799" s="202">
        <v>2.3226970261931046E-2</v>
      </c>
      <c r="E1799" s="202">
        <v>2.3117065666911074E-2</v>
      </c>
      <c r="U1799" s="204"/>
    </row>
    <row r="1800" spans="1:21" x14ac:dyDescent="0.2">
      <c r="A1800" s="64" t="str">
        <f t="shared" si="29"/>
        <v>1w</v>
      </c>
      <c r="B1800" s="203">
        <f>_xll.qlCalendarAdvance(Calendar,B1799,A1800,"f",FALSE)</f>
        <v>51497</v>
      </c>
      <c r="C1800" s="237">
        <f>_xll.qlCalendarAdvance(Calendar,B1800,NDays&amp;"D")</f>
        <v>51501</v>
      </c>
      <c r="D1800" s="202">
        <v>2.3225831281964086E-2</v>
      </c>
      <c r="E1800" s="202">
        <v>2.3106206584677658E-2</v>
      </c>
      <c r="U1800" s="204"/>
    </row>
    <row r="1801" spans="1:21" x14ac:dyDescent="0.2">
      <c r="A1801" s="64" t="str">
        <f t="shared" si="29"/>
        <v>1w</v>
      </c>
      <c r="B1801" s="203">
        <f>_xll.qlCalendarAdvance(Calendar,B1800,A1801,"f",FALSE)</f>
        <v>51504</v>
      </c>
      <c r="C1801" s="237">
        <f>_xll.qlCalendarAdvance(Calendar,B1801,NDays&amp;"D")</f>
        <v>51508</v>
      </c>
      <c r="D1801" s="202">
        <v>2.3231242272645454E-2</v>
      </c>
      <c r="E1801" s="202">
        <v>2.3099301474953648E-2</v>
      </c>
      <c r="U1801" s="204"/>
    </row>
    <row r="1802" spans="1:21" x14ac:dyDescent="0.2">
      <c r="A1802" s="64" t="str">
        <f t="shared" si="29"/>
        <v>1w</v>
      </c>
      <c r="B1802" s="203">
        <f>_xll.qlCalendarAdvance(Calendar,B1801,A1802,"f",FALSE)</f>
        <v>51511</v>
      </c>
      <c r="C1802" s="237">
        <f>_xll.qlCalendarAdvance(Calendar,B1802,NDays&amp;"D")</f>
        <v>51515</v>
      </c>
      <c r="D1802" s="202">
        <v>2.3233958006109938E-2</v>
      </c>
      <c r="E1802" s="202">
        <v>2.3093354230017127E-2</v>
      </c>
      <c r="U1802" s="204"/>
    </row>
    <row r="1803" spans="1:21" x14ac:dyDescent="0.2">
      <c r="A1803" s="64" t="str">
        <f t="shared" si="29"/>
        <v>1w</v>
      </c>
      <c r="B1803" s="203">
        <f>_xll.qlCalendarAdvance(Calendar,B1802,A1803,"f",FALSE)</f>
        <v>51518</v>
      </c>
      <c r="C1803" s="237">
        <f>_xll.qlCalendarAdvance(Calendar,B1803,NDays&amp;"D")</f>
        <v>51522</v>
      </c>
      <c r="D1803" s="202">
        <v>2.3237185486322254E-2</v>
      </c>
      <c r="E1803" s="202">
        <v>2.308812104013569E-2</v>
      </c>
      <c r="U1803" s="204"/>
    </row>
    <row r="1804" spans="1:21" x14ac:dyDescent="0.2">
      <c r="A1804" s="64" t="str">
        <f t="shared" si="29"/>
        <v>1w</v>
      </c>
      <c r="B1804" s="203">
        <f>_xll.qlCalendarAdvance(Calendar,B1803,A1804,"f",FALSE)</f>
        <v>51525</v>
      </c>
      <c r="C1804" s="237">
        <f>_xll.qlCalendarAdvance(Calendar,B1804,NDays&amp;"D")</f>
        <v>51529</v>
      </c>
      <c r="D1804" s="202">
        <v>2.3240893341703664E-2</v>
      </c>
      <c r="E1804" s="202">
        <v>2.3083601905229401E-2</v>
      </c>
      <c r="U1804" s="204"/>
    </row>
    <row r="1805" spans="1:21" x14ac:dyDescent="0.2">
      <c r="A1805" s="64" t="str">
        <f t="shared" si="29"/>
        <v>1w</v>
      </c>
      <c r="B1805" s="203">
        <f>_xll.qlCalendarAdvance(Calendar,B1804,A1805,"f",FALSE)</f>
        <v>51532</v>
      </c>
      <c r="C1805" s="237">
        <f>_xll.qlCalendarAdvance(Calendar,B1805,NDays&amp;"D")</f>
        <v>51536</v>
      </c>
      <c r="D1805" s="202">
        <v>2.3245050200806753E-2</v>
      </c>
      <c r="E1805" s="202">
        <v>2.307979682529826E-2</v>
      </c>
      <c r="U1805" s="204"/>
    </row>
    <row r="1806" spans="1:21" x14ac:dyDescent="0.2">
      <c r="A1806" s="64" t="str">
        <f t="shared" si="29"/>
        <v>1w</v>
      </c>
      <c r="B1806" s="203">
        <f>_xll.qlCalendarAdvance(Calendar,B1805,A1806,"f",FALSE)</f>
        <v>51539</v>
      </c>
      <c r="C1806" s="237">
        <f>_xll.qlCalendarAdvance(Calendar,B1806,NDays&amp;"D")</f>
        <v>51543</v>
      </c>
      <c r="D1806" s="202">
        <v>2.3249624692236362E-2</v>
      </c>
      <c r="E1806" s="202">
        <v>2.3076705800342268E-2</v>
      </c>
      <c r="U1806" s="204"/>
    </row>
    <row r="1807" spans="1:21" x14ac:dyDescent="0.2">
      <c r="A1807" s="64" t="str">
        <f t="shared" si="29"/>
        <v>1w</v>
      </c>
      <c r="B1807" s="203">
        <f>_xll.qlCalendarAdvance(Calendar,B1806,A1807,"f",FALSE)</f>
        <v>51546</v>
      </c>
      <c r="C1807" s="237">
        <f>_xll.qlCalendarAdvance(Calendar,B1807,NDays&amp;"D")</f>
        <v>51550</v>
      </c>
      <c r="D1807" s="202">
        <v>2.3254585444589439E-2</v>
      </c>
      <c r="E1807" s="202">
        <v>2.3074328830281488E-2</v>
      </c>
      <c r="U1807" s="204"/>
    </row>
    <row r="1808" spans="1:21" x14ac:dyDescent="0.2">
      <c r="A1808" s="64" t="str">
        <f t="shared" si="29"/>
        <v>1w</v>
      </c>
      <c r="B1808" s="203">
        <f>_xll.qlCalendarAdvance(Calendar,B1807,A1808,"f",FALSE)</f>
        <v>51553</v>
      </c>
      <c r="C1808" s="237">
        <f>_xll.qlCalendarAdvance(Calendar,B1808,NDays&amp;"D")</f>
        <v>51557</v>
      </c>
      <c r="D1808" s="202">
        <v>2.3259901086386061E-2</v>
      </c>
      <c r="E1808" s="202">
        <v>2.307266591511592E-2</v>
      </c>
      <c r="U1808" s="204"/>
    </row>
    <row r="1809" spans="1:21" x14ac:dyDescent="0.2">
      <c r="A1809" s="64" t="str">
        <f t="shared" si="29"/>
        <v>1w</v>
      </c>
      <c r="B1809" s="203">
        <f>_xll.qlCalendarAdvance(Calendar,B1808,A1809,"f",FALSE)</f>
        <v>51560</v>
      </c>
      <c r="C1809" s="237">
        <f>_xll.qlCalendarAdvance(Calendar,B1809,NDays&amp;"D")</f>
        <v>51564</v>
      </c>
      <c r="D1809" s="202">
        <v>2.3268039172573793E-2</v>
      </c>
      <c r="E1809" s="202">
        <v>2.30717170549255E-2</v>
      </c>
      <c r="U1809" s="204"/>
    </row>
    <row r="1810" spans="1:21" x14ac:dyDescent="0.2">
      <c r="A1810" s="64" t="str">
        <f t="shared" si="29"/>
        <v>1w</v>
      </c>
      <c r="B1810" s="203">
        <f>_xll.qlCalendarAdvance(Calendar,B1809,A1810,"f",FALSE)</f>
        <v>51567</v>
      </c>
      <c r="C1810" s="237">
        <f>_xll.qlCalendarAdvance(Calendar,B1810,NDays&amp;"D")</f>
        <v>51571</v>
      </c>
      <c r="D1810" s="202">
        <v>2.327398161134963E-2</v>
      </c>
      <c r="E1810" s="202">
        <v>2.3071482249550357E-2</v>
      </c>
      <c r="U1810" s="204"/>
    </row>
    <row r="1811" spans="1:21" x14ac:dyDescent="0.2">
      <c r="A1811" s="64" t="str">
        <f t="shared" si="29"/>
        <v>1w</v>
      </c>
      <c r="B1811" s="203">
        <f>_xll.qlCalendarAdvance(Calendar,B1810,A1811,"f",FALSE)</f>
        <v>51574</v>
      </c>
      <c r="C1811" s="237">
        <f>_xll.qlCalendarAdvance(Calendar,B1811,NDays&amp;"D")</f>
        <v>51578</v>
      </c>
      <c r="D1811" s="202">
        <v>2.3280181008796762E-2</v>
      </c>
      <c r="E1811" s="202">
        <v>2.3071961499070426E-2</v>
      </c>
      <c r="U1811" s="204"/>
    </row>
    <row r="1812" spans="1:21" x14ac:dyDescent="0.2">
      <c r="A1812" s="64" t="str">
        <f t="shared" si="29"/>
        <v>1w</v>
      </c>
      <c r="B1812" s="203">
        <f>_xll.qlCalendarAdvance(Calendar,B1811,A1812,"f",FALSE)</f>
        <v>51581</v>
      </c>
      <c r="C1812" s="237">
        <f>_xll.qlCalendarAdvance(Calendar,B1812,NDays&amp;"D")</f>
        <v>51585</v>
      </c>
      <c r="D1812" s="202">
        <v>2.3286606329619118E-2</v>
      </c>
      <c r="E1812" s="202">
        <v>2.3073154803565643E-2</v>
      </c>
      <c r="U1812" s="204"/>
    </row>
    <row r="1813" spans="1:21" x14ac:dyDescent="0.2">
      <c r="A1813" s="64" t="str">
        <f t="shared" si="29"/>
        <v>1w</v>
      </c>
      <c r="B1813" s="203">
        <f>_xll.qlCalendarAdvance(Calendar,B1812,A1813,"f",FALSE)</f>
        <v>51588</v>
      </c>
      <c r="C1813" s="237">
        <f>_xll.qlCalendarAdvance(Calendar,B1813,NDays&amp;"D")</f>
        <v>51592</v>
      </c>
      <c r="D1813" s="202">
        <v>2.3291965760770229E-2</v>
      </c>
      <c r="E1813" s="202">
        <v>2.3075062162956073E-2</v>
      </c>
      <c r="U1813" s="204"/>
    </row>
    <row r="1814" spans="1:21" x14ac:dyDescent="0.2">
      <c r="A1814" s="64" t="str">
        <f t="shared" si="29"/>
        <v>1w</v>
      </c>
      <c r="B1814" s="203">
        <f>_xll.qlCalendarAdvance(Calendar,B1813,A1814,"f",FALSE)</f>
        <v>51595</v>
      </c>
      <c r="C1814" s="237">
        <f>_xll.qlCalendarAdvance(Calendar,B1814,NDays&amp;"D")</f>
        <v>51599</v>
      </c>
      <c r="D1814" s="202">
        <v>2.3298750902568152E-2</v>
      </c>
      <c r="E1814" s="202">
        <v>2.307768357732165E-2</v>
      </c>
      <c r="U1814" s="204"/>
    </row>
    <row r="1815" spans="1:21" x14ac:dyDescent="0.2">
      <c r="A1815" s="64" t="str">
        <f t="shared" si="29"/>
        <v>1w</v>
      </c>
      <c r="B1815" s="203">
        <f>_xll.qlCalendarAdvance(Calendar,B1814,A1815,"f",FALSE)</f>
        <v>51602</v>
      </c>
      <c r="C1815" s="237">
        <f>_xll.qlCalendarAdvance(Calendar,B1815,NDays&amp;"D")</f>
        <v>51606</v>
      </c>
      <c r="D1815" s="202">
        <v>2.3305670086749389E-2</v>
      </c>
      <c r="E1815" s="202">
        <v>2.3081019046582441E-2</v>
      </c>
      <c r="U1815" s="204"/>
    </row>
    <row r="1816" spans="1:21" x14ac:dyDescent="0.2">
      <c r="A1816" s="64" t="str">
        <f t="shared" si="29"/>
        <v>1w</v>
      </c>
      <c r="B1816" s="203">
        <f>_xll.qlCalendarAdvance(Calendar,B1815,A1816,"f",FALSE)</f>
        <v>51609</v>
      </c>
      <c r="C1816" s="237">
        <f>_xll.qlCalendarAdvance(Calendar,B1816,NDays&amp;"D")</f>
        <v>51615</v>
      </c>
      <c r="D1816" s="202">
        <v>2.3314712922841561E-2</v>
      </c>
      <c r="E1816" s="202">
        <v>2.3086356730637192E-2</v>
      </c>
      <c r="U1816" s="204"/>
    </row>
    <row r="1817" spans="1:21" x14ac:dyDescent="0.2">
      <c r="A1817" s="64" t="str">
        <f t="shared" si="29"/>
        <v>1w</v>
      </c>
      <c r="B1817" s="203">
        <f>_xll.qlCalendarAdvance(Calendar,B1816,A1817,"f",FALSE)</f>
        <v>51616</v>
      </c>
      <c r="C1817" s="237">
        <f>_xll.qlCalendarAdvance(Calendar,B1817,NDays&amp;"D")</f>
        <v>51620</v>
      </c>
      <c r="D1817" s="202">
        <v>2.331978576452795E-2</v>
      </c>
      <c r="E1817" s="202">
        <v>2.3089832149869594E-2</v>
      </c>
      <c r="U1817" s="204"/>
    </row>
    <row r="1818" spans="1:21" x14ac:dyDescent="0.2">
      <c r="A1818" s="64" t="str">
        <f t="shared" si="29"/>
        <v>1w</v>
      </c>
      <c r="B1818" s="203">
        <f>_xll.qlCalendarAdvance(Calendar,B1817,A1818,"f",FALSE)</f>
        <v>51623</v>
      </c>
      <c r="C1818" s="237">
        <f>_xll.qlCalendarAdvance(Calendar,B1818,NDays&amp;"D")</f>
        <v>51627</v>
      </c>
      <c r="D1818" s="202">
        <v>2.3328164625118365E-2</v>
      </c>
      <c r="E1818" s="202">
        <v>2.3095309784135765E-2</v>
      </c>
      <c r="U1818" s="204"/>
    </row>
    <row r="1819" spans="1:21" x14ac:dyDescent="0.2">
      <c r="A1819" s="64" t="str">
        <f t="shared" si="29"/>
        <v>1w</v>
      </c>
      <c r="B1819" s="203">
        <f>_xll.qlCalendarAdvance(Calendar,B1818,A1819,"f",FALSE)</f>
        <v>51630</v>
      </c>
      <c r="C1819" s="237">
        <f>_xll.qlCalendarAdvance(Calendar,B1819,NDays&amp;"D")</f>
        <v>51634</v>
      </c>
      <c r="D1819" s="202">
        <v>2.3335302391061449E-2</v>
      </c>
      <c r="E1819" s="202">
        <v>2.3101501473297148E-2</v>
      </c>
      <c r="U1819" s="204"/>
    </row>
    <row r="1820" spans="1:21" x14ac:dyDescent="0.2">
      <c r="A1820" s="64" t="str">
        <f t="shared" si="29"/>
        <v>1w</v>
      </c>
      <c r="B1820" s="203">
        <f>_xll.qlCalendarAdvance(Calendar,B1819,A1820,"f",FALSE)</f>
        <v>51637</v>
      </c>
      <c r="C1820" s="237">
        <f>_xll.qlCalendarAdvance(Calendar,B1820,NDays&amp;"D")</f>
        <v>51641</v>
      </c>
      <c r="D1820" s="202">
        <v>2.3342417784415967E-2</v>
      </c>
      <c r="E1820" s="202">
        <v>2.3108407217673488E-2</v>
      </c>
      <c r="U1820" s="204"/>
    </row>
    <row r="1821" spans="1:21" x14ac:dyDescent="0.2">
      <c r="A1821" s="64" t="str">
        <f t="shared" si="29"/>
        <v>1w</v>
      </c>
      <c r="B1821" s="203">
        <f>_xll.qlCalendarAdvance(Calendar,B1820,A1821,"f",FALSE)</f>
        <v>51644</v>
      </c>
      <c r="C1821" s="237">
        <f>_xll.qlCalendarAdvance(Calendar,B1821,NDays&amp;"D")</f>
        <v>51648</v>
      </c>
      <c r="D1821" s="202">
        <v>2.3349479766246583E-2</v>
      </c>
      <c r="E1821" s="202">
        <v>2.3116027017104912E-2</v>
      </c>
      <c r="U1821" s="204"/>
    </row>
    <row r="1822" spans="1:21" x14ac:dyDescent="0.2">
      <c r="A1822" s="64" t="str">
        <f t="shared" si="29"/>
        <v>1w</v>
      </c>
      <c r="B1822" s="203">
        <f>_xll.qlCalendarAdvance(Calendar,B1821,A1822,"f",FALSE)</f>
        <v>51651</v>
      </c>
      <c r="C1822" s="237">
        <f>_xll.qlCalendarAdvance(Calendar,B1822,NDays&amp;"D")</f>
        <v>51655</v>
      </c>
      <c r="D1822" s="202">
        <v>2.3355238240207913E-2</v>
      </c>
      <c r="E1822" s="202">
        <v>2.3124111301386918E-2</v>
      </c>
      <c r="U1822" s="204"/>
    </row>
    <row r="1823" spans="1:21" x14ac:dyDescent="0.2">
      <c r="A1823" s="64" t="str">
        <f t="shared" si="29"/>
        <v>1w</v>
      </c>
      <c r="B1823" s="203">
        <f>_xll.qlCalendarAdvance(Calendar,B1822,A1823,"f",FALSE)</f>
        <v>51658</v>
      </c>
      <c r="C1823" s="237">
        <f>_xll.qlCalendarAdvance(Calendar,B1823,NDays&amp;"D")</f>
        <v>51662</v>
      </c>
      <c r="D1823" s="202">
        <v>2.3362130678262961E-2</v>
      </c>
      <c r="E1823" s="202">
        <v>2.3132122534503807E-2</v>
      </c>
      <c r="U1823" s="204"/>
    </row>
    <row r="1824" spans="1:21" x14ac:dyDescent="0.2">
      <c r="A1824" s="64" t="str">
        <f t="shared" si="29"/>
        <v>1w</v>
      </c>
      <c r="B1824" s="203">
        <f>_xll.qlCalendarAdvance(Calendar,B1823,A1824,"f",FALSE)</f>
        <v>51665</v>
      </c>
      <c r="C1824" s="237">
        <f>_xll.qlCalendarAdvance(Calendar,B1824,NDays&amp;"D")</f>
        <v>51669</v>
      </c>
      <c r="D1824" s="202">
        <v>2.3368929801263965E-2</v>
      </c>
      <c r="E1824" s="202">
        <v>2.31400415186922E-2</v>
      </c>
      <c r="U1824" s="204"/>
    </row>
    <row r="1825" spans="1:21" x14ac:dyDescent="0.2">
      <c r="A1825" s="64" t="str">
        <f t="shared" si="29"/>
        <v>1w</v>
      </c>
      <c r="B1825" s="203">
        <f>_xll.qlCalendarAdvance(Calendar,B1824,A1825,"f",FALSE)</f>
        <v>51672</v>
      </c>
      <c r="C1825" s="237">
        <f>_xll.qlCalendarAdvance(Calendar,B1825,NDays&amp;"D")</f>
        <v>51676</v>
      </c>
      <c r="D1825" s="202">
        <v>2.3375635608256499E-2</v>
      </c>
      <c r="E1825" s="202">
        <v>2.314786825411197E-2</v>
      </c>
      <c r="U1825" s="204"/>
    </row>
    <row r="1826" spans="1:21" x14ac:dyDescent="0.2">
      <c r="A1826" s="64" t="str">
        <f t="shared" si="29"/>
        <v>1w</v>
      </c>
      <c r="B1826" s="203">
        <f>_xll.qlCalendarAdvance(Calendar,B1825,A1826,"f",FALSE)</f>
        <v>51679</v>
      </c>
      <c r="C1826" s="237">
        <f>_xll.qlCalendarAdvance(Calendar,B1826,NDays&amp;"D")</f>
        <v>51683</v>
      </c>
      <c r="D1826" s="202">
        <v>2.3384639595588577E-2</v>
      </c>
      <c r="E1826" s="202">
        <v>2.3155602740523307E-2</v>
      </c>
      <c r="U1826" s="204"/>
    </row>
    <row r="1827" spans="1:21" x14ac:dyDescent="0.2">
      <c r="A1827" s="64" t="str">
        <f t="shared" si="29"/>
        <v>1w</v>
      </c>
      <c r="B1827" s="203">
        <f>_xll.qlCalendarAdvance(Calendar,B1826,A1827,"f",FALSE)</f>
        <v>51686</v>
      </c>
      <c r="C1827" s="237">
        <f>_xll.qlCalendarAdvance(Calendar,B1827,NDays&amp;"D")</f>
        <v>51690</v>
      </c>
      <c r="D1827" s="202">
        <v>2.3389957046770906E-2</v>
      </c>
      <c r="E1827" s="202">
        <v>2.3163244978006148E-2</v>
      </c>
      <c r="U1827" s="204"/>
    </row>
    <row r="1828" spans="1:21" x14ac:dyDescent="0.2">
      <c r="A1828" s="64" t="str">
        <f t="shared" si="29"/>
        <v>1w</v>
      </c>
      <c r="B1828" s="203">
        <f>_xll.qlCalendarAdvance(Calendar,B1827,A1828,"f",FALSE)</f>
        <v>51693</v>
      </c>
      <c r="C1828" s="237">
        <f>_xll.qlCalendarAdvance(Calendar,B1828,NDays&amp;"D")</f>
        <v>51697</v>
      </c>
      <c r="D1828" s="202">
        <v>2.3396376649034593E-2</v>
      </c>
      <c r="E1828" s="202">
        <v>2.3170794966560493E-2</v>
      </c>
      <c r="U1828" s="204"/>
    </row>
    <row r="1829" spans="1:21" x14ac:dyDescent="0.2">
      <c r="A1829" s="64" t="str">
        <f t="shared" si="29"/>
        <v>1w</v>
      </c>
      <c r="B1829" s="203">
        <f>_xll.qlCalendarAdvance(Calendar,B1828,A1829,"f",FALSE)</f>
        <v>51700</v>
      </c>
      <c r="C1829" s="237">
        <f>_xll.qlCalendarAdvance(Calendar,B1829,NDays&amp;"D")</f>
        <v>51704</v>
      </c>
      <c r="D1829" s="202">
        <v>2.3402702925613274E-2</v>
      </c>
      <c r="E1829" s="202">
        <v>2.3178252706186342E-2</v>
      </c>
      <c r="U1829" s="204"/>
    </row>
    <row r="1830" spans="1:21" x14ac:dyDescent="0.2">
      <c r="A1830" s="64" t="str">
        <f t="shared" si="29"/>
        <v>1w</v>
      </c>
      <c r="B1830" s="203">
        <f>_xll.qlCalendarAdvance(Calendar,B1829,A1830,"f",FALSE)</f>
        <v>51707</v>
      </c>
      <c r="C1830" s="237">
        <f>_xll.qlCalendarAdvance(Calendar,B1830,NDays&amp;"D")</f>
        <v>51711</v>
      </c>
      <c r="D1830" s="202">
        <v>2.3408935875614184E-2</v>
      </c>
      <c r="E1830" s="202">
        <v>2.3185618196963631E-2</v>
      </c>
      <c r="U1830" s="204"/>
    </row>
    <row r="1831" spans="1:21" x14ac:dyDescent="0.2">
      <c r="A1831" s="64" t="str">
        <f t="shared" si="29"/>
        <v>1w</v>
      </c>
      <c r="B1831" s="203">
        <f>_xll.qlCalendarAdvance(Calendar,B1830,A1831,"f",FALSE)</f>
        <v>51714</v>
      </c>
      <c r="C1831" s="237">
        <f>_xll.qlCalendarAdvance(Calendar,B1831,NDays&amp;"D")</f>
        <v>51718</v>
      </c>
      <c r="D1831" s="202">
        <v>2.3415075498154119E-2</v>
      </c>
      <c r="E1831" s="202">
        <v>2.3192891438812424E-2</v>
      </c>
      <c r="U1831" s="204"/>
    </row>
    <row r="1832" spans="1:21" x14ac:dyDescent="0.2">
      <c r="A1832" s="64" t="str">
        <f t="shared" si="29"/>
        <v>1w</v>
      </c>
      <c r="B1832" s="203">
        <f>_xll.qlCalendarAdvance(Calendar,B1831,A1832,"f",FALSE)</f>
        <v>51721</v>
      </c>
      <c r="C1832" s="237">
        <f>_xll.qlCalendarAdvance(Calendar,B1832,NDays&amp;"D")</f>
        <v>51725</v>
      </c>
      <c r="D1832" s="202">
        <v>2.3421121792365943E-2</v>
      </c>
      <c r="E1832" s="202">
        <v>2.3200072431652785E-2</v>
      </c>
      <c r="U1832" s="204"/>
    </row>
    <row r="1833" spans="1:21" x14ac:dyDescent="0.2">
      <c r="A1833" s="64" t="str">
        <f t="shared" si="29"/>
        <v>1w</v>
      </c>
      <c r="B1833" s="203">
        <f>_xll.qlCalendarAdvance(Calendar,B1832,A1833,"f",FALSE)</f>
        <v>51728</v>
      </c>
      <c r="C1833" s="237">
        <f>_xll.qlCalendarAdvance(Calendar,B1833,NDays&amp;"D")</f>
        <v>51732</v>
      </c>
      <c r="D1833" s="202">
        <v>2.3427074757394258E-2</v>
      </c>
      <c r="E1833" s="202">
        <v>2.3207161175644586E-2</v>
      </c>
      <c r="U1833" s="204"/>
    </row>
    <row r="1834" spans="1:21" x14ac:dyDescent="0.2">
      <c r="A1834" s="64" t="str">
        <f t="shared" si="29"/>
        <v>1w</v>
      </c>
      <c r="B1834" s="203">
        <f>_xll.qlCalendarAdvance(Calendar,B1833,A1834,"f",FALSE)</f>
        <v>51735</v>
      </c>
      <c r="C1834" s="237">
        <f>_xll.qlCalendarAdvance(Calendar,B1834,NDays&amp;"D")</f>
        <v>51739</v>
      </c>
      <c r="D1834" s="202">
        <v>2.343293439239582E-2</v>
      </c>
      <c r="E1834" s="202">
        <v>2.3214157670627955E-2</v>
      </c>
      <c r="U1834" s="204"/>
    </row>
    <row r="1835" spans="1:21" x14ac:dyDescent="0.2">
      <c r="A1835" s="64" t="str">
        <f t="shared" si="29"/>
        <v>1w</v>
      </c>
      <c r="B1835" s="203">
        <f>_xll.qlCalendarAdvance(Calendar,B1834,A1835,"f",FALSE)</f>
        <v>51742</v>
      </c>
      <c r="C1835" s="237">
        <f>_xll.qlCalendarAdvance(Calendar,B1835,NDays&amp;"D")</f>
        <v>51746</v>
      </c>
      <c r="D1835" s="202">
        <v>2.3436420943806359E-2</v>
      </c>
      <c r="E1835" s="202">
        <v>2.3221061916682828E-2</v>
      </c>
      <c r="U1835" s="204"/>
    </row>
    <row r="1836" spans="1:21" x14ac:dyDescent="0.2">
      <c r="A1836" s="64" t="str">
        <f t="shared" si="29"/>
        <v>1w</v>
      </c>
      <c r="B1836" s="203">
        <f>_xll.qlCalendarAdvance(Calendar,B1835,A1836,"f",FALSE)</f>
        <v>51749</v>
      </c>
      <c r="C1836" s="237">
        <f>_xll.qlCalendarAdvance(Calendar,B1836,NDays&amp;"D")</f>
        <v>51753</v>
      </c>
      <c r="D1836" s="202">
        <v>2.34421065135361E-2</v>
      </c>
      <c r="E1836" s="202">
        <v>2.3227873913729269E-2</v>
      </c>
      <c r="U1836" s="204"/>
    </row>
    <row r="1837" spans="1:21" x14ac:dyDescent="0.2">
      <c r="A1837" s="64" t="str">
        <f t="shared" si="29"/>
        <v>1w</v>
      </c>
      <c r="B1837" s="203">
        <f>_xll.qlCalendarAdvance(Calendar,B1836,A1837,"f",FALSE)</f>
        <v>51756</v>
      </c>
      <c r="C1837" s="237">
        <f>_xll.qlCalendarAdvance(Calendar,B1837,NDays&amp;"D")</f>
        <v>51760</v>
      </c>
      <c r="D1837" s="202">
        <v>2.3447698762812504E-2</v>
      </c>
      <c r="E1837" s="202">
        <v>2.3234593661767278E-2</v>
      </c>
      <c r="U1837" s="204"/>
    </row>
    <row r="1838" spans="1:21" x14ac:dyDescent="0.2">
      <c r="A1838" s="64" t="str">
        <f t="shared" si="29"/>
        <v>1w</v>
      </c>
      <c r="B1838" s="203">
        <f>_xll.qlCalendarAdvance(Calendar,B1837,A1838,"f",FALSE)</f>
        <v>51763</v>
      </c>
      <c r="C1838" s="237">
        <f>_xll.qlCalendarAdvance(Calendar,B1838,NDays&amp;"D")</f>
        <v>51767</v>
      </c>
      <c r="D1838" s="202">
        <v>2.3453197690854209E-2</v>
      </c>
      <c r="E1838" s="202">
        <v>2.3241221160956727E-2</v>
      </c>
      <c r="U1838" s="204"/>
    </row>
    <row r="1839" spans="1:21" x14ac:dyDescent="0.2">
      <c r="A1839" s="64" t="str">
        <f t="shared" si="29"/>
        <v>1w</v>
      </c>
      <c r="B1839" s="203">
        <f>_xll.qlCalendarAdvance(Calendar,B1838,A1839,"f",FALSE)</f>
        <v>51770</v>
      </c>
      <c r="C1839" s="237">
        <f>_xll.qlCalendarAdvance(Calendar,B1839,NDays&amp;"D")</f>
        <v>51774</v>
      </c>
      <c r="D1839" s="202">
        <v>2.3458603296890406E-2</v>
      </c>
      <c r="E1839" s="202">
        <v>2.3247756410977871E-2</v>
      </c>
      <c r="U1839" s="204"/>
    </row>
    <row r="1840" spans="1:21" x14ac:dyDescent="0.2">
      <c r="A1840" s="64" t="str">
        <f t="shared" si="29"/>
        <v>1w</v>
      </c>
      <c r="B1840" s="203">
        <f>_xll.qlCalendarAdvance(Calendar,B1839,A1840,"f",FALSE)</f>
        <v>51777</v>
      </c>
      <c r="C1840" s="237">
        <f>_xll.qlCalendarAdvance(Calendar,B1840,NDays&amp;"D")</f>
        <v>51781</v>
      </c>
      <c r="D1840" s="202">
        <v>2.3465024181812073E-2</v>
      </c>
      <c r="E1840" s="202">
        <v>2.3254199412230392E-2</v>
      </c>
      <c r="U1840" s="204"/>
    </row>
    <row r="1841" spans="1:21" x14ac:dyDescent="0.2">
      <c r="A1841" s="64" t="str">
        <f t="shared" si="29"/>
        <v>1w</v>
      </c>
      <c r="B1841" s="203">
        <f>_xll.qlCalendarAdvance(Calendar,B1840,A1841,"f",FALSE)</f>
        <v>51784</v>
      </c>
      <c r="C1841" s="237">
        <f>_xll.qlCalendarAdvance(Calendar,B1841,NDays&amp;"D")</f>
        <v>51788</v>
      </c>
      <c r="D1841" s="202">
        <v>2.3469134539939009E-2</v>
      </c>
      <c r="E1841" s="202">
        <v>2.3260550164394544E-2</v>
      </c>
      <c r="U1841" s="204"/>
    </row>
    <row r="1842" spans="1:21" x14ac:dyDescent="0.2">
      <c r="A1842" s="64" t="str">
        <f t="shared" si="29"/>
        <v>1w</v>
      </c>
      <c r="B1842" s="203">
        <f>_xll.qlCalendarAdvance(Calendar,B1841,A1842,"f",FALSE)</f>
        <v>51791</v>
      </c>
      <c r="C1842" s="237">
        <f>_xll.qlCalendarAdvance(Calendar,B1842,NDays&amp;"D")</f>
        <v>51795</v>
      </c>
      <c r="D1842" s="202">
        <v>2.3474260175476117E-2</v>
      </c>
      <c r="E1842" s="202">
        <v>2.3266808667550265E-2</v>
      </c>
      <c r="U1842" s="204"/>
    </row>
    <row r="1843" spans="1:21" x14ac:dyDescent="0.2">
      <c r="A1843" s="64" t="str">
        <f t="shared" si="29"/>
        <v>1w</v>
      </c>
      <c r="B1843" s="203">
        <f>_xll.qlCalendarAdvance(Calendar,B1842,A1843,"f",FALSE)</f>
        <v>51798</v>
      </c>
      <c r="C1843" s="237">
        <f>_xll.qlCalendarAdvance(Calendar,B1843,NDays&amp;"D")</f>
        <v>51802</v>
      </c>
      <c r="D1843" s="202">
        <v>2.3479292486062817E-2</v>
      </c>
      <c r="E1843" s="202">
        <v>2.3272974921857426E-2</v>
      </c>
      <c r="U1843" s="204"/>
    </row>
    <row r="1844" spans="1:21" x14ac:dyDescent="0.2">
      <c r="A1844" s="64" t="str">
        <f t="shared" si="29"/>
        <v>1w</v>
      </c>
      <c r="B1844" s="203">
        <f>_xll.qlCalendarAdvance(Calendar,B1843,A1844,"f",FALSE)</f>
        <v>51805</v>
      </c>
      <c r="C1844" s="237">
        <f>_xll.qlCalendarAdvance(Calendar,B1844,NDays&amp;"D")</f>
        <v>51809</v>
      </c>
      <c r="D1844" s="202">
        <v>2.3484231470993742E-2</v>
      </c>
      <c r="E1844" s="202">
        <v>2.3279048926916346E-2</v>
      </c>
      <c r="U1844" s="204"/>
    </row>
    <row r="1845" spans="1:21" x14ac:dyDescent="0.2">
      <c r="A1845" s="64" t="str">
        <f t="shared" si="29"/>
        <v>1w</v>
      </c>
      <c r="B1845" s="203">
        <f>_xll.qlCalendarAdvance(Calendar,B1844,A1845,"f",FALSE)</f>
        <v>51812</v>
      </c>
      <c r="C1845" s="237">
        <f>_xll.qlCalendarAdvance(Calendar,B1845,NDays&amp;"D")</f>
        <v>51816</v>
      </c>
      <c r="D1845" s="202">
        <v>2.3489077129578897E-2</v>
      </c>
      <c r="E1845" s="202">
        <v>2.3285030683126706E-2</v>
      </c>
      <c r="U1845" s="204"/>
    </row>
    <row r="1846" spans="1:21" x14ac:dyDescent="0.2">
      <c r="A1846" s="64" t="str">
        <f t="shared" si="29"/>
        <v>1w</v>
      </c>
      <c r="B1846" s="203">
        <f>_xll.qlCalendarAdvance(Calendar,B1845,A1846,"f",FALSE)</f>
        <v>51819</v>
      </c>
      <c r="C1846" s="237">
        <f>_xll.qlCalendarAdvance(Calendar,B1846,NDays&amp;"D")</f>
        <v>51823</v>
      </c>
      <c r="D1846" s="202">
        <v>2.34938294611397E-2</v>
      </c>
      <c r="E1846" s="202">
        <v>2.3290920190328634E-2</v>
      </c>
      <c r="U1846" s="204"/>
    </row>
    <row r="1847" spans="1:21" x14ac:dyDescent="0.2">
      <c r="A1847" s="64" t="str">
        <f t="shared" si="29"/>
        <v>1w</v>
      </c>
      <c r="B1847" s="203">
        <f>_xll.qlCalendarAdvance(Calendar,B1846,A1847,"f",FALSE)</f>
        <v>51826</v>
      </c>
      <c r="C1847" s="237">
        <f>_xll.qlCalendarAdvance(Calendar,B1847,NDays&amp;"D")</f>
        <v>51830</v>
      </c>
      <c r="D1847" s="202">
        <v>2.3498488465012506E-2</v>
      </c>
      <c r="E1847" s="202">
        <v>2.3296717448602067E-2</v>
      </c>
      <c r="U1847" s="204"/>
    </row>
    <row r="1848" spans="1:21" x14ac:dyDescent="0.2">
      <c r="A1848" s="64" t="str">
        <f t="shared" si="29"/>
        <v>1w</v>
      </c>
      <c r="B1848" s="203">
        <f>_xll.qlCalendarAdvance(Calendar,B1847,A1848,"f",FALSE)</f>
        <v>51833</v>
      </c>
      <c r="C1848" s="237">
        <f>_xll.qlCalendarAdvance(Calendar,B1848,NDays&amp;"D")</f>
        <v>51837</v>
      </c>
      <c r="D1848" s="202">
        <v>2.3503053828024974E-2</v>
      </c>
      <c r="E1848" s="202">
        <v>2.3302422457627259E-2</v>
      </c>
      <c r="U1848" s="204"/>
    </row>
    <row r="1849" spans="1:21" x14ac:dyDescent="0.2">
      <c r="A1849" s="64" t="str">
        <f t="shared" si="29"/>
        <v>1w</v>
      </c>
      <c r="B1849" s="203">
        <f>_xll.qlCalendarAdvance(Calendar,B1848,A1849,"f",FALSE)</f>
        <v>51840</v>
      </c>
      <c r="C1849" s="237">
        <f>_xll.qlCalendarAdvance(Calendar,B1849,NDays&amp;"D")</f>
        <v>51844</v>
      </c>
      <c r="D1849" s="202">
        <v>2.3507519987667966E-2</v>
      </c>
      <c r="E1849" s="202">
        <v>2.3308035217883827E-2</v>
      </c>
      <c r="U1849" s="204"/>
    </row>
    <row r="1850" spans="1:21" x14ac:dyDescent="0.2">
      <c r="A1850" s="64" t="str">
        <f t="shared" si="29"/>
        <v>1w</v>
      </c>
      <c r="B1850" s="203">
        <f>_xll.qlCalendarAdvance(Calendar,B1849,A1850,"f",FALSE)</f>
        <v>51847</v>
      </c>
      <c r="C1850" s="237">
        <f>_xll.qlCalendarAdvance(Calendar,B1850,NDays&amp;"D")</f>
        <v>51851</v>
      </c>
      <c r="D1850" s="202">
        <v>2.351187702564541E-2</v>
      </c>
      <c r="E1850" s="202">
        <v>2.3313555728972091E-2</v>
      </c>
      <c r="U1850" s="204"/>
    </row>
    <row r="1851" spans="1:21" x14ac:dyDescent="0.2">
      <c r="A1851" s="64" t="str">
        <f t="shared" si="29"/>
        <v>1w</v>
      </c>
      <c r="B1851" s="203">
        <f>_xll.qlCalendarAdvance(Calendar,B1850,A1851,"f",FALSE)</f>
        <v>51854</v>
      </c>
      <c r="C1851" s="237">
        <f>_xll.qlCalendarAdvance(Calendar,B1851,NDays&amp;"D")</f>
        <v>51858</v>
      </c>
      <c r="D1851" s="202">
        <v>2.3516114891747843E-2</v>
      </c>
      <c r="E1851" s="202">
        <v>2.3318983991051923E-2</v>
      </c>
      <c r="U1851" s="204"/>
    </row>
    <row r="1852" spans="1:21" x14ac:dyDescent="0.2">
      <c r="A1852" s="64" t="str">
        <f t="shared" si="29"/>
        <v>1w</v>
      </c>
      <c r="B1852" s="203">
        <f>_xll.qlCalendarAdvance(Calendar,B1851,A1852,"f",FALSE)</f>
        <v>51862</v>
      </c>
      <c r="C1852" s="237">
        <f>_xll.qlCalendarAdvance(Calendar,B1852,NDays&amp;"D")</f>
        <v>51866</v>
      </c>
      <c r="D1852" s="202">
        <v>2.3519782034203914E-2</v>
      </c>
      <c r="E1852" s="202">
        <v>2.3326206860314613E-2</v>
      </c>
      <c r="U1852" s="204"/>
    </row>
    <row r="1853" spans="1:21" x14ac:dyDescent="0.2">
      <c r="A1853" s="64" t="str">
        <f t="shared" si="29"/>
        <v>1w</v>
      </c>
      <c r="B1853" s="203">
        <f>_xll.qlCalendarAdvance(Calendar,B1852,A1853,"f",FALSE)</f>
        <v>51869</v>
      </c>
      <c r="C1853" s="237">
        <f>_xll.qlCalendarAdvance(Calendar,B1853,NDays&amp;"D")</f>
        <v>51873</v>
      </c>
      <c r="D1853" s="202">
        <v>2.3523743765504496E-2</v>
      </c>
      <c r="E1853" s="202">
        <v>2.3330305346584979E-2</v>
      </c>
      <c r="U1853" s="204"/>
    </row>
    <row r="1854" spans="1:21" x14ac:dyDescent="0.2">
      <c r="A1854" s="64" t="str">
        <f t="shared" si="29"/>
        <v>1w</v>
      </c>
      <c r="B1854" s="203">
        <f>_xll.qlCalendarAdvance(Calendar,B1853,A1854,"f",FALSE)</f>
        <v>51876</v>
      </c>
      <c r="C1854" s="237">
        <f>_xll.qlCalendarAdvance(Calendar,B1854,NDays&amp;"D")</f>
        <v>51880</v>
      </c>
      <c r="D1854" s="202">
        <v>2.3527555874223796E-2</v>
      </c>
      <c r="E1854" s="202">
        <v>2.3335443683061285E-2</v>
      </c>
      <c r="U1854" s="204"/>
    </row>
    <row r="1855" spans="1:21" x14ac:dyDescent="0.2">
      <c r="A1855" s="64" t="str">
        <f t="shared" si="29"/>
        <v>1w</v>
      </c>
      <c r="B1855" s="203">
        <f>_xll.qlCalendarAdvance(Calendar,B1854,A1855,"f",FALSE)</f>
        <v>51883</v>
      </c>
      <c r="C1855" s="237">
        <f>_xll.qlCalendarAdvance(Calendar,B1855,NDays&amp;"D")</f>
        <v>51887</v>
      </c>
      <c r="D1855" s="202">
        <v>2.3531208255069738E-2</v>
      </c>
      <c r="E1855" s="202">
        <v>2.334048977052916E-2</v>
      </c>
      <c r="U1855" s="204"/>
    </row>
    <row r="1856" spans="1:21" x14ac:dyDescent="0.2">
      <c r="A1856" s="64" t="str">
        <f t="shared" si="29"/>
        <v>1w</v>
      </c>
      <c r="B1856" s="203">
        <f>_xll.qlCalendarAdvance(Calendar,B1855,A1856,"f",FALSE)</f>
        <v>51890</v>
      </c>
      <c r="C1856" s="237">
        <f>_xll.qlCalendarAdvance(Calendar,B1856,NDays&amp;"D")</f>
        <v>51894</v>
      </c>
      <c r="D1856" s="202">
        <v>2.3534690802711825E-2</v>
      </c>
      <c r="E1856" s="202">
        <v>2.3345443608988603E-2</v>
      </c>
      <c r="U1856" s="204"/>
    </row>
    <row r="1857" spans="1:21" x14ac:dyDescent="0.2">
      <c r="A1857" s="64" t="str">
        <f t="shared" si="29"/>
        <v>1w</v>
      </c>
      <c r="B1857" s="203">
        <f>_xll.qlCalendarAdvance(Calendar,B1856,A1857,"f",FALSE)</f>
        <v>51897</v>
      </c>
      <c r="C1857" s="237">
        <f>_xll.qlCalendarAdvance(Calendar,B1857,NDays&amp;"D")</f>
        <v>51901</v>
      </c>
      <c r="D1857" s="202">
        <v>2.3537993411791743E-2</v>
      </c>
      <c r="E1857" s="202">
        <v>2.3350305198279742E-2</v>
      </c>
      <c r="U1857" s="204"/>
    </row>
    <row r="1858" spans="1:21" x14ac:dyDescent="0.2">
      <c r="A1858" s="64" t="str">
        <f t="shared" si="29"/>
        <v>1w</v>
      </c>
      <c r="B1858" s="203">
        <f>_xll.qlCalendarAdvance(Calendar,B1857,A1858,"f",FALSE)</f>
        <v>51904</v>
      </c>
      <c r="C1858" s="237">
        <f>_xll.qlCalendarAdvance(Calendar,B1858,NDays&amp;"D")</f>
        <v>51908</v>
      </c>
      <c r="D1858" s="202">
        <v>2.3541105976932177E-2</v>
      </c>
      <c r="E1858" s="202">
        <v>2.3355074538642384E-2</v>
      </c>
      <c r="U1858" s="204"/>
    </row>
    <row r="1859" spans="1:21" x14ac:dyDescent="0.2">
      <c r="A1859" s="64" t="str">
        <f t="shared" si="29"/>
        <v>1w</v>
      </c>
      <c r="B1859" s="203">
        <f>_xll.qlCalendarAdvance(Calendar,B1858,A1859,"f",FALSE)</f>
        <v>51911</v>
      </c>
      <c r="C1859" s="237">
        <f>_xll.qlCalendarAdvance(Calendar,B1859,NDays&amp;"D")</f>
        <v>51915</v>
      </c>
      <c r="D1859" s="202">
        <v>2.3544018392743456E-2</v>
      </c>
      <c r="E1859" s="202">
        <v>2.3359751629916659E-2</v>
      </c>
      <c r="U1859" s="204"/>
    </row>
    <row r="1860" spans="1:21" x14ac:dyDescent="0.2">
      <c r="A1860" s="64" t="str">
        <f t="shared" si="29"/>
        <v>1w</v>
      </c>
      <c r="B1860" s="203">
        <f>_xll.qlCalendarAdvance(Calendar,B1859,A1860,"f",FALSE)</f>
        <v>51918</v>
      </c>
      <c r="C1860" s="237">
        <f>_xll.qlCalendarAdvance(Calendar,B1860,NDays&amp;"D")</f>
        <v>51922</v>
      </c>
      <c r="D1860" s="202">
        <v>2.3546720553837674E-2</v>
      </c>
      <c r="E1860" s="202">
        <v>2.3364336472022629E-2</v>
      </c>
      <c r="U1860" s="204"/>
    </row>
    <row r="1861" spans="1:21" x14ac:dyDescent="0.2">
      <c r="A1861" s="64" t="str">
        <f t="shared" si="29"/>
        <v>1w</v>
      </c>
      <c r="B1861" s="203">
        <f>_xll.qlCalendarAdvance(Calendar,B1860,A1861,"f",FALSE)</f>
        <v>51925</v>
      </c>
      <c r="C1861" s="237">
        <f>_xll.qlCalendarAdvance(Calendar,B1861,NDays&amp;"D")</f>
        <v>51929</v>
      </c>
      <c r="D1861" s="202">
        <v>2.3551785829876208E-2</v>
      </c>
      <c r="E1861" s="202">
        <v>2.3368829065120167E-2</v>
      </c>
      <c r="U1861" s="204"/>
    </row>
    <row r="1862" spans="1:21" x14ac:dyDescent="0.2">
      <c r="A1862" s="64" t="str">
        <f t="shared" si="29"/>
        <v>1w</v>
      </c>
      <c r="B1862" s="203">
        <f>_xll.qlCalendarAdvance(Calendar,B1861,A1862,"f",FALSE)</f>
        <v>51932</v>
      </c>
      <c r="C1862" s="237">
        <f>_xll.qlCalendarAdvance(Calendar,B1862,NDays&amp;"D")</f>
        <v>51936</v>
      </c>
      <c r="D1862" s="202">
        <v>2.3553973053411108E-2</v>
      </c>
      <c r="E1862" s="202">
        <v>2.3373229409129337E-2</v>
      </c>
      <c r="U1862" s="204"/>
    </row>
    <row r="1863" spans="1:21" x14ac:dyDescent="0.2">
      <c r="A1863" s="64" t="str">
        <f t="shared" ref="A1863:A1926" si="30">A1862</f>
        <v>1w</v>
      </c>
      <c r="B1863" s="203">
        <f>_xll.qlCalendarAdvance(Calendar,B1862,A1863,"f",FALSE)</f>
        <v>51939</v>
      </c>
      <c r="C1863" s="237">
        <f>_xll.qlCalendarAdvance(Calendar,B1863,NDays&amp;"D")</f>
        <v>51943</v>
      </c>
      <c r="D1863" s="202">
        <v>2.3555917799429244E-2</v>
      </c>
      <c r="E1863" s="202">
        <v>2.3377537504130075E-2</v>
      </c>
      <c r="U1863" s="204"/>
    </row>
    <row r="1864" spans="1:21" x14ac:dyDescent="0.2">
      <c r="A1864" s="64" t="str">
        <f t="shared" si="30"/>
        <v>1w</v>
      </c>
      <c r="B1864" s="203">
        <f>_xll.qlCalendarAdvance(Calendar,B1863,A1864,"f",FALSE)</f>
        <v>51946</v>
      </c>
      <c r="C1864" s="237">
        <f>_xll.qlCalendarAdvance(Calendar,B1864,NDays&amp;"D")</f>
        <v>51950</v>
      </c>
      <c r="D1864" s="202">
        <v>2.3557610125462029E-2</v>
      </c>
      <c r="E1864" s="202">
        <v>2.3381753349962509E-2</v>
      </c>
      <c r="U1864" s="204"/>
    </row>
    <row r="1865" spans="1:21" x14ac:dyDescent="0.2">
      <c r="A1865" s="64" t="str">
        <f t="shared" si="30"/>
        <v>1w</v>
      </c>
      <c r="B1865" s="203">
        <f>_xll.qlCalendarAdvance(Calendar,B1864,A1865,"f",FALSE)</f>
        <v>51953</v>
      </c>
      <c r="C1865" s="237">
        <f>_xll.qlCalendarAdvance(Calendar,B1865,NDays&amp;"D")</f>
        <v>51957</v>
      </c>
      <c r="D1865" s="202">
        <v>2.3558270331633498E-2</v>
      </c>
      <c r="E1865" s="202">
        <v>2.3385876946706574E-2</v>
      </c>
      <c r="U1865" s="204"/>
    </row>
    <row r="1866" spans="1:21" x14ac:dyDescent="0.2">
      <c r="A1866" s="64" t="str">
        <f t="shared" si="30"/>
        <v>1w</v>
      </c>
      <c r="B1866" s="203">
        <f>_xll.qlCalendarAdvance(Calendar,B1865,A1866,"f",FALSE)</f>
        <v>51964</v>
      </c>
      <c r="C1866" s="237">
        <f>_xll.qlCalendarAdvance(Calendar,B1866,NDays&amp;"D")</f>
        <v>51966</v>
      </c>
      <c r="D1866" s="202">
        <v>2.3559737776111998E-2</v>
      </c>
      <c r="E1866" s="202">
        <v>2.339104316432028E-2</v>
      </c>
      <c r="U1866" s="204"/>
    </row>
    <row r="1867" spans="1:21" x14ac:dyDescent="0.2">
      <c r="A1867" s="64" t="str">
        <f t="shared" si="30"/>
        <v>1w</v>
      </c>
      <c r="B1867" s="203">
        <f>_xll.qlCalendarAdvance(Calendar,B1866,A1867,"f",FALSE)</f>
        <v>51971</v>
      </c>
      <c r="C1867" s="237">
        <f>_xll.qlCalendarAdvance(Calendar,B1867,NDays&amp;"D")</f>
        <v>51973</v>
      </c>
      <c r="D1867" s="202">
        <v>2.3560554851196749E-2</v>
      </c>
      <c r="E1867" s="202">
        <v>2.3394955906050896E-2</v>
      </c>
      <c r="U1867" s="204"/>
    </row>
    <row r="1868" spans="1:21" x14ac:dyDescent="0.2">
      <c r="A1868" s="64" t="str">
        <f t="shared" si="30"/>
        <v>1w</v>
      </c>
      <c r="B1868" s="203">
        <f>_xll.qlCalendarAdvance(Calendar,B1867,A1868,"f",FALSE)</f>
        <v>51978</v>
      </c>
      <c r="C1868" s="237">
        <f>_xll.qlCalendarAdvance(Calendar,B1868,NDays&amp;"D")</f>
        <v>51980</v>
      </c>
      <c r="D1868" s="202">
        <v>2.3561077241695257E-2</v>
      </c>
      <c r="E1868" s="202">
        <v>2.3398776398693144E-2</v>
      </c>
      <c r="U1868" s="204"/>
    </row>
    <row r="1869" spans="1:21" x14ac:dyDescent="0.2">
      <c r="A1869" s="64" t="str">
        <f t="shared" si="30"/>
        <v>1w</v>
      </c>
      <c r="B1869" s="203">
        <f>_xll.qlCalendarAdvance(Calendar,B1868,A1869,"f",FALSE)</f>
        <v>51985</v>
      </c>
      <c r="C1869" s="237">
        <f>_xll.qlCalendarAdvance(Calendar,B1869,NDays&amp;"D")</f>
        <v>51988</v>
      </c>
      <c r="D1869" s="202">
        <v>2.35626229922179E-2</v>
      </c>
      <c r="E1869" s="202">
        <v>2.3405073778164365E-2</v>
      </c>
      <c r="U1869" s="204"/>
    </row>
    <row r="1870" spans="1:21" x14ac:dyDescent="0.2">
      <c r="A1870" s="64" t="str">
        <f t="shared" si="30"/>
        <v>1w</v>
      </c>
      <c r="B1870" s="203">
        <f>_xll.qlCalendarAdvance(Calendar,B1869,A1870,"f",FALSE)</f>
        <v>51992</v>
      </c>
      <c r="C1870" s="237">
        <f>_xll.qlCalendarAdvance(Calendar,B1870,NDays&amp;"D")</f>
        <v>51994</v>
      </c>
      <c r="D1870" s="202">
        <v>2.3563113637138543E-2</v>
      </c>
      <c r="E1870" s="202">
        <v>2.3406140636552664E-2</v>
      </c>
      <c r="U1870" s="204"/>
    </row>
    <row r="1871" spans="1:21" x14ac:dyDescent="0.2">
      <c r="A1871" s="64" t="str">
        <f t="shared" si="30"/>
        <v>1w</v>
      </c>
      <c r="B1871" s="203">
        <f>_xll.qlCalendarAdvance(Calendar,B1870,A1871,"f",FALSE)</f>
        <v>51999</v>
      </c>
      <c r="C1871" s="237">
        <f>_xll.qlCalendarAdvance(Calendar,B1871,NDays&amp;"D")</f>
        <v>52001</v>
      </c>
      <c r="D1871" s="202">
        <v>2.3562616415846015E-2</v>
      </c>
      <c r="E1871" s="202">
        <v>2.3409684382089679E-2</v>
      </c>
      <c r="U1871" s="204"/>
    </row>
    <row r="1872" spans="1:21" x14ac:dyDescent="0.2">
      <c r="A1872" s="64" t="str">
        <f t="shared" si="30"/>
        <v>1w</v>
      </c>
      <c r="B1872" s="203">
        <f>_xll.qlCalendarAdvance(Calendar,B1871,A1872,"f",FALSE)</f>
        <v>52006</v>
      </c>
      <c r="C1872" s="237">
        <f>_xll.qlCalendarAdvance(Calendar,B1872,NDays&amp;"D")</f>
        <v>52008</v>
      </c>
      <c r="D1872" s="202">
        <v>2.356178414039101E-2</v>
      </c>
      <c r="E1872" s="202">
        <v>2.3413135878218583E-2</v>
      </c>
      <c r="U1872" s="204"/>
    </row>
    <row r="1873" spans="1:21" x14ac:dyDescent="0.2">
      <c r="A1873" s="64" t="str">
        <f t="shared" si="30"/>
        <v>1w</v>
      </c>
      <c r="B1873" s="203">
        <f>_xll.qlCalendarAdvance(Calendar,B1872,A1873,"f",FALSE)</f>
        <v>52013</v>
      </c>
      <c r="C1873" s="237">
        <f>_xll.qlCalendarAdvance(Calendar,B1873,NDays&amp;"D")</f>
        <v>52015</v>
      </c>
      <c r="D1873" s="202">
        <v>2.3558919081361537E-2</v>
      </c>
      <c r="E1873" s="202">
        <v>2.3416494246921715E-2</v>
      </c>
      <c r="U1873" s="204"/>
    </row>
    <row r="1874" spans="1:21" x14ac:dyDescent="0.2">
      <c r="A1874" s="64" t="str">
        <f t="shared" si="30"/>
        <v>1w</v>
      </c>
      <c r="B1874" s="203">
        <f>_xll.qlCalendarAdvance(Calendar,B1873,A1874,"f",FALSE)</f>
        <v>52020</v>
      </c>
      <c r="C1874" s="237">
        <f>_xll.qlCalendarAdvance(Calendar,B1874,NDays&amp;"D")</f>
        <v>52022</v>
      </c>
      <c r="D1874" s="202">
        <v>2.355746512604168E-2</v>
      </c>
      <c r="E1874" s="202">
        <v>2.3419613682671425E-2</v>
      </c>
      <c r="U1874" s="204"/>
    </row>
    <row r="1875" spans="1:21" x14ac:dyDescent="0.2">
      <c r="A1875" s="64" t="str">
        <f t="shared" si="30"/>
        <v>1w</v>
      </c>
      <c r="B1875" s="203">
        <f>_xll.qlCalendarAdvance(Calendar,B1874,A1875,"f",FALSE)</f>
        <v>52027</v>
      </c>
      <c r="C1875" s="237">
        <f>_xll.qlCalendarAdvance(Calendar,B1875,NDays&amp;"D")</f>
        <v>52029</v>
      </c>
      <c r="D1875" s="202">
        <v>2.3555656515101539E-2</v>
      </c>
      <c r="E1875" s="202">
        <v>2.3422382635498451E-2</v>
      </c>
      <c r="U1875" s="204"/>
    </row>
    <row r="1876" spans="1:21" x14ac:dyDescent="0.2">
      <c r="A1876" s="64" t="str">
        <f t="shared" si="30"/>
        <v>1w</v>
      </c>
      <c r="B1876" s="203">
        <f>_xll.qlCalendarAdvance(Calendar,B1875,A1876,"f",FALSE)</f>
        <v>52034</v>
      </c>
      <c r="C1876" s="237">
        <f>_xll.qlCalendarAdvance(Calendar,B1876,NDays&amp;"D")</f>
        <v>52036</v>
      </c>
      <c r="D1876" s="202">
        <v>2.3553493249509963E-2</v>
      </c>
      <c r="E1876" s="202">
        <v>2.3424801105322857E-2</v>
      </c>
      <c r="U1876" s="204"/>
    </row>
    <row r="1877" spans="1:21" x14ac:dyDescent="0.2">
      <c r="A1877" s="64" t="str">
        <f t="shared" si="30"/>
        <v>1w</v>
      </c>
      <c r="B1877" s="203">
        <f>_xll.qlCalendarAdvance(Calendar,B1876,A1877,"f",FALSE)</f>
        <v>52041</v>
      </c>
      <c r="C1877" s="237">
        <f>_xll.qlCalendarAdvance(Calendar,B1877,NDays&amp;"D")</f>
        <v>52043</v>
      </c>
      <c r="D1877" s="202">
        <v>2.3552357626547102E-2</v>
      </c>
      <c r="E1877" s="202">
        <v>2.3426869092304514E-2</v>
      </c>
      <c r="U1877" s="204"/>
    </row>
    <row r="1878" spans="1:21" x14ac:dyDescent="0.2">
      <c r="A1878" s="64" t="str">
        <f t="shared" si="30"/>
        <v>1w</v>
      </c>
      <c r="B1878" s="203">
        <f>_xll.qlCalendarAdvance(Calendar,B1877,A1878,"f",FALSE)</f>
        <v>52048</v>
      </c>
      <c r="C1878" s="237">
        <f>_xll.qlCalendarAdvance(Calendar,B1878,NDays&amp;"D")</f>
        <v>52050</v>
      </c>
      <c r="D1878" s="202">
        <v>2.3549408483864352E-2</v>
      </c>
      <c r="E1878" s="202">
        <v>2.3428586596123679E-2</v>
      </c>
      <c r="U1878" s="204"/>
    </row>
    <row r="1879" spans="1:21" x14ac:dyDescent="0.2">
      <c r="A1879" s="64" t="str">
        <f t="shared" si="30"/>
        <v>1w</v>
      </c>
      <c r="B1879" s="203">
        <f>_xll.qlCalendarAdvance(Calendar,B1878,A1879,"f",FALSE)</f>
        <v>52055</v>
      </c>
      <c r="C1879" s="237">
        <f>_xll.qlCalendarAdvance(Calendar,B1879,NDays&amp;"D")</f>
        <v>52057</v>
      </c>
      <c r="D1879" s="202">
        <v>2.3546104621874769E-2</v>
      </c>
      <c r="E1879" s="202">
        <v>2.3429953616940224E-2</v>
      </c>
      <c r="U1879" s="204"/>
    </row>
    <row r="1880" spans="1:21" x14ac:dyDescent="0.2">
      <c r="A1880" s="64" t="str">
        <f t="shared" si="30"/>
        <v>1w</v>
      </c>
      <c r="B1880" s="203">
        <f>_xll.qlCalendarAdvance(Calendar,B1879,A1880,"f",FALSE)</f>
        <v>52062</v>
      </c>
      <c r="C1880" s="237">
        <f>_xll.qlCalendarAdvance(Calendar,B1880,NDays&amp;"D")</f>
        <v>52064</v>
      </c>
      <c r="D1880" s="202">
        <v>2.3542446042373481E-2</v>
      </c>
      <c r="E1880" s="202">
        <v>2.3430970154993958E-2</v>
      </c>
      <c r="U1880" s="204"/>
    </row>
    <row r="1881" spans="1:21" x14ac:dyDescent="0.2">
      <c r="A1881" s="64" t="str">
        <f t="shared" si="30"/>
        <v>1w</v>
      </c>
      <c r="B1881" s="203">
        <f>_xll.qlCalendarAdvance(Calendar,B1880,A1881,"f",FALSE)</f>
        <v>52069</v>
      </c>
      <c r="C1881" s="237">
        <f>_xll.qlCalendarAdvance(Calendar,B1881,NDays&amp;"D")</f>
        <v>52071</v>
      </c>
      <c r="D1881" s="202">
        <v>2.3538432747346853E-2</v>
      </c>
      <c r="E1881" s="202">
        <v>2.3431636209805262E-2</v>
      </c>
      <c r="U1881" s="204"/>
    </row>
    <row r="1882" spans="1:21" x14ac:dyDescent="0.2">
      <c r="A1882" s="64" t="str">
        <f t="shared" si="30"/>
        <v>1w</v>
      </c>
      <c r="B1882" s="203">
        <f>_xll.qlCalendarAdvance(Calendar,B1881,A1882,"f",FALSE)</f>
        <v>52076</v>
      </c>
      <c r="C1882" s="237">
        <f>_xll.qlCalendarAdvance(Calendar,B1882,NDays&amp;"D")</f>
        <v>52078</v>
      </c>
      <c r="D1882" s="202">
        <v>2.3533065986265551E-2</v>
      </c>
      <c r="E1882" s="202">
        <v>2.3431951781613947E-2</v>
      </c>
      <c r="U1882" s="204"/>
    </row>
    <row r="1883" spans="1:21" x14ac:dyDescent="0.2">
      <c r="A1883" s="64" t="str">
        <f t="shared" si="30"/>
        <v>1w</v>
      </c>
      <c r="B1883" s="203">
        <f>_xll.qlCalendarAdvance(Calendar,B1882,A1883,"f",FALSE)</f>
        <v>52083</v>
      </c>
      <c r="C1883" s="237">
        <f>_xll.qlCalendarAdvance(Calendar,B1883,NDays&amp;"D")</f>
        <v>52085</v>
      </c>
      <c r="D1883" s="202">
        <v>2.3529342019633456E-2</v>
      </c>
      <c r="E1883" s="202">
        <v>2.3431916870499947E-2</v>
      </c>
      <c r="U1883" s="204"/>
    </row>
    <row r="1884" spans="1:21" x14ac:dyDescent="0.2">
      <c r="A1884" s="64" t="str">
        <f t="shared" si="30"/>
        <v>1w</v>
      </c>
      <c r="B1884" s="203">
        <f>_xll.qlCalendarAdvance(Calendar,B1883,A1884,"f",FALSE)</f>
        <v>52090</v>
      </c>
      <c r="C1884" s="237">
        <f>_xll.qlCalendarAdvance(Calendar,B1884,NDays&amp;"D")</f>
        <v>52092</v>
      </c>
      <c r="D1884" s="202">
        <v>2.3524264591884243E-2</v>
      </c>
      <c r="E1884" s="202">
        <v>2.3431531476303391E-2</v>
      </c>
      <c r="U1884" s="204"/>
    </row>
    <row r="1885" spans="1:21" x14ac:dyDescent="0.2">
      <c r="A1885" s="64" t="str">
        <f t="shared" si="30"/>
        <v>1w</v>
      </c>
      <c r="B1885" s="203">
        <f>_xll.qlCalendarAdvance(Calendar,B1884,A1885,"f",FALSE)</f>
        <v>52097</v>
      </c>
      <c r="C1885" s="237">
        <f>_xll.qlCalendarAdvance(Calendar,B1885,NDays&amp;"D")</f>
        <v>52099</v>
      </c>
      <c r="D1885" s="202">
        <v>2.351883245848652E-2</v>
      </c>
      <c r="E1885" s="202">
        <v>2.3430795599184151E-2</v>
      </c>
      <c r="U1885" s="204"/>
    </row>
    <row r="1886" spans="1:21" x14ac:dyDescent="0.2">
      <c r="A1886" s="64" t="str">
        <f t="shared" si="30"/>
        <v>1w</v>
      </c>
      <c r="B1886" s="203">
        <f>_xll.qlCalendarAdvance(Calendar,B1885,A1886,"f",FALSE)</f>
        <v>52104</v>
      </c>
      <c r="C1886" s="237">
        <f>_xll.qlCalendarAdvance(Calendar,B1886,NDays&amp;"D")</f>
        <v>52106</v>
      </c>
      <c r="D1886" s="202">
        <v>2.3512354935873475E-2</v>
      </c>
      <c r="E1886" s="202">
        <v>2.3429709238982355E-2</v>
      </c>
      <c r="U1886" s="204"/>
    </row>
    <row r="1887" spans="1:21" x14ac:dyDescent="0.2">
      <c r="A1887" s="64" t="str">
        <f t="shared" si="30"/>
        <v>1w</v>
      </c>
      <c r="B1887" s="203">
        <f>_xll.qlCalendarAdvance(Calendar,B1886,A1887,"f",FALSE)</f>
        <v>52111</v>
      </c>
      <c r="C1887" s="237">
        <f>_xll.qlCalendarAdvance(Calendar,B1887,NDays&amp;"D")</f>
        <v>52113</v>
      </c>
      <c r="D1887" s="202">
        <v>2.3505869329014453E-2</v>
      </c>
      <c r="E1887" s="202">
        <v>2.3428272395857874E-2</v>
      </c>
      <c r="U1887" s="204"/>
    </row>
    <row r="1888" spans="1:21" x14ac:dyDescent="0.2">
      <c r="A1888" s="64" t="str">
        <f t="shared" si="30"/>
        <v>1w</v>
      </c>
      <c r="B1888" s="203">
        <f>_xll.qlCalendarAdvance(Calendar,B1887,A1888,"f",FALSE)</f>
        <v>52118</v>
      </c>
      <c r="C1888" s="237">
        <f>_xll.qlCalendarAdvance(Calendar,B1888,NDays&amp;"D")</f>
        <v>52120</v>
      </c>
      <c r="D1888" s="202">
        <v>2.3499501838839545E-2</v>
      </c>
      <c r="E1888" s="202">
        <v>2.3426485069730774E-2</v>
      </c>
      <c r="U1888" s="204"/>
    </row>
    <row r="1889" spans="1:21" x14ac:dyDescent="0.2">
      <c r="A1889" s="64" t="str">
        <f t="shared" si="30"/>
        <v>1w</v>
      </c>
      <c r="B1889" s="203">
        <f>_xll.qlCalendarAdvance(Calendar,B1888,A1889,"f",FALSE)</f>
        <v>52125</v>
      </c>
      <c r="C1889" s="237">
        <f>_xll.qlCalendarAdvance(Calendar,B1889,NDays&amp;"D")</f>
        <v>52127</v>
      </c>
      <c r="D1889" s="202">
        <v>2.3492779769072429E-2</v>
      </c>
      <c r="E1889" s="202">
        <v>2.3424347260601053E-2</v>
      </c>
      <c r="U1889" s="204"/>
    </row>
    <row r="1890" spans="1:21" x14ac:dyDescent="0.2">
      <c r="A1890" s="64" t="str">
        <f t="shared" si="30"/>
        <v>1w</v>
      </c>
      <c r="B1890" s="203">
        <f>_xll.qlCalendarAdvance(Calendar,B1889,A1890,"f",FALSE)</f>
        <v>52132</v>
      </c>
      <c r="C1890" s="237">
        <f>_xll.qlCalendarAdvance(Calendar,B1890,NDays&amp;"D")</f>
        <v>52134</v>
      </c>
      <c r="D1890" s="202">
        <v>2.3485703123266505E-2</v>
      </c>
      <c r="E1890" s="202">
        <v>2.3421858968468712E-2</v>
      </c>
      <c r="U1890" s="204"/>
    </row>
    <row r="1891" spans="1:21" x14ac:dyDescent="0.2">
      <c r="A1891" s="64" t="str">
        <f t="shared" si="30"/>
        <v>1w</v>
      </c>
      <c r="B1891" s="203">
        <f>_xll.qlCalendarAdvance(Calendar,B1890,A1891,"f",FALSE)</f>
        <v>52139</v>
      </c>
      <c r="C1891" s="237">
        <f>_xll.qlCalendarAdvance(Calendar,B1891,NDays&amp;"D")</f>
        <v>52141</v>
      </c>
      <c r="D1891" s="202">
        <v>2.3478380656942913E-2</v>
      </c>
      <c r="E1891" s="202">
        <v>2.3419020193333751E-2</v>
      </c>
      <c r="U1891" s="204"/>
    </row>
    <row r="1892" spans="1:21" x14ac:dyDescent="0.2">
      <c r="A1892" s="64" t="str">
        <f t="shared" si="30"/>
        <v>1w</v>
      </c>
      <c r="B1892" s="203">
        <f>_xll.qlCalendarAdvance(Calendar,B1891,A1892,"f",FALSE)</f>
        <v>52146</v>
      </c>
      <c r="C1892" s="237">
        <f>_xll.qlCalendarAdvance(Calendar,B1892,NDays&amp;"D")</f>
        <v>52148</v>
      </c>
      <c r="D1892" s="202">
        <v>2.3470569038382558E-2</v>
      </c>
      <c r="E1892" s="202">
        <v>2.3415830935356041E-2</v>
      </c>
      <c r="U1892" s="204"/>
    </row>
    <row r="1893" spans="1:21" x14ac:dyDescent="0.2">
      <c r="A1893" s="64" t="str">
        <f t="shared" si="30"/>
        <v>1w</v>
      </c>
      <c r="B1893" s="203">
        <f>_xll.qlCalendarAdvance(Calendar,B1892,A1893,"f",FALSE)</f>
        <v>52153</v>
      </c>
      <c r="C1893" s="237">
        <f>_xll.qlCalendarAdvance(Calendar,B1893,NDays&amp;"D")</f>
        <v>52155</v>
      </c>
      <c r="D1893" s="202">
        <v>2.3462402833082013E-2</v>
      </c>
      <c r="E1893" s="202">
        <v>2.3412291194295776E-2</v>
      </c>
      <c r="U1893" s="204"/>
    </row>
    <row r="1894" spans="1:21" x14ac:dyDescent="0.2">
      <c r="A1894" s="64" t="str">
        <f t="shared" si="30"/>
        <v>1w</v>
      </c>
      <c r="B1894" s="203">
        <f>_xll.qlCalendarAdvance(Calendar,B1893,A1894,"f",FALSE)</f>
        <v>52160</v>
      </c>
      <c r="C1894" s="237">
        <f>_xll.qlCalendarAdvance(Calendar,B1894,NDays&amp;"D")</f>
        <v>52162</v>
      </c>
      <c r="D1894" s="202">
        <v>2.3453882045382419E-2</v>
      </c>
      <c r="E1894" s="202">
        <v>2.3408400970312826E-2</v>
      </c>
      <c r="U1894" s="204"/>
    </row>
    <row r="1895" spans="1:21" x14ac:dyDescent="0.2">
      <c r="A1895" s="64" t="str">
        <f t="shared" si="30"/>
        <v>1w</v>
      </c>
      <c r="B1895" s="203">
        <f>_xll.qlCalendarAdvance(Calendar,B1894,A1895,"f",FALSE)</f>
        <v>52167</v>
      </c>
      <c r="C1895" s="237">
        <f>_xll.qlCalendarAdvance(Calendar,B1895,NDays&amp;"D")</f>
        <v>52169</v>
      </c>
      <c r="D1895" s="202">
        <v>2.3445006679813342E-2</v>
      </c>
      <c r="E1895" s="202">
        <v>2.3404160263407192E-2</v>
      </c>
      <c r="U1895" s="204"/>
    </row>
    <row r="1896" spans="1:21" x14ac:dyDescent="0.2">
      <c r="A1896" s="64" t="str">
        <f t="shared" si="30"/>
        <v>1w</v>
      </c>
      <c r="B1896" s="203">
        <f>_xll.qlCalendarAdvance(Calendar,B1895,A1896,"f",FALSE)</f>
        <v>52174</v>
      </c>
      <c r="C1896" s="237">
        <f>_xll.qlCalendarAdvance(Calendar,B1896,NDays&amp;"D")</f>
        <v>52176</v>
      </c>
      <c r="D1896" s="202">
        <v>2.3435797374222942E-2</v>
      </c>
      <c r="E1896" s="202">
        <v>2.3399569073578874E-2</v>
      </c>
      <c r="U1896" s="204"/>
    </row>
    <row r="1897" spans="1:21" x14ac:dyDescent="0.2">
      <c r="A1897" s="64" t="str">
        <f t="shared" si="30"/>
        <v>1w</v>
      </c>
      <c r="B1897" s="203">
        <f>_xll.qlCalendarAdvance(Calendar,B1896,A1897,"f",FALSE)</f>
        <v>52181</v>
      </c>
      <c r="C1897" s="237">
        <f>_xll.qlCalendarAdvance(Calendar,B1897,NDays&amp;"D")</f>
        <v>52183</v>
      </c>
      <c r="D1897" s="202">
        <v>2.3426238811382696E-2</v>
      </c>
      <c r="E1897" s="202">
        <v>2.3394627400827872E-2</v>
      </c>
      <c r="U1897" s="204"/>
    </row>
    <row r="1898" spans="1:21" x14ac:dyDescent="0.2">
      <c r="A1898" s="64" t="str">
        <f t="shared" si="30"/>
        <v>1w</v>
      </c>
      <c r="B1898" s="203">
        <f>_xll.qlCalendarAdvance(Calendar,B1897,A1898,"f",FALSE)</f>
        <v>52188</v>
      </c>
      <c r="C1898" s="237">
        <f>_xll.qlCalendarAdvance(Calendar,B1898,NDays&amp;"D")</f>
        <v>52190</v>
      </c>
      <c r="D1898" s="202">
        <v>2.3416325707676836E-2</v>
      </c>
      <c r="E1898" s="202">
        <v>2.3389335245234122E-2</v>
      </c>
      <c r="U1898" s="204"/>
    </row>
    <row r="1899" spans="1:21" x14ac:dyDescent="0.2">
      <c r="A1899" s="64" t="str">
        <f t="shared" si="30"/>
        <v>1w</v>
      </c>
      <c r="B1899" s="203">
        <f>_xll.qlCalendarAdvance(Calendar,B1898,A1899,"f",FALSE)</f>
        <v>52195</v>
      </c>
      <c r="C1899" s="237">
        <f>_xll.qlCalendarAdvance(Calendar,B1899,NDays&amp;"D")</f>
        <v>52197</v>
      </c>
      <c r="D1899" s="202">
        <v>2.3406058068345365E-2</v>
      </c>
      <c r="E1899" s="202">
        <v>2.3383692606637752E-2</v>
      </c>
      <c r="U1899" s="204"/>
    </row>
    <row r="1900" spans="1:21" x14ac:dyDescent="0.2">
      <c r="A1900" s="64" t="str">
        <f t="shared" si="30"/>
        <v>1w</v>
      </c>
      <c r="B1900" s="203">
        <f>_xll.qlCalendarAdvance(Calendar,B1899,A1900,"f",FALSE)</f>
        <v>52202</v>
      </c>
      <c r="C1900" s="237">
        <f>_xll.qlCalendarAdvance(Calendar,B1900,NDays&amp;"D")</f>
        <v>52204</v>
      </c>
      <c r="D1900" s="202">
        <v>2.3395314456101646E-2</v>
      </c>
      <c r="E1900" s="202">
        <v>2.3377699485278569E-2</v>
      </c>
      <c r="U1900" s="204"/>
    </row>
    <row r="1901" spans="1:21" x14ac:dyDescent="0.2">
      <c r="A1901" s="64" t="str">
        <f t="shared" si="30"/>
        <v>1w</v>
      </c>
      <c r="B1901" s="203">
        <f>_xll.qlCalendarAdvance(Calendar,B1900,A1901,"f",FALSE)</f>
        <v>52209</v>
      </c>
      <c r="C1901" s="237">
        <f>_xll.qlCalendarAdvance(Calendar,B1901,NDays&amp;"D")</f>
        <v>52211</v>
      </c>
      <c r="D1901" s="202">
        <v>2.3384340164212349E-2</v>
      </c>
      <c r="E1901" s="202">
        <v>2.3371355880996703E-2</v>
      </c>
      <c r="U1901" s="204"/>
    </row>
    <row r="1902" spans="1:21" x14ac:dyDescent="0.2">
      <c r="A1902" s="64" t="str">
        <f t="shared" si="30"/>
        <v>1w</v>
      </c>
      <c r="B1902" s="203">
        <f>_xll.qlCalendarAdvance(Calendar,B1901,A1902,"f",FALSE)</f>
        <v>52216</v>
      </c>
      <c r="C1902" s="237">
        <f>_xll.qlCalendarAdvance(Calendar,B1902,NDays&amp;"D")</f>
        <v>52218</v>
      </c>
      <c r="D1902" s="202">
        <v>2.3373066191753458E-2</v>
      </c>
      <c r="E1902" s="202">
        <v>2.336466179403196E-2</v>
      </c>
      <c r="U1902" s="204"/>
    </row>
    <row r="1903" spans="1:21" x14ac:dyDescent="0.2">
      <c r="A1903" s="64" t="str">
        <f t="shared" si="30"/>
        <v>1w</v>
      </c>
      <c r="B1903" s="203">
        <f>_xll.qlCalendarAdvance(Calendar,B1902,A1903,"f",FALSE)</f>
        <v>52223</v>
      </c>
      <c r="C1903" s="237">
        <f>_xll.qlCalendarAdvance(Calendar,B1903,NDays&amp;"D")</f>
        <v>52229</v>
      </c>
      <c r="D1903" s="202">
        <v>2.3354815535683963E-2</v>
      </c>
      <c r="E1903" s="202">
        <v>2.3353434395980699E-2</v>
      </c>
      <c r="U1903" s="204"/>
    </row>
    <row r="1904" spans="1:21" x14ac:dyDescent="0.2">
      <c r="A1904" s="64" t="str">
        <f t="shared" si="30"/>
        <v>1w</v>
      </c>
      <c r="B1904" s="203">
        <f>_xll.qlCalendarAdvance(Calendar,B1903,A1904,"f",FALSE)</f>
        <v>52230</v>
      </c>
      <c r="C1904" s="237">
        <f>_xll.qlCalendarAdvance(Calendar,B1904,NDays&amp;"D")</f>
        <v>52233</v>
      </c>
      <c r="D1904" s="202">
        <v>2.3348220301234016E-2</v>
      </c>
      <c r="E1904" s="202">
        <v>2.3349556826355311E-2</v>
      </c>
      <c r="U1904" s="204"/>
    </row>
    <row r="1905" spans="1:21" x14ac:dyDescent="0.2">
      <c r="A1905" s="64" t="str">
        <f t="shared" si="30"/>
        <v>1w</v>
      </c>
      <c r="B1905" s="203">
        <f>_xll.qlCalendarAdvance(Calendar,B1904,A1905,"f",FALSE)</f>
        <v>52237</v>
      </c>
      <c r="C1905" s="237">
        <f>_xll.qlCalendarAdvance(Calendar,B1905,NDays&amp;"D")</f>
        <v>52239</v>
      </c>
      <c r="D1905" s="202">
        <v>2.3337930951331087E-2</v>
      </c>
      <c r="E1905" s="202">
        <v>2.3342476635921372E-2</v>
      </c>
      <c r="U1905" s="204"/>
    </row>
    <row r="1906" spans="1:21" x14ac:dyDescent="0.2">
      <c r="A1906" s="64" t="str">
        <f t="shared" si="30"/>
        <v>1w</v>
      </c>
      <c r="B1906" s="203">
        <f>_xll.qlCalendarAdvance(Calendar,B1905,A1906,"f",FALSE)</f>
        <v>52244</v>
      </c>
      <c r="C1906" s="237">
        <f>_xll.qlCalendarAdvance(Calendar,B1906,NDays&amp;"D")</f>
        <v>52246</v>
      </c>
      <c r="D1906" s="202">
        <v>2.3325756442618986E-2</v>
      </c>
      <c r="E1906" s="202">
        <v>2.3334380617745509E-2</v>
      </c>
      <c r="U1906" s="204"/>
    </row>
    <row r="1907" spans="1:21" x14ac:dyDescent="0.2">
      <c r="A1907" s="64" t="str">
        <f t="shared" si="30"/>
        <v>1w</v>
      </c>
      <c r="B1907" s="203">
        <f>_xll.qlCalendarAdvance(Calendar,B1906,A1907,"f",FALSE)</f>
        <v>52251</v>
      </c>
      <c r="C1907" s="237">
        <f>_xll.qlCalendarAdvance(Calendar,B1907,NDays&amp;"D")</f>
        <v>52253</v>
      </c>
      <c r="D1907" s="202">
        <v>2.3313426858891519E-2</v>
      </c>
      <c r="E1907" s="202">
        <v>2.3325934116886771E-2</v>
      </c>
      <c r="U1907" s="204"/>
    </row>
    <row r="1908" spans="1:21" x14ac:dyDescent="0.2">
      <c r="A1908" s="64" t="str">
        <f t="shared" si="30"/>
        <v>1w</v>
      </c>
      <c r="B1908" s="203">
        <f>_xll.qlCalendarAdvance(Calendar,B1907,A1908,"f",FALSE)</f>
        <v>52258</v>
      </c>
      <c r="C1908" s="237">
        <f>_xll.qlCalendarAdvance(Calendar,B1908,NDays&amp;"D")</f>
        <v>52260</v>
      </c>
      <c r="D1908" s="202">
        <v>2.3300971903583528E-2</v>
      </c>
      <c r="E1908" s="202">
        <v>2.331713713326522E-2</v>
      </c>
      <c r="U1908" s="204"/>
    </row>
    <row r="1909" spans="1:21" x14ac:dyDescent="0.2">
      <c r="A1909" s="64" t="str">
        <f t="shared" si="30"/>
        <v>1w</v>
      </c>
      <c r="B1909" s="203">
        <f>_xll.qlCalendarAdvance(Calendar,B1908,A1909,"f",FALSE)</f>
        <v>52265</v>
      </c>
      <c r="C1909" s="237">
        <f>_xll.qlCalendarAdvance(Calendar,B1909,NDays&amp;"D")</f>
        <v>52267</v>
      </c>
      <c r="D1909" s="202">
        <v>2.3288421279421927E-2</v>
      </c>
      <c r="E1909" s="202">
        <v>2.3307989667040729E-2</v>
      </c>
      <c r="U1909" s="204"/>
    </row>
    <row r="1910" spans="1:21" x14ac:dyDescent="0.2">
      <c r="A1910" s="64" t="str">
        <f t="shared" si="30"/>
        <v>1w</v>
      </c>
      <c r="B1910" s="203">
        <f>_xll.qlCalendarAdvance(Calendar,B1909,A1910,"f",FALSE)</f>
        <v>52272</v>
      </c>
      <c r="C1910" s="237">
        <f>_xll.qlCalendarAdvance(Calendar,B1910,NDays&amp;"D")</f>
        <v>52274</v>
      </c>
      <c r="D1910" s="202">
        <v>2.3275804688409337E-2</v>
      </c>
      <c r="E1910" s="202">
        <v>2.3298491718133363E-2</v>
      </c>
      <c r="U1910" s="204"/>
    </row>
    <row r="1911" spans="1:21" x14ac:dyDescent="0.2">
      <c r="A1911" s="64" t="str">
        <f t="shared" si="30"/>
        <v>1w</v>
      </c>
      <c r="B1911" s="203">
        <f>_xll.qlCalendarAdvance(Calendar,B1910,A1911,"f",FALSE)</f>
        <v>52279</v>
      </c>
      <c r="C1911" s="237">
        <f>_xll.qlCalendarAdvance(Calendar,B1911,NDays&amp;"D")</f>
        <v>52281</v>
      </c>
      <c r="D1911" s="202">
        <v>2.3263151831812622E-2</v>
      </c>
      <c r="E1911" s="202">
        <v>2.328864328654312E-2</v>
      </c>
      <c r="U1911" s="204"/>
    </row>
    <row r="1912" spans="1:21" x14ac:dyDescent="0.2">
      <c r="A1912" s="64" t="str">
        <f t="shared" si="30"/>
        <v>1w</v>
      </c>
      <c r="B1912" s="203">
        <f>_xll.qlCalendarAdvance(Calendar,B1911,A1912,"f",FALSE)</f>
        <v>52286</v>
      </c>
      <c r="C1912" s="237">
        <f>_xll.qlCalendarAdvance(Calendar,B1912,NDays&amp;"D")</f>
        <v>52288</v>
      </c>
      <c r="D1912" s="202">
        <v>2.3250492410156247E-2</v>
      </c>
      <c r="E1912" s="202">
        <v>2.327844437250981E-2</v>
      </c>
      <c r="U1912" s="204"/>
    </row>
    <row r="1913" spans="1:21" x14ac:dyDescent="0.2">
      <c r="A1913" s="64" t="str">
        <f t="shared" si="30"/>
        <v>1w</v>
      </c>
      <c r="B1913" s="203">
        <f>_xll.qlCalendarAdvance(Calendar,B1912,A1913,"f",FALSE)</f>
        <v>52293</v>
      </c>
      <c r="C1913" s="237">
        <f>_xll.qlCalendarAdvance(Calendar,B1913,NDays&amp;"D")</f>
        <v>52295</v>
      </c>
      <c r="D1913" s="202">
        <v>2.3237212955075116E-2</v>
      </c>
      <c r="E1913" s="202">
        <v>2.3267894975793624E-2</v>
      </c>
      <c r="U1913" s="204"/>
    </row>
    <row r="1914" spans="1:21" x14ac:dyDescent="0.2">
      <c r="A1914" s="64" t="str">
        <f t="shared" si="30"/>
        <v>1w</v>
      </c>
      <c r="B1914" s="203">
        <f>_xll.qlCalendarAdvance(Calendar,B1913,A1914,"f",FALSE)</f>
        <v>52300</v>
      </c>
      <c r="C1914" s="237">
        <f>_xll.qlCalendarAdvance(Calendar,B1914,NDays&amp;"D")</f>
        <v>52302</v>
      </c>
      <c r="D1914" s="202">
        <v>2.3224719016641176E-2</v>
      </c>
      <c r="E1914" s="202">
        <v>2.3256995096554434E-2</v>
      </c>
      <c r="U1914" s="204"/>
    </row>
    <row r="1915" spans="1:21" x14ac:dyDescent="0.2">
      <c r="A1915" s="64" t="str">
        <f t="shared" si="30"/>
        <v>1w</v>
      </c>
      <c r="B1915" s="203">
        <f>_xll.qlCalendarAdvance(Calendar,B1914,A1915,"f",FALSE)</f>
        <v>52307</v>
      </c>
      <c r="C1915" s="237">
        <f>_xll.qlCalendarAdvance(Calendar,B1915,NDays&amp;"D")</f>
        <v>52309</v>
      </c>
      <c r="D1915" s="202">
        <v>2.321231653643575E-2</v>
      </c>
      <c r="E1915" s="202">
        <v>2.3245744734872176E-2</v>
      </c>
      <c r="U1915" s="204"/>
    </row>
    <row r="1916" spans="1:21" x14ac:dyDescent="0.2">
      <c r="A1916" s="64" t="str">
        <f t="shared" si="30"/>
        <v>1w</v>
      </c>
      <c r="B1916" s="203">
        <f>_xll.qlCalendarAdvance(Calendar,B1915,A1916,"f",FALSE)</f>
        <v>52314</v>
      </c>
      <c r="C1916" s="237">
        <f>_xll.qlCalendarAdvance(Calendar,B1916,NDays&amp;"D")</f>
        <v>52316</v>
      </c>
      <c r="D1916" s="202">
        <v>2.3200034422658982E-2</v>
      </c>
      <c r="E1916" s="202">
        <v>2.3233756186430199E-2</v>
      </c>
      <c r="U1916" s="204"/>
    </row>
    <row r="1917" spans="1:21" x14ac:dyDescent="0.2">
      <c r="A1917" s="64" t="str">
        <f t="shared" si="30"/>
        <v>1w</v>
      </c>
      <c r="B1917" s="203">
        <f>_xll.qlCalendarAdvance(Calendar,B1916,A1917,"f",FALSE)</f>
        <v>52321</v>
      </c>
      <c r="C1917" s="237">
        <f>_xll.qlCalendarAdvance(Calendar,B1917,NDays&amp;"D")</f>
        <v>52323</v>
      </c>
      <c r="D1917" s="202">
        <v>2.3188034649659715E-2</v>
      </c>
      <c r="E1917" s="202">
        <v>2.3222192564178457E-2</v>
      </c>
      <c r="U1917" s="204"/>
    </row>
    <row r="1918" spans="1:21" x14ac:dyDescent="0.2">
      <c r="A1918" s="64" t="str">
        <f t="shared" si="30"/>
        <v>1w</v>
      </c>
      <c r="B1918" s="203">
        <f>_xll.qlCalendarAdvance(Calendar,B1917,A1918,"f",FALSE)</f>
        <v>52328</v>
      </c>
      <c r="C1918" s="237">
        <f>_xll.qlCalendarAdvance(Calendar,B1918,NDays&amp;"D")</f>
        <v>52330</v>
      </c>
      <c r="D1918" s="202">
        <v>2.3176007537915155E-2</v>
      </c>
      <c r="E1918" s="202">
        <v>2.3209890755087059E-2</v>
      </c>
      <c r="U1918" s="204"/>
    </row>
    <row r="1919" spans="1:21" x14ac:dyDescent="0.2">
      <c r="A1919" s="64" t="str">
        <f t="shared" si="30"/>
        <v>1w</v>
      </c>
      <c r="B1919" s="203">
        <f>_xll.qlCalendarAdvance(Calendar,B1918,A1919,"f",FALSE)</f>
        <v>52335</v>
      </c>
      <c r="C1919" s="237">
        <f>_xll.qlCalendarAdvance(Calendar,B1919,NDays&amp;"D")</f>
        <v>52337</v>
      </c>
      <c r="D1919" s="202">
        <v>2.3164184088734566E-2</v>
      </c>
      <c r="E1919" s="202">
        <v>2.3197238463792402E-2</v>
      </c>
      <c r="U1919" s="204"/>
    </row>
    <row r="1920" spans="1:21" x14ac:dyDescent="0.2">
      <c r="A1920" s="64" t="str">
        <f t="shared" si="30"/>
        <v>1w</v>
      </c>
      <c r="B1920" s="203">
        <f>_xll.qlCalendarAdvance(Calendar,B1919,A1920,"f",FALSE)</f>
        <v>52342</v>
      </c>
      <c r="C1920" s="237">
        <f>_xll.qlCalendarAdvance(Calendar,B1920,NDays&amp;"D")</f>
        <v>52344</v>
      </c>
      <c r="D1920" s="202">
        <v>2.3152593676046374E-2</v>
      </c>
      <c r="E1920" s="202">
        <v>2.318423569021455E-2</v>
      </c>
      <c r="U1920" s="204"/>
    </row>
    <row r="1921" spans="1:21" x14ac:dyDescent="0.2">
      <c r="A1921" s="64" t="str">
        <f t="shared" si="30"/>
        <v>1w</v>
      </c>
      <c r="B1921" s="203">
        <f>_xll.qlCalendarAdvance(Calendar,B1920,A1921,"f",FALSE)</f>
        <v>52349</v>
      </c>
      <c r="C1921" s="237">
        <f>_xll.qlCalendarAdvance(Calendar,B1921,NDays&amp;"D")</f>
        <v>52351</v>
      </c>
      <c r="D1921" s="202">
        <v>2.3141265673167041E-2</v>
      </c>
      <c r="E1921" s="202">
        <v>2.3170207527962727E-2</v>
      </c>
      <c r="U1921" s="204"/>
    </row>
    <row r="1922" spans="1:21" x14ac:dyDescent="0.2">
      <c r="A1922" s="64" t="str">
        <f t="shared" si="30"/>
        <v>1w</v>
      </c>
      <c r="B1922" s="203">
        <f>_xll.qlCalendarAdvance(Calendar,B1921,A1922,"f",FALSE)</f>
        <v>52356</v>
      </c>
      <c r="C1922" s="237">
        <f>_xll.qlCalendarAdvance(Calendar,B1922,NDays&amp;"D")</f>
        <v>52358</v>
      </c>
      <c r="D1922" s="202">
        <v>2.3130488208076495E-2</v>
      </c>
      <c r="E1922" s="202">
        <v>2.3157178696049385E-2</v>
      </c>
      <c r="U1922" s="204"/>
    </row>
    <row r="1923" spans="1:21" x14ac:dyDescent="0.2">
      <c r="A1923" s="64" t="str">
        <f t="shared" si="30"/>
        <v>1w</v>
      </c>
      <c r="B1923" s="203">
        <f>_xll.qlCalendarAdvance(Calendar,B1922,A1923,"f",FALSE)</f>
        <v>52363</v>
      </c>
      <c r="C1923" s="237">
        <f>_xll.qlCalendarAdvance(Calendar,B1923,NDays&amp;"D")</f>
        <v>52365</v>
      </c>
      <c r="D1923" s="202">
        <v>2.3119858032623921E-2</v>
      </c>
      <c r="E1923" s="202">
        <v>2.3143124475621946E-2</v>
      </c>
      <c r="U1923" s="204"/>
    </row>
    <row r="1924" spans="1:21" x14ac:dyDescent="0.2">
      <c r="A1924" s="64" t="str">
        <f t="shared" si="30"/>
        <v>1w</v>
      </c>
      <c r="B1924" s="203">
        <f>_xll.qlCalendarAdvance(Calendar,B1923,A1924,"f",FALSE)</f>
        <v>52370</v>
      </c>
      <c r="C1924" s="237">
        <f>_xll.qlCalendarAdvance(Calendar,B1924,NDays&amp;"D")</f>
        <v>52372</v>
      </c>
      <c r="D1924" s="202">
        <v>2.3109579465986529E-2</v>
      </c>
      <c r="E1924" s="202">
        <v>2.3128719773071182E-2</v>
      </c>
      <c r="U1924" s="204"/>
    </row>
    <row r="1925" spans="1:21" x14ac:dyDescent="0.2">
      <c r="A1925" s="64" t="str">
        <f t="shared" si="30"/>
        <v>1w</v>
      </c>
      <c r="B1925" s="203">
        <f>_xll.qlCalendarAdvance(Calendar,B1924,A1925,"f",FALSE)</f>
        <v>52377</v>
      </c>
      <c r="C1925" s="237">
        <f>_xll.qlCalendarAdvance(Calendar,B1925,NDays&amp;"D")</f>
        <v>52379</v>
      </c>
      <c r="D1925" s="202">
        <v>2.3099681411085236E-2</v>
      </c>
      <c r="E1925" s="202">
        <v>2.3113964588397096E-2</v>
      </c>
      <c r="U1925" s="204"/>
    </row>
    <row r="1926" spans="1:21" x14ac:dyDescent="0.2">
      <c r="A1926" s="64" t="str">
        <f t="shared" si="30"/>
        <v>1w</v>
      </c>
      <c r="B1926" s="203">
        <f>_xll.qlCalendarAdvance(Calendar,B1925,A1926,"f",FALSE)</f>
        <v>52384</v>
      </c>
      <c r="C1926" s="237">
        <f>_xll.qlCalendarAdvance(Calendar,B1926,NDays&amp;"D")</f>
        <v>52386</v>
      </c>
      <c r="D1926" s="202">
        <v>2.3089586751130452E-2</v>
      </c>
      <c r="E1926" s="202">
        <v>2.3099186844408592E-2</v>
      </c>
      <c r="U1926" s="204"/>
    </row>
    <row r="1927" spans="1:21" x14ac:dyDescent="0.2">
      <c r="A1927" s="64" t="str">
        <f t="shared" ref="A1927:A1990" si="31">A1926</f>
        <v>1w</v>
      </c>
      <c r="B1927" s="203">
        <f>_xll.qlCalendarAdvance(Calendar,B1926,A1927,"f",FALSE)</f>
        <v>52391</v>
      </c>
      <c r="C1927" s="237">
        <f>_xll.qlCalendarAdvance(Calendar,B1927,NDays&amp;"D")</f>
        <v>52393</v>
      </c>
      <c r="D1927" s="202">
        <v>2.3080421740485399E-2</v>
      </c>
      <c r="E1927" s="202">
        <v>2.3084815164402528E-2</v>
      </c>
      <c r="U1927" s="204"/>
    </row>
    <row r="1928" spans="1:21" x14ac:dyDescent="0.2">
      <c r="A1928" s="64" t="str">
        <f t="shared" si="31"/>
        <v>1w</v>
      </c>
      <c r="B1928" s="203">
        <f>_xll.qlCalendarAdvance(Calendar,B1927,A1928,"f",FALSE)</f>
        <v>52398</v>
      </c>
      <c r="C1928" s="237">
        <f>_xll.qlCalendarAdvance(Calendar,B1928,NDays&amp;"D")</f>
        <v>52400</v>
      </c>
      <c r="D1928" s="202">
        <v>2.3071670183590274E-2</v>
      </c>
      <c r="E1928" s="202">
        <v>2.3070852130313568E-2</v>
      </c>
      <c r="U1928" s="204"/>
    </row>
    <row r="1929" spans="1:21" x14ac:dyDescent="0.2">
      <c r="A1929" s="64" t="str">
        <f t="shared" si="31"/>
        <v>1w</v>
      </c>
      <c r="B1929" s="203">
        <f>_xll.qlCalendarAdvance(Calendar,B1928,A1929,"f",FALSE)</f>
        <v>52405</v>
      </c>
      <c r="C1929" s="237">
        <f>_xll.qlCalendarAdvance(Calendar,B1929,NDays&amp;"D")</f>
        <v>52407</v>
      </c>
      <c r="D1929" s="202">
        <v>2.306419587589667E-2</v>
      </c>
      <c r="E1929" s="202">
        <v>2.3057297742301586E-2</v>
      </c>
      <c r="U1929" s="204"/>
    </row>
    <row r="1930" spans="1:21" x14ac:dyDescent="0.2">
      <c r="A1930" s="64" t="str">
        <f t="shared" si="31"/>
        <v>1w</v>
      </c>
      <c r="B1930" s="203">
        <f>_xll.qlCalendarAdvance(Calendar,B1929,A1930,"f",FALSE)</f>
        <v>52412</v>
      </c>
      <c r="C1930" s="237">
        <f>_xll.qlCalendarAdvance(Calendar,B1930,NDays&amp;"D")</f>
        <v>52414</v>
      </c>
      <c r="D1930" s="202">
        <v>2.3056358306071702E-2</v>
      </c>
      <c r="E1930" s="202">
        <v>2.3044152000206708E-2</v>
      </c>
      <c r="U1930" s="204"/>
    </row>
    <row r="1931" spans="1:21" x14ac:dyDescent="0.2">
      <c r="A1931" s="64" t="str">
        <f t="shared" si="31"/>
        <v>1w</v>
      </c>
      <c r="B1931" s="203">
        <f>_xll.qlCalendarAdvance(Calendar,B1930,A1931,"f",FALSE)</f>
        <v>52419</v>
      </c>
      <c r="C1931" s="237">
        <f>_xll.qlCalendarAdvance(Calendar,B1931,NDays&amp;"D")</f>
        <v>52421</v>
      </c>
      <c r="D1931" s="202">
        <v>2.3048934252918818E-2</v>
      </c>
      <c r="E1931" s="202">
        <v>2.3031414903948999E-2</v>
      </c>
      <c r="U1931" s="204"/>
    </row>
    <row r="1932" spans="1:21" x14ac:dyDescent="0.2">
      <c r="A1932" s="64" t="str">
        <f t="shared" si="31"/>
        <v>1w</v>
      </c>
      <c r="B1932" s="203">
        <f>_xll.qlCalendarAdvance(Calendar,B1931,A1932,"f",FALSE)</f>
        <v>52426</v>
      </c>
      <c r="C1932" s="237">
        <f>_xll.qlCalendarAdvance(Calendar,B1932,NDays&amp;"D")</f>
        <v>52428</v>
      </c>
      <c r="D1932" s="202">
        <v>2.3041923711736405E-2</v>
      </c>
      <c r="E1932" s="202">
        <v>2.3019086453608395E-2</v>
      </c>
      <c r="U1932" s="204"/>
    </row>
    <row r="1933" spans="1:21" x14ac:dyDescent="0.2">
      <c r="A1933" s="64" t="str">
        <f t="shared" si="31"/>
        <v>1w</v>
      </c>
      <c r="B1933" s="203">
        <f>_xll.qlCalendarAdvance(Calendar,B1932,A1933,"f",FALSE)</f>
        <v>52433</v>
      </c>
      <c r="C1933" s="237">
        <f>_xll.qlCalendarAdvance(Calendar,B1933,NDays&amp;"D")</f>
        <v>52435</v>
      </c>
      <c r="D1933" s="202">
        <v>2.3035326678083286E-2</v>
      </c>
      <c r="E1933" s="202">
        <v>2.3007166648865152E-2</v>
      </c>
      <c r="U1933" s="204"/>
    </row>
    <row r="1934" spans="1:21" x14ac:dyDescent="0.2">
      <c r="A1934" s="64" t="str">
        <f t="shared" si="31"/>
        <v>1w</v>
      </c>
      <c r="B1934" s="203">
        <f>_xll.qlCalendarAdvance(Calendar,B1933,A1934,"f",FALSE)</f>
        <v>52440</v>
      </c>
      <c r="C1934" s="237">
        <f>_xll.qlCalendarAdvance(Calendar,B1934,NDays&amp;"D")</f>
        <v>52442</v>
      </c>
      <c r="D1934" s="202">
        <v>2.3027843083597819E-2</v>
      </c>
      <c r="E1934" s="202">
        <v>2.2995655490198885E-2</v>
      </c>
      <c r="U1934" s="204"/>
    </row>
    <row r="1935" spans="1:21" x14ac:dyDescent="0.2">
      <c r="A1935" s="64" t="str">
        <f t="shared" si="31"/>
        <v>1w</v>
      </c>
      <c r="B1935" s="203">
        <f>_xll.qlCalendarAdvance(Calendar,B1934,A1935,"f",FALSE)</f>
        <v>52447</v>
      </c>
      <c r="C1935" s="237">
        <f>_xll.qlCalendarAdvance(Calendar,B1935,NDays&amp;"D")</f>
        <v>52449</v>
      </c>
      <c r="D1935" s="202">
        <v>2.302337311691572E-2</v>
      </c>
      <c r="E1935" s="202">
        <v>2.2984552977050043E-2</v>
      </c>
      <c r="U1935" s="204"/>
    </row>
    <row r="1936" spans="1:21" x14ac:dyDescent="0.2">
      <c r="A1936" s="64" t="str">
        <f t="shared" si="31"/>
        <v>1w</v>
      </c>
      <c r="B1936" s="203">
        <f>_xll.qlCalendarAdvance(Calendar,B1935,A1936,"f",FALSE)</f>
        <v>52454</v>
      </c>
      <c r="C1936" s="237">
        <f>_xll.qlCalendarAdvance(Calendar,B1936,NDays&amp;"D")</f>
        <v>52456</v>
      </c>
      <c r="D1936" s="202">
        <v>2.3018016581830555E-2</v>
      </c>
      <c r="E1936" s="202">
        <v>2.2973859109658434E-2</v>
      </c>
      <c r="U1936" s="204"/>
    </row>
    <row r="1937" spans="1:21" x14ac:dyDescent="0.2">
      <c r="A1937" s="64" t="str">
        <f t="shared" si="31"/>
        <v>1w</v>
      </c>
      <c r="B1937" s="203">
        <f>_xll.qlCalendarAdvance(Calendar,B1936,A1937,"f",FALSE)</f>
        <v>52461</v>
      </c>
      <c r="C1937" s="237">
        <f>_xll.qlCalendarAdvance(Calendar,B1937,NDays&amp;"D")</f>
        <v>52463</v>
      </c>
      <c r="D1937" s="202">
        <v>2.3013073539131956E-2</v>
      </c>
      <c r="E1937" s="202">
        <v>2.296357388778425E-2</v>
      </c>
      <c r="U1937" s="204"/>
    </row>
    <row r="1938" spans="1:21" x14ac:dyDescent="0.2">
      <c r="A1938" s="64" t="str">
        <f t="shared" si="31"/>
        <v>1w</v>
      </c>
      <c r="B1938" s="203">
        <f>_xll.qlCalendarAdvance(Calendar,B1937,A1938,"f",FALSE)</f>
        <v>52468</v>
      </c>
      <c r="C1938" s="237">
        <f>_xll.qlCalendarAdvance(Calendar,B1938,NDays&amp;"D")</f>
        <v>52470</v>
      </c>
      <c r="D1938" s="202">
        <v>2.3008543985691247E-2</v>
      </c>
      <c r="E1938" s="202">
        <v>2.2953697311667298E-2</v>
      </c>
      <c r="U1938" s="204"/>
    </row>
    <row r="1939" spans="1:21" x14ac:dyDescent="0.2">
      <c r="A1939" s="64" t="str">
        <f t="shared" si="31"/>
        <v>1w</v>
      </c>
      <c r="B1939" s="203">
        <f>_xll.qlCalendarAdvance(Calendar,B1938,A1939,"f",FALSE)</f>
        <v>52475</v>
      </c>
      <c r="C1939" s="237">
        <f>_xll.qlCalendarAdvance(Calendar,B1939,NDays&amp;"D")</f>
        <v>52477</v>
      </c>
      <c r="D1939" s="202">
        <v>2.3002115847466933E-2</v>
      </c>
      <c r="E1939" s="202">
        <v>2.2944229381067771E-2</v>
      </c>
      <c r="U1939" s="204"/>
    </row>
    <row r="1940" spans="1:21" x14ac:dyDescent="0.2">
      <c r="A1940" s="64" t="str">
        <f t="shared" si="31"/>
        <v>1w</v>
      </c>
      <c r="B1940" s="203">
        <f>_xll.qlCalendarAdvance(Calendar,B1939,A1940,"f",FALSE)</f>
        <v>52482</v>
      </c>
      <c r="C1940" s="237">
        <f>_xll.qlCalendarAdvance(Calendar,B1940,NDays&amp;"D")</f>
        <v>52484</v>
      </c>
      <c r="D1940" s="202">
        <v>2.2998296097890954E-2</v>
      </c>
      <c r="E1940" s="202">
        <v>2.2935170095985669E-2</v>
      </c>
      <c r="U1940" s="204"/>
    </row>
    <row r="1941" spans="1:21" x14ac:dyDescent="0.2">
      <c r="A1941" s="64" t="str">
        <f t="shared" si="31"/>
        <v>1w</v>
      </c>
      <c r="B1941" s="203">
        <f>_xll.qlCalendarAdvance(Calendar,B1940,A1941,"f",FALSE)</f>
        <v>52489</v>
      </c>
      <c r="C1941" s="237">
        <f>_xll.qlCalendarAdvance(Calendar,B1941,NDays&amp;"D")</f>
        <v>52491</v>
      </c>
      <c r="D1941" s="202">
        <v>2.2994889725104915E-2</v>
      </c>
      <c r="E1941" s="202">
        <v>2.2926519456420991E-2</v>
      </c>
      <c r="U1941" s="204"/>
    </row>
    <row r="1942" spans="1:21" x14ac:dyDescent="0.2">
      <c r="A1942" s="64" t="str">
        <f t="shared" si="31"/>
        <v>1w</v>
      </c>
      <c r="B1942" s="203">
        <f>_xll.qlCalendarAdvance(Calendar,B1941,A1942,"f",FALSE)</f>
        <v>52496</v>
      </c>
      <c r="C1942" s="237">
        <f>_xll.qlCalendarAdvance(Calendar,B1942,NDays&amp;"D")</f>
        <v>52498</v>
      </c>
      <c r="D1942" s="202">
        <v>2.2991896726996659E-2</v>
      </c>
      <c r="E1942" s="202">
        <v>2.2918277462453673E-2</v>
      </c>
      <c r="U1942" s="204"/>
    </row>
    <row r="1943" spans="1:21" x14ac:dyDescent="0.2">
      <c r="A1943" s="64" t="str">
        <f t="shared" si="31"/>
        <v>1w</v>
      </c>
      <c r="B1943" s="203">
        <f>_xll.qlCalendarAdvance(Calendar,B1942,A1943,"f",FALSE)</f>
        <v>52503</v>
      </c>
      <c r="C1943" s="237">
        <f>_xll.qlCalendarAdvance(Calendar,B1943,NDays&amp;"D")</f>
        <v>52505</v>
      </c>
      <c r="D1943" s="202">
        <v>2.2990008184865136E-2</v>
      </c>
      <c r="E1943" s="202">
        <v>2.2910444113843909E-2</v>
      </c>
      <c r="U1943" s="204"/>
    </row>
    <row r="1944" spans="1:21" x14ac:dyDescent="0.2">
      <c r="A1944" s="64" t="str">
        <f t="shared" si="31"/>
        <v>1w</v>
      </c>
      <c r="B1944" s="203">
        <f>_xll.qlCalendarAdvance(Calendar,B1943,A1944,"f",FALSE)</f>
        <v>52510</v>
      </c>
      <c r="C1944" s="237">
        <f>_xll.qlCalendarAdvance(Calendar,B1944,NDays&amp;"D")</f>
        <v>52512</v>
      </c>
      <c r="D1944" s="202">
        <v>2.2987871321468963E-2</v>
      </c>
      <c r="E1944" s="202">
        <v>2.2903019410671632E-2</v>
      </c>
      <c r="U1944" s="204"/>
    </row>
    <row r="1945" spans="1:21" x14ac:dyDescent="0.2">
      <c r="A1945" s="64" t="str">
        <f t="shared" si="31"/>
        <v>1w</v>
      </c>
      <c r="B1945" s="203">
        <f>_xll.qlCalendarAdvance(Calendar,B1944,A1945,"f",FALSE)</f>
        <v>52517</v>
      </c>
      <c r="C1945" s="237">
        <f>_xll.qlCalendarAdvance(Calendar,B1945,NDays&amp;"D")</f>
        <v>52519</v>
      </c>
      <c r="D1945" s="202">
        <v>2.2989175879709223E-2</v>
      </c>
      <c r="E1945" s="202">
        <v>2.2896003352936845E-2</v>
      </c>
      <c r="U1945" s="204"/>
    </row>
    <row r="1946" spans="1:21" x14ac:dyDescent="0.2">
      <c r="A1946" s="64" t="str">
        <f t="shared" si="31"/>
        <v>1w</v>
      </c>
      <c r="B1946" s="203">
        <f>_xll.qlCalendarAdvance(Calendar,B1945,A1946,"f",FALSE)</f>
        <v>52524</v>
      </c>
      <c r="C1946" s="237">
        <f>_xll.qlCalendarAdvance(Calendar,B1946,NDays&amp;"D")</f>
        <v>52526</v>
      </c>
      <c r="D1946" s="202">
        <v>2.2984837781832645E-2</v>
      </c>
      <c r="E1946" s="202">
        <v>2.2889395940479673E-2</v>
      </c>
      <c r="U1946" s="204"/>
    </row>
    <row r="1947" spans="1:21" x14ac:dyDescent="0.2">
      <c r="A1947" s="64" t="str">
        <f t="shared" si="31"/>
        <v>1w</v>
      </c>
      <c r="B1947" s="203">
        <f>_xll.qlCalendarAdvance(Calendar,B1946,A1947,"f",FALSE)</f>
        <v>52531</v>
      </c>
      <c r="C1947" s="237">
        <f>_xll.qlCalendarAdvance(Calendar,B1947,NDays&amp;"D")</f>
        <v>52533</v>
      </c>
      <c r="D1947" s="202">
        <v>2.2983941103701992E-2</v>
      </c>
      <c r="E1947" s="202">
        <v>2.288319717345999E-2</v>
      </c>
      <c r="U1947" s="204"/>
    </row>
    <row r="1948" spans="1:21" x14ac:dyDescent="0.2">
      <c r="A1948" s="64" t="str">
        <f t="shared" si="31"/>
        <v>1w</v>
      </c>
      <c r="B1948" s="203">
        <f>_xll.qlCalendarAdvance(Calendar,B1947,A1948,"f",FALSE)</f>
        <v>52538</v>
      </c>
      <c r="C1948" s="237">
        <f>_xll.qlCalendarAdvance(Calendar,B1948,NDays&amp;"D")</f>
        <v>52540</v>
      </c>
      <c r="D1948" s="202">
        <v>2.2982619520652423E-2</v>
      </c>
      <c r="E1948" s="202">
        <v>2.287740705179786E-2</v>
      </c>
      <c r="U1948" s="204"/>
    </row>
    <row r="1949" spans="1:21" x14ac:dyDescent="0.2">
      <c r="A1949" s="64" t="str">
        <f t="shared" si="31"/>
        <v>1w</v>
      </c>
      <c r="B1949" s="203">
        <f>_xll.qlCalendarAdvance(Calendar,B1948,A1949,"f",FALSE)</f>
        <v>52545</v>
      </c>
      <c r="C1949" s="237">
        <f>_xll.qlCalendarAdvance(Calendar,B1949,NDays&amp;"D")</f>
        <v>52547</v>
      </c>
      <c r="D1949" s="202">
        <v>2.2982520107702024E-2</v>
      </c>
      <c r="E1949" s="202">
        <v>2.287202557533341E-2</v>
      </c>
      <c r="U1949" s="204"/>
    </row>
    <row r="1950" spans="1:21" x14ac:dyDescent="0.2">
      <c r="A1950" s="64" t="str">
        <f t="shared" si="31"/>
        <v>1w</v>
      </c>
      <c r="B1950" s="203">
        <f>_xll.qlCalendarAdvance(Calendar,B1949,A1950,"f",FALSE)</f>
        <v>52552</v>
      </c>
      <c r="C1950" s="237">
        <f>_xll.qlCalendarAdvance(Calendar,B1950,NDays&amp;"D")</f>
        <v>52554</v>
      </c>
      <c r="D1950" s="202">
        <v>2.298283406176433E-2</v>
      </c>
      <c r="E1950" s="202">
        <v>2.2867052744226513E-2</v>
      </c>
      <c r="U1950" s="204"/>
    </row>
    <row r="1951" spans="1:21" x14ac:dyDescent="0.2">
      <c r="A1951" s="64" t="str">
        <f t="shared" si="31"/>
        <v>1w</v>
      </c>
      <c r="B1951" s="203">
        <f>_xll.qlCalendarAdvance(Calendar,B1950,A1951,"f",FALSE)</f>
        <v>52559</v>
      </c>
      <c r="C1951" s="237">
        <f>_xll.qlCalendarAdvance(Calendar,B1951,NDays&amp;"D")</f>
        <v>52561</v>
      </c>
      <c r="D1951" s="202">
        <v>2.2983561383033039E-2</v>
      </c>
      <c r="E1951" s="202">
        <v>2.2862488558477168E-2</v>
      </c>
      <c r="U1951" s="204"/>
    </row>
    <row r="1952" spans="1:21" x14ac:dyDescent="0.2">
      <c r="A1952" s="64" t="str">
        <f t="shared" si="31"/>
        <v>1w</v>
      </c>
      <c r="B1952" s="203">
        <f>_xll.qlCalendarAdvance(Calendar,B1951,A1952,"f",FALSE)</f>
        <v>52566</v>
      </c>
      <c r="C1952" s="237">
        <f>_xll.qlCalendarAdvance(Calendar,B1952,NDays&amp;"D")</f>
        <v>52568</v>
      </c>
      <c r="D1952" s="202">
        <v>2.2985658105529702E-2</v>
      </c>
      <c r="E1952" s="202">
        <v>2.2858333018005439E-2</v>
      </c>
      <c r="U1952" s="204"/>
    </row>
    <row r="1953" spans="1:21" x14ac:dyDescent="0.2">
      <c r="A1953" s="64" t="str">
        <f t="shared" si="31"/>
        <v>1w</v>
      </c>
      <c r="B1953" s="203">
        <f>_xll.qlCalendarAdvance(Calendar,B1952,A1953,"f",FALSE)</f>
        <v>52573</v>
      </c>
      <c r="C1953" s="237">
        <f>_xll.qlCalendarAdvance(Calendar,B1953,NDays&amp;"D")</f>
        <v>52575</v>
      </c>
      <c r="D1953" s="202">
        <v>2.2987231697856745E-2</v>
      </c>
      <c r="E1953" s="202">
        <v>2.2854586122651455E-2</v>
      </c>
      <c r="U1953" s="204"/>
    </row>
    <row r="1954" spans="1:21" x14ac:dyDescent="0.2">
      <c r="A1954" s="64" t="str">
        <f t="shared" si="31"/>
        <v>1w</v>
      </c>
      <c r="B1954" s="203">
        <f>_xll.qlCalendarAdvance(Calendar,B1953,A1954,"f",FALSE)</f>
        <v>52580</v>
      </c>
      <c r="C1954" s="237">
        <f>_xll.qlCalendarAdvance(Calendar,B1954,NDays&amp;"D")</f>
        <v>52582</v>
      </c>
      <c r="D1954" s="202">
        <v>2.2989192926280998E-2</v>
      </c>
      <c r="E1954" s="202">
        <v>2.2851247872655023E-2</v>
      </c>
      <c r="U1954" s="204"/>
    </row>
    <row r="1955" spans="1:21" x14ac:dyDescent="0.2">
      <c r="A1955" s="64" t="str">
        <f t="shared" si="31"/>
        <v>1w</v>
      </c>
      <c r="B1955" s="203">
        <f>_xll.qlCalendarAdvance(Calendar,B1954,A1955,"f",FALSE)</f>
        <v>52587</v>
      </c>
      <c r="C1955" s="237">
        <f>_xll.qlCalendarAdvance(Calendar,B1955,NDays&amp;"D")</f>
        <v>52589</v>
      </c>
      <c r="D1955" s="202">
        <v>2.2991525399477443E-2</v>
      </c>
      <c r="E1955" s="202">
        <v>2.2849924047005921E-2</v>
      </c>
      <c r="U1955" s="204"/>
    </row>
    <row r="1956" spans="1:21" x14ac:dyDescent="0.2">
      <c r="A1956" s="64" t="str">
        <f t="shared" si="31"/>
        <v>1w</v>
      </c>
      <c r="B1956" s="203">
        <f>_xll.qlCalendarAdvance(Calendar,B1955,A1956,"f",FALSE)</f>
        <v>52594</v>
      </c>
      <c r="C1956" s="237">
        <f>_xll.qlCalendarAdvance(Calendar,B1956,NDays&amp;"D")</f>
        <v>52596</v>
      </c>
      <c r="D1956" s="202">
        <v>2.2993159940706557E-2</v>
      </c>
      <c r="E1956" s="202">
        <v>2.2847490190929243E-2</v>
      </c>
      <c r="U1956" s="204"/>
    </row>
    <row r="1957" spans="1:21" x14ac:dyDescent="0.2">
      <c r="A1957" s="64" t="str">
        <f t="shared" si="31"/>
        <v>1w</v>
      </c>
      <c r="B1957" s="203">
        <f>_xll.qlCalendarAdvance(Calendar,B1956,A1957,"f",FALSE)</f>
        <v>52601</v>
      </c>
      <c r="C1957" s="237">
        <f>_xll.qlCalendarAdvance(Calendar,B1957,NDays&amp;"D")</f>
        <v>52603</v>
      </c>
      <c r="D1957" s="202">
        <v>2.2996166621529993E-2</v>
      </c>
      <c r="E1957" s="202">
        <v>2.2843684993771873E-2</v>
      </c>
      <c r="U1957" s="204"/>
    </row>
    <row r="1958" spans="1:21" x14ac:dyDescent="0.2">
      <c r="A1958" s="64" t="str">
        <f t="shared" si="31"/>
        <v>1w</v>
      </c>
      <c r="B1958" s="203">
        <f>_xll.qlCalendarAdvance(Calendar,B1957,A1958,"f",FALSE)</f>
        <v>52608</v>
      </c>
      <c r="C1958" s="237">
        <f>_xll.qlCalendarAdvance(Calendar,B1958,NDays&amp;"D")</f>
        <v>52610</v>
      </c>
      <c r="D1958" s="202">
        <v>2.2999497205986572E-2</v>
      </c>
      <c r="E1958" s="202">
        <v>2.2841981324566163E-2</v>
      </c>
      <c r="U1958" s="204"/>
    </row>
    <row r="1959" spans="1:21" x14ac:dyDescent="0.2">
      <c r="A1959" s="64" t="str">
        <f t="shared" si="31"/>
        <v>1w</v>
      </c>
      <c r="B1959" s="203">
        <f>_xll.qlCalendarAdvance(Calendar,B1958,A1959,"f",FALSE)</f>
        <v>52615</v>
      </c>
      <c r="C1959" s="237">
        <f>_xll.qlCalendarAdvance(Calendar,B1959,NDays&amp;"D")</f>
        <v>52617</v>
      </c>
      <c r="D1959" s="202">
        <v>2.3003135214099357E-2</v>
      </c>
      <c r="E1959" s="202">
        <v>2.2840686300638069E-2</v>
      </c>
      <c r="U1959" s="204"/>
    </row>
    <row r="1960" spans="1:21" x14ac:dyDescent="0.2">
      <c r="A1960" s="64" t="str">
        <f t="shared" si="31"/>
        <v>1w</v>
      </c>
      <c r="B1960" s="203">
        <f>_xll.qlCalendarAdvance(Calendar,B1959,A1960,"f",FALSE)</f>
        <v>52622</v>
      </c>
      <c r="C1960" s="237">
        <f>_xll.qlCalendarAdvance(Calendar,B1960,NDays&amp;"D")</f>
        <v>52624</v>
      </c>
      <c r="D1960" s="202">
        <v>2.3007064165917749E-2</v>
      </c>
      <c r="E1960" s="202">
        <v>2.2839799921827719E-2</v>
      </c>
      <c r="U1960" s="204"/>
    </row>
    <row r="1961" spans="1:21" x14ac:dyDescent="0.2">
      <c r="A1961" s="64" t="str">
        <f t="shared" si="31"/>
        <v>1w</v>
      </c>
      <c r="B1961" s="203">
        <f>_xll.qlCalendarAdvance(Calendar,B1960,A1961,"f",FALSE)</f>
        <v>52629</v>
      </c>
      <c r="C1961" s="237">
        <f>_xll.qlCalendarAdvance(Calendar,B1961,NDays&amp;"D")</f>
        <v>52631</v>
      </c>
      <c r="D1961" s="202">
        <v>2.3011267581493799E-2</v>
      </c>
      <c r="E1961" s="202">
        <v>2.2839322188135114E-2</v>
      </c>
      <c r="U1961" s="204"/>
    </row>
    <row r="1962" spans="1:21" x14ac:dyDescent="0.2">
      <c r="A1962" s="64" t="str">
        <f t="shared" si="31"/>
        <v>1w</v>
      </c>
      <c r="B1962" s="203">
        <f>_xll.qlCalendarAdvance(Calendar,B1961,A1962,"f",FALSE)</f>
        <v>52636</v>
      </c>
      <c r="C1962" s="237">
        <f>_xll.qlCalendarAdvance(Calendar,B1962,NDays&amp;"D")</f>
        <v>52638</v>
      </c>
      <c r="D1962" s="202">
        <v>2.3015728980858904E-2</v>
      </c>
      <c r="E1962" s="202">
        <v>2.2839253099720125E-2</v>
      </c>
      <c r="U1962" s="204"/>
    </row>
    <row r="1963" spans="1:21" x14ac:dyDescent="0.2">
      <c r="A1963" s="64" t="str">
        <f t="shared" si="31"/>
        <v>1w</v>
      </c>
      <c r="B1963" s="203">
        <f>_xll.qlCalendarAdvance(Calendar,B1962,A1963,"f",FALSE)</f>
        <v>52643</v>
      </c>
      <c r="C1963" s="237">
        <f>_xll.qlCalendarAdvance(Calendar,B1963,NDays&amp;"D")</f>
        <v>52645</v>
      </c>
      <c r="D1963" s="202">
        <v>2.3020431884001425E-2</v>
      </c>
      <c r="E1963" s="202">
        <v>2.2839592656502816E-2</v>
      </c>
      <c r="U1963" s="204"/>
    </row>
    <row r="1964" spans="1:21" x14ac:dyDescent="0.2">
      <c r="A1964" s="64" t="str">
        <f t="shared" si="31"/>
        <v>1w</v>
      </c>
      <c r="B1964" s="203">
        <f>_xll.qlCalendarAdvance(Calendar,B1963,A1964,"f",FALSE)</f>
        <v>52650</v>
      </c>
      <c r="C1964" s="237">
        <f>_xll.qlCalendarAdvance(Calendar,B1964,NDays&amp;"D")</f>
        <v>52652</v>
      </c>
      <c r="D1964" s="202">
        <v>2.3025359810846475E-2</v>
      </c>
      <c r="E1964" s="202">
        <v>2.2840340858403252E-2</v>
      </c>
      <c r="U1964" s="204"/>
    </row>
    <row r="1965" spans="1:21" x14ac:dyDescent="0.2">
      <c r="A1965" s="64" t="str">
        <f t="shared" si="31"/>
        <v>1w</v>
      </c>
      <c r="B1965" s="203">
        <f>_xll.qlCalendarAdvance(Calendar,B1964,A1965,"f",FALSE)</f>
        <v>52657</v>
      </c>
      <c r="C1965" s="237">
        <f>_xll.qlCalendarAdvance(Calendar,B1965,NDays&amp;"D")</f>
        <v>52659</v>
      </c>
      <c r="D1965" s="202">
        <v>2.3035163237116719E-2</v>
      </c>
      <c r="E1965" s="202">
        <v>2.2841497705581304E-2</v>
      </c>
      <c r="U1965" s="204"/>
    </row>
    <row r="1966" spans="1:21" x14ac:dyDescent="0.2">
      <c r="A1966" s="64" t="str">
        <f t="shared" si="31"/>
        <v>1w</v>
      </c>
      <c r="B1966" s="203">
        <f>_xll.qlCalendarAdvance(Calendar,B1965,A1966,"f",FALSE)</f>
        <v>52664</v>
      </c>
      <c r="C1966" s="237">
        <f>_xll.qlCalendarAdvance(Calendar,B1966,NDays&amp;"D")</f>
        <v>52666</v>
      </c>
      <c r="D1966" s="202">
        <v>2.3040514648080542E-2</v>
      </c>
      <c r="E1966" s="202">
        <v>2.28430631978771E-2</v>
      </c>
      <c r="U1966" s="204"/>
    </row>
    <row r="1967" spans="1:21" x14ac:dyDescent="0.2">
      <c r="A1967" s="64" t="str">
        <f t="shared" si="31"/>
        <v>1w</v>
      </c>
      <c r="B1967" s="203">
        <f>_xll.qlCalendarAdvance(Calendar,B1966,A1967,"f",FALSE)</f>
        <v>52671</v>
      </c>
      <c r="C1967" s="237">
        <f>_xll.qlCalendarAdvance(Calendar,B1967,NDays&amp;"D")</f>
        <v>52673</v>
      </c>
      <c r="D1967" s="202">
        <v>2.3046037584705137E-2</v>
      </c>
      <c r="E1967" s="202">
        <v>2.2845037335370577E-2</v>
      </c>
      <c r="U1967" s="204"/>
    </row>
    <row r="1968" spans="1:21" x14ac:dyDescent="0.2">
      <c r="A1968" s="64" t="str">
        <f t="shared" si="31"/>
        <v>1w</v>
      </c>
      <c r="B1968" s="203">
        <f>_xll.qlCalendarAdvance(Calendar,B1967,A1968,"f",FALSE)</f>
        <v>52678</v>
      </c>
      <c r="C1968" s="237">
        <f>_xll.qlCalendarAdvance(Calendar,B1968,NDays&amp;"D")</f>
        <v>52680</v>
      </c>
      <c r="D1968" s="202">
        <v>2.3051715916815461E-2</v>
      </c>
      <c r="E1968" s="202">
        <v>2.284742011814167E-2</v>
      </c>
      <c r="U1968" s="204"/>
    </row>
    <row r="1969" spans="1:21" x14ac:dyDescent="0.2">
      <c r="A1969" s="64" t="str">
        <f t="shared" si="31"/>
        <v>1w</v>
      </c>
      <c r="B1969" s="203">
        <f>_xll.qlCalendarAdvance(Calendar,B1968,A1969,"f",FALSE)</f>
        <v>52685</v>
      </c>
      <c r="C1969" s="237">
        <f>_xll.qlCalendarAdvance(Calendar,B1969,NDays&amp;"D")</f>
        <v>52687</v>
      </c>
      <c r="D1969" s="202">
        <v>2.3053981741403457E-2</v>
      </c>
      <c r="E1969" s="202">
        <v>2.2850211546110444E-2</v>
      </c>
      <c r="U1969" s="204"/>
    </row>
    <row r="1970" spans="1:21" x14ac:dyDescent="0.2">
      <c r="A1970" s="64" t="str">
        <f t="shared" si="31"/>
        <v>1w</v>
      </c>
      <c r="B1970" s="203">
        <f>_xll.qlCalendarAdvance(Calendar,B1969,A1970,"f",FALSE)</f>
        <v>52692</v>
      </c>
      <c r="C1970" s="237">
        <f>_xll.qlCalendarAdvance(Calendar,B1970,NDays&amp;"D")</f>
        <v>52694</v>
      </c>
      <c r="D1970" s="202">
        <v>2.3059915957633997E-2</v>
      </c>
      <c r="E1970" s="202">
        <v>2.2853411619196962E-2</v>
      </c>
      <c r="U1970" s="204"/>
    </row>
    <row r="1971" spans="1:21" x14ac:dyDescent="0.2">
      <c r="A1971" s="64" t="str">
        <f t="shared" si="31"/>
        <v>1w</v>
      </c>
      <c r="B1971" s="203">
        <f>_xll.qlCalendarAdvance(Calendar,B1970,A1971,"f",FALSE)</f>
        <v>52699</v>
      </c>
      <c r="C1971" s="237">
        <f>_xll.qlCalendarAdvance(Calendar,B1971,NDays&amp;"D")</f>
        <v>52701</v>
      </c>
      <c r="D1971" s="202">
        <v>2.3065959158970063E-2</v>
      </c>
      <c r="E1971" s="202">
        <v>2.2861037727597733E-2</v>
      </c>
      <c r="U1971" s="204"/>
    </row>
    <row r="1972" spans="1:21" x14ac:dyDescent="0.2">
      <c r="A1972" s="64" t="str">
        <f t="shared" si="31"/>
        <v>1w</v>
      </c>
      <c r="B1972" s="203">
        <f>_xll.qlCalendarAdvance(Calendar,B1971,A1972,"f",FALSE)</f>
        <v>52706</v>
      </c>
      <c r="C1972" s="237">
        <f>_xll.qlCalendarAdvance(Calendar,B1972,NDays&amp;"D")</f>
        <v>52708</v>
      </c>
      <c r="D1972" s="202">
        <v>2.3072094953269374E-2</v>
      </c>
      <c r="E1972" s="202">
        <v>2.2861037701282783E-2</v>
      </c>
      <c r="U1972" s="204"/>
    </row>
    <row r="1973" spans="1:21" x14ac:dyDescent="0.2">
      <c r="A1973" s="64" t="str">
        <f t="shared" si="31"/>
        <v>1w</v>
      </c>
      <c r="B1973" s="203">
        <f>_xll.qlCalendarAdvance(Calendar,B1972,A1973,"f",FALSE)</f>
        <v>52713</v>
      </c>
      <c r="C1973" s="237">
        <f>_xll.qlCalendarAdvance(Calendar,B1973,NDays&amp;"D")</f>
        <v>52715</v>
      </c>
      <c r="D1973" s="202">
        <v>2.3078306948201812E-2</v>
      </c>
      <c r="E1973" s="202">
        <v>2.2865463710122214E-2</v>
      </c>
      <c r="U1973" s="204"/>
    </row>
    <row r="1974" spans="1:21" x14ac:dyDescent="0.2">
      <c r="A1974" s="64" t="str">
        <f t="shared" si="31"/>
        <v>1w</v>
      </c>
      <c r="B1974" s="203">
        <f>_xll.qlCalendarAdvance(Calendar,B1973,A1974,"f",FALSE)</f>
        <v>52720</v>
      </c>
      <c r="C1974" s="237">
        <f>_xll.qlCalendarAdvance(Calendar,B1974,NDays&amp;"D")</f>
        <v>52722</v>
      </c>
      <c r="D1974" s="202">
        <v>2.3088145904861451E-2</v>
      </c>
      <c r="E1974" s="202">
        <v>2.2870298364399133E-2</v>
      </c>
      <c r="U1974" s="204"/>
    </row>
    <row r="1975" spans="1:21" x14ac:dyDescent="0.2">
      <c r="A1975" s="64" t="str">
        <f t="shared" si="31"/>
        <v>1w</v>
      </c>
      <c r="B1975" s="203">
        <f>_xll.qlCalendarAdvance(Calendar,B1974,A1975,"f",FALSE)</f>
        <v>52727</v>
      </c>
      <c r="C1975" s="237">
        <f>_xll.qlCalendarAdvance(Calendar,B1975,NDays&amp;"D")</f>
        <v>52729</v>
      </c>
      <c r="D1975" s="202">
        <v>2.3094460346715574E-2</v>
      </c>
      <c r="E1975" s="202">
        <v>2.2875541663873733E-2</v>
      </c>
      <c r="U1975" s="204"/>
    </row>
    <row r="1976" spans="1:21" x14ac:dyDescent="0.2">
      <c r="A1976" s="64" t="str">
        <f t="shared" si="31"/>
        <v>1w</v>
      </c>
      <c r="B1976" s="203">
        <f>_xll.qlCalendarAdvance(Calendar,B1975,A1976,"f",FALSE)</f>
        <v>52734</v>
      </c>
      <c r="C1976" s="237">
        <f>_xll.qlCalendarAdvance(Calendar,B1976,NDays&amp;"D")</f>
        <v>52736</v>
      </c>
      <c r="D1976" s="202">
        <v>2.3100801136493543E-2</v>
      </c>
      <c r="E1976" s="202">
        <v>2.2881193608546013E-2</v>
      </c>
      <c r="U1976" s="204"/>
    </row>
    <row r="1977" spans="1:21" x14ac:dyDescent="0.2">
      <c r="A1977" s="64" t="str">
        <f t="shared" si="31"/>
        <v>1w</v>
      </c>
      <c r="B1977" s="203">
        <f>_xll.qlCalendarAdvance(Calendar,B1976,A1977,"f",FALSE)</f>
        <v>52741</v>
      </c>
      <c r="C1977" s="237">
        <f>_xll.qlCalendarAdvance(Calendar,B1977,NDays&amp;"D")</f>
        <v>52743</v>
      </c>
      <c r="D1977" s="202">
        <v>2.3107152142368297E-2</v>
      </c>
      <c r="E1977" s="202">
        <v>2.2887254198735718E-2</v>
      </c>
      <c r="U1977" s="204"/>
    </row>
    <row r="1978" spans="1:21" x14ac:dyDescent="0.2">
      <c r="A1978" s="64" t="str">
        <f t="shared" si="31"/>
        <v>1w</v>
      </c>
      <c r="B1978" s="203">
        <f>_xll.qlCalendarAdvance(Calendar,B1977,A1978,"f",FALSE)</f>
        <v>52748</v>
      </c>
      <c r="C1978" s="237">
        <f>_xll.qlCalendarAdvance(Calendar,B1978,NDays&amp;"D")</f>
        <v>52750</v>
      </c>
      <c r="D1978" s="202">
        <v>2.3109936402016359E-2</v>
      </c>
      <c r="E1978" s="202">
        <v>2.2893670121169052E-2</v>
      </c>
      <c r="U1978" s="204"/>
    </row>
    <row r="1979" spans="1:21" x14ac:dyDescent="0.2">
      <c r="A1979" s="64" t="str">
        <f t="shared" si="31"/>
        <v>1w</v>
      </c>
      <c r="B1979" s="203">
        <f>_xll.qlCalendarAdvance(Calendar,B1978,A1979,"f",FALSE)</f>
        <v>52755</v>
      </c>
      <c r="C1979" s="237">
        <f>_xll.qlCalendarAdvance(Calendar,B1979,NDays&amp;"D")</f>
        <v>52757</v>
      </c>
      <c r="D1979" s="202">
        <v>2.3116269101288868E-2</v>
      </c>
      <c r="E1979" s="202">
        <v>2.2900124379736653E-2</v>
      </c>
      <c r="U1979" s="204"/>
    </row>
    <row r="1980" spans="1:21" x14ac:dyDescent="0.2">
      <c r="A1980" s="64" t="str">
        <f t="shared" si="31"/>
        <v>1w</v>
      </c>
      <c r="B1980" s="203">
        <f>_xll.qlCalendarAdvance(Calendar,B1979,A1980,"f",FALSE)</f>
        <v>52762</v>
      </c>
      <c r="C1980" s="237">
        <f>_xll.qlCalendarAdvance(Calendar,B1980,NDays&amp;"D")</f>
        <v>52764</v>
      </c>
      <c r="D1980" s="202">
        <v>2.3122586668628518E-2</v>
      </c>
      <c r="E1980" s="202">
        <v>2.2906563661404533E-2</v>
      </c>
      <c r="U1980" s="204"/>
    </row>
    <row r="1981" spans="1:21" x14ac:dyDescent="0.2">
      <c r="A1981" s="64" t="str">
        <f t="shared" si="31"/>
        <v>1w</v>
      </c>
      <c r="B1981" s="203">
        <f>_xll.qlCalendarAdvance(Calendar,B1980,A1981,"f",FALSE)</f>
        <v>52769</v>
      </c>
      <c r="C1981" s="237">
        <f>_xll.qlCalendarAdvance(Calendar,B1981,NDays&amp;"D")</f>
        <v>52771</v>
      </c>
      <c r="D1981" s="202">
        <v>2.312888910389246E-2</v>
      </c>
      <c r="E1981" s="202">
        <v>2.2912987966252629E-2</v>
      </c>
      <c r="U1981" s="204"/>
    </row>
    <row r="1982" spans="1:21" x14ac:dyDescent="0.2">
      <c r="A1982" s="64" t="str">
        <f t="shared" si="31"/>
        <v>1w</v>
      </c>
      <c r="B1982" s="203">
        <f>_xll.qlCalendarAdvance(Calendar,B1981,A1982,"f",FALSE)</f>
        <v>52776</v>
      </c>
      <c r="C1982" s="237">
        <f>_xll.qlCalendarAdvance(Calendar,B1982,NDays&amp;"D")</f>
        <v>52778</v>
      </c>
      <c r="D1982" s="202">
        <v>2.3135176406935246E-2</v>
      </c>
      <c r="E1982" s="202">
        <v>2.2919397294121069E-2</v>
      </c>
      <c r="U1982" s="204"/>
    </row>
    <row r="1983" spans="1:21" x14ac:dyDescent="0.2">
      <c r="A1983" s="64" t="str">
        <f t="shared" si="31"/>
        <v>1w</v>
      </c>
      <c r="B1983" s="203">
        <f>_xll.qlCalendarAdvance(Calendar,B1982,A1983,"f",FALSE)</f>
        <v>52783</v>
      </c>
      <c r="C1983" s="237">
        <f>_xll.qlCalendarAdvance(Calendar,B1983,NDays&amp;"D")</f>
        <v>52785</v>
      </c>
      <c r="D1983" s="202">
        <v>2.3144999441531786E-2</v>
      </c>
      <c r="E1983" s="202">
        <v>2.2925791645169724E-2</v>
      </c>
      <c r="U1983" s="204"/>
    </row>
    <row r="1984" spans="1:21" x14ac:dyDescent="0.2">
      <c r="A1984" s="64" t="str">
        <f t="shared" si="31"/>
        <v>1w</v>
      </c>
      <c r="B1984" s="203">
        <f>_xll.qlCalendarAdvance(Calendar,B1983,A1984,"f",FALSE)</f>
        <v>52790</v>
      </c>
      <c r="C1984" s="237">
        <f>_xll.qlCalendarAdvance(Calendar,B1984,NDays&amp;"D")</f>
        <v>52792</v>
      </c>
      <c r="D1984" s="202">
        <v>2.3151254436281899E-2</v>
      </c>
      <c r="E1984" s="202">
        <v>2.2932171019238723E-2</v>
      </c>
      <c r="U1984" s="204"/>
    </row>
    <row r="1985" spans="1:21" x14ac:dyDescent="0.2">
      <c r="A1985" s="64" t="str">
        <f t="shared" si="31"/>
        <v>1w</v>
      </c>
      <c r="B1985" s="203">
        <f>_xll.qlCalendarAdvance(Calendar,B1984,A1985,"f",FALSE)</f>
        <v>52797</v>
      </c>
      <c r="C1985" s="237">
        <f>_xll.qlCalendarAdvance(Calendar,B1985,NDays&amp;"D")</f>
        <v>52799</v>
      </c>
      <c r="D1985" s="202">
        <v>2.3157494295771224E-2</v>
      </c>
      <c r="E1985" s="202">
        <v>2.2938535416487937E-2</v>
      </c>
      <c r="U1985" s="204"/>
    </row>
    <row r="1986" spans="1:21" x14ac:dyDescent="0.2">
      <c r="A1986" s="64" t="str">
        <f t="shared" si="31"/>
        <v>1w</v>
      </c>
      <c r="B1986" s="203">
        <f>_xll.qlCalendarAdvance(Calendar,B1985,A1986,"f",FALSE)</f>
        <v>52804</v>
      </c>
      <c r="C1986" s="237">
        <f>_xll.qlCalendarAdvance(Calendar,B1986,NDays&amp;"D")</f>
        <v>52806</v>
      </c>
      <c r="D1986" s="202">
        <v>2.3163719019854073E-2</v>
      </c>
      <c r="E1986" s="202">
        <v>2.2944884836757495E-2</v>
      </c>
      <c r="U1986" s="204"/>
    </row>
    <row r="1987" spans="1:21" x14ac:dyDescent="0.2">
      <c r="A1987" s="64" t="str">
        <f t="shared" si="31"/>
        <v>1w</v>
      </c>
      <c r="B1987" s="203">
        <f>_xll.qlCalendarAdvance(Calendar,B1986,A1987,"f",FALSE)</f>
        <v>52811</v>
      </c>
      <c r="C1987" s="237">
        <f>_xll.qlCalendarAdvance(Calendar,B1987,NDays&amp;"D")</f>
        <v>52813</v>
      </c>
      <c r="D1987" s="202">
        <v>2.3169928608386042E-2</v>
      </c>
      <c r="E1987" s="202">
        <v>2.2951219280287205E-2</v>
      </c>
      <c r="U1987" s="204"/>
    </row>
    <row r="1988" spans="1:21" x14ac:dyDescent="0.2">
      <c r="A1988" s="64" t="str">
        <f t="shared" si="31"/>
        <v>1w</v>
      </c>
      <c r="B1988" s="203">
        <f>_xll.qlCalendarAdvance(Calendar,B1987,A1988,"f",FALSE)</f>
        <v>52818</v>
      </c>
      <c r="C1988" s="237">
        <f>_xll.qlCalendarAdvance(Calendar,B1988,NDays&amp;"D")</f>
        <v>52820</v>
      </c>
      <c r="D1988" s="202">
        <v>2.3176123061223596E-2</v>
      </c>
      <c r="E1988" s="202">
        <v>2.2957538746757322E-2</v>
      </c>
      <c r="U1988" s="204"/>
    </row>
    <row r="1989" spans="1:21" x14ac:dyDescent="0.2">
      <c r="A1989" s="64" t="str">
        <f t="shared" si="31"/>
        <v>1w</v>
      </c>
      <c r="B1989" s="203">
        <f>_xll.qlCalendarAdvance(Calendar,B1988,A1989,"f",FALSE)</f>
        <v>52825</v>
      </c>
      <c r="C1989" s="237">
        <f>_xll.qlCalendarAdvance(Calendar,B1989,NDays&amp;"D")</f>
        <v>52827</v>
      </c>
      <c r="D1989" s="202">
        <v>2.3182302378222761E-2</v>
      </c>
      <c r="E1989" s="202">
        <v>2.2963843236407655E-2</v>
      </c>
      <c r="U1989" s="204"/>
    </row>
    <row r="1990" spans="1:21" x14ac:dyDescent="0.2">
      <c r="A1990" s="64" t="str">
        <f t="shared" si="31"/>
        <v>1w</v>
      </c>
      <c r="B1990" s="203">
        <f>_xll.qlCalendarAdvance(Calendar,B1989,A1990,"f",FALSE)</f>
        <v>52832</v>
      </c>
      <c r="C1990" s="237">
        <f>_xll.qlCalendarAdvance(Calendar,B1990,NDays&amp;"D")</f>
        <v>52834</v>
      </c>
      <c r="D1990" s="202">
        <v>2.3188466559239562E-2</v>
      </c>
      <c r="E1990" s="202">
        <v>2.2970132749158267E-2</v>
      </c>
      <c r="U1990" s="204"/>
    </row>
    <row r="1991" spans="1:21" x14ac:dyDescent="0.2">
      <c r="A1991" s="64" t="str">
        <f t="shared" ref="A1991:A2054" si="32">A1990</f>
        <v>1w</v>
      </c>
      <c r="B1991" s="203">
        <f>_xll.qlCalendarAdvance(Calendar,B1990,A1991,"f",FALSE)</f>
        <v>52839</v>
      </c>
      <c r="C1991" s="237">
        <f>_xll.qlCalendarAdvance(Calendar,B1991,NDays&amp;"D")</f>
        <v>52841</v>
      </c>
      <c r="D1991" s="202">
        <v>2.3188724787381029E-2</v>
      </c>
      <c r="E1991" s="202">
        <v>2.2976407285009159E-2</v>
      </c>
      <c r="U1991" s="204"/>
    </row>
    <row r="1992" spans="1:21" x14ac:dyDescent="0.2">
      <c r="A1992" s="64" t="str">
        <f t="shared" si="32"/>
        <v>1w</v>
      </c>
      <c r="B1992" s="203">
        <f>_xll.qlCalendarAdvance(Calendar,B1991,A1992,"f",FALSE)</f>
        <v>52846</v>
      </c>
      <c r="C1992" s="237">
        <f>_xll.qlCalendarAdvance(Calendar,B1992,NDays&amp;"D")</f>
        <v>52848</v>
      </c>
      <c r="D1992" s="202">
        <v>2.3194862136137528E-2</v>
      </c>
      <c r="E1992" s="202">
        <v>2.2982666843960331E-2</v>
      </c>
      <c r="U1992" s="204"/>
    </row>
    <row r="1993" spans="1:21" x14ac:dyDescent="0.2">
      <c r="A1993" s="64" t="str">
        <f t="shared" si="32"/>
        <v>1w</v>
      </c>
      <c r="B1993" s="203">
        <f>_xll.qlCalendarAdvance(Calendar,B1992,A1993,"f",FALSE)</f>
        <v>52853</v>
      </c>
      <c r="C1993" s="237">
        <f>_xll.qlCalendarAdvance(Calendar,B1993,NDays&amp;"D")</f>
        <v>52855</v>
      </c>
      <c r="D1993" s="202">
        <v>2.3200984352865803E-2</v>
      </c>
      <c r="E1993" s="202">
        <v>2.2988911425931846E-2</v>
      </c>
      <c r="U1993" s="204"/>
    </row>
    <row r="1994" spans="1:21" x14ac:dyDescent="0.2">
      <c r="A1994" s="64" t="str">
        <f t="shared" si="32"/>
        <v>1w</v>
      </c>
      <c r="B1994" s="203">
        <f>_xll.qlCalendarAdvance(Calendar,B1993,A1994,"f",FALSE)</f>
        <v>52860</v>
      </c>
      <c r="C1994" s="237">
        <f>_xll.qlCalendarAdvance(Calendar,B1994,NDays&amp;"D")</f>
        <v>52862</v>
      </c>
      <c r="D1994" s="202">
        <v>2.3207091437428058E-2</v>
      </c>
      <c r="E1994" s="202">
        <v>2.2995141031083577E-2</v>
      </c>
      <c r="U1994" s="204"/>
    </row>
    <row r="1995" spans="1:21" x14ac:dyDescent="0.2">
      <c r="A1995" s="64" t="str">
        <f t="shared" si="32"/>
        <v>1w</v>
      </c>
      <c r="B1995" s="203">
        <f>_xll.qlCalendarAdvance(Calendar,B1994,A1995,"f",FALSE)</f>
        <v>52867</v>
      </c>
      <c r="C1995" s="237">
        <f>_xll.qlCalendarAdvance(Calendar,B1995,NDays&amp;"D")</f>
        <v>52869</v>
      </c>
      <c r="D1995" s="202">
        <v>2.3213183389686507E-2</v>
      </c>
      <c r="E1995" s="202">
        <v>2.3001355659335587E-2</v>
      </c>
      <c r="U1995" s="204"/>
    </row>
    <row r="1996" spans="1:21" x14ac:dyDescent="0.2">
      <c r="A1996" s="64" t="str">
        <f t="shared" si="32"/>
        <v>1w</v>
      </c>
      <c r="B1996" s="203">
        <f>_xll.qlCalendarAdvance(Calendar,B1995,A1996,"f",FALSE)</f>
        <v>52874</v>
      </c>
      <c r="C1996" s="237">
        <f>_xll.qlCalendarAdvance(Calendar,B1996,NDays&amp;"D")</f>
        <v>52876</v>
      </c>
      <c r="D1996" s="202">
        <v>2.3220434956112774E-2</v>
      </c>
      <c r="E1996" s="202">
        <v>2.3007555310687877E-2</v>
      </c>
      <c r="U1996" s="204"/>
    </row>
    <row r="1997" spans="1:21" x14ac:dyDescent="0.2">
      <c r="A1997" s="64" t="str">
        <f t="shared" si="32"/>
        <v>1w</v>
      </c>
      <c r="B1997" s="203">
        <f>_xll.qlCalendarAdvance(Calendar,B1996,A1997,"f",FALSE)</f>
        <v>52881</v>
      </c>
      <c r="C1997" s="237">
        <f>_xll.qlCalendarAdvance(Calendar,B1997,NDays&amp;"D")</f>
        <v>52883</v>
      </c>
      <c r="D1997" s="202">
        <v>2.3226495951135569E-2</v>
      </c>
      <c r="E1997" s="202">
        <v>2.3013739985060511E-2</v>
      </c>
      <c r="U1997" s="204"/>
    </row>
    <row r="1998" spans="1:21" x14ac:dyDescent="0.2">
      <c r="A1998" s="64" t="str">
        <f t="shared" si="32"/>
        <v>1w</v>
      </c>
      <c r="B1998" s="203">
        <f>_xll.qlCalendarAdvance(Calendar,B1997,A1998,"f",FALSE)</f>
        <v>52888</v>
      </c>
      <c r="C1998" s="237">
        <f>_xll.qlCalendarAdvance(Calendar,B1998,NDays&amp;"D")</f>
        <v>52890</v>
      </c>
      <c r="D1998" s="202">
        <v>2.3232541812562891E-2</v>
      </c>
      <c r="E1998" s="202">
        <v>2.301990968261336E-2</v>
      </c>
      <c r="U1998" s="204"/>
    </row>
    <row r="1999" spans="1:21" x14ac:dyDescent="0.2">
      <c r="A1999" s="64" t="str">
        <f t="shared" si="32"/>
        <v>1w</v>
      </c>
      <c r="B1999" s="203">
        <f>_xll.qlCalendarAdvance(Calendar,B1998,A1999,"f",FALSE)</f>
        <v>52895</v>
      </c>
      <c r="C1999" s="237">
        <f>_xll.qlCalendarAdvance(Calendar,B1999,NDays&amp;"D")</f>
        <v>52897</v>
      </c>
      <c r="D1999" s="202">
        <v>2.3238572540257262E-2</v>
      </c>
      <c r="E1999" s="202">
        <v>2.3026064403266489E-2</v>
      </c>
      <c r="U1999" s="204"/>
    </row>
    <row r="2000" spans="1:21" x14ac:dyDescent="0.2">
      <c r="A2000" s="64" t="str">
        <f t="shared" si="32"/>
        <v>1w</v>
      </c>
      <c r="B2000" s="203">
        <f>_xll.qlCalendarAdvance(Calendar,B1999,A2000,"f",FALSE)</f>
        <v>52902</v>
      </c>
      <c r="C2000" s="237">
        <f>_xll.qlCalendarAdvance(Calendar,B2000,NDays&amp;"D")</f>
        <v>52904</v>
      </c>
      <c r="D2000" s="202">
        <v>2.3243416161615307E-2</v>
      </c>
      <c r="E2000" s="202">
        <v>2.3032204146939961E-2</v>
      </c>
      <c r="U2000" s="204"/>
    </row>
    <row r="2001" spans="1:21" x14ac:dyDescent="0.2">
      <c r="A2001" s="64" t="str">
        <f t="shared" si="32"/>
        <v>1w</v>
      </c>
      <c r="B2001" s="203">
        <f>_xll.qlCalendarAdvance(Calendar,B2000,A2001,"f",FALSE)</f>
        <v>52909</v>
      </c>
      <c r="C2001" s="237">
        <f>_xll.qlCalendarAdvance(Calendar,B2001,NDays&amp;"D")</f>
        <v>52911</v>
      </c>
      <c r="D2001" s="202">
        <v>2.3249417317172769E-2</v>
      </c>
      <c r="E2001" s="202">
        <v>2.3038328913793649E-2</v>
      </c>
      <c r="U2001" s="204"/>
    </row>
    <row r="2002" spans="1:21" x14ac:dyDescent="0.2">
      <c r="A2002" s="64" t="str">
        <f t="shared" si="32"/>
        <v>1w</v>
      </c>
      <c r="B2002" s="203">
        <f>_xll.qlCalendarAdvance(Calendar,B2001,A2002,"f",FALSE)</f>
        <v>52916</v>
      </c>
      <c r="C2002" s="237">
        <f>_xll.qlCalendarAdvance(Calendar,B2002,NDays&amp;"D")</f>
        <v>52918</v>
      </c>
      <c r="D2002" s="202">
        <v>2.3255403339470283E-2</v>
      </c>
      <c r="E2002" s="202">
        <v>2.3044438703587744E-2</v>
      </c>
      <c r="U2002" s="204"/>
    </row>
    <row r="2003" spans="1:21" x14ac:dyDescent="0.2">
      <c r="A2003" s="64" t="str">
        <f t="shared" si="32"/>
        <v>1w</v>
      </c>
      <c r="B2003" s="203">
        <f>_xll.qlCalendarAdvance(Calendar,B2002,A2003,"f",FALSE)</f>
        <v>52923</v>
      </c>
      <c r="C2003" s="237">
        <f>_xll.qlCalendarAdvance(Calendar,B2003,NDays&amp;"D")</f>
        <v>52925</v>
      </c>
      <c r="D2003" s="202">
        <v>2.3261374228373148E-2</v>
      </c>
      <c r="E2003" s="202">
        <v>2.3050533516641991E-2</v>
      </c>
      <c r="U2003" s="204"/>
    </row>
    <row r="2004" spans="1:21" x14ac:dyDescent="0.2">
      <c r="A2004" s="64" t="str">
        <f t="shared" si="32"/>
        <v>1w</v>
      </c>
      <c r="B2004" s="203">
        <f>_xll.qlCalendarAdvance(Calendar,B2003,A2004,"f",FALSE)</f>
        <v>52930</v>
      </c>
      <c r="C2004" s="237">
        <f>_xll.qlCalendarAdvance(Calendar,B2004,NDays&amp;"D")</f>
        <v>52932</v>
      </c>
      <c r="D2004" s="202">
        <v>2.3268499167958055E-2</v>
      </c>
      <c r="E2004" s="202">
        <v>2.3056613352716582E-2</v>
      </c>
      <c r="U2004" s="204"/>
    </row>
    <row r="2005" spans="1:21" x14ac:dyDescent="0.2">
      <c r="A2005" s="64" t="str">
        <f t="shared" si="32"/>
        <v>1w</v>
      </c>
      <c r="B2005" s="203">
        <f>_xll.qlCalendarAdvance(Calendar,B2004,A2005,"f",FALSE)</f>
        <v>52937</v>
      </c>
      <c r="C2005" s="237">
        <f>_xll.qlCalendarAdvance(Calendar,B2005,NDays&amp;"D")</f>
        <v>52939</v>
      </c>
      <c r="D2005" s="202">
        <v>2.327443909039285E-2</v>
      </c>
      <c r="E2005" s="202">
        <v>2.3062678211891452E-2</v>
      </c>
      <c r="U2005" s="204"/>
    </row>
    <row r="2006" spans="1:21" x14ac:dyDescent="0.2">
      <c r="A2006" s="64" t="str">
        <f t="shared" si="32"/>
        <v>1w</v>
      </c>
      <c r="B2006" s="203">
        <f>_xll.qlCalendarAdvance(Calendar,B2005,A2006,"f",FALSE)</f>
        <v>52944</v>
      </c>
      <c r="C2006" s="237">
        <f>_xll.qlCalendarAdvance(Calendar,B2006,NDays&amp;"D")</f>
        <v>52946</v>
      </c>
      <c r="D2006" s="202">
        <v>2.3280363878143813E-2</v>
      </c>
      <c r="E2006" s="202">
        <v>2.3068728094166602E-2</v>
      </c>
      <c r="U2006" s="204"/>
    </row>
    <row r="2007" spans="1:21" x14ac:dyDescent="0.2">
      <c r="A2007" s="64" t="str">
        <f t="shared" si="32"/>
        <v>1w</v>
      </c>
      <c r="B2007" s="203">
        <f>_xll.qlCalendarAdvance(Calendar,B2006,A2007,"f",FALSE)</f>
        <v>52951</v>
      </c>
      <c r="C2007" s="237">
        <f>_xll.qlCalendarAdvance(Calendar,B2007,NDays&amp;"D")</f>
        <v>52953</v>
      </c>
      <c r="D2007" s="202">
        <v>2.3286273531075659E-2</v>
      </c>
      <c r="E2007" s="202">
        <v>2.3074762999542031E-2</v>
      </c>
      <c r="U2007" s="204"/>
    </row>
    <row r="2008" spans="1:21" x14ac:dyDescent="0.2">
      <c r="A2008" s="64" t="str">
        <f t="shared" si="32"/>
        <v>1w</v>
      </c>
      <c r="B2008" s="203">
        <f>_xll.qlCalendarAdvance(Calendar,B2007,A2008,"f",FALSE)</f>
        <v>52958</v>
      </c>
      <c r="C2008" s="237">
        <f>_xll.qlCalendarAdvance(Calendar,B2008,NDays&amp;"D")</f>
        <v>52960</v>
      </c>
      <c r="D2008" s="202">
        <v>2.3292168049054877E-2</v>
      </c>
      <c r="E2008" s="202">
        <v>2.3080782927857868E-2</v>
      </c>
      <c r="U2008" s="204"/>
    </row>
    <row r="2009" spans="1:21" x14ac:dyDescent="0.2">
      <c r="A2009" s="64" t="str">
        <f t="shared" si="32"/>
        <v>1w</v>
      </c>
      <c r="B2009" s="203">
        <f>_xll.qlCalendarAdvance(Calendar,B2008,A2009,"f",FALSE)</f>
        <v>52965</v>
      </c>
      <c r="C2009" s="237">
        <f>_xll.qlCalendarAdvance(Calendar,B2009,NDays&amp;"D")</f>
        <v>52967</v>
      </c>
      <c r="D2009" s="202">
        <v>2.3296881752970188E-2</v>
      </c>
      <c r="E2009" s="202">
        <v>2.3086787879433857E-2</v>
      </c>
      <c r="U2009" s="204"/>
    </row>
    <row r="2010" spans="1:21" x14ac:dyDescent="0.2">
      <c r="A2010" s="64" t="str">
        <f t="shared" si="32"/>
        <v>1w</v>
      </c>
      <c r="B2010" s="203">
        <f>_xll.qlCalendarAdvance(Calendar,B2009,A2010,"f",FALSE)</f>
        <v>52972</v>
      </c>
      <c r="C2010" s="237">
        <f>_xll.qlCalendarAdvance(Calendar,B2010,NDays&amp;"D")</f>
        <v>52974</v>
      </c>
      <c r="D2010" s="202">
        <v>2.3302746704352641E-2</v>
      </c>
      <c r="E2010" s="202">
        <v>2.3092777854110125E-2</v>
      </c>
      <c r="U2010" s="204"/>
    </row>
    <row r="2011" spans="1:21" x14ac:dyDescent="0.2">
      <c r="A2011" s="64" t="str">
        <f t="shared" si="32"/>
        <v>1w</v>
      </c>
      <c r="B2011" s="203">
        <f>_xll.qlCalendarAdvance(Calendar,B2010,A2011,"f",FALSE)</f>
        <v>52979</v>
      </c>
      <c r="C2011" s="237">
        <f>_xll.qlCalendarAdvance(Calendar,B2011,NDays&amp;"D")</f>
        <v>52981</v>
      </c>
      <c r="D2011" s="202">
        <v>2.3308596521270802E-2</v>
      </c>
      <c r="E2011" s="202">
        <v>2.30987528517268E-2</v>
      </c>
      <c r="U2011" s="204"/>
    </row>
    <row r="2012" spans="1:21" x14ac:dyDescent="0.2">
      <c r="A2012" s="64" t="str">
        <f t="shared" si="32"/>
        <v>1w</v>
      </c>
      <c r="B2012" s="203">
        <f>_xll.qlCalendarAdvance(Calendar,B2011,A2012,"f",FALSE)</f>
        <v>52986</v>
      </c>
      <c r="C2012" s="237">
        <f>_xll.qlCalendarAdvance(Calendar,B2012,NDays&amp;"D")</f>
        <v>52988</v>
      </c>
      <c r="D2012" s="202">
        <v>2.3314431203593507E-2</v>
      </c>
      <c r="E2012" s="202">
        <v>2.3104712872603628E-2</v>
      </c>
      <c r="U2012" s="204"/>
    </row>
    <row r="2013" spans="1:21" x14ac:dyDescent="0.2">
      <c r="A2013" s="64" t="str">
        <f t="shared" si="32"/>
        <v>1w</v>
      </c>
      <c r="B2013" s="203">
        <f>_xll.qlCalendarAdvance(Calendar,B2012,A2013,"f",FALSE)</f>
        <v>52993</v>
      </c>
      <c r="C2013" s="237">
        <f>_xll.qlCalendarAdvance(Calendar,B2013,NDays&amp;"D")</f>
        <v>52995</v>
      </c>
      <c r="D2013" s="202">
        <v>2.3320250751188269E-2</v>
      </c>
      <c r="E2013" s="202">
        <v>2.3110657916420863E-2</v>
      </c>
      <c r="U2013" s="204"/>
    </row>
    <row r="2014" spans="1:21" x14ac:dyDescent="0.2">
      <c r="A2014" s="64" t="str">
        <f t="shared" si="32"/>
        <v>1w</v>
      </c>
      <c r="B2014" s="203">
        <f>_xll.qlCalendarAdvance(Calendar,B2013,A2014,"f",FALSE)</f>
        <v>53000</v>
      </c>
      <c r="C2014" s="237">
        <f>_xll.qlCalendarAdvance(Calendar,B2014,NDays&amp;"D")</f>
        <v>53002</v>
      </c>
      <c r="D2014" s="202">
        <v>2.3326055163923474E-2</v>
      </c>
      <c r="E2014" s="202">
        <v>2.3116587983338377E-2</v>
      </c>
      <c r="U2014" s="204"/>
    </row>
    <row r="2015" spans="1:21" x14ac:dyDescent="0.2">
      <c r="A2015" s="64" t="str">
        <f t="shared" si="32"/>
        <v>1w</v>
      </c>
      <c r="B2015" s="203">
        <f>_xll.qlCalendarAdvance(Calendar,B2014,A2015,"f",FALSE)</f>
        <v>53007</v>
      </c>
      <c r="C2015" s="237">
        <f>_xll.qlCalendarAdvance(Calendar,B2015,NDays&amp;"D")</f>
        <v>53009</v>
      </c>
      <c r="D2015" s="202">
        <v>2.3331844441668845E-2</v>
      </c>
      <c r="E2015" s="202">
        <v>2.3122503073436107E-2</v>
      </c>
      <c r="U2015" s="204"/>
    </row>
    <row r="2016" spans="1:21" x14ac:dyDescent="0.2">
      <c r="A2016" s="64" t="str">
        <f t="shared" si="32"/>
        <v>1w</v>
      </c>
      <c r="B2016" s="203">
        <f>_xll.qlCalendarAdvance(Calendar,B2015,A2016,"f",FALSE)</f>
        <v>53014</v>
      </c>
      <c r="C2016" s="237">
        <f>_xll.qlCalendarAdvance(Calendar,B2016,NDays&amp;"D")</f>
        <v>53016</v>
      </c>
      <c r="D2016" s="202">
        <v>2.3337618584292771E-2</v>
      </c>
      <c r="E2016" s="202">
        <v>2.3128403186474245E-2</v>
      </c>
      <c r="U2016" s="204"/>
    </row>
    <row r="2017" spans="1:21" x14ac:dyDescent="0.2">
      <c r="A2017" s="64" t="str">
        <f t="shared" si="32"/>
        <v>1w</v>
      </c>
      <c r="B2017" s="203">
        <f>_xll.qlCalendarAdvance(Calendar,B2016,A2017,"f",FALSE)</f>
        <v>53021</v>
      </c>
      <c r="C2017" s="237">
        <f>_xll.qlCalendarAdvance(Calendar,B2017,NDays&amp;"D")</f>
        <v>53023</v>
      </c>
      <c r="D2017" s="202">
        <v>2.334917753128082E-2</v>
      </c>
      <c r="E2017" s="202">
        <v>2.3134288322692598E-2</v>
      </c>
      <c r="U2017" s="204"/>
    </row>
    <row r="2018" spans="1:21" x14ac:dyDescent="0.2">
      <c r="A2018" s="64" t="str">
        <f t="shared" si="32"/>
        <v>1w</v>
      </c>
      <c r="B2018" s="203">
        <f>_xll.qlCalendarAdvance(Calendar,B2017,A2018,"f",FALSE)</f>
        <v>53028</v>
      </c>
      <c r="C2018" s="237">
        <f>_xll.qlCalendarAdvance(Calendar,B2018,NDays&amp;"D")</f>
        <v>53030</v>
      </c>
      <c r="D2018" s="202">
        <v>2.3354917848019324E-2</v>
      </c>
      <c r="E2018" s="202">
        <v>2.314015848201123E-2</v>
      </c>
      <c r="U2018" s="204"/>
    </row>
    <row r="2019" spans="1:21" x14ac:dyDescent="0.2">
      <c r="A2019" s="64" t="str">
        <f t="shared" si="32"/>
        <v>1w</v>
      </c>
      <c r="B2019" s="203">
        <f>_xll.qlCalendarAdvance(Calendar,B2018,A2019,"f",FALSE)</f>
        <v>53035</v>
      </c>
      <c r="C2019" s="237">
        <f>_xll.qlCalendarAdvance(Calendar,B2019,NDays&amp;"D")</f>
        <v>53037</v>
      </c>
      <c r="D2019" s="202">
        <v>2.3360643024771359E-2</v>
      </c>
      <c r="E2019" s="202">
        <v>2.3146013664350207E-2</v>
      </c>
      <c r="U2019" s="204"/>
    </row>
    <row r="2020" spans="1:21" x14ac:dyDescent="0.2">
      <c r="A2020" s="64" t="str">
        <f t="shared" si="32"/>
        <v>1w</v>
      </c>
      <c r="B2020" s="203">
        <f>_xll.qlCalendarAdvance(Calendar,B2019,A2020,"f",FALSE)</f>
        <v>53042</v>
      </c>
      <c r="C2020" s="237">
        <f>_xll.qlCalendarAdvance(Calendar,B2020,NDays&amp;"D")</f>
        <v>53044</v>
      </c>
      <c r="D2020" s="202">
        <v>2.3366353061402841E-2</v>
      </c>
      <c r="E2020" s="202">
        <v>2.3151853869789463E-2</v>
      </c>
      <c r="U2020" s="204"/>
    </row>
    <row r="2021" spans="1:21" x14ac:dyDescent="0.2">
      <c r="A2021" s="64" t="str">
        <f t="shared" si="32"/>
        <v>1w</v>
      </c>
      <c r="B2021" s="203">
        <f>_xll.qlCalendarAdvance(Calendar,B2020,A2021,"f",FALSE)</f>
        <v>53049</v>
      </c>
      <c r="C2021" s="237">
        <f>_xll.qlCalendarAdvance(Calendar,B2021,NDays&amp;"D")</f>
        <v>53051</v>
      </c>
      <c r="D2021" s="202">
        <v>2.3368576598656259E-2</v>
      </c>
      <c r="E2021" s="202">
        <v>2.3157679098328998E-2</v>
      </c>
      <c r="U2021" s="204"/>
    </row>
    <row r="2022" spans="1:21" x14ac:dyDescent="0.2">
      <c r="A2022" s="64" t="str">
        <f t="shared" si="32"/>
        <v>1w</v>
      </c>
      <c r="B2022" s="203">
        <f>_xll.qlCalendarAdvance(Calendar,B2021,A2022,"f",FALSE)</f>
        <v>53056</v>
      </c>
      <c r="C2022" s="237">
        <f>_xll.qlCalendarAdvance(Calendar,B2022,NDays&amp;"D")</f>
        <v>53058</v>
      </c>
      <c r="D2022" s="202">
        <v>2.3374258498869975E-2</v>
      </c>
      <c r="E2022" s="202">
        <v>2.3168127801591609E-2</v>
      </c>
      <c r="U2022" s="204"/>
    </row>
    <row r="2023" spans="1:21" x14ac:dyDescent="0.2">
      <c r="A2023" s="64" t="str">
        <f t="shared" si="32"/>
        <v>1w</v>
      </c>
      <c r="B2023" s="203">
        <f>_xll.qlCalendarAdvance(Calendar,B2022,A2023,"f",FALSE)</f>
        <v>53063</v>
      </c>
      <c r="C2023" s="237">
        <f>_xll.qlCalendarAdvance(Calendar,B2023,NDays&amp;"D")</f>
        <v>53065</v>
      </c>
      <c r="D2023" s="202">
        <v>2.3379925261261765E-2</v>
      </c>
      <c r="E2023" s="202">
        <v>2.3169284624549036E-2</v>
      </c>
      <c r="U2023" s="204"/>
    </row>
    <row r="2024" spans="1:21" x14ac:dyDescent="0.2">
      <c r="A2024" s="64" t="str">
        <f t="shared" si="32"/>
        <v>1w</v>
      </c>
      <c r="B2024" s="203">
        <f>_xll.qlCalendarAdvance(Calendar,B2023,A2024,"f",FALSE)</f>
        <v>53070</v>
      </c>
      <c r="C2024" s="237">
        <f>_xll.qlCalendarAdvance(Calendar,B2024,NDays&amp;"D")</f>
        <v>53072</v>
      </c>
      <c r="D2024" s="202">
        <v>2.3385576885701462E-2</v>
      </c>
      <c r="E2024" s="202">
        <v>2.3175064922309474E-2</v>
      </c>
      <c r="U2024" s="204"/>
    </row>
    <row r="2025" spans="1:21" x14ac:dyDescent="0.2">
      <c r="A2025" s="64" t="str">
        <f t="shared" si="32"/>
        <v>1w</v>
      </c>
      <c r="B2025" s="203">
        <f>_xll.qlCalendarAdvance(Calendar,B2024,A2025,"f",FALSE)</f>
        <v>53077</v>
      </c>
      <c r="C2025" s="237">
        <f>_xll.qlCalendarAdvance(Calendar,B2025,NDays&amp;"D")</f>
        <v>53079</v>
      </c>
      <c r="D2025" s="202">
        <v>2.3391213372061077E-2</v>
      </c>
      <c r="E2025" s="202">
        <v>2.3180830243090256E-2</v>
      </c>
      <c r="U2025" s="204"/>
    </row>
    <row r="2026" spans="1:21" x14ac:dyDescent="0.2">
      <c r="A2026" s="64" t="str">
        <f t="shared" si="32"/>
        <v>1w</v>
      </c>
      <c r="B2026" s="203">
        <f>_xll.qlCalendarAdvance(Calendar,B2025,A2026,"f",FALSE)</f>
        <v>53084</v>
      </c>
      <c r="C2026" s="237">
        <f>_xll.qlCalendarAdvance(Calendar,B2026,NDays&amp;"D")</f>
        <v>53086</v>
      </c>
      <c r="D2026" s="202">
        <v>2.3400295331278444E-2</v>
      </c>
      <c r="E2026" s="202">
        <v>2.3186580587051253E-2</v>
      </c>
      <c r="U2026" s="204"/>
    </row>
    <row r="2027" spans="1:21" x14ac:dyDescent="0.2">
      <c r="A2027" s="64" t="str">
        <f t="shared" si="32"/>
        <v>1w</v>
      </c>
      <c r="B2027" s="203">
        <f>_xll.qlCalendarAdvance(Calendar,B2026,A2027,"f",FALSE)</f>
        <v>53091</v>
      </c>
      <c r="C2027" s="237">
        <f>_xll.qlCalendarAdvance(Calendar,B2027,NDays&amp;"D")</f>
        <v>53093</v>
      </c>
      <c r="D2027" s="202">
        <v>2.3405899383379954E-2</v>
      </c>
      <c r="E2027" s="202">
        <v>2.3192315954032594E-2</v>
      </c>
      <c r="U2027" s="204"/>
    </row>
    <row r="2028" spans="1:21" x14ac:dyDescent="0.2">
      <c r="A2028" s="64" t="str">
        <f t="shared" si="32"/>
        <v>1w</v>
      </c>
      <c r="B2028" s="203">
        <f>_xll.qlCalendarAdvance(Calendar,B2027,A2028,"f",FALSE)</f>
        <v>53098</v>
      </c>
      <c r="C2028" s="237">
        <f>_xll.qlCalendarAdvance(Calendar,B2028,NDays&amp;"D")</f>
        <v>53100</v>
      </c>
      <c r="D2028" s="202">
        <v>2.3411488294310997E-2</v>
      </c>
      <c r="E2028" s="202">
        <v>2.3198036344034278E-2</v>
      </c>
      <c r="U2028" s="204"/>
    </row>
    <row r="2029" spans="1:21" x14ac:dyDescent="0.2">
      <c r="A2029" s="64" t="str">
        <f t="shared" si="32"/>
        <v>1w</v>
      </c>
      <c r="B2029" s="203">
        <f>_xll.qlCalendarAdvance(Calendar,B2028,A2029,"f",FALSE)</f>
        <v>53105</v>
      </c>
      <c r="C2029" s="237">
        <f>_xll.qlCalendarAdvance(Calendar,B2029,NDays&amp;"D")</f>
        <v>53107</v>
      </c>
      <c r="D2029" s="202">
        <v>2.3417062063942212E-2</v>
      </c>
      <c r="E2029" s="202">
        <v>2.3203741757136243E-2</v>
      </c>
      <c r="U2029" s="204"/>
    </row>
    <row r="2030" spans="1:21" x14ac:dyDescent="0.2">
      <c r="A2030" s="64" t="str">
        <f t="shared" si="32"/>
        <v>1w</v>
      </c>
      <c r="B2030" s="203">
        <f>_xll.qlCalendarAdvance(Calendar,B2029,A2030,"f",FALSE)</f>
        <v>53112</v>
      </c>
      <c r="C2030" s="237">
        <f>_xll.qlCalendarAdvance(Calendar,B2030,NDays&amp;"D")</f>
        <v>53114</v>
      </c>
      <c r="D2030" s="202">
        <v>2.3419168728161469E-2</v>
      </c>
      <c r="E2030" s="202">
        <v>2.3209432193338486E-2</v>
      </c>
      <c r="U2030" s="204"/>
    </row>
    <row r="2031" spans="1:21" x14ac:dyDescent="0.2">
      <c r="A2031" s="64" t="str">
        <f t="shared" si="32"/>
        <v>1w</v>
      </c>
      <c r="B2031" s="203">
        <f>_xll.qlCalendarAdvance(Calendar,B2030,A2031,"f",FALSE)</f>
        <v>53119</v>
      </c>
      <c r="C2031" s="237">
        <f>_xll.qlCalendarAdvance(Calendar,B2031,NDays&amp;"D")</f>
        <v>53121</v>
      </c>
      <c r="D2031" s="202">
        <v>2.3424714383348557E-2</v>
      </c>
      <c r="E2031" s="202">
        <v>2.3215107652641009E-2</v>
      </c>
      <c r="U2031" s="204"/>
    </row>
    <row r="2032" spans="1:21" x14ac:dyDescent="0.2">
      <c r="A2032" s="64" t="str">
        <f t="shared" si="32"/>
        <v>1w</v>
      </c>
      <c r="B2032" s="203">
        <f>_xll.qlCalendarAdvance(Calendar,B2031,A2032,"f",FALSE)</f>
        <v>53126</v>
      </c>
      <c r="C2032" s="237">
        <f>_xll.qlCalendarAdvance(Calendar,B2032,NDays&amp;"D")</f>
        <v>53128</v>
      </c>
      <c r="D2032" s="202">
        <v>2.3430244899561418E-2</v>
      </c>
      <c r="E2032" s="202">
        <v>2.322076813488394E-2</v>
      </c>
      <c r="U2032" s="204"/>
    </row>
    <row r="2033" spans="1:21" x14ac:dyDescent="0.2">
      <c r="A2033" s="64" t="str">
        <f t="shared" si="32"/>
        <v>1w</v>
      </c>
      <c r="B2033" s="203">
        <f>_xll.qlCalendarAdvance(Calendar,B2032,A2033,"f",FALSE)</f>
        <v>53133</v>
      </c>
      <c r="C2033" s="237">
        <f>_xll.qlCalendarAdvance(Calendar,B2033,NDays&amp;"D")</f>
        <v>53135</v>
      </c>
      <c r="D2033" s="202">
        <v>2.3435760276674253E-2</v>
      </c>
      <c r="E2033" s="202">
        <v>2.3226413640307086E-2</v>
      </c>
      <c r="U2033" s="204"/>
    </row>
    <row r="2034" spans="1:21" x14ac:dyDescent="0.2">
      <c r="A2034" s="64" t="str">
        <f t="shared" si="32"/>
        <v>1w</v>
      </c>
      <c r="B2034" s="203">
        <f>_xll.qlCalendarAdvance(Calendar,B2033,A2034,"f",FALSE)</f>
        <v>53140</v>
      </c>
      <c r="C2034" s="237">
        <f>_xll.qlCalendarAdvance(Calendar,B2034,NDays&amp;"D")</f>
        <v>53142</v>
      </c>
      <c r="D2034" s="202">
        <v>2.344126051456082E-2</v>
      </c>
      <c r="E2034" s="202">
        <v>2.3232044168750576E-2</v>
      </c>
      <c r="U2034" s="204"/>
    </row>
    <row r="2035" spans="1:21" x14ac:dyDescent="0.2">
      <c r="A2035" s="64" t="str">
        <f t="shared" si="32"/>
        <v>1w</v>
      </c>
      <c r="B2035" s="203">
        <f>_xll.qlCalendarAdvance(Calendar,B2034,A2035,"f",FALSE)</f>
        <v>53147</v>
      </c>
      <c r="C2035" s="237">
        <f>_xll.qlCalendarAdvance(Calendar,B2035,NDays&amp;"D")</f>
        <v>53149</v>
      </c>
      <c r="D2035" s="202">
        <v>2.3450186707216981E-2</v>
      </c>
      <c r="E2035" s="202">
        <v>2.3237659720294346E-2</v>
      </c>
      <c r="U2035" s="204"/>
    </row>
    <row r="2036" spans="1:21" x14ac:dyDescent="0.2">
      <c r="A2036" s="64" t="str">
        <f t="shared" si="32"/>
        <v>1w</v>
      </c>
      <c r="B2036" s="203">
        <f>_xll.qlCalendarAdvance(Calendar,B2035,A2036,"f",FALSE)</f>
        <v>53154</v>
      </c>
      <c r="C2036" s="237">
        <f>_xll.qlCalendarAdvance(Calendar,B2036,NDays&amp;"D")</f>
        <v>53156</v>
      </c>
      <c r="D2036" s="202">
        <v>2.3455654484147988E-2</v>
      </c>
      <c r="E2036" s="202">
        <v>2.3243260294938395E-2</v>
      </c>
      <c r="U2036" s="204"/>
    </row>
    <row r="2037" spans="1:21" x14ac:dyDescent="0.2">
      <c r="A2037" s="64" t="str">
        <f t="shared" si="32"/>
        <v>1w</v>
      </c>
      <c r="B2037" s="203">
        <f>_xll.qlCalendarAdvance(Calendar,B2036,A2037,"f",FALSE)</f>
        <v>53161</v>
      </c>
      <c r="C2037" s="237">
        <f>_xll.qlCalendarAdvance(Calendar,B2037,NDays&amp;"D")</f>
        <v>53163</v>
      </c>
      <c r="D2037" s="202">
        <v>2.3461107118754185E-2</v>
      </c>
      <c r="E2037" s="202">
        <v>2.3248845892602787E-2</v>
      </c>
      <c r="U2037" s="204"/>
    </row>
    <row r="2038" spans="1:21" x14ac:dyDescent="0.2">
      <c r="A2038" s="64" t="str">
        <f t="shared" si="32"/>
        <v>1w</v>
      </c>
      <c r="B2038" s="203">
        <f>_xll.qlCalendarAdvance(Calendar,B2037,A2038,"f",FALSE)</f>
        <v>53168</v>
      </c>
      <c r="C2038" s="237">
        <f>_xll.qlCalendarAdvance(Calendar,B2038,NDays&amp;"D")</f>
        <v>53170</v>
      </c>
      <c r="D2038" s="202">
        <v>2.3466544610909214E-2</v>
      </c>
      <c r="E2038" s="202">
        <v>2.325441651336746E-2</v>
      </c>
      <c r="U2038" s="204"/>
    </row>
    <row r="2039" spans="1:21" x14ac:dyDescent="0.2">
      <c r="A2039" s="64" t="str">
        <f t="shared" si="32"/>
        <v>1w</v>
      </c>
      <c r="B2039" s="203">
        <f>_xll.qlCalendarAdvance(Calendar,B2038,A2039,"f",FALSE)</f>
        <v>53175</v>
      </c>
      <c r="C2039" s="237">
        <f>_xll.qlCalendarAdvance(Calendar,B2039,NDays&amp;"D")</f>
        <v>53177</v>
      </c>
      <c r="D2039" s="202">
        <v>2.3471966960486732E-2</v>
      </c>
      <c r="E2039" s="202">
        <v>2.3259972157232411E-2</v>
      </c>
      <c r="U2039" s="204"/>
    </row>
    <row r="2040" spans="1:21" x14ac:dyDescent="0.2">
      <c r="A2040" s="64" t="str">
        <f t="shared" si="32"/>
        <v>1w</v>
      </c>
      <c r="B2040" s="203">
        <f>_xll.qlCalendarAdvance(Calendar,B2039,A2040,"f",FALSE)</f>
        <v>53182</v>
      </c>
      <c r="C2040" s="237">
        <f>_xll.qlCalendarAdvance(Calendar,B2040,NDays&amp;"D")</f>
        <v>53184</v>
      </c>
      <c r="D2040" s="202">
        <v>2.3477374167360811E-2</v>
      </c>
      <c r="E2040" s="202">
        <v>2.3265512824037771E-2</v>
      </c>
      <c r="U2040" s="204"/>
    </row>
    <row r="2041" spans="1:21" x14ac:dyDescent="0.2">
      <c r="A2041" s="64" t="str">
        <f t="shared" si="32"/>
        <v>1w</v>
      </c>
      <c r="B2041" s="203">
        <f>_xll.qlCalendarAdvance(Calendar,B2040,A2041,"f",FALSE)</f>
        <v>53189</v>
      </c>
      <c r="C2041" s="237">
        <f>_xll.qlCalendarAdvance(Calendar,B2041,NDays&amp;"D")</f>
        <v>53191</v>
      </c>
      <c r="D2041" s="202">
        <v>2.3482766231405966E-2</v>
      </c>
      <c r="E2041" s="202">
        <v>2.3271038513943409E-2</v>
      </c>
      <c r="U2041" s="204"/>
    </row>
    <row r="2042" spans="1:21" x14ac:dyDescent="0.2">
      <c r="A2042" s="64" t="str">
        <f t="shared" si="32"/>
        <v>1w</v>
      </c>
      <c r="B2042" s="203">
        <f>_xll.qlCalendarAdvance(Calendar,B2041,A2042,"f",FALSE)</f>
        <v>53196</v>
      </c>
      <c r="C2042" s="237">
        <f>_xll.qlCalendarAdvance(Calendar,B2042,NDays&amp;"D")</f>
        <v>53198</v>
      </c>
      <c r="D2042" s="202">
        <v>2.3488143152497993E-2</v>
      </c>
      <c r="E2042" s="202">
        <v>2.3276549226949328E-2</v>
      </c>
      <c r="U2042" s="204"/>
    </row>
    <row r="2043" spans="1:21" x14ac:dyDescent="0.2">
      <c r="A2043" s="64" t="str">
        <f t="shared" si="32"/>
        <v>1w</v>
      </c>
      <c r="B2043" s="203">
        <f>_xll.qlCalendarAdvance(Calendar,B2042,A2043,"f",FALSE)</f>
        <v>53203</v>
      </c>
      <c r="C2043" s="237">
        <f>_xll.qlCalendarAdvance(Calendar,B2043,NDays&amp;"D")</f>
        <v>53205</v>
      </c>
      <c r="D2043" s="202">
        <v>2.3487798891102907E-2</v>
      </c>
      <c r="E2043" s="202">
        <v>2.3282044963055526E-2</v>
      </c>
      <c r="U2043" s="204"/>
    </row>
    <row r="2044" spans="1:21" x14ac:dyDescent="0.2">
      <c r="A2044" s="64" t="str">
        <f t="shared" si="32"/>
        <v>1w</v>
      </c>
      <c r="B2044" s="203">
        <f>_xll.qlCalendarAdvance(Calendar,B2043,A2044,"f",FALSE)</f>
        <v>53210</v>
      </c>
      <c r="C2044" s="237">
        <f>_xll.qlCalendarAdvance(Calendar,B2044,NDays&amp;"D")</f>
        <v>53212</v>
      </c>
      <c r="D2044" s="202">
        <v>2.3493149198651954E-2</v>
      </c>
      <c r="E2044" s="202">
        <v>2.3287525722102131E-2</v>
      </c>
      <c r="U2044" s="204"/>
    </row>
    <row r="2045" spans="1:21" x14ac:dyDescent="0.2">
      <c r="A2045" s="64" t="str">
        <f t="shared" si="32"/>
        <v>1w</v>
      </c>
      <c r="B2045" s="203">
        <f>_xll.qlCalendarAdvance(Calendar,B2044,A2045,"f",FALSE)</f>
        <v>53217</v>
      </c>
      <c r="C2045" s="237">
        <f>_xll.qlCalendarAdvance(Calendar,B2045,NDays&amp;"D")</f>
        <v>53219</v>
      </c>
      <c r="D2045" s="202">
        <v>2.3498484367436942E-2</v>
      </c>
      <c r="E2045" s="202">
        <v>2.3292991504249017E-2</v>
      </c>
      <c r="U2045" s="204"/>
    </row>
    <row r="2046" spans="1:21" x14ac:dyDescent="0.2">
      <c r="A2046" s="64" t="str">
        <f t="shared" si="32"/>
        <v>1w</v>
      </c>
      <c r="B2046" s="203">
        <f>_xll.qlCalendarAdvance(Calendar,B2045,A2046,"f",FALSE)</f>
        <v>53224</v>
      </c>
      <c r="C2046" s="237">
        <f>_xll.qlCalendarAdvance(Calendar,B2046,NDays&amp;"D")</f>
        <v>53226</v>
      </c>
      <c r="D2046" s="202">
        <v>2.3503804397338637E-2</v>
      </c>
      <c r="E2046" s="202">
        <v>2.3298442309576117E-2</v>
      </c>
      <c r="U2046" s="204"/>
    </row>
    <row r="2047" spans="1:21" x14ac:dyDescent="0.2">
      <c r="A2047" s="64" t="str">
        <f t="shared" si="32"/>
        <v>1w</v>
      </c>
      <c r="B2047" s="203">
        <f>_xll.qlCalendarAdvance(Calendar,B2046,A2047,"f",FALSE)</f>
        <v>53231</v>
      </c>
      <c r="C2047" s="237">
        <f>_xll.qlCalendarAdvance(Calendar,B2047,NDays&amp;"D")</f>
        <v>53233</v>
      </c>
      <c r="D2047" s="202">
        <v>2.3509109288235588E-2</v>
      </c>
      <c r="E2047" s="202">
        <v>2.3303878137763689E-2</v>
      </c>
      <c r="U2047" s="204"/>
    </row>
    <row r="2048" spans="1:21" x14ac:dyDescent="0.2">
      <c r="A2048" s="64" t="str">
        <f t="shared" si="32"/>
        <v>1w</v>
      </c>
      <c r="B2048" s="203">
        <f>_xll.qlCalendarAdvance(Calendar,B2047,A2048,"f",FALSE)</f>
        <v>53238</v>
      </c>
      <c r="C2048" s="237">
        <f>_xll.qlCalendarAdvance(Calendar,B2048,NDays&amp;"D")</f>
        <v>53240</v>
      </c>
      <c r="D2048" s="202">
        <v>2.3515536609014936E-2</v>
      </c>
      <c r="E2048" s="202">
        <v>2.3309298989211413E-2</v>
      </c>
      <c r="U2048" s="204"/>
    </row>
    <row r="2049" spans="1:21" x14ac:dyDescent="0.2">
      <c r="A2049" s="64" t="str">
        <f t="shared" si="32"/>
        <v>1w</v>
      </c>
      <c r="B2049" s="203">
        <f>_xll.qlCalendarAdvance(Calendar,B2048,A2049,"f",FALSE)</f>
        <v>53245</v>
      </c>
      <c r="C2049" s="237">
        <f>_xll.qlCalendarAdvance(Calendar,B2049,NDays&amp;"D")</f>
        <v>53247</v>
      </c>
      <c r="D2049" s="202">
        <v>2.3520810482643296E-2</v>
      </c>
      <c r="E2049" s="202">
        <v>2.3314704863599545E-2</v>
      </c>
      <c r="U2049" s="204"/>
    </row>
    <row r="2050" spans="1:21" x14ac:dyDescent="0.2">
      <c r="A2050" s="64" t="str">
        <f t="shared" si="32"/>
        <v>1w</v>
      </c>
      <c r="B2050" s="203">
        <f>_xll.qlCalendarAdvance(Calendar,B2049,A2050,"f",FALSE)</f>
        <v>53252</v>
      </c>
      <c r="C2050" s="237">
        <f>_xll.qlCalendarAdvance(Calendar,B2050,NDays&amp;"D")</f>
        <v>53254</v>
      </c>
      <c r="D2050" s="202">
        <v>2.3526069215993612E-2</v>
      </c>
      <c r="E2050" s="202">
        <v>2.3320095761087956E-2</v>
      </c>
      <c r="U2050" s="204"/>
    </row>
    <row r="2051" spans="1:21" x14ac:dyDescent="0.2">
      <c r="A2051" s="64" t="str">
        <f t="shared" si="32"/>
        <v>1w</v>
      </c>
      <c r="B2051" s="203">
        <f>_xll.qlCalendarAdvance(Calendar,B2050,A2051,"f",FALSE)</f>
        <v>53259</v>
      </c>
      <c r="C2051" s="237">
        <f>_xll.qlCalendarAdvance(Calendar,B2051,NDays&amp;"D")</f>
        <v>53261</v>
      </c>
      <c r="D2051" s="202">
        <v>2.3531312808946419E-2</v>
      </c>
      <c r="E2051" s="202">
        <v>2.332547168159671E-2</v>
      </c>
      <c r="U2051" s="204"/>
    </row>
    <row r="2052" spans="1:21" x14ac:dyDescent="0.2">
      <c r="A2052" s="64" t="str">
        <f t="shared" si="32"/>
        <v>1w</v>
      </c>
      <c r="B2052" s="203">
        <f>_xll.qlCalendarAdvance(Calendar,B2051,A2052,"f",FALSE)</f>
        <v>53266</v>
      </c>
      <c r="C2052" s="237">
        <f>_xll.qlCalendarAdvance(Calendar,B2052,NDays&amp;"D")</f>
        <v>53268</v>
      </c>
      <c r="D2052" s="202">
        <v>2.3535406653480542E-2</v>
      </c>
      <c r="E2052" s="202">
        <v>2.3330832625125808E-2</v>
      </c>
      <c r="U2052" s="204"/>
    </row>
    <row r="2053" spans="1:21" x14ac:dyDescent="0.2">
      <c r="A2053" s="64" t="str">
        <f t="shared" si="32"/>
        <v>1w</v>
      </c>
      <c r="B2053" s="203">
        <f>_xll.qlCalendarAdvance(Calendar,B2052,A2053,"f",FALSE)</f>
        <v>53273</v>
      </c>
      <c r="C2053" s="237">
        <f>_xll.qlCalendarAdvance(Calendar,B2053,NDays&amp;"D")</f>
        <v>53275</v>
      </c>
      <c r="D2053" s="202">
        <v>2.3540620707849801E-2</v>
      </c>
      <c r="E2053" s="202">
        <v>2.3336178591835122E-2</v>
      </c>
      <c r="U2053" s="204"/>
    </row>
    <row r="2054" spans="1:21" x14ac:dyDescent="0.2">
      <c r="A2054" s="64" t="str">
        <f t="shared" si="32"/>
        <v>1w</v>
      </c>
      <c r="B2054" s="203">
        <f>_xll.qlCalendarAdvance(Calendar,B2053,A2054,"f",FALSE)</f>
        <v>53280</v>
      </c>
      <c r="C2054" s="237">
        <f>_xll.qlCalendarAdvance(Calendar,B2054,NDays&amp;"D")</f>
        <v>53282</v>
      </c>
      <c r="D2054" s="202">
        <v>2.3545819622384036E-2</v>
      </c>
      <c r="E2054" s="202">
        <v>2.3341509581564779E-2</v>
      </c>
      <c r="U2054" s="204"/>
    </row>
    <row r="2055" spans="1:21" x14ac:dyDescent="0.2">
      <c r="A2055" s="64" t="str">
        <f t="shared" ref="A2055:A2118" si="33">A2054</f>
        <v>1w</v>
      </c>
      <c r="B2055" s="203">
        <f>_xll.qlCalendarAdvance(Calendar,B2054,A2055,"f",FALSE)</f>
        <v>53287</v>
      </c>
      <c r="C2055" s="237">
        <f>_xll.qlCalendarAdvance(Calendar,B2055,NDays&amp;"D")</f>
        <v>53289</v>
      </c>
      <c r="D2055" s="202">
        <v>2.3551003396964452E-2</v>
      </c>
      <c r="E2055" s="202">
        <v>2.334682559431478E-2</v>
      </c>
      <c r="U2055" s="204"/>
    </row>
    <row r="2056" spans="1:21" x14ac:dyDescent="0.2">
      <c r="A2056" s="64" t="str">
        <f t="shared" si="33"/>
        <v>1w</v>
      </c>
      <c r="B2056" s="203">
        <f>_xll.qlCalendarAdvance(Calendar,B2055,A2056,"f",FALSE)</f>
        <v>53294</v>
      </c>
      <c r="C2056" s="237">
        <f>_xll.qlCalendarAdvance(Calendar,B2056,NDays&amp;"D")</f>
        <v>53296</v>
      </c>
      <c r="D2056" s="202">
        <v>2.3557303663594254E-2</v>
      </c>
      <c r="E2056" s="202">
        <v>2.335212663016506E-2</v>
      </c>
      <c r="U2056" s="204"/>
    </row>
    <row r="2057" spans="1:21" x14ac:dyDescent="0.2">
      <c r="A2057" s="64" t="str">
        <f t="shared" si="33"/>
        <v>1w</v>
      </c>
      <c r="B2057" s="203">
        <f>_xll.qlCalendarAdvance(Calendar,B2056,A2057,"f",FALSE)</f>
        <v>53301</v>
      </c>
      <c r="C2057" s="237">
        <f>_xll.qlCalendarAdvance(Calendar,B2057,NDays&amp;"D")</f>
        <v>53303</v>
      </c>
      <c r="D2057" s="202">
        <v>2.3562456411674339E-2</v>
      </c>
      <c r="E2057" s="202">
        <v>2.3357412689035684E-2</v>
      </c>
      <c r="U2057" s="204"/>
    </row>
    <row r="2058" spans="1:21" x14ac:dyDescent="0.2">
      <c r="A2058" s="64" t="str">
        <f t="shared" si="33"/>
        <v>1w</v>
      </c>
      <c r="B2058" s="203">
        <f>_xll.qlCalendarAdvance(Calendar,B2057,A2058,"f",FALSE)</f>
        <v>53308</v>
      </c>
      <c r="C2058" s="237">
        <f>_xll.qlCalendarAdvance(Calendar,B2058,NDays&amp;"D")</f>
        <v>53310</v>
      </c>
      <c r="D2058" s="202">
        <v>2.3567594018529887E-2</v>
      </c>
      <c r="E2058" s="202">
        <v>2.3362683770926651E-2</v>
      </c>
      <c r="U2058" s="204"/>
    </row>
    <row r="2059" spans="1:21" x14ac:dyDescent="0.2">
      <c r="A2059" s="64" t="str">
        <f t="shared" si="33"/>
        <v>1w</v>
      </c>
      <c r="B2059" s="203">
        <f>_xll.qlCalendarAdvance(Calendar,B2058,A2059,"f",FALSE)</f>
        <v>53315</v>
      </c>
      <c r="C2059" s="237">
        <f>_xll.qlCalendarAdvance(Calendar,B2059,NDays&amp;"D")</f>
        <v>53317</v>
      </c>
      <c r="D2059" s="202">
        <v>2.3572716484045825E-2</v>
      </c>
      <c r="E2059" s="202">
        <v>2.3367939875917898E-2</v>
      </c>
      <c r="U2059" s="204"/>
    </row>
    <row r="2060" spans="1:21" x14ac:dyDescent="0.2">
      <c r="A2060" s="64" t="str">
        <f t="shared" si="33"/>
        <v>1w</v>
      </c>
      <c r="B2060" s="203">
        <f>_xll.qlCalendarAdvance(Calendar,B2059,A2060,"f",FALSE)</f>
        <v>53323</v>
      </c>
      <c r="C2060" s="237">
        <f>_xll.qlCalendarAdvance(Calendar,B2060,NDays&amp;"D")</f>
        <v>53325</v>
      </c>
      <c r="D2060" s="202">
        <v>2.3578552189783372E-2</v>
      </c>
      <c r="E2060" s="202">
        <v>2.3377325750415512E-2</v>
      </c>
      <c r="U2060" s="204"/>
    </row>
    <row r="2061" spans="1:21" x14ac:dyDescent="0.2">
      <c r="A2061" s="64" t="str">
        <f t="shared" si="33"/>
        <v>1w</v>
      </c>
      <c r="B2061" s="203">
        <f>_xll.qlCalendarAdvance(Calendar,B2060,A2061,"f",FALSE)</f>
        <v>53330</v>
      </c>
      <c r="C2061" s="237">
        <f>_xll.qlCalendarAdvance(Calendar,B2061,NDays&amp;"D")</f>
        <v>53332</v>
      </c>
      <c r="D2061" s="202">
        <v>2.3582514424705169E-2</v>
      </c>
      <c r="E2061" s="202">
        <v>2.3381415908927394E-2</v>
      </c>
      <c r="U2061" s="204"/>
    </row>
    <row r="2062" spans="1:21" x14ac:dyDescent="0.2">
      <c r="A2062" s="64" t="str">
        <f t="shared" si="33"/>
        <v>1w</v>
      </c>
      <c r="B2062" s="203">
        <f>_xll.qlCalendarAdvance(Calendar,B2061,A2062,"f",FALSE)</f>
        <v>53337</v>
      </c>
      <c r="C2062" s="237">
        <f>_xll.qlCalendarAdvance(Calendar,B2062,NDays&amp;"D")</f>
        <v>53339</v>
      </c>
      <c r="D2062" s="202">
        <v>2.358759005338186E-2</v>
      </c>
      <c r="E2062" s="202">
        <v>2.3386623480341484E-2</v>
      </c>
      <c r="U2062" s="204"/>
    </row>
    <row r="2063" spans="1:21" x14ac:dyDescent="0.2">
      <c r="A2063" s="64" t="str">
        <f t="shared" si="33"/>
        <v>1w</v>
      </c>
      <c r="B2063" s="203">
        <f>_xll.qlCalendarAdvance(Calendar,B2062,A2063,"f",FALSE)</f>
        <v>53344</v>
      </c>
      <c r="C2063" s="237">
        <f>_xll.qlCalendarAdvance(Calendar,B2063,NDays&amp;"D")</f>
        <v>53346</v>
      </c>
      <c r="D2063" s="202">
        <v>2.3592650541162281E-2</v>
      </c>
      <c r="E2063" s="202">
        <v>2.3391816072990679E-2</v>
      </c>
      <c r="U2063" s="204"/>
    </row>
    <row r="2064" spans="1:21" x14ac:dyDescent="0.2">
      <c r="A2064" s="64" t="str">
        <f t="shared" si="33"/>
        <v>1w</v>
      </c>
      <c r="B2064" s="203">
        <f>_xll.qlCalendarAdvance(Calendar,B2063,A2064,"f",FALSE)</f>
        <v>53351</v>
      </c>
      <c r="C2064" s="237">
        <f>_xll.qlCalendarAdvance(Calendar,B2064,NDays&amp;"D")</f>
        <v>53353</v>
      </c>
      <c r="D2064" s="202">
        <v>2.3597695887932486E-2</v>
      </c>
      <c r="E2064" s="202">
        <v>2.3396993686928269E-2</v>
      </c>
      <c r="U2064" s="204"/>
    </row>
    <row r="2065" spans="1:21" x14ac:dyDescent="0.2">
      <c r="A2065" s="64" t="str">
        <f t="shared" si="33"/>
        <v>1w</v>
      </c>
      <c r="B2065" s="203">
        <f>_xll.qlCalendarAdvance(Calendar,B2064,A2065,"f",FALSE)</f>
        <v>53358</v>
      </c>
      <c r="C2065" s="237">
        <f>_xll.qlCalendarAdvance(Calendar,B2065,NDays&amp;"D")</f>
        <v>53360</v>
      </c>
      <c r="D2065" s="202">
        <v>2.3602726093578535E-2</v>
      </c>
      <c r="E2065" s="202">
        <v>2.3402156322074319E-2</v>
      </c>
      <c r="U2065" s="204"/>
    </row>
    <row r="2066" spans="1:21" x14ac:dyDescent="0.2">
      <c r="A2066" s="64" t="str">
        <f t="shared" si="33"/>
        <v>1w</v>
      </c>
      <c r="B2066" s="203">
        <f>_xll.qlCalendarAdvance(Calendar,B2065,A2066,"f",FALSE)</f>
        <v>53365</v>
      </c>
      <c r="C2066" s="237">
        <f>_xll.qlCalendarAdvance(Calendar,B2066,NDays&amp;"D")</f>
        <v>53367</v>
      </c>
      <c r="D2066" s="202">
        <v>2.3607741157986046E-2</v>
      </c>
      <c r="E2066" s="202">
        <v>2.3407303978482119E-2</v>
      </c>
      <c r="U2066" s="204"/>
    </row>
    <row r="2067" spans="1:21" x14ac:dyDescent="0.2">
      <c r="A2067" s="64" t="str">
        <f t="shared" si="33"/>
        <v>1w</v>
      </c>
      <c r="B2067" s="203">
        <f>_xll.qlCalendarAdvance(Calendar,B2066,A2067,"f",FALSE)</f>
        <v>53372</v>
      </c>
      <c r="C2067" s="237">
        <f>_xll.qlCalendarAdvance(Calendar,B2067,NDays&amp;"D")</f>
        <v>53374</v>
      </c>
      <c r="D2067" s="202">
        <v>2.3612741081042402E-2</v>
      </c>
      <c r="E2067" s="202">
        <v>2.3412436656125024E-2</v>
      </c>
      <c r="U2067" s="204"/>
    </row>
    <row r="2068" spans="1:21" x14ac:dyDescent="0.2">
      <c r="A2068" s="64" t="str">
        <f t="shared" si="33"/>
        <v>1w</v>
      </c>
      <c r="B2068" s="203">
        <f>_xll.qlCalendarAdvance(Calendar,B2067,A2068,"f",FALSE)</f>
        <v>53379</v>
      </c>
      <c r="C2068" s="237">
        <f>_xll.qlCalendarAdvance(Calendar,B2068,NDays&amp;"D")</f>
        <v>53381</v>
      </c>
      <c r="D2068" s="202">
        <v>2.3617725862634983E-2</v>
      </c>
      <c r="E2068" s="202">
        <v>2.3417554355003034E-2</v>
      </c>
      <c r="U2068" s="204"/>
    </row>
    <row r="2069" spans="1:21" x14ac:dyDescent="0.2">
      <c r="A2069" s="64" t="str">
        <f t="shared" si="33"/>
        <v>1w</v>
      </c>
      <c r="B2069" s="203">
        <f>_xll.qlCalendarAdvance(Calendar,B2068,A2069,"f",FALSE)</f>
        <v>53386</v>
      </c>
      <c r="C2069" s="237">
        <f>_xll.qlCalendarAdvance(Calendar,B2069,NDays&amp;"D")</f>
        <v>53388</v>
      </c>
      <c r="D2069" s="202">
        <v>2.3627182362494861E-2</v>
      </c>
      <c r="E2069" s="202">
        <v>2.342265707516944E-2</v>
      </c>
      <c r="U2069" s="204"/>
    </row>
    <row r="2070" spans="1:21" x14ac:dyDescent="0.2">
      <c r="A2070" s="64" t="str">
        <f t="shared" si="33"/>
        <v>1w</v>
      </c>
      <c r="B2070" s="203">
        <f>_xll.qlCalendarAdvance(Calendar,B2069,A2070,"f",FALSE)</f>
        <v>53393</v>
      </c>
      <c r="C2070" s="237">
        <f>_xll.qlCalendarAdvance(Calendar,B2070,NDays&amp;"D")</f>
        <v>53395</v>
      </c>
      <c r="D2070" s="202">
        <v>2.363213382657469E-2</v>
      </c>
      <c r="E2070" s="202">
        <v>2.3427744816517659E-2</v>
      </c>
      <c r="U2070" s="204"/>
    </row>
    <row r="2071" spans="1:21" x14ac:dyDescent="0.2">
      <c r="A2071" s="64" t="str">
        <f t="shared" si="33"/>
        <v>1w</v>
      </c>
      <c r="B2071" s="203">
        <f>_xll.qlCalendarAdvance(Calendar,B2070,A2071,"f",FALSE)</f>
        <v>53400</v>
      </c>
      <c r="C2071" s="237">
        <f>_xll.qlCalendarAdvance(Calendar,B2071,NDays&amp;"D")</f>
        <v>53402</v>
      </c>
      <c r="D2071" s="202">
        <v>2.3637070145138977E-2</v>
      </c>
      <c r="E2071" s="202">
        <v>2.3432817579154275E-2</v>
      </c>
      <c r="U2071" s="204"/>
    </row>
    <row r="2072" spans="1:21" x14ac:dyDescent="0.2">
      <c r="A2072" s="64" t="str">
        <f t="shared" si="33"/>
        <v>1w</v>
      </c>
      <c r="B2072" s="203">
        <f>_xll.qlCalendarAdvance(Calendar,B2071,A2072,"f",FALSE)</f>
        <v>53407</v>
      </c>
      <c r="C2072" s="237">
        <f>_xll.qlCalendarAdvance(Calendar,B2072,NDays&amp;"D")</f>
        <v>53413</v>
      </c>
      <c r="D2072" s="202">
        <v>2.3643677651549854E-2</v>
      </c>
      <c r="E2072" s="202">
        <v>2.3438512457376603E-2</v>
      </c>
      <c r="U2072" s="204"/>
    </row>
    <row r="2073" spans="1:21" x14ac:dyDescent="0.2">
      <c r="A2073" s="64" t="str">
        <f t="shared" si="33"/>
        <v>1w</v>
      </c>
      <c r="B2073" s="203">
        <f>_xll.qlCalendarAdvance(Calendar,B2072,A2073,"f",FALSE)</f>
        <v>53414</v>
      </c>
      <c r="C2073" s="237">
        <f>_xll.qlCalendarAdvance(Calendar,B2073,NDays&amp;"D")</f>
        <v>53416</v>
      </c>
      <c r="D2073" s="202">
        <v>2.3643541356231743E-2</v>
      </c>
      <c r="E2073" s="202">
        <v>2.3442918168106175E-2</v>
      </c>
      <c r="U2073" s="204"/>
    </row>
    <row r="2074" spans="1:21" x14ac:dyDescent="0.2">
      <c r="A2074" s="64" t="str">
        <f t="shared" si="33"/>
        <v>1w</v>
      </c>
      <c r="B2074" s="203">
        <f>_xll.qlCalendarAdvance(Calendar,B2073,A2074,"f",FALSE)</f>
        <v>53421</v>
      </c>
      <c r="C2074" s="237">
        <f>_xll.qlCalendarAdvance(Calendar,B2074,NDays&amp;"D")</f>
        <v>53423</v>
      </c>
      <c r="D2074" s="202">
        <v>2.3651788226591811E-2</v>
      </c>
      <c r="E2074" s="202">
        <v>2.3447945994448105E-2</v>
      </c>
      <c r="U2074" s="204"/>
    </row>
    <row r="2075" spans="1:21" x14ac:dyDescent="0.2">
      <c r="A2075" s="64" t="str">
        <f t="shared" si="33"/>
        <v>1w</v>
      </c>
      <c r="B2075" s="203">
        <f>_xll.qlCalendarAdvance(Calendar,B2074,A2075,"f",FALSE)</f>
        <v>53428</v>
      </c>
      <c r="C2075" s="237">
        <f>_xll.qlCalendarAdvance(Calendar,B2075,NDays&amp;"D")</f>
        <v>53430</v>
      </c>
      <c r="D2075" s="202">
        <v>2.3656663961952779E-2</v>
      </c>
      <c r="E2075" s="202">
        <v>2.3452958841998495E-2</v>
      </c>
      <c r="U2075" s="204"/>
    </row>
    <row r="2076" spans="1:21" x14ac:dyDescent="0.2">
      <c r="A2076" s="64" t="str">
        <f t="shared" si="33"/>
        <v>1w</v>
      </c>
      <c r="B2076" s="203">
        <f>_xll.qlCalendarAdvance(Calendar,B2075,A2076,"f",FALSE)</f>
        <v>53435</v>
      </c>
      <c r="C2076" s="237">
        <f>_xll.qlCalendarAdvance(Calendar,B2076,NDays&amp;"D")</f>
        <v>53437</v>
      </c>
      <c r="D2076" s="202">
        <v>2.3661524551230873E-2</v>
      </c>
      <c r="E2076" s="202">
        <v>2.3457956710783989E-2</v>
      </c>
      <c r="U2076" s="204"/>
    </row>
    <row r="2077" spans="1:21" x14ac:dyDescent="0.2">
      <c r="A2077" s="64" t="str">
        <f t="shared" si="33"/>
        <v>1w</v>
      </c>
      <c r="B2077" s="203">
        <f>_xll.qlCalendarAdvance(Calendar,B2076,A2077,"f",FALSE)</f>
        <v>53442</v>
      </c>
      <c r="C2077" s="237">
        <f>_xll.qlCalendarAdvance(Calendar,B2077,NDays&amp;"D")</f>
        <v>53444</v>
      </c>
      <c r="D2077" s="202">
        <v>2.3666369994313749E-2</v>
      </c>
      <c r="E2077" s="202">
        <v>2.3462939600777943E-2</v>
      </c>
      <c r="U2077" s="204"/>
    </row>
    <row r="2078" spans="1:21" x14ac:dyDescent="0.2">
      <c r="A2078" s="64" t="str">
        <f t="shared" si="33"/>
        <v>1w</v>
      </c>
      <c r="B2078" s="203">
        <f>_xll.qlCalendarAdvance(Calendar,B2077,A2078,"f",FALSE)</f>
        <v>53449</v>
      </c>
      <c r="C2078" s="237">
        <f>_xll.qlCalendarAdvance(Calendar,B2078,NDays&amp;"D")</f>
        <v>53451</v>
      </c>
      <c r="D2078" s="202">
        <v>2.367120029108993E-2</v>
      </c>
      <c r="E2078" s="202">
        <v>2.3467907512033648E-2</v>
      </c>
      <c r="U2078" s="204"/>
    </row>
    <row r="2079" spans="1:21" x14ac:dyDescent="0.2">
      <c r="A2079" s="64" t="str">
        <f t="shared" si="33"/>
        <v>1w</v>
      </c>
      <c r="B2079" s="203">
        <f>_xll.qlCalendarAdvance(Calendar,B2078,A2079,"f",FALSE)</f>
        <v>53456</v>
      </c>
      <c r="C2079" s="237">
        <f>_xll.qlCalendarAdvance(Calendar,B2079,NDays&amp;"D")</f>
        <v>53458</v>
      </c>
      <c r="D2079" s="202">
        <v>2.3676015441447072E-2</v>
      </c>
      <c r="E2079" s="202">
        <v>2.3472860444471166E-2</v>
      </c>
      <c r="U2079" s="204"/>
    </row>
    <row r="2080" spans="1:21" x14ac:dyDescent="0.2">
      <c r="A2080" s="64" t="str">
        <f t="shared" si="33"/>
        <v>1w</v>
      </c>
      <c r="B2080" s="203">
        <f>_xll.qlCalendarAdvance(Calendar,B2079,A2080,"f",FALSE)</f>
        <v>53463</v>
      </c>
      <c r="C2080" s="237">
        <f>_xll.qlCalendarAdvance(Calendar,B2080,NDays&amp;"D")</f>
        <v>53465</v>
      </c>
      <c r="D2080" s="202">
        <v>2.3680815445274995E-2</v>
      </c>
      <c r="E2080" s="202">
        <v>2.347779839814379E-2</v>
      </c>
      <c r="U2080" s="204"/>
    </row>
    <row r="2081" spans="1:21" x14ac:dyDescent="0.2">
      <c r="A2081" s="64" t="str">
        <f t="shared" si="33"/>
        <v>1w</v>
      </c>
      <c r="B2081" s="203">
        <f>_xll.qlCalendarAdvance(Calendar,B2080,A2081,"f",FALSE)</f>
        <v>53470</v>
      </c>
      <c r="C2081" s="237">
        <f>_xll.qlCalendarAdvance(Calendar,B2081,NDays&amp;"D")</f>
        <v>53472</v>
      </c>
      <c r="D2081" s="202">
        <v>2.368560030246222E-2</v>
      </c>
      <c r="E2081" s="202">
        <v>2.3482721373051518E-2</v>
      </c>
      <c r="U2081" s="204"/>
    </row>
    <row r="2082" spans="1:21" x14ac:dyDescent="0.2">
      <c r="A2082" s="64" t="str">
        <f t="shared" si="33"/>
        <v>1w</v>
      </c>
      <c r="B2082" s="203">
        <f>_xll.qlCalendarAdvance(Calendar,B2081,A2082,"f",FALSE)</f>
        <v>53477</v>
      </c>
      <c r="C2082" s="237">
        <f>_xll.qlCalendarAdvance(Calendar,B2082,NDays&amp;"D")</f>
        <v>53479</v>
      </c>
      <c r="D2082" s="202">
        <v>2.3690370012898563E-2</v>
      </c>
      <c r="E2082" s="202">
        <v>2.3487629369167706E-2</v>
      </c>
      <c r="U2082" s="204"/>
    </row>
    <row r="2083" spans="1:21" x14ac:dyDescent="0.2">
      <c r="A2083" s="64" t="str">
        <f t="shared" si="33"/>
        <v>1w</v>
      </c>
      <c r="B2083" s="203">
        <f>_xll.qlCalendarAdvance(Calendar,B2082,A2083,"f",FALSE)</f>
        <v>53484</v>
      </c>
      <c r="C2083" s="237">
        <f>_xll.qlCalendarAdvance(Calendar,B2083,NDays&amp;"D")</f>
        <v>53486</v>
      </c>
      <c r="D2083" s="202">
        <v>2.3695124576474276E-2</v>
      </c>
      <c r="E2083" s="202">
        <v>2.3492522386492354E-2</v>
      </c>
      <c r="U2083" s="204"/>
    </row>
    <row r="2084" spans="1:21" x14ac:dyDescent="0.2">
      <c r="A2084" s="64" t="str">
        <f t="shared" si="33"/>
        <v>1w</v>
      </c>
      <c r="B2084" s="203">
        <f>_xll.qlCalendarAdvance(Calendar,B2083,A2084,"f",FALSE)</f>
        <v>53491</v>
      </c>
      <c r="C2084" s="237">
        <f>_xll.qlCalendarAdvance(Calendar,B2084,NDays&amp;"D")</f>
        <v>53493</v>
      </c>
      <c r="D2084" s="202">
        <v>2.369986399307961E-2</v>
      </c>
      <c r="E2084" s="202">
        <v>2.3497400425052106E-2</v>
      </c>
      <c r="U2084" s="204"/>
    </row>
    <row r="2085" spans="1:21" x14ac:dyDescent="0.2">
      <c r="A2085" s="64" t="str">
        <f t="shared" si="33"/>
        <v>1w</v>
      </c>
      <c r="B2085" s="203">
        <f>_xll.qlCalendarAdvance(Calendar,B2084,A2085,"f",FALSE)</f>
        <v>53498</v>
      </c>
      <c r="C2085" s="237">
        <f>_xll.qlCalendarAdvance(Calendar,B2085,NDays&amp;"D")</f>
        <v>53500</v>
      </c>
      <c r="D2085" s="202">
        <v>2.3704588262604381E-2</v>
      </c>
      <c r="E2085" s="202">
        <v>2.3502263484793673E-2</v>
      </c>
      <c r="U2085" s="204"/>
    </row>
    <row r="2086" spans="1:21" x14ac:dyDescent="0.2">
      <c r="A2086" s="64" t="str">
        <f t="shared" si="33"/>
        <v>1w</v>
      </c>
      <c r="B2086" s="203">
        <f>_xll.qlCalendarAdvance(Calendar,B2085,A2086,"f",FALSE)</f>
        <v>53505</v>
      </c>
      <c r="C2086" s="237">
        <f>_xll.qlCalendarAdvance(Calendar,B2086,NDays&amp;"D")</f>
        <v>53507</v>
      </c>
      <c r="D2086" s="202">
        <v>2.3709297384940133E-2</v>
      </c>
      <c r="E2086" s="202">
        <v>2.3507111565770344E-2</v>
      </c>
      <c r="U2086" s="204"/>
    </row>
    <row r="2087" spans="1:21" x14ac:dyDescent="0.2">
      <c r="A2087" s="64" t="str">
        <f t="shared" si="33"/>
        <v>1w</v>
      </c>
      <c r="B2087" s="203">
        <f>_xll.qlCalendarAdvance(Calendar,B2086,A2087,"f",FALSE)</f>
        <v>53512</v>
      </c>
      <c r="C2087" s="237">
        <f>_xll.qlCalendarAdvance(Calendar,B2087,NDays&amp;"D")</f>
        <v>53514</v>
      </c>
      <c r="D2087" s="202">
        <v>2.3713991359977985E-2</v>
      </c>
      <c r="E2087" s="202">
        <v>2.3511944667955476E-2</v>
      </c>
      <c r="U2087" s="204"/>
    </row>
    <row r="2088" spans="1:21" x14ac:dyDescent="0.2">
      <c r="A2088" s="64" t="str">
        <f t="shared" si="33"/>
        <v>1w</v>
      </c>
      <c r="B2088" s="203">
        <f>_xll.qlCalendarAdvance(Calendar,B2087,A2088,"f",FALSE)</f>
        <v>53519</v>
      </c>
      <c r="C2088" s="237">
        <f>_xll.qlCalendarAdvance(Calendar,B2088,NDays&amp;"D")</f>
        <v>53521</v>
      </c>
      <c r="D2088" s="202">
        <v>2.3718670187609911E-2</v>
      </c>
      <c r="E2088" s="202">
        <v>2.3516762791322421E-2</v>
      </c>
      <c r="U2088" s="204"/>
    </row>
    <row r="2089" spans="1:21" x14ac:dyDescent="0.2">
      <c r="A2089" s="64" t="str">
        <f t="shared" si="33"/>
        <v>1w</v>
      </c>
      <c r="B2089" s="203">
        <f>_xll.qlCalendarAdvance(Calendar,B2088,A2089,"f",FALSE)</f>
        <v>53526</v>
      </c>
      <c r="C2089" s="237">
        <f>_xll.qlCalendarAdvance(Calendar,B2089,NDays&amp;"D")</f>
        <v>53528</v>
      </c>
      <c r="D2089" s="202">
        <v>2.3723333867727892E-2</v>
      </c>
      <c r="E2089" s="202">
        <v>2.3521565935897826E-2</v>
      </c>
      <c r="U2089" s="204"/>
    </row>
    <row r="2090" spans="1:21" x14ac:dyDescent="0.2">
      <c r="A2090" s="64" t="str">
        <f t="shared" si="33"/>
        <v>1w</v>
      </c>
      <c r="B2090" s="203">
        <f>_xll.qlCalendarAdvance(Calendar,B2089,A2090,"f",FALSE)</f>
        <v>53533</v>
      </c>
      <c r="C2090" s="237">
        <f>_xll.qlCalendarAdvance(Calendar,B2090,NDays&amp;"D")</f>
        <v>53535</v>
      </c>
      <c r="D2090" s="202">
        <v>2.372798240022304E-2</v>
      </c>
      <c r="E2090" s="202">
        <v>2.3526354101708336E-2</v>
      </c>
      <c r="U2090" s="204"/>
    </row>
    <row r="2091" spans="1:21" x14ac:dyDescent="0.2">
      <c r="A2091" s="64" t="str">
        <f t="shared" si="33"/>
        <v>1w</v>
      </c>
      <c r="B2091" s="203">
        <f>_xll.qlCalendarAdvance(Calendar,B2090,A2091,"f",FALSE)</f>
        <v>53540</v>
      </c>
      <c r="C2091" s="237">
        <f>_xll.qlCalendarAdvance(Calendar,B2091,NDays&amp;"D")</f>
        <v>53542</v>
      </c>
      <c r="D2091" s="202">
        <v>2.3732615784989929E-2</v>
      </c>
      <c r="E2091" s="202">
        <v>2.3531127288727305E-2</v>
      </c>
      <c r="U2091" s="204"/>
    </row>
    <row r="2092" spans="1:21" x14ac:dyDescent="0.2">
      <c r="A2092" s="64" t="str">
        <f t="shared" si="33"/>
        <v>1w</v>
      </c>
      <c r="B2092" s="203">
        <f>_xll.qlCalendarAdvance(Calendar,B2091,A2092,"f",FALSE)</f>
        <v>53547</v>
      </c>
      <c r="C2092" s="237">
        <f>_xll.qlCalendarAdvance(Calendar,B2092,NDays&amp;"D")</f>
        <v>53549</v>
      </c>
      <c r="D2092" s="202">
        <v>2.3737234021921398E-2</v>
      </c>
      <c r="E2092" s="202">
        <v>2.3535885496901443E-2</v>
      </c>
      <c r="U2092" s="204"/>
    </row>
    <row r="2093" spans="1:21" x14ac:dyDescent="0.2">
      <c r="A2093" s="64" t="str">
        <f t="shared" si="33"/>
        <v>1w</v>
      </c>
      <c r="B2093" s="203">
        <f>_xll.qlCalendarAdvance(Calendar,B2092,A2093,"f",FALSE)</f>
        <v>53554</v>
      </c>
      <c r="C2093" s="237">
        <f>_xll.qlCalendarAdvance(Calendar,B2093,NDays&amp;"D")</f>
        <v>53556</v>
      </c>
      <c r="D2093" s="202">
        <v>2.3741837110908565E-2</v>
      </c>
      <c r="E2093" s="202">
        <v>2.3540628726284041E-2</v>
      </c>
      <c r="U2093" s="204"/>
    </row>
    <row r="2094" spans="1:21" x14ac:dyDescent="0.2">
      <c r="A2094" s="64" t="str">
        <f t="shared" si="33"/>
        <v>1w</v>
      </c>
      <c r="B2094" s="203">
        <f>_xll.qlCalendarAdvance(Calendar,B2093,A2094,"f",FALSE)</f>
        <v>53561</v>
      </c>
      <c r="C2094" s="237">
        <f>_xll.qlCalendarAdvance(Calendar,B2094,NDays&amp;"D")</f>
        <v>53563</v>
      </c>
      <c r="D2094" s="202">
        <v>2.3746425051847726E-2</v>
      </c>
      <c r="E2094" s="202">
        <v>2.3545356976875098E-2</v>
      </c>
      <c r="U2094" s="204"/>
    </row>
    <row r="2095" spans="1:21" x14ac:dyDescent="0.2">
      <c r="A2095" s="64" t="str">
        <f t="shared" si="33"/>
        <v>1w</v>
      </c>
      <c r="B2095" s="203">
        <f>_xll.qlCalendarAdvance(Calendar,B2094,A2095,"f",FALSE)</f>
        <v>53568</v>
      </c>
      <c r="C2095" s="237">
        <f>_xll.qlCalendarAdvance(Calendar,B2095,NDays&amp;"D")</f>
        <v>53570</v>
      </c>
      <c r="D2095" s="202">
        <v>2.374659108898998E-2</v>
      </c>
      <c r="E2095" s="202">
        <v>2.355007024864797E-2</v>
      </c>
      <c r="U2095" s="204"/>
    </row>
    <row r="2096" spans="1:21" x14ac:dyDescent="0.2">
      <c r="A2096" s="64" t="str">
        <f t="shared" si="33"/>
        <v>1w</v>
      </c>
      <c r="B2096" s="203">
        <f>_xll.qlCalendarAdvance(Calendar,B2095,A2096,"f",FALSE)</f>
        <v>53575</v>
      </c>
      <c r="C2096" s="237">
        <f>_xll.qlCalendarAdvance(Calendar,B2096,NDays&amp;"D")</f>
        <v>53577</v>
      </c>
      <c r="D2096" s="202">
        <v>2.3751151865133026E-2</v>
      </c>
      <c r="E2096" s="202">
        <v>2.3554768541602655E-2</v>
      </c>
      <c r="U2096" s="204"/>
    </row>
    <row r="2097" spans="1:21" x14ac:dyDescent="0.2">
      <c r="A2097" s="64" t="str">
        <f t="shared" si="33"/>
        <v>1w</v>
      </c>
      <c r="B2097" s="203">
        <f>_xll.qlCalendarAdvance(Calendar,B2096,A2097,"f",FALSE)</f>
        <v>53582</v>
      </c>
      <c r="C2097" s="237">
        <f>_xll.qlCalendarAdvance(Calendar,B2097,NDays&amp;"D")</f>
        <v>53584</v>
      </c>
      <c r="D2097" s="202">
        <v>2.3755697496685959E-2</v>
      </c>
      <c r="E2097" s="202">
        <v>2.3559451855792446E-2</v>
      </c>
      <c r="U2097" s="204"/>
    </row>
    <row r="2098" spans="1:21" x14ac:dyDescent="0.2">
      <c r="A2098" s="64" t="str">
        <f t="shared" si="33"/>
        <v>1w</v>
      </c>
      <c r="B2098" s="203">
        <f>_xll.qlCalendarAdvance(Calendar,B2097,A2098,"f",FALSE)</f>
        <v>53589</v>
      </c>
      <c r="C2098" s="237">
        <f>_xll.qlCalendarAdvance(Calendar,B2098,NDays&amp;"D")</f>
        <v>53591</v>
      </c>
      <c r="D2098" s="202">
        <v>2.3760227983547204E-2</v>
      </c>
      <c r="E2098" s="202">
        <v>2.3564120191137405E-2</v>
      </c>
      <c r="U2098" s="204"/>
    </row>
    <row r="2099" spans="1:21" x14ac:dyDescent="0.2">
      <c r="A2099" s="64" t="str">
        <f t="shared" si="33"/>
        <v>1w</v>
      </c>
      <c r="B2099" s="203">
        <f>_xll.qlCalendarAdvance(Calendar,B2098,A2099,"f",FALSE)</f>
        <v>53596</v>
      </c>
      <c r="C2099" s="237">
        <f>_xll.qlCalendarAdvance(Calendar,B2099,NDays&amp;"D")</f>
        <v>53598</v>
      </c>
      <c r="D2099" s="202">
        <v>2.3765841918051551E-2</v>
      </c>
      <c r="E2099" s="202">
        <v>2.3568773547690824E-2</v>
      </c>
      <c r="U2099" s="204"/>
    </row>
    <row r="2100" spans="1:21" x14ac:dyDescent="0.2">
      <c r="A2100" s="64" t="str">
        <f t="shared" si="33"/>
        <v>1w</v>
      </c>
      <c r="B2100" s="203">
        <f>_xll.qlCalendarAdvance(Calendar,B2099,A2100,"f",FALSE)</f>
        <v>53603</v>
      </c>
      <c r="C2100" s="237">
        <f>_xll.qlCalendarAdvance(Calendar,B2100,NDays&amp;"D")</f>
        <v>53605</v>
      </c>
      <c r="D2100" s="202">
        <v>2.3770341328709234E-2</v>
      </c>
      <c r="E2100" s="202">
        <v>2.3573411925372767E-2</v>
      </c>
      <c r="U2100" s="204"/>
    </row>
    <row r="2101" spans="1:21" x14ac:dyDescent="0.2">
      <c r="A2101" s="64" t="str">
        <f t="shared" si="33"/>
        <v>1w</v>
      </c>
      <c r="B2101" s="203">
        <f>_xll.qlCalendarAdvance(Calendar,B2100,A2101,"f",FALSE)</f>
        <v>53610</v>
      </c>
      <c r="C2101" s="237">
        <f>_xll.qlCalendarAdvance(Calendar,B2101,NDays&amp;"D")</f>
        <v>53612</v>
      </c>
      <c r="D2101" s="202">
        <v>2.3779213392867145E-2</v>
      </c>
      <c r="E2101" s="202">
        <v>2.357803532431646E-2</v>
      </c>
      <c r="U2101" s="204"/>
    </row>
    <row r="2102" spans="1:21" x14ac:dyDescent="0.2">
      <c r="A2102" s="64" t="str">
        <f t="shared" si="33"/>
        <v>1w</v>
      </c>
      <c r="B2102" s="203">
        <f>_xll.qlCalendarAdvance(Calendar,B2101,A2102,"f",FALSE)</f>
        <v>53617</v>
      </c>
      <c r="C2102" s="237">
        <f>_xll.qlCalendarAdvance(Calendar,B2102,NDays&amp;"D")</f>
        <v>53619</v>
      </c>
      <c r="D2102" s="202">
        <v>2.3779294712091177E-2</v>
      </c>
      <c r="E2102" s="202">
        <v>2.3582643744388676E-2</v>
      </c>
      <c r="U2102" s="204"/>
    </row>
    <row r="2103" spans="1:21" x14ac:dyDescent="0.2">
      <c r="A2103" s="64" t="str">
        <f t="shared" si="33"/>
        <v>1w</v>
      </c>
      <c r="B2103" s="203">
        <f>_xll.qlCalendarAdvance(Calendar,B2102,A2103,"f",FALSE)</f>
        <v>53624</v>
      </c>
      <c r="C2103" s="237">
        <f>_xll.qlCalendarAdvance(Calendar,B2103,NDays&amp;"D")</f>
        <v>53626</v>
      </c>
      <c r="D2103" s="202">
        <v>2.3783748684611212E-2</v>
      </c>
      <c r="E2103" s="202">
        <v>2.3587237185642707E-2</v>
      </c>
      <c r="U2103" s="204"/>
    </row>
    <row r="2104" spans="1:21" x14ac:dyDescent="0.2">
      <c r="A2104" s="64" t="str">
        <f t="shared" si="33"/>
        <v>1w</v>
      </c>
      <c r="B2104" s="203">
        <f>_xll.qlCalendarAdvance(Calendar,B2103,A2104,"f",FALSE)</f>
        <v>53631</v>
      </c>
      <c r="C2104" s="237">
        <f>_xll.qlCalendarAdvance(Calendar,B2104,NDays&amp;"D")</f>
        <v>53633</v>
      </c>
      <c r="D2104" s="202">
        <v>2.3787092860462523E-2</v>
      </c>
      <c r="E2104" s="202">
        <v>2.3591815648131842E-2</v>
      </c>
      <c r="U2104" s="204"/>
    </row>
    <row r="2105" spans="1:21" x14ac:dyDescent="0.2">
      <c r="A2105" s="64" t="str">
        <f t="shared" si="33"/>
        <v>1w</v>
      </c>
      <c r="B2105" s="203">
        <f>_xll.qlCalendarAdvance(Calendar,B2104,A2105,"f",FALSE)</f>
        <v>53638</v>
      </c>
      <c r="C2105" s="237">
        <f>_xll.qlCalendarAdvance(Calendar,B2105,NDays&amp;"D")</f>
        <v>53640</v>
      </c>
      <c r="D2105" s="202">
        <v>2.3791517331630308E-2</v>
      </c>
      <c r="E2105" s="202">
        <v>2.3596379131722856E-2</v>
      </c>
      <c r="U2105" s="204"/>
    </row>
    <row r="2106" spans="1:21" x14ac:dyDescent="0.2">
      <c r="A2106" s="64" t="str">
        <f t="shared" si="33"/>
        <v>1w</v>
      </c>
      <c r="B2106" s="203">
        <f>_xll.qlCalendarAdvance(Calendar,B2105,A2106,"f",FALSE)</f>
        <v>53645</v>
      </c>
      <c r="C2106" s="237">
        <f>_xll.qlCalendarAdvance(Calendar,B2106,NDays&amp;"D")</f>
        <v>53647</v>
      </c>
      <c r="D2106" s="202">
        <v>2.3795926657296441E-2</v>
      </c>
      <c r="E2106" s="202">
        <v>2.3600927636548974E-2</v>
      </c>
      <c r="U2106" s="204"/>
    </row>
    <row r="2107" spans="1:21" x14ac:dyDescent="0.2">
      <c r="A2107" s="64" t="str">
        <f t="shared" si="33"/>
        <v>1w</v>
      </c>
      <c r="B2107" s="203">
        <f>_xll.qlCalendarAdvance(Calendar,B2106,A2107,"f",FALSE)</f>
        <v>53652</v>
      </c>
      <c r="C2107" s="237">
        <f>_xll.qlCalendarAdvance(Calendar,B2107,NDays&amp;"D")</f>
        <v>53654</v>
      </c>
      <c r="D2107" s="202">
        <v>2.3800320837360677E-2</v>
      </c>
      <c r="E2107" s="202">
        <v>2.3605461162503616E-2</v>
      </c>
      <c r="U2107" s="204"/>
    </row>
    <row r="2108" spans="1:21" x14ac:dyDescent="0.2">
      <c r="A2108" s="64" t="str">
        <f t="shared" si="33"/>
        <v>1w</v>
      </c>
      <c r="B2108" s="203">
        <f>_xll.qlCalendarAdvance(Calendar,B2107,A2108,"f",FALSE)</f>
        <v>53659</v>
      </c>
      <c r="C2108" s="237">
        <f>_xll.qlCalendarAdvance(Calendar,B2108,NDays&amp;"D")</f>
        <v>53661</v>
      </c>
      <c r="D2108" s="202">
        <v>2.3805791351468718E-2</v>
      </c>
      <c r="E2108" s="202">
        <v>2.3609979709666717E-2</v>
      </c>
      <c r="U2108" s="204"/>
    </row>
    <row r="2109" spans="1:21" x14ac:dyDescent="0.2">
      <c r="A2109" s="64" t="str">
        <f t="shared" si="33"/>
        <v>1w</v>
      </c>
      <c r="B2109" s="203">
        <f>_xll.qlCalendarAdvance(Calendar,B2108,A2109,"f",FALSE)</f>
        <v>53666</v>
      </c>
      <c r="C2109" s="237">
        <f>_xll.qlCalendarAdvance(Calendar,B2109,NDays&amp;"D")</f>
        <v>53668</v>
      </c>
      <c r="D2109" s="202">
        <v>2.3810154444991235E-2</v>
      </c>
      <c r="E2109" s="202">
        <v>2.3614483277984988E-2</v>
      </c>
      <c r="U2109" s="204"/>
    </row>
    <row r="2110" spans="1:21" x14ac:dyDescent="0.2">
      <c r="A2110" s="64" t="str">
        <f t="shared" si="33"/>
        <v>1w</v>
      </c>
      <c r="B2110" s="203">
        <f>_xll.qlCalendarAdvance(Calendar,B2109,A2110,"f",FALSE)</f>
        <v>53673</v>
      </c>
      <c r="C2110" s="237">
        <f>_xll.qlCalendarAdvance(Calendar,B2110,NDays&amp;"D")</f>
        <v>53675</v>
      </c>
      <c r="D2110" s="202">
        <v>2.3814502391664705E-2</v>
      </c>
      <c r="E2110" s="202">
        <v>2.3618971867485072E-2</v>
      </c>
      <c r="U2110" s="204"/>
    </row>
    <row r="2111" spans="1:21" x14ac:dyDescent="0.2">
      <c r="A2111" s="64" t="str">
        <f t="shared" si="33"/>
        <v>1w</v>
      </c>
      <c r="B2111" s="203">
        <f>_xll.qlCalendarAdvance(Calendar,B2110,A2111,"f",FALSE)</f>
        <v>53680</v>
      </c>
      <c r="C2111" s="237">
        <f>_xll.qlCalendarAdvance(Calendar,B2111,NDays&amp;"D")</f>
        <v>53682</v>
      </c>
      <c r="D2111" s="202">
        <v>2.3818835191391181E-2</v>
      </c>
      <c r="E2111" s="202">
        <v>2.362344547811368E-2</v>
      </c>
      <c r="U2111" s="204"/>
    </row>
    <row r="2112" spans="1:21" x14ac:dyDescent="0.2">
      <c r="A2112" s="64" t="str">
        <f t="shared" si="33"/>
        <v>1w</v>
      </c>
      <c r="B2112" s="203">
        <f>_xll.qlCalendarAdvance(Calendar,B2111,A2112,"f",FALSE)</f>
        <v>53688</v>
      </c>
      <c r="C2112" s="237">
        <f>_xll.qlCalendarAdvance(Calendar,B2112,NDays&amp;"D")</f>
        <v>53692</v>
      </c>
      <c r="D2112" s="202">
        <v>2.38217346887005E-2</v>
      </c>
      <c r="E2112" s="202">
        <v>2.3628717489700968E-2</v>
      </c>
      <c r="U2112" s="204"/>
    </row>
    <row r="2113" spans="1:21" x14ac:dyDescent="0.2">
      <c r="A2113" s="64" t="str">
        <f t="shared" si="33"/>
        <v>1w</v>
      </c>
      <c r="B2113" s="203">
        <f>_xll.qlCalendarAdvance(Calendar,B2112,A2113,"f",FALSE)</f>
        <v>53695</v>
      </c>
      <c r="C2113" s="237">
        <f>_xll.qlCalendarAdvance(Calendar,B2113,NDays&amp;"D")</f>
        <v>53699</v>
      </c>
      <c r="D2113" s="202">
        <v>2.3829294643648892E-2</v>
      </c>
      <c r="E2113" s="202">
        <v>2.3632063376988199E-2</v>
      </c>
      <c r="U2113" s="204"/>
    </row>
    <row r="2114" spans="1:21" x14ac:dyDescent="0.2">
      <c r="A2114" s="64" t="str">
        <f t="shared" si="33"/>
        <v>1w</v>
      </c>
      <c r="B2114" s="203">
        <f>_xll.qlCalendarAdvance(Calendar,B2113,A2114,"f",FALSE)</f>
        <v>53702</v>
      </c>
      <c r="C2114" s="237">
        <f>_xll.qlCalendarAdvance(Calendar,B2114,NDays&amp;"D")</f>
        <v>53706</v>
      </c>
      <c r="D2114" s="202">
        <v>2.3833575510240214E-2</v>
      </c>
      <c r="E2114" s="202">
        <v>2.3636487190543676E-2</v>
      </c>
      <c r="U2114" s="204"/>
    </row>
    <row r="2115" spans="1:21" x14ac:dyDescent="0.2">
      <c r="A2115" s="64" t="str">
        <f t="shared" si="33"/>
        <v>1w</v>
      </c>
      <c r="B2115" s="203">
        <f>_xll.qlCalendarAdvance(Calendar,B2114,A2115,"f",FALSE)</f>
        <v>53709</v>
      </c>
      <c r="C2115" s="237">
        <f>_xll.qlCalendarAdvance(Calendar,B2115,NDays&amp;"D")</f>
        <v>53713</v>
      </c>
      <c r="D2115" s="202">
        <v>2.3837841229450599E-2</v>
      </c>
      <c r="E2115" s="202">
        <v>2.3640896027119496E-2</v>
      </c>
      <c r="U2115" s="204"/>
    </row>
    <row r="2116" spans="1:21" x14ac:dyDescent="0.2">
      <c r="A2116" s="64" t="str">
        <f t="shared" si="33"/>
        <v>1w</v>
      </c>
      <c r="B2116" s="203">
        <f>_xll.qlCalendarAdvance(Calendar,B2115,A2116,"f",FALSE)</f>
        <v>53716</v>
      </c>
      <c r="C2116" s="237">
        <f>_xll.qlCalendarAdvance(Calendar,B2116,NDays&amp;"D")</f>
        <v>53720</v>
      </c>
      <c r="D2116" s="202">
        <v>2.3842091801184309E-2</v>
      </c>
      <c r="E2116" s="202">
        <v>2.3645289886875531E-2</v>
      </c>
      <c r="U2116" s="204"/>
    </row>
    <row r="2117" spans="1:21" x14ac:dyDescent="0.2">
      <c r="A2117" s="64" t="str">
        <f t="shared" si="33"/>
        <v>1w</v>
      </c>
      <c r="B2117" s="203">
        <f>_xll.qlCalendarAdvance(Calendar,B2116,A2117,"f",FALSE)</f>
        <v>53723</v>
      </c>
      <c r="C2117" s="237">
        <f>_xll.qlCalendarAdvance(Calendar,B2117,NDays&amp;"D")</f>
        <v>53727</v>
      </c>
      <c r="D2117" s="202">
        <v>2.3846327225344712E-2</v>
      </c>
      <c r="E2117" s="202">
        <v>2.3649668769492038E-2</v>
      </c>
      <c r="U2117" s="204"/>
    </row>
    <row r="2118" spans="1:21" x14ac:dyDescent="0.2">
      <c r="A2118" s="64" t="str">
        <f t="shared" si="33"/>
        <v>1w</v>
      </c>
      <c r="B2118" s="203">
        <f>_xll.qlCalendarAdvance(Calendar,B2117,A2118,"f",FALSE)</f>
        <v>53730</v>
      </c>
      <c r="C2118" s="237">
        <f>_xll.qlCalendarAdvance(Calendar,B2118,NDays&amp;"D")</f>
        <v>53734</v>
      </c>
      <c r="D2118" s="202">
        <v>2.3850547501834306E-2</v>
      </c>
      <c r="E2118" s="202">
        <v>2.3654032675048953E-2</v>
      </c>
      <c r="U2118" s="204"/>
    </row>
    <row r="2119" spans="1:21" x14ac:dyDescent="0.2">
      <c r="A2119" s="64" t="str">
        <f t="shared" ref="A2119:A2182" si="34">A2118</f>
        <v>1w</v>
      </c>
      <c r="B2119" s="203">
        <f>_xll.qlCalendarAdvance(Calendar,B2118,A2119,"f",FALSE)</f>
        <v>53737</v>
      </c>
      <c r="C2119" s="237">
        <f>_xll.qlCalendarAdvance(Calendar,B2119,NDays&amp;"D")</f>
        <v>53741</v>
      </c>
      <c r="D2119" s="202">
        <v>2.3854752630558661E-2</v>
      </c>
      <c r="E2119" s="202">
        <v>2.3658381603786083E-2</v>
      </c>
      <c r="U2119" s="204"/>
    </row>
    <row r="2120" spans="1:21" x14ac:dyDescent="0.2">
      <c r="A2120" s="64" t="str">
        <f t="shared" si="34"/>
        <v>1w</v>
      </c>
      <c r="B2120" s="203">
        <f>_xll.qlCalendarAdvance(Calendar,B2119,A2120,"f",FALSE)</f>
        <v>53744</v>
      </c>
      <c r="C2120" s="237">
        <f>_xll.qlCalendarAdvance(Calendar,B2120,NDays&amp;"D")</f>
        <v>53748</v>
      </c>
      <c r="D2120" s="202">
        <v>2.3858942611421588E-2</v>
      </c>
      <c r="E2120" s="202">
        <v>2.366271555546362E-2</v>
      </c>
      <c r="U2120" s="204"/>
    </row>
    <row r="2121" spans="1:21" x14ac:dyDescent="0.2">
      <c r="A2121" s="64" t="str">
        <f t="shared" si="34"/>
        <v>1w</v>
      </c>
      <c r="B2121" s="203">
        <f>_xll.qlCalendarAdvance(Calendar,B2120,A2121,"f",FALSE)</f>
        <v>53751</v>
      </c>
      <c r="C2121" s="237">
        <f>_xll.qlCalendarAdvance(Calendar,B2121,NDays&amp;"D")</f>
        <v>53755</v>
      </c>
      <c r="D2121" s="202">
        <v>2.3865278802750228E-2</v>
      </c>
      <c r="E2121" s="202">
        <v>2.3667034530241438E-2</v>
      </c>
      <c r="U2121" s="204"/>
    </row>
    <row r="2122" spans="1:21" x14ac:dyDescent="0.2">
      <c r="A2122" s="64" t="str">
        <f t="shared" si="34"/>
        <v>1w</v>
      </c>
      <c r="B2122" s="203">
        <f>_xll.qlCalendarAdvance(Calendar,B2121,A2122,"f",FALSE)</f>
        <v>53758</v>
      </c>
      <c r="C2122" s="237">
        <f>_xll.qlCalendarAdvance(Calendar,B2122,NDays&amp;"D")</f>
        <v>53762</v>
      </c>
      <c r="D2122" s="202">
        <v>2.3869436871544289E-2</v>
      </c>
      <c r="E2122" s="202">
        <v>2.3671338527879726E-2</v>
      </c>
      <c r="U2122" s="204"/>
    </row>
    <row r="2123" spans="1:21" x14ac:dyDescent="0.2">
      <c r="A2123" s="64" t="str">
        <f t="shared" si="34"/>
        <v>1w</v>
      </c>
      <c r="B2123" s="203">
        <f>_xll.qlCalendarAdvance(Calendar,B2122,A2123,"f",FALSE)</f>
        <v>53765</v>
      </c>
      <c r="C2123" s="237">
        <f>_xll.qlCalendarAdvance(Calendar,B2123,NDays&amp;"D")</f>
        <v>53769</v>
      </c>
      <c r="D2123" s="202">
        <v>2.3873579790276715E-2</v>
      </c>
      <c r="E2123" s="202">
        <v>2.367562754869823E-2</v>
      </c>
      <c r="U2123" s="204"/>
    </row>
    <row r="2124" spans="1:21" x14ac:dyDescent="0.2">
      <c r="A2124" s="64" t="str">
        <f t="shared" si="34"/>
        <v>1w</v>
      </c>
      <c r="B2124" s="203">
        <f>_xll.qlCalendarAdvance(Calendar,B2123,A2124,"f",FALSE)</f>
        <v>53772</v>
      </c>
      <c r="C2124" s="237">
        <f>_xll.qlCalendarAdvance(Calendar,B2124,NDays&amp;"D")</f>
        <v>53776</v>
      </c>
      <c r="D2124" s="202">
        <v>2.3877707558853222E-2</v>
      </c>
      <c r="E2124" s="202">
        <v>2.3679901592457142E-2</v>
      </c>
      <c r="U2124" s="204"/>
    </row>
    <row r="2125" spans="1:21" x14ac:dyDescent="0.2">
      <c r="A2125" s="64" t="str">
        <f t="shared" si="34"/>
        <v>1w</v>
      </c>
      <c r="B2125" s="203">
        <f>_xll.qlCalendarAdvance(Calendar,B2124,A2125,"f",FALSE)</f>
        <v>53779</v>
      </c>
      <c r="C2125" s="237">
        <f>_xll.qlCalendarAdvance(Calendar,B2125,NDays&amp;"D")</f>
        <v>53783</v>
      </c>
      <c r="D2125" s="202">
        <v>2.3880742750993191E-2</v>
      </c>
      <c r="E2125" s="202">
        <v>2.3684160659236397E-2</v>
      </c>
      <c r="U2125" s="204"/>
    </row>
    <row r="2126" spans="1:21" x14ac:dyDescent="0.2">
      <c r="A2126" s="64" t="str">
        <f t="shared" si="34"/>
        <v>1w</v>
      </c>
      <c r="B2126" s="203">
        <f>_xll.qlCalendarAdvance(Calendar,B2125,A2126,"f",FALSE)</f>
        <v>53786</v>
      </c>
      <c r="C2126" s="237">
        <f>_xll.qlCalendarAdvance(Calendar,B2126,NDays&amp;"D")</f>
        <v>53790</v>
      </c>
      <c r="D2126" s="202">
        <v>2.3884841030897486E-2</v>
      </c>
      <c r="E2126" s="202">
        <v>2.368840474895606E-2</v>
      </c>
      <c r="U2126" s="204"/>
    </row>
    <row r="2127" spans="1:21" x14ac:dyDescent="0.2">
      <c r="A2127" s="64" t="str">
        <f t="shared" si="34"/>
        <v>1w</v>
      </c>
      <c r="B2127" s="203">
        <f>_xll.qlCalendarAdvance(Calendar,B2126,A2127,"f",FALSE)</f>
        <v>53793</v>
      </c>
      <c r="C2127" s="237">
        <f>_xll.qlCalendarAdvance(Calendar,B2127,NDays&amp;"D")</f>
        <v>53799</v>
      </c>
      <c r="D2127" s="202">
        <v>2.3890087987443669E-2</v>
      </c>
      <c r="E2127" s="202">
        <v>2.3693839428862162E-2</v>
      </c>
      <c r="U2127" s="204"/>
    </row>
    <row r="2128" spans="1:21" x14ac:dyDescent="0.2">
      <c r="A2128" s="64" t="str">
        <f t="shared" si="34"/>
        <v>1w</v>
      </c>
      <c r="B2128" s="203">
        <f>_xll.qlCalendarAdvance(Calendar,B2127,A2128,"f",FALSE)</f>
        <v>53800</v>
      </c>
      <c r="C2128" s="237">
        <f>_xll.qlCalendarAdvance(Calendar,B2128,NDays&amp;"D")</f>
        <v>53804</v>
      </c>
      <c r="D2128" s="202">
        <v>2.3892992142172394E-2</v>
      </c>
      <c r="E2128" s="202">
        <v>2.3696847997616288E-2</v>
      </c>
      <c r="U2128" s="204"/>
    </row>
    <row r="2129" spans="1:21" x14ac:dyDescent="0.2">
      <c r="A2129" s="64" t="str">
        <f t="shared" si="34"/>
        <v>1w</v>
      </c>
      <c r="B2129" s="203">
        <f>_xll.qlCalendarAdvance(Calendar,B2128,A2129,"f",FALSE)</f>
        <v>53807</v>
      </c>
      <c r="C2129" s="237">
        <f>_xll.qlCalendarAdvance(Calendar,B2129,NDays&amp;"D")</f>
        <v>53811</v>
      </c>
      <c r="D2129" s="202">
        <v>2.3897044973357363E-2</v>
      </c>
      <c r="E2129" s="202">
        <v>2.3701047156317046E-2</v>
      </c>
      <c r="U2129" s="204"/>
    </row>
    <row r="2130" spans="1:21" x14ac:dyDescent="0.2">
      <c r="A2130" s="64" t="str">
        <f t="shared" si="34"/>
        <v>1w</v>
      </c>
      <c r="B2130" s="203">
        <f>_xll.qlCalendarAdvance(Calendar,B2129,A2130,"f",FALSE)</f>
        <v>53814</v>
      </c>
      <c r="C2130" s="237">
        <f>_xll.qlCalendarAdvance(Calendar,B2130,NDays&amp;"D")</f>
        <v>53818</v>
      </c>
      <c r="D2130" s="202">
        <v>2.3902156011744533E-2</v>
      </c>
      <c r="E2130" s="202">
        <v>2.3705231338198018E-2</v>
      </c>
      <c r="U2130" s="204"/>
    </row>
    <row r="2131" spans="1:21" x14ac:dyDescent="0.2">
      <c r="A2131" s="64" t="str">
        <f t="shared" si="34"/>
        <v>1w</v>
      </c>
      <c r="B2131" s="203">
        <f>_xll.qlCalendarAdvance(Calendar,B2130,A2131,"f",FALSE)</f>
        <v>53821</v>
      </c>
      <c r="C2131" s="237">
        <f>_xll.qlCalendarAdvance(Calendar,B2131,NDays&amp;"D")</f>
        <v>53825</v>
      </c>
      <c r="D2131" s="202">
        <v>2.3906177726592634E-2</v>
      </c>
      <c r="E2131" s="202">
        <v>2.3709400543019399E-2</v>
      </c>
      <c r="U2131" s="204"/>
    </row>
    <row r="2132" spans="1:21" x14ac:dyDescent="0.2">
      <c r="A2132" s="64" t="str">
        <f t="shared" si="34"/>
        <v>1w</v>
      </c>
      <c r="B2132" s="203">
        <f>_xll.qlCalendarAdvance(Calendar,B2131,A2132,"f",FALSE)</f>
        <v>53828</v>
      </c>
      <c r="C2132" s="237">
        <f>_xll.qlCalendarAdvance(Calendar,B2132,NDays&amp;"D")</f>
        <v>53832</v>
      </c>
      <c r="D2132" s="202">
        <v>2.3910184290535423E-2</v>
      </c>
      <c r="E2132" s="202">
        <v>2.3713554770861123E-2</v>
      </c>
      <c r="U2132" s="204"/>
    </row>
    <row r="2133" spans="1:21" x14ac:dyDescent="0.2">
      <c r="A2133" s="64" t="str">
        <f t="shared" si="34"/>
        <v>1w</v>
      </c>
      <c r="B2133" s="203">
        <f>_xll.qlCalendarAdvance(Calendar,B2132,A2133,"f",FALSE)</f>
        <v>53835</v>
      </c>
      <c r="C2133" s="237">
        <f>_xll.qlCalendarAdvance(Calendar,B2133,NDays&amp;"D")</f>
        <v>53839</v>
      </c>
      <c r="D2133" s="202">
        <v>2.3914175703480801E-2</v>
      </c>
      <c r="E2133" s="202">
        <v>2.3717694021643254E-2</v>
      </c>
      <c r="U2133" s="204"/>
    </row>
    <row r="2134" spans="1:21" x14ac:dyDescent="0.2">
      <c r="A2134" s="64" t="str">
        <f t="shared" si="34"/>
        <v>1w</v>
      </c>
      <c r="B2134" s="203">
        <f>_xll.qlCalendarAdvance(Calendar,B2133,A2134,"f",FALSE)</f>
        <v>53842</v>
      </c>
      <c r="C2134" s="237">
        <f>_xll.qlCalendarAdvance(Calendar,B2134,NDays&amp;"D")</f>
        <v>53846</v>
      </c>
      <c r="D2134" s="202">
        <v>2.3917081881068086E-2</v>
      </c>
      <c r="E2134" s="202">
        <v>2.3721818295605601E-2</v>
      </c>
      <c r="U2134" s="204"/>
    </row>
    <row r="2135" spans="1:21" x14ac:dyDescent="0.2">
      <c r="A2135" s="64" t="str">
        <f t="shared" si="34"/>
        <v>1w</v>
      </c>
      <c r="B2135" s="203">
        <f>_xll.qlCalendarAdvance(Calendar,B2134,A2135,"f",FALSE)</f>
        <v>53849</v>
      </c>
      <c r="C2135" s="237">
        <f>_xll.qlCalendarAdvance(Calendar,B2135,NDays&amp;"D")</f>
        <v>53853</v>
      </c>
      <c r="D2135" s="202">
        <v>2.3921043812326782E-2</v>
      </c>
      <c r="E2135" s="202">
        <v>2.3725927592508356E-2</v>
      </c>
      <c r="U2135" s="204"/>
    </row>
    <row r="2136" spans="1:21" x14ac:dyDescent="0.2">
      <c r="A2136" s="64" t="str">
        <f t="shared" si="34"/>
        <v>1w</v>
      </c>
      <c r="B2136" s="203">
        <f>_xll.qlCalendarAdvance(Calendar,B2135,A2136,"f",FALSE)</f>
        <v>53856</v>
      </c>
      <c r="C2136" s="237">
        <f>_xll.qlCalendarAdvance(Calendar,B2136,NDays&amp;"D")</f>
        <v>53860</v>
      </c>
      <c r="D2136" s="202">
        <v>2.3924990593278239E-2</v>
      </c>
      <c r="E2136" s="202">
        <v>2.3730021912351518E-2</v>
      </c>
      <c r="U2136" s="204"/>
    </row>
    <row r="2137" spans="1:21" x14ac:dyDescent="0.2">
      <c r="A2137" s="64" t="str">
        <f t="shared" si="34"/>
        <v>1w</v>
      </c>
      <c r="B2137" s="203">
        <f>_xll.qlCalendarAdvance(Calendar,B2136,A2137,"f",FALSE)</f>
        <v>53863</v>
      </c>
      <c r="C2137" s="237">
        <f>_xll.qlCalendarAdvance(Calendar,B2137,NDays&amp;"D")</f>
        <v>53867</v>
      </c>
      <c r="D2137" s="202">
        <v>2.3928922223834224E-2</v>
      </c>
      <c r="E2137" s="202">
        <v>2.3734101255215023E-2</v>
      </c>
      <c r="U2137" s="204"/>
    </row>
    <row r="2138" spans="1:21" x14ac:dyDescent="0.2">
      <c r="A2138" s="64" t="str">
        <f t="shared" si="34"/>
        <v>1w</v>
      </c>
      <c r="B2138" s="203">
        <f>_xll.qlCalendarAdvance(Calendar,B2137,A2138,"f",FALSE)</f>
        <v>53870</v>
      </c>
      <c r="C2138" s="237">
        <f>_xll.qlCalendarAdvance(Calendar,B2138,NDays&amp;"D")</f>
        <v>53874</v>
      </c>
      <c r="D2138" s="202">
        <v>2.3934972264347536E-2</v>
      </c>
      <c r="E2138" s="202">
        <v>2.3738165621098872E-2</v>
      </c>
      <c r="U2138" s="204"/>
    </row>
    <row r="2139" spans="1:21" x14ac:dyDescent="0.2">
      <c r="A2139" s="64" t="str">
        <f t="shared" si="34"/>
        <v>1w</v>
      </c>
      <c r="B2139" s="203">
        <f>_xll.qlCalendarAdvance(Calendar,B2138,A2139,"f",FALSE)</f>
        <v>53877</v>
      </c>
      <c r="C2139" s="237">
        <f>_xll.qlCalendarAdvance(Calendar,B2139,NDays&amp;"D")</f>
        <v>53881</v>
      </c>
      <c r="D2139" s="202">
        <v>2.3937806005118408E-2</v>
      </c>
      <c r="E2139" s="202">
        <v>2.3742215009923129E-2</v>
      </c>
      <c r="U2139" s="204"/>
    </row>
    <row r="2140" spans="1:21" x14ac:dyDescent="0.2">
      <c r="A2140" s="64" t="str">
        <f t="shared" si="34"/>
        <v>1w</v>
      </c>
      <c r="B2140" s="203">
        <f>_xll.qlCalendarAdvance(Calendar,B2139,A2140,"f",FALSE)</f>
        <v>53884</v>
      </c>
      <c r="C2140" s="237">
        <f>_xll.qlCalendarAdvance(Calendar,B2140,NDays&amp;"D")</f>
        <v>53888</v>
      </c>
      <c r="D2140" s="202">
        <v>2.3941691358540011E-2</v>
      </c>
      <c r="E2140" s="202">
        <v>2.3746249421847665E-2</v>
      </c>
      <c r="U2140" s="204"/>
    </row>
    <row r="2141" spans="1:21" x14ac:dyDescent="0.2">
      <c r="A2141" s="64" t="str">
        <f t="shared" si="34"/>
        <v>1w</v>
      </c>
      <c r="B2141" s="203">
        <f>_xll.qlCalendarAdvance(Calendar,B2140,A2141,"f",FALSE)</f>
        <v>53891</v>
      </c>
      <c r="C2141" s="237">
        <f>_xll.qlCalendarAdvance(Calendar,B2141,NDays&amp;"D")</f>
        <v>53895</v>
      </c>
      <c r="D2141" s="202">
        <v>2.3945561560242173E-2</v>
      </c>
      <c r="E2141" s="202">
        <v>2.3750268856712609E-2</v>
      </c>
      <c r="U2141" s="204"/>
    </row>
    <row r="2142" spans="1:21" x14ac:dyDescent="0.2">
      <c r="A2142" s="64" t="str">
        <f t="shared" si="34"/>
        <v>1w</v>
      </c>
      <c r="B2142" s="203">
        <f>_xll.qlCalendarAdvance(Calendar,B2141,A2142,"f",FALSE)</f>
        <v>53898</v>
      </c>
      <c r="C2142" s="237">
        <f>_xll.qlCalendarAdvance(Calendar,B2142,NDays&amp;"D")</f>
        <v>53902</v>
      </c>
      <c r="D2142" s="202">
        <v>2.3949416610135395E-2</v>
      </c>
      <c r="E2142" s="202">
        <v>2.3754273314677832E-2</v>
      </c>
      <c r="U2142" s="204"/>
    </row>
    <row r="2143" spans="1:21" x14ac:dyDescent="0.2">
      <c r="A2143" s="64" t="str">
        <f t="shared" si="34"/>
        <v>1w</v>
      </c>
      <c r="B2143" s="203">
        <f>_xll.qlCalendarAdvance(Calendar,B2142,A2143,"f",FALSE)</f>
        <v>53905</v>
      </c>
      <c r="C2143" s="237">
        <f>_xll.qlCalendarAdvance(Calendar,B2143,NDays&amp;"D")</f>
        <v>53909</v>
      </c>
      <c r="D2143" s="202">
        <v>2.395325650813062E-2</v>
      </c>
      <c r="E2143" s="202">
        <v>2.3758262795583462E-2</v>
      </c>
      <c r="U2143" s="204"/>
    </row>
    <row r="2144" spans="1:21" x14ac:dyDescent="0.2">
      <c r="A2144" s="64" t="str">
        <f t="shared" si="34"/>
        <v>1w</v>
      </c>
      <c r="B2144" s="203">
        <f>_xll.qlCalendarAdvance(Calendar,B2143,A2144,"f",FALSE)</f>
        <v>53912</v>
      </c>
      <c r="C2144" s="237">
        <f>_xll.qlCalendarAdvance(Calendar,B2144,NDays&amp;"D")</f>
        <v>53916</v>
      </c>
      <c r="D2144" s="202">
        <v>2.3957081254140093E-2</v>
      </c>
      <c r="E2144" s="202">
        <v>2.3762237299349565E-2</v>
      </c>
      <c r="U2144" s="204"/>
    </row>
    <row r="2145" spans="1:21" x14ac:dyDescent="0.2">
      <c r="A2145" s="64" t="str">
        <f t="shared" si="34"/>
        <v>1w</v>
      </c>
      <c r="B2145" s="203">
        <f>_xll.qlCalendarAdvance(Calendar,B2144,A2145,"f",FALSE)</f>
        <v>53919</v>
      </c>
      <c r="C2145" s="237">
        <f>_xll.qlCalendarAdvance(Calendar,B2145,NDays&amp;"D")</f>
        <v>53923</v>
      </c>
      <c r="D2145" s="202">
        <v>2.3960890848076923E-2</v>
      </c>
      <c r="E2145" s="202">
        <v>2.3766196826455754E-2</v>
      </c>
      <c r="U2145" s="204"/>
    </row>
    <row r="2146" spans="1:21" x14ac:dyDescent="0.2">
      <c r="A2146" s="64" t="str">
        <f t="shared" si="34"/>
        <v>1w</v>
      </c>
      <c r="B2146" s="203">
        <f>_xll.qlCalendarAdvance(Calendar,B2145,A2146,"f",FALSE)</f>
        <v>53926</v>
      </c>
      <c r="C2146" s="237">
        <f>_xll.qlCalendarAdvance(Calendar,B2146,NDays&amp;"D")</f>
        <v>53930</v>
      </c>
      <c r="D2146" s="202">
        <v>2.3964685289852055E-2</v>
      </c>
      <c r="E2146" s="202">
        <v>2.3770141376262544E-2</v>
      </c>
      <c r="U2146" s="204"/>
    </row>
    <row r="2147" spans="1:21" x14ac:dyDescent="0.2">
      <c r="A2147" s="64" t="str">
        <f t="shared" si="34"/>
        <v>1w</v>
      </c>
      <c r="B2147" s="203">
        <f>_xll.qlCalendarAdvance(Calendar,B2146,A2147,"f",FALSE)</f>
        <v>53933</v>
      </c>
      <c r="C2147" s="237">
        <f>_xll.qlCalendarAdvance(Calendar,B2147,NDays&amp;"D")</f>
        <v>53937</v>
      </c>
      <c r="D2147" s="202">
        <v>2.3966345863656351E-2</v>
      </c>
      <c r="E2147" s="202">
        <v>2.3774070949169612E-2</v>
      </c>
      <c r="U2147" s="204"/>
    </row>
    <row r="2148" spans="1:21" x14ac:dyDescent="0.2">
      <c r="A2148" s="64" t="str">
        <f t="shared" si="34"/>
        <v>1w</v>
      </c>
      <c r="B2148" s="203">
        <f>_xll.qlCalendarAdvance(Calendar,B2147,A2148,"f",FALSE)</f>
        <v>53940</v>
      </c>
      <c r="C2148" s="237">
        <f>_xll.qlCalendarAdvance(Calendar,B2148,NDays&amp;"D")</f>
        <v>53944</v>
      </c>
      <c r="D2148" s="202">
        <v>2.3970111667029659E-2</v>
      </c>
      <c r="E2148" s="202">
        <v>2.3777985545097025E-2</v>
      </c>
      <c r="U2148" s="204"/>
    </row>
    <row r="2149" spans="1:21" x14ac:dyDescent="0.2">
      <c r="A2149" s="64" t="str">
        <f t="shared" si="34"/>
        <v>1w</v>
      </c>
      <c r="B2149" s="203">
        <f>_xll.qlCalendarAdvance(Calendar,B2148,A2149,"f",FALSE)</f>
        <v>53947</v>
      </c>
      <c r="C2149" s="237">
        <f>_xll.qlCalendarAdvance(Calendar,B2149,NDays&amp;"D")</f>
        <v>53951</v>
      </c>
      <c r="D2149" s="202">
        <v>2.3973862319921664E-2</v>
      </c>
      <c r="E2149" s="202">
        <v>2.378188516404478E-2</v>
      </c>
      <c r="U2149" s="204"/>
    </row>
    <row r="2150" spans="1:21" x14ac:dyDescent="0.2">
      <c r="A2150" s="64" t="str">
        <f t="shared" si="34"/>
        <v>1w</v>
      </c>
      <c r="B2150" s="203">
        <f>_xll.qlCalendarAdvance(Calendar,B2149,A2150,"f",FALSE)</f>
        <v>53954</v>
      </c>
      <c r="C2150" s="237">
        <f>_xll.qlCalendarAdvance(Calendar,B2150,NDays&amp;"D")</f>
        <v>53958</v>
      </c>
      <c r="D2150" s="202">
        <v>2.3977597822248467E-2</v>
      </c>
      <c r="E2150" s="202">
        <v>2.3785769805932944E-2</v>
      </c>
      <c r="U2150" s="204"/>
    </row>
    <row r="2151" spans="1:21" x14ac:dyDescent="0.2">
      <c r="A2151" s="64" t="str">
        <f t="shared" si="34"/>
        <v>1w</v>
      </c>
      <c r="B2151" s="203">
        <f>_xll.qlCalendarAdvance(Calendar,B2150,A2151,"f",FALSE)</f>
        <v>53961</v>
      </c>
      <c r="C2151" s="237">
        <f>_xll.qlCalendarAdvance(Calendar,B2151,NDays&amp;"D")</f>
        <v>53965</v>
      </c>
      <c r="D2151" s="202">
        <v>2.3982374210321043E-2</v>
      </c>
      <c r="E2151" s="202">
        <v>2.3789639470761514E-2</v>
      </c>
      <c r="U2151" s="204"/>
    </row>
    <row r="2152" spans="1:21" x14ac:dyDescent="0.2">
      <c r="A2152" s="64" t="str">
        <f t="shared" si="34"/>
        <v>1w</v>
      </c>
      <c r="B2152" s="203">
        <f>_xll.qlCalendarAdvance(Calendar,B2151,A2152,"f",FALSE)</f>
        <v>53968</v>
      </c>
      <c r="C2152" s="237">
        <f>_xll.qlCalendarAdvance(Calendar,B2152,NDays&amp;"D")</f>
        <v>53972</v>
      </c>
      <c r="D2152" s="202">
        <v>2.3986078574348372E-2</v>
      </c>
      <c r="E2152" s="202">
        <v>2.3793494158770301E-2</v>
      </c>
      <c r="U2152" s="204"/>
    </row>
    <row r="2153" spans="1:21" x14ac:dyDescent="0.2">
      <c r="A2153" s="64" t="str">
        <f t="shared" si="34"/>
        <v>1w</v>
      </c>
      <c r="B2153" s="203">
        <f>_xll.qlCalendarAdvance(Calendar,B2152,A2153,"f",FALSE)</f>
        <v>53975</v>
      </c>
      <c r="C2153" s="237">
        <f>_xll.qlCalendarAdvance(Calendar,B2153,NDays&amp;"D")</f>
        <v>53979</v>
      </c>
      <c r="D2153" s="202">
        <v>2.3989767786583745E-2</v>
      </c>
      <c r="E2153" s="202">
        <v>2.3797333869639559E-2</v>
      </c>
      <c r="U2153" s="204"/>
    </row>
    <row r="2154" spans="1:21" x14ac:dyDescent="0.2">
      <c r="A2154" s="64" t="str">
        <f t="shared" si="34"/>
        <v>1w</v>
      </c>
      <c r="B2154" s="203">
        <f>_xll.qlCalendarAdvance(Calendar,B2153,A2154,"f",FALSE)</f>
        <v>53982</v>
      </c>
      <c r="C2154" s="237">
        <f>_xll.qlCalendarAdvance(Calendar,B2154,NDays&amp;"D")</f>
        <v>53986</v>
      </c>
      <c r="D2154" s="202">
        <v>2.3993441846942864E-2</v>
      </c>
      <c r="E2154" s="202">
        <v>2.380115860352916E-2</v>
      </c>
      <c r="U2154" s="204"/>
    </row>
    <row r="2155" spans="1:21" x14ac:dyDescent="0.2">
      <c r="A2155" s="64" t="str">
        <f t="shared" si="34"/>
        <v>1w</v>
      </c>
      <c r="B2155" s="203">
        <f>_xll.qlCalendarAdvance(Calendar,B2154,A2155,"f",FALSE)</f>
        <v>53989</v>
      </c>
      <c r="C2155" s="237">
        <f>_xll.qlCalendarAdvance(Calendar,B2155,NDays&amp;"D")</f>
        <v>53993</v>
      </c>
      <c r="D2155" s="202">
        <v>2.3997100755343607E-2</v>
      </c>
      <c r="E2155" s="202">
        <v>2.3804968360439105E-2</v>
      </c>
      <c r="U2155" s="204"/>
    </row>
    <row r="2156" spans="1:21" x14ac:dyDescent="0.2">
      <c r="A2156" s="64" t="str">
        <f t="shared" si="34"/>
        <v>1w</v>
      </c>
      <c r="B2156" s="203">
        <f>_xll.qlCalendarAdvance(Calendar,B2155,A2156,"f",FALSE)</f>
        <v>53996</v>
      </c>
      <c r="C2156" s="237">
        <f>_xll.qlCalendarAdvance(Calendar,B2156,NDays&amp;"D")</f>
        <v>54000</v>
      </c>
      <c r="D2156" s="202">
        <v>2.3999692669587007E-2</v>
      </c>
      <c r="E2156" s="202">
        <v>2.3808763140369393E-2</v>
      </c>
      <c r="U2156" s="204"/>
    </row>
    <row r="2157" spans="1:21" x14ac:dyDescent="0.2">
      <c r="A2157" s="64" t="str">
        <f t="shared" si="34"/>
        <v>1w</v>
      </c>
      <c r="B2157" s="203">
        <f>_xll.qlCalendarAdvance(Calendar,B2156,A2157,"f",FALSE)</f>
        <v>54003</v>
      </c>
      <c r="C2157" s="237">
        <f>_xll.qlCalendarAdvance(Calendar,B2157,NDays&amp;"D")</f>
        <v>54007</v>
      </c>
      <c r="D2157" s="202">
        <v>2.4003322115593601E-2</v>
      </c>
      <c r="E2157" s="202">
        <v>2.3812542943240089E-2</v>
      </c>
      <c r="U2157" s="204"/>
    </row>
    <row r="2158" spans="1:21" x14ac:dyDescent="0.2">
      <c r="A2158" s="64" t="str">
        <f t="shared" si="34"/>
        <v>1w</v>
      </c>
      <c r="B2158" s="203">
        <f>_xll.qlCalendarAdvance(Calendar,B2157,A2158,"f",FALSE)</f>
        <v>54010</v>
      </c>
      <c r="C2158" s="237">
        <f>_xll.qlCalendarAdvance(Calendar,B2158,NDays&amp;"D")</f>
        <v>54014</v>
      </c>
      <c r="D2158" s="202">
        <v>2.4006936410364763E-2</v>
      </c>
      <c r="E2158" s="202">
        <v>2.3816307769051193E-2</v>
      </c>
      <c r="U2158" s="204"/>
    </row>
    <row r="2159" spans="1:21" x14ac:dyDescent="0.2">
      <c r="A2159" s="64" t="str">
        <f t="shared" si="34"/>
        <v>1w</v>
      </c>
      <c r="B2159" s="203">
        <f>_xll.qlCalendarAdvance(Calendar,B2158,A2159,"f",FALSE)</f>
        <v>54017</v>
      </c>
      <c r="C2159" s="237">
        <f>_xll.qlCalendarAdvance(Calendar,B2159,NDays&amp;"D")</f>
        <v>54021</v>
      </c>
      <c r="D2159" s="202">
        <v>2.4010535553818803E-2</v>
      </c>
      <c r="E2159" s="202">
        <v>2.3820057618042512E-2</v>
      </c>
      <c r="U2159" s="204"/>
    </row>
    <row r="2160" spans="1:21" x14ac:dyDescent="0.2">
      <c r="A2160" s="64" t="str">
        <f t="shared" si="34"/>
        <v>1w</v>
      </c>
      <c r="B2160" s="203">
        <f>_xll.qlCalendarAdvance(Calendar,B2159,A2160,"f",FALSE)</f>
        <v>54024</v>
      </c>
      <c r="C2160" s="237">
        <f>_xll.qlCalendarAdvance(Calendar,B2160,NDays&amp;"D")</f>
        <v>54028</v>
      </c>
      <c r="D2160" s="202">
        <v>2.4015168015036312E-2</v>
      </c>
      <c r="E2160" s="202">
        <v>2.3823792489894302E-2</v>
      </c>
      <c r="U2160" s="204"/>
    </row>
    <row r="2161" spans="1:21" x14ac:dyDescent="0.2">
      <c r="A2161" s="64" t="str">
        <f t="shared" si="34"/>
        <v>1w</v>
      </c>
      <c r="B2161" s="203">
        <f>_xll.qlCalendarAdvance(Calendar,B2160,A2161,"f",FALSE)</f>
        <v>54031</v>
      </c>
      <c r="C2161" s="237">
        <f>_xll.qlCalendarAdvance(Calendar,B2161,NDays&amp;"D")</f>
        <v>54035</v>
      </c>
      <c r="D2161" s="202">
        <v>2.4018736009935628E-2</v>
      </c>
      <c r="E2161" s="202">
        <v>2.3827512384766436E-2</v>
      </c>
      <c r="U2161" s="204"/>
    </row>
    <row r="2162" spans="1:21" x14ac:dyDescent="0.2">
      <c r="A2162" s="64" t="str">
        <f t="shared" si="34"/>
        <v>1w</v>
      </c>
      <c r="B2162" s="203">
        <f>_xll.qlCalendarAdvance(Calendar,B2161,A2162,"f",FALSE)</f>
        <v>54038</v>
      </c>
      <c r="C2162" s="237">
        <f>_xll.qlCalendarAdvance(Calendar,B2162,NDays&amp;"D")</f>
        <v>54042</v>
      </c>
      <c r="D2162" s="202">
        <v>2.4022288852297794E-2</v>
      </c>
      <c r="E2162" s="202">
        <v>2.3831217302578978E-2</v>
      </c>
      <c r="U2162" s="204"/>
    </row>
    <row r="2163" spans="1:21" x14ac:dyDescent="0.2">
      <c r="A2163" s="64" t="str">
        <f t="shared" si="34"/>
        <v>1w</v>
      </c>
      <c r="B2163" s="203">
        <f>_xll.qlCalendarAdvance(Calendar,B2162,A2163,"f",FALSE)</f>
        <v>54045</v>
      </c>
      <c r="C2163" s="237">
        <f>_xll.qlCalendarAdvance(Calendar,B2163,NDays&amp;"D")</f>
        <v>54049</v>
      </c>
      <c r="D2163" s="202">
        <v>2.4025826542042002E-2</v>
      </c>
      <c r="E2163" s="202">
        <v>2.3834907243571735E-2</v>
      </c>
      <c r="U2163" s="204"/>
    </row>
    <row r="2164" spans="1:21" x14ac:dyDescent="0.2">
      <c r="A2164" s="64" t="str">
        <f t="shared" si="34"/>
        <v>1w</v>
      </c>
      <c r="B2164" s="203">
        <f>_xll.qlCalendarAdvance(Calendar,B2163,A2164,"f",FALSE)</f>
        <v>54053</v>
      </c>
      <c r="C2164" s="237">
        <f>_xll.qlCalendarAdvance(Calendar,B2164,NDays&amp;"D")</f>
        <v>54057</v>
      </c>
      <c r="D2164" s="202">
        <v>2.4028806102406697E-2</v>
      </c>
      <c r="E2164" s="202">
        <v>2.3840157039889398E-2</v>
      </c>
      <c r="U2164" s="204"/>
    </row>
    <row r="2165" spans="1:21" x14ac:dyDescent="0.2">
      <c r="A2165" s="64" t="str">
        <f t="shared" si="34"/>
        <v>1w</v>
      </c>
      <c r="B2165" s="203">
        <f>_xll.qlCalendarAdvance(Calendar,B2164,A2165,"f",FALSE)</f>
        <v>54060</v>
      </c>
      <c r="C2165" s="237">
        <f>_xll.qlCalendarAdvance(Calendar,B2165,NDays&amp;"D")</f>
        <v>54064</v>
      </c>
      <c r="D2165" s="202">
        <v>2.4032312171703124E-2</v>
      </c>
      <c r="E2165" s="202">
        <v>2.3842763826955604E-2</v>
      </c>
      <c r="U2165" s="204"/>
    </row>
    <row r="2166" spans="1:21" x14ac:dyDescent="0.2">
      <c r="A2166" s="64" t="str">
        <f t="shared" si="34"/>
        <v>1w</v>
      </c>
      <c r="B2166" s="203">
        <f>_xll.qlCalendarAdvance(Calendar,B2165,A2166,"f",FALSE)</f>
        <v>54067</v>
      </c>
      <c r="C2166" s="237">
        <f>_xll.qlCalendarAdvance(Calendar,B2166,NDays&amp;"D")</f>
        <v>54071</v>
      </c>
      <c r="D2166" s="202">
        <v>2.4035803089105308E-2</v>
      </c>
      <c r="E2166" s="202">
        <v>2.3846406697201061E-2</v>
      </c>
      <c r="U2166" s="204"/>
    </row>
    <row r="2167" spans="1:21" x14ac:dyDescent="0.2">
      <c r="A2167" s="64" t="str">
        <f t="shared" si="34"/>
        <v>1w</v>
      </c>
      <c r="B2167" s="203">
        <f>_xll.qlCalendarAdvance(Calendar,B2166,A2167,"f",FALSE)</f>
        <v>54074</v>
      </c>
      <c r="C2167" s="237">
        <f>_xll.qlCalendarAdvance(Calendar,B2167,NDays&amp;"D")</f>
        <v>54078</v>
      </c>
      <c r="D2167" s="202">
        <v>2.4039278854534187E-2</v>
      </c>
      <c r="E2167" s="202">
        <v>2.385003459030699E-2</v>
      </c>
      <c r="U2167" s="204"/>
    </row>
    <row r="2168" spans="1:21" x14ac:dyDescent="0.2">
      <c r="A2168" s="64" t="str">
        <f t="shared" si="34"/>
        <v>1w</v>
      </c>
      <c r="B2168" s="203">
        <f>_xll.qlCalendarAdvance(Calendar,B2167,A2168,"f",FALSE)</f>
        <v>54081</v>
      </c>
      <c r="C2168" s="237">
        <f>_xll.qlCalendarAdvance(Calendar,B2168,NDays&amp;"D")</f>
        <v>54085</v>
      </c>
      <c r="D2168" s="202">
        <v>2.4042739467912026E-2</v>
      </c>
      <c r="E2168" s="202">
        <v>2.385364750667307E-2</v>
      </c>
      <c r="U2168" s="204"/>
    </row>
    <row r="2169" spans="1:21" x14ac:dyDescent="0.2">
      <c r="A2169" s="64" t="str">
        <f t="shared" si="34"/>
        <v>1w</v>
      </c>
      <c r="B2169" s="203">
        <f>_xll.qlCalendarAdvance(Calendar,B2168,A2169,"f",FALSE)</f>
        <v>54088</v>
      </c>
      <c r="C2169" s="237">
        <f>_xll.qlCalendarAdvance(Calendar,B2169,NDays&amp;"D")</f>
        <v>54092</v>
      </c>
      <c r="D2169" s="202">
        <v>2.4046184929158883E-2</v>
      </c>
      <c r="E2169" s="202">
        <v>2.3857245445899622E-2</v>
      </c>
      <c r="U2169" s="204"/>
    </row>
    <row r="2170" spans="1:21" x14ac:dyDescent="0.2">
      <c r="A2170" s="64" t="str">
        <f t="shared" si="34"/>
        <v>1w</v>
      </c>
      <c r="B2170" s="203">
        <f>_xll.qlCalendarAdvance(Calendar,B2169,A2170,"f",FALSE)</f>
        <v>54095</v>
      </c>
      <c r="C2170" s="237">
        <f>_xll.qlCalendarAdvance(Calendar,B2170,NDays&amp;"D")</f>
        <v>54099</v>
      </c>
      <c r="D2170" s="202">
        <v>2.4049615238197024E-2</v>
      </c>
      <c r="E2170" s="202">
        <v>2.3860828408066581E-2</v>
      </c>
      <c r="U2170" s="204"/>
    </row>
    <row r="2171" spans="1:21" x14ac:dyDescent="0.2">
      <c r="A2171" s="64" t="str">
        <f t="shared" si="34"/>
        <v>1w</v>
      </c>
      <c r="B2171" s="203">
        <f>_xll.qlCalendarAdvance(Calendar,B2170,A2171,"f",FALSE)</f>
        <v>54102</v>
      </c>
      <c r="C2171" s="237">
        <f>_xll.qlCalendarAdvance(Calendar,B2171,NDays&amp;"D")</f>
        <v>54106</v>
      </c>
      <c r="D2171" s="202">
        <v>2.4053030394949146E-2</v>
      </c>
      <c r="E2171" s="202">
        <v>2.386439639333382E-2</v>
      </c>
      <c r="U2171" s="204"/>
    </row>
    <row r="2172" spans="1:21" x14ac:dyDescent="0.2">
      <c r="A2172" s="64" t="str">
        <f t="shared" si="34"/>
        <v>1w</v>
      </c>
      <c r="B2172" s="203">
        <f>_xll.qlCalendarAdvance(Calendar,B2171,A2172,"f",FALSE)</f>
        <v>54109</v>
      </c>
      <c r="C2172" s="237">
        <f>_xll.qlCalendarAdvance(Calendar,B2172,NDays&amp;"D")</f>
        <v>54113</v>
      </c>
      <c r="D2172" s="202">
        <v>2.4056430399336626E-2</v>
      </c>
      <c r="E2172" s="202">
        <v>2.3867949401541466E-2</v>
      </c>
      <c r="U2172" s="204"/>
    </row>
    <row r="2173" spans="1:21" x14ac:dyDescent="0.2">
      <c r="A2173" s="64" t="str">
        <f t="shared" si="34"/>
        <v>1w</v>
      </c>
      <c r="B2173" s="203">
        <f>_xll.qlCalendarAdvance(Calendar,B2172,A2173,"f",FALSE)</f>
        <v>54116</v>
      </c>
      <c r="C2173" s="237">
        <f>_xll.qlCalendarAdvance(Calendar,B2173,NDays&amp;"D")</f>
        <v>54120</v>
      </c>
      <c r="D2173" s="202">
        <v>2.4061889768288474E-2</v>
      </c>
      <c r="E2173" s="202">
        <v>2.3871487432769456E-2</v>
      </c>
      <c r="U2173" s="204"/>
    </row>
    <row r="2174" spans="1:21" x14ac:dyDescent="0.2">
      <c r="A2174" s="64" t="str">
        <f t="shared" si="34"/>
        <v>1w</v>
      </c>
      <c r="B2174" s="203">
        <f>_xll.qlCalendarAdvance(Calendar,B2173,A2174,"f",FALSE)</f>
        <v>54123</v>
      </c>
      <c r="C2174" s="237">
        <f>_xll.qlCalendarAdvance(Calendar,B2174,NDays&amp;"D")</f>
        <v>54127</v>
      </c>
      <c r="D2174" s="202">
        <v>2.4065257750526793E-2</v>
      </c>
      <c r="E2174" s="202">
        <v>2.3875010486937853E-2</v>
      </c>
      <c r="U2174" s="204"/>
    </row>
    <row r="2175" spans="1:21" x14ac:dyDescent="0.2">
      <c r="A2175" s="64" t="str">
        <f t="shared" si="34"/>
        <v>1w</v>
      </c>
      <c r="B2175" s="203">
        <f>_xll.qlCalendarAdvance(Calendar,B2174,A2175,"f",FALSE)</f>
        <v>54130</v>
      </c>
      <c r="C2175" s="237">
        <f>_xll.qlCalendarAdvance(Calendar,B2175,NDays&amp;"D")</f>
        <v>54134</v>
      </c>
      <c r="D2175" s="202">
        <v>2.40686105782075E-2</v>
      </c>
      <c r="E2175" s="202">
        <v>2.3878518564126594E-2</v>
      </c>
      <c r="U2175" s="204"/>
    </row>
    <row r="2176" spans="1:21" x14ac:dyDescent="0.2">
      <c r="A2176" s="64" t="str">
        <f t="shared" si="34"/>
        <v>1w</v>
      </c>
      <c r="B2176" s="203">
        <f>_xll.qlCalendarAdvance(Calendar,B2175,A2176,"f",FALSE)</f>
        <v>54137</v>
      </c>
      <c r="C2176" s="237">
        <f>_xll.qlCalendarAdvance(Calendar,B2176,NDays&amp;"D")</f>
        <v>54141</v>
      </c>
      <c r="D2176" s="202">
        <v>2.4071948251254575E-2</v>
      </c>
      <c r="E2176" s="202">
        <v>2.3882011664335678E-2</v>
      </c>
      <c r="U2176" s="204"/>
    </row>
    <row r="2177" spans="1:21" x14ac:dyDescent="0.2">
      <c r="A2177" s="64" t="str">
        <f t="shared" si="34"/>
        <v>1w</v>
      </c>
      <c r="B2177" s="203">
        <f>_xll.qlCalendarAdvance(Calendar,B2176,A2177,"f",FALSE)</f>
        <v>54144</v>
      </c>
      <c r="C2177" s="237">
        <f>_xll.qlCalendarAdvance(Calendar,B2177,NDays&amp;"D")</f>
        <v>54148</v>
      </c>
      <c r="D2177" s="202">
        <v>2.4074236969696777E-2</v>
      </c>
      <c r="E2177" s="202">
        <v>2.3885489787405234E-2</v>
      </c>
      <c r="U2177" s="204"/>
    </row>
    <row r="2178" spans="1:21" x14ac:dyDescent="0.2">
      <c r="A2178" s="64" t="str">
        <f t="shared" si="34"/>
        <v>1w</v>
      </c>
      <c r="B2178" s="203">
        <f>_xll.qlCalendarAdvance(Calendar,B2177,A2178,"f",FALSE)</f>
        <v>54155</v>
      </c>
      <c r="C2178" s="237">
        <f>_xll.qlCalendarAdvance(Calendar,B2178,NDays&amp;"D")</f>
        <v>54157</v>
      </c>
      <c r="D2178" s="202">
        <v>2.4078487619935123E-2</v>
      </c>
      <c r="E2178" s="202">
        <v>2.3889939653081171E-2</v>
      </c>
      <c r="U2178" s="204"/>
    </row>
    <row r="2179" spans="1:21" x14ac:dyDescent="0.2">
      <c r="A2179" s="64" t="str">
        <f t="shared" si="34"/>
        <v>1w</v>
      </c>
      <c r="B2179" s="203">
        <f>_xll.qlCalendarAdvance(Calendar,B2178,A2179,"f",FALSE)</f>
        <v>54162</v>
      </c>
      <c r="C2179" s="237">
        <f>_xll.qlCalendarAdvance(Calendar,B2179,NDays&amp;"D")</f>
        <v>54164</v>
      </c>
      <c r="D2179" s="202">
        <v>2.4081776362494717E-2</v>
      </c>
      <c r="E2179" s="202">
        <v>2.389338354305437E-2</v>
      </c>
      <c r="U2179" s="204"/>
    </row>
    <row r="2180" spans="1:21" x14ac:dyDescent="0.2">
      <c r="A2180" s="64" t="str">
        <f t="shared" si="34"/>
        <v>1w</v>
      </c>
      <c r="B2180" s="203">
        <f>_xll.qlCalendarAdvance(Calendar,B2179,A2180,"f",FALSE)</f>
        <v>54169</v>
      </c>
      <c r="C2180" s="237">
        <f>_xll.qlCalendarAdvance(Calendar,B2180,NDays&amp;"D")</f>
        <v>54171</v>
      </c>
      <c r="D2180" s="202">
        <v>2.408504995107744E-2</v>
      </c>
      <c r="E2180" s="202">
        <v>2.3896812455967975E-2</v>
      </c>
      <c r="U2180" s="204"/>
    </row>
    <row r="2181" spans="1:21" x14ac:dyDescent="0.2">
      <c r="A2181" s="64" t="str">
        <f t="shared" si="34"/>
        <v>1w</v>
      </c>
      <c r="B2181" s="203">
        <f>_xll.qlCalendarAdvance(Calendar,B2180,A2181,"f",FALSE)</f>
        <v>54176</v>
      </c>
      <c r="C2181" s="237">
        <f>_xll.qlCalendarAdvance(Calendar,B2181,NDays&amp;"D")</f>
        <v>54178</v>
      </c>
      <c r="D2181" s="202">
        <v>2.4088308385609034E-2</v>
      </c>
      <c r="E2181" s="202">
        <v>2.3903336147435006E-2</v>
      </c>
      <c r="U2181" s="204"/>
    </row>
    <row r="2182" spans="1:21" x14ac:dyDescent="0.2">
      <c r="A2182" s="64" t="str">
        <f t="shared" si="34"/>
        <v>1w</v>
      </c>
      <c r="B2182" s="203">
        <f>_xll.qlCalendarAdvance(Calendar,B2181,A2182,"f",FALSE)</f>
        <v>54183</v>
      </c>
      <c r="C2182" s="237">
        <f>_xll.qlCalendarAdvance(Calendar,B2182,NDays&amp;"D")</f>
        <v>54185</v>
      </c>
      <c r="D2182" s="202">
        <v>2.4094639242052504E-2</v>
      </c>
      <c r="E2182" s="202">
        <v>2.3903625350856217E-2</v>
      </c>
      <c r="U2182" s="204"/>
    </row>
    <row r="2183" spans="1:21" x14ac:dyDescent="0.2">
      <c r="A2183" s="64" t="str">
        <f t="shared" ref="A2183:A2246" si="35">A2182</f>
        <v>1w</v>
      </c>
      <c r="B2183" s="203">
        <f>_xll.qlCalendarAdvance(Calendar,B2182,A2183,"f",FALSE)</f>
        <v>54190</v>
      </c>
      <c r="C2183" s="237">
        <f>_xll.qlCalendarAdvance(Calendar,B2183,NDays&amp;"D")</f>
        <v>54192</v>
      </c>
      <c r="D2183" s="202">
        <v>2.4097864764525277E-2</v>
      </c>
      <c r="E2183" s="202">
        <v>2.3907009332830853E-2</v>
      </c>
      <c r="U2183" s="204"/>
    </row>
    <row r="2184" spans="1:21" x14ac:dyDescent="0.2">
      <c r="A2184" s="64" t="str">
        <f t="shared" si="35"/>
        <v>1w</v>
      </c>
      <c r="B2184" s="203">
        <f>_xll.qlCalendarAdvance(Calendar,B2183,A2184,"f",FALSE)</f>
        <v>54197</v>
      </c>
      <c r="C2184" s="237">
        <f>_xll.qlCalendarAdvance(Calendar,B2184,NDays&amp;"D")</f>
        <v>54199</v>
      </c>
      <c r="D2184" s="202">
        <v>2.4101075129769028E-2</v>
      </c>
      <c r="E2184" s="202">
        <v>2.3910378337665961E-2</v>
      </c>
      <c r="U2184" s="204"/>
    </row>
    <row r="2185" spans="1:21" x14ac:dyDescent="0.2">
      <c r="A2185" s="64" t="str">
        <f t="shared" si="35"/>
        <v>1w</v>
      </c>
      <c r="B2185" s="203">
        <f>_xll.qlCalendarAdvance(Calendar,B2184,A2185,"f",FALSE)</f>
        <v>54204</v>
      </c>
      <c r="C2185" s="237">
        <f>_xll.qlCalendarAdvance(Calendar,B2185,NDays&amp;"D")</f>
        <v>54206</v>
      </c>
      <c r="D2185" s="202">
        <v>2.410427033770984E-2</v>
      </c>
      <c r="E2185" s="202">
        <v>2.3913732365601348E-2</v>
      </c>
      <c r="U2185" s="204"/>
    </row>
    <row r="2186" spans="1:21" x14ac:dyDescent="0.2">
      <c r="A2186" s="64" t="str">
        <f t="shared" si="35"/>
        <v>1w</v>
      </c>
      <c r="B2186" s="203">
        <f>_xll.qlCalendarAdvance(Calendar,B2185,A2186,"f",FALSE)</f>
        <v>54211</v>
      </c>
      <c r="C2186" s="237">
        <f>_xll.qlCalendarAdvance(Calendar,B2186,NDays&amp;"D")</f>
        <v>54213</v>
      </c>
      <c r="D2186" s="202">
        <v>2.4104373244900182E-2</v>
      </c>
      <c r="E2186" s="202">
        <v>2.3917071416477143E-2</v>
      </c>
      <c r="U2186" s="204"/>
    </row>
    <row r="2187" spans="1:21" x14ac:dyDescent="0.2">
      <c r="A2187" s="64" t="str">
        <f t="shared" si="35"/>
        <v>1w</v>
      </c>
      <c r="B2187" s="203">
        <f>_xll.qlCalendarAdvance(Calendar,B2186,A2187,"f",FALSE)</f>
        <v>54218</v>
      </c>
      <c r="C2187" s="237">
        <f>_xll.qlCalendarAdvance(Calendar,B2187,NDays&amp;"D")</f>
        <v>54220</v>
      </c>
      <c r="D2187" s="202">
        <v>2.4107540753571272E-2</v>
      </c>
      <c r="E2187" s="202">
        <v>2.3920395490373281E-2</v>
      </c>
      <c r="U2187" s="204"/>
    </row>
    <row r="2188" spans="1:21" x14ac:dyDescent="0.2">
      <c r="A2188" s="64" t="str">
        <f t="shared" si="35"/>
        <v>1w</v>
      </c>
      <c r="B2188" s="203">
        <f>_xll.qlCalendarAdvance(Calendar,B2187,A2188,"f",FALSE)</f>
        <v>54225</v>
      </c>
      <c r="C2188" s="237">
        <f>_xll.qlCalendarAdvance(Calendar,B2188,NDays&amp;"D")</f>
        <v>54227</v>
      </c>
      <c r="D2188" s="202">
        <v>2.4110693107677984E-2</v>
      </c>
      <c r="E2188" s="202">
        <v>2.392370458712989E-2</v>
      </c>
      <c r="U2188" s="204"/>
    </row>
    <row r="2189" spans="1:21" x14ac:dyDescent="0.2">
      <c r="A2189" s="64" t="str">
        <f t="shared" si="35"/>
        <v>1w</v>
      </c>
      <c r="B2189" s="203">
        <f>_xll.qlCalendarAdvance(Calendar,B2188,A2189,"f",FALSE)</f>
        <v>54232</v>
      </c>
      <c r="C2189" s="237">
        <f>_xll.qlCalendarAdvance(Calendar,B2189,NDays&amp;"D")</f>
        <v>54234</v>
      </c>
      <c r="D2189" s="202">
        <v>2.4116899594960148E-2</v>
      </c>
      <c r="E2189" s="202">
        <v>2.392699870698678E-2</v>
      </c>
      <c r="U2189" s="204"/>
    </row>
    <row r="2190" spans="1:21" x14ac:dyDescent="0.2">
      <c r="A2190" s="64" t="str">
        <f t="shared" si="35"/>
        <v>1w</v>
      </c>
      <c r="B2190" s="203">
        <f>_xll.qlCalendarAdvance(Calendar,B2189,A2190,"f",FALSE)</f>
        <v>54239</v>
      </c>
      <c r="C2190" s="237">
        <f>_xll.qlCalendarAdvance(Calendar,B2190,NDays&amp;"D")</f>
        <v>54241</v>
      </c>
      <c r="D2190" s="202">
        <v>2.41200190152779E-2</v>
      </c>
      <c r="E2190" s="202">
        <v>2.393027784970414E-2</v>
      </c>
      <c r="U2190" s="204"/>
    </row>
    <row r="2191" spans="1:21" x14ac:dyDescent="0.2">
      <c r="A2191" s="64" t="str">
        <f t="shared" si="35"/>
        <v>1w</v>
      </c>
      <c r="B2191" s="203">
        <f>_xll.qlCalendarAdvance(Calendar,B2190,A2191,"f",FALSE)</f>
        <v>54246</v>
      </c>
      <c r="C2191" s="237">
        <f>_xll.qlCalendarAdvance(Calendar,B2191,NDays&amp;"D")</f>
        <v>54248</v>
      </c>
      <c r="D2191" s="202">
        <v>2.4123123277852637E-2</v>
      </c>
      <c r="E2191" s="202">
        <v>2.3933542015441844E-2</v>
      </c>
      <c r="U2191" s="204"/>
    </row>
    <row r="2192" spans="1:21" x14ac:dyDescent="0.2">
      <c r="A2192" s="64" t="str">
        <f t="shared" si="35"/>
        <v>1w</v>
      </c>
      <c r="B2192" s="203">
        <f>_xll.qlCalendarAdvance(Calendar,B2191,A2192,"f",FALSE)</f>
        <v>54253</v>
      </c>
      <c r="C2192" s="237">
        <f>_xll.qlCalendarAdvance(Calendar,B2192,NDays&amp;"D")</f>
        <v>54255</v>
      </c>
      <c r="D2192" s="202">
        <v>2.4126212382612582E-2</v>
      </c>
      <c r="E2192" s="202">
        <v>2.3936791204279828E-2</v>
      </c>
      <c r="U2192" s="204"/>
    </row>
    <row r="2193" spans="1:21" x14ac:dyDescent="0.2">
      <c r="A2193" s="64" t="str">
        <f t="shared" si="35"/>
        <v>1w</v>
      </c>
      <c r="B2193" s="203">
        <f>_xll.qlCalendarAdvance(Calendar,B2192,A2193,"f",FALSE)</f>
        <v>54260</v>
      </c>
      <c r="C2193" s="237">
        <f>_xll.qlCalendarAdvance(Calendar,B2193,NDays&amp;"D")</f>
        <v>54262</v>
      </c>
      <c r="D2193" s="202">
        <v>2.412928632948597E-2</v>
      </c>
      <c r="E2193" s="202">
        <v>2.3940025416058219E-2</v>
      </c>
      <c r="U2193" s="204"/>
    </row>
    <row r="2194" spans="1:21" x14ac:dyDescent="0.2">
      <c r="A2194" s="64" t="str">
        <f t="shared" si="35"/>
        <v>1w</v>
      </c>
      <c r="B2194" s="203">
        <f>_xll.qlCalendarAdvance(Calendar,B2193,A2194,"f",FALSE)</f>
        <v>54267</v>
      </c>
      <c r="C2194" s="237">
        <f>_xll.qlCalendarAdvance(Calendar,B2194,NDays&amp;"D")</f>
        <v>54269</v>
      </c>
      <c r="D2194" s="202">
        <v>2.4129288982439785E-2</v>
      </c>
      <c r="E2194" s="202">
        <v>2.3943244650777018E-2</v>
      </c>
      <c r="U2194" s="204"/>
    </row>
    <row r="2195" spans="1:21" x14ac:dyDescent="0.2">
      <c r="A2195" s="64" t="str">
        <f t="shared" si="35"/>
        <v>1w</v>
      </c>
      <c r="B2195" s="203">
        <f>_xll.qlCalendarAdvance(Calendar,B2194,A2195,"f",FALSE)</f>
        <v>54274</v>
      </c>
      <c r="C2195" s="237">
        <f>_xll.qlCalendarAdvance(Calendar,B2195,NDays&amp;"D")</f>
        <v>54276</v>
      </c>
      <c r="D2195" s="202">
        <v>2.4135388749285558E-2</v>
      </c>
      <c r="E2195" s="202">
        <v>2.3946448908436224E-2</v>
      </c>
      <c r="U2195" s="204"/>
    </row>
    <row r="2196" spans="1:21" x14ac:dyDescent="0.2">
      <c r="A2196" s="64" t="str">
        <f t="shared" si="35"/>
        <v>1w</v>
      </c>
      <c r="B2196" s="203">
        <f>_xll.qlCalendarAdvance(Calendar,B2195,A2196,"f",FALSE)</f>
        <v>54281</v>
      </c>
      <c r="C2196" s="237">
        <f>_xll.qlCalendarAdvance(Calendar,B2196,NDays&amp;"D")</f>
        <v>54283</v>
      </c>
      <c r="D2196" s="202">
        <v>2.4138417222071655E-2</v>
      </c>
      <c r="E2196" s="202">
        <v>2.3949638189115774E-2</v>
      </c>
      <c r="U2196" s="204"/>
    </row>
    <row r="2197" spans="1:21" x14ac:dyDescent="0.2">
      <c r="A2197" s="64" t="str">
        <f t="shared" si="35"/>
        <v>1w</v>
      </c>
      <c r="B2197" s="203">
        <f>_xll.qlCalendarAdvance(Calendar,B2196,A2197,"f",FALSE)</f>
        <v>54288</v>
      </c>
      <c r="C2197" s="237">
        <f>_xll.qlCalendarAdvance(Calendar,B2197,NDays&amp;"D")</f>
        <v>54290</v>
      </c>
      <c r="D2197" s="202">
        <v>2.414143053668712E-2</v>
      </c>
      <c r="E2197" s="202">
        <v>2.3952812492735731E-2</v>
      </c>
      <c r="U2197" s="204"/>
    </row>
    <row r="2198" spans="1:21" x14ac:dyDescent="0.2">
      <c r="A2198" s="64" t="str">
        <f t="shared" si="35"/>
        <v>1w</v>
      </c>
      <c r="B2198" s="203">
        <f>_xll.qlCalendarAdvance(Calendar,B2197,A2198,"f",FALSE)</f>
        <v>54295</v>
      </c>
      <c r="C2198" s="237">
        <f>_xll.qlCalendarAdvance(Calendar,B2198,NDays&amp;"D")</f>
        <v>54297</v>
      </c>
      <c r="D2198" s="202">
        <v>2.414138313199047E-2</v>
      </c>
      <c r="E2198" s="202">
        <v>2.3955971819455968E-2</v>
      </c>
      <c r="U2198" s="204"/>
    </row>
    <row r="2199" spans="1:21" x14ac:dyDescent="0.2">
      <c r="A2199" s="64" t="str">
        <f t="shared" si="35"/>
        <v>1w</v>
      </c>
      <c r="B2199" s="203">
        <f>_xll.qlCalendarAdvance(Calendar,B2198,A2199,"f",FALSE)</f>
        <v>54302</v>
      </c>
      <c r="C2199" s="237">
        <f>_xll.qlCalendarAdvance(Calendar,B2199,NDays&amp;"D")</f>
        <v>54304</v>
      </c>
      <c r="D2199" s="202">
        <v>2.4142339977036444E-2</v>
      </c>
      <c r="E2199" s="202">
        <v>2.3959116169036676E-2</v>
      </c>
      <c r="U2199" s="204"/>
    </row>
    <row r="2200" spans="1:21" x14ac:dyDescent="0.2">
      <c r="A2200" s="64" t="str">
        <f t="shared" si="35"/>
        <v>1w</v>
      </c>
      <c r="B2200" s="203">
        <f>_xll.qlCalendarAdvance(Calendar,B2199,A2200,"f",FALSE)</f>
        <v>54309</v>
      </c>
      <c r="C2200" s="237">
        <f>_xll.qlCalendarAdvance(Calendar,B2200,NDays&amp;"D")</f>
        <v>54311</v>
      </c>
      <c r="D2200" s="202">
        <v>2.4145312239617914E-2</v>
      </c>
      <c r="E2200" s="202">
        <v>2.3962245541637728E-2</v>
      </c>
      <c r="U2200" s="204"/>
    </row>
    <row r="2201" spans="1:21" x14ac:dyDescent="0.2">
      <c r="A2201" s="64" t="str">
        <f t="shared" si="35"/>
        <v>1w</v>
      </c>
      <c r="B2201" s="203">
        <f>_xll.qlCalendarAdvance(Calendar,B2200,A2201,"f",FALSE)</f>
        <v>54316</v>
      </c>
      <c r="C2201" s="237">
        <f>_xll.qlCalendarAdvance(Calendar,B2201,NDays&amp;"D")</f>
        <v>54318</v>
      </c>
      <c r="D2201" s="202">
        <v>2.4148269348707667E-2</v>
      </c>
      <c r="E2201" s="202">
        <v>2.3965359937259123E-2</v>
      </c>
      <c r="U2201" s="204"/>
    </row>
    <row r="2202" spans="1:21" x14ac:dyDescent="0.2">
      <c r="A2202" s="64" t="str">
        <f t="shared" si="35"/>
        <v>1w</v>
      </c>
      <c r="B2202" s="203">
        <f>_xll.qlCalendarAdvance(Calendar,B2201,A2202,"f",FALSE)</f>
        <v>54323</v>
      </c>
      <c r="C2202" s="237">
        <f>_xll.qlCalendarAdvance(Calendar,B2202,NDays&amp;"D")</f>
        <v>54325</v>
      </c>
      <c r="D2202" s="202">
        <v>2.4151211304238567E-2</v>
      </c>
      <c r="E2202" s="202">
        <v>2.396845935574099E-2</v>
      </c>
      <c r="U2202" s="204"/>
    </row>
    <row r="2203" spans="1:21" x14ac:dyDescent="0.2">
      <c r="A2203" s="64" t="str">
        <f t="shared" si="35"/>
        <v>1w</v>
      </c>
      <c r="B2203" s="203">
        <f>_xll.qlCalendarAdvance(Calendar,B2202,A2203,"f",FALSE)</f>
        <v>54330</v>
      </c>
      <c r="C2203" s="237">
        <f>_xll.qlCalendarAdvance(Calendar,B2203,NDays&amp;"D")</f>
        <v>54332</v>
      </c>
      <c r="D2203" s="202">
        <v>2.41551489847356E-2</v>
      </c>
      <c r="E2203" s="202">
        <v>2.3971543797323136E-2</v>
      </c>
      <c r="U2203" s="204"/>
    </row>
    <row r="2204" spans="1:21" x14ac:dyDescent="0.2">
      <c r="A2204" s="64" t="str">
        <f t="shared" si="35"/>
        <v>1w</v>
      </c>
      <c r="B2204" s="203">
        <f>_xll.qlCalendarAdvance(Calendar,B2203,A2204,"f",FALSE)</f>
        <v>54337</v>
      </c>
      <c r="C2204" s="237">
        <f>_xll.qlCalendarAdvance(Calendar,B2204,NDays&amp;"D")</f>
        <v>54339</v>
      </c>
      <c r="D2204" s="202">
        <v>2.4158059744660999E-2</v>
      </c>
      <c r="E2204" s="202">
        <v>2.397461326184569E-2</v>
      </c>
      <c r="U2204" s="204"/>
    </row>
    <row r="2205" spans="1:21" x14ac:dyDescent="0.2">
      <c r="A2205" s="64" t="str">
        <f t="shared" si="35"/>
        <v>1w</v>
      </c>
      <c r="B2205" s="203">
        <f>_xll.qlCalendarAdvance(Calendar,B2204,A2205,"f",FALSE)</f>
        <v>54344</v>
      </c>
      <c r="C2205" s="237">
        <f>_xll.qlCalendarAdvance(Calendar,B2205,NDays&amp;"D")</f>
        <v>54346</v>
      </c>
      <c r="D2205" s="202">
        <v>2.4160955349837292E-2</v>
      </c>
      <c r="E2205" s="202">
        <v>2.3977667749308651E-2</v>
      </c>
      <c r="U2205" s="204"/>
    </row>
    <row r="2206" spans="1:21" x14ac:dyDescent="0.2">
      <c r="A2206" s="64" t="str">
        <f t="shared" si="35"/>
        <v>1w</v>
      </c>
      <c r="B2206" s="203">
        <f>_xll.qlCalendarAdvance(Calendar,B2205,A2206,"f",FALSE)</f>
        <v>54351</v>
      </c>
      <c r="C2206" s="237">
        <f>_xll.qlCalendarAdvance(Calendar,B2206,NDays&amp;"D")</f>
        <v>54353</v>
      </c>
      <c r="D2206" s="202">
        <v>2.4163835800197722E-2</v>
      </c>
      <c r="E2206" s="202">
        <v>2.398070725971202E-2</v>
      </c>
      <c r="U2206" s="204"/>
    </row>
    <row r="2207" spans="1:21" x14ac:dyDescent="0.2">
      <c r="A2207" s="64" t="str">
        <f t="shared" si="35"/>
        <v>1w</v>
      </c>
      <c r="B2207" s="203">
        <f>_xll.qlCalendarAdvance(Calendar,B2206,A2207,"f",FALSE)</f>
        <v>54358</v>
      </c>
      <c r="C2207" s="237">
        <f>_xll.qlCalendarAdvance(Calendar,B2207,NDays&amp;"D")</f>
        <v>54360</v>
      </c>
      <c r="D2207" s="202">
        <v>2.4166701095678162E-2</v>
      </c>
      <c r="E2207" s="202">
        <v>2.3983731793215668E-2</v>
      </c>
      <c r="U2207" s="204"/>
    </row>
    <row r="2208" spans="1:21" x14ac:dyDescent="0.2">
      <c r="A2208" s="64" t="str">
        <f t="shared" si="35"/>
        <v>1w</v>
      </c>
      <c r="B2208" s="203">
        <f>_xll.qlCalendarAdvance(Calendar,B2207,A2208,"f",FALSE)</f>
        <v>54365</v>
      </c>
      <c r="C2208" s="237">
        <f>_xll.qlCalendarAdvance(Calendar,B2208,NDays&amp;"D")</f>
        <v>54367</v>
      </c>
      <c r="D2208" s="202">
        <v>2.4168544808989872E-2</v>
      </c>
      <c r="E2208" s="202">
        <v>2.3986741349579788E-2</v>
      </c>
      <c r="U2208" s="204"/>
    </row>
    <row r="2209" spans="1:21" x14ac:dyDescent="0.2">
      <c r="A2209" s="64" t="str">
        <f t="shared" si="35"/>
        <v>1w</v>
      </c>
      <c r="B2209" s="203">
        <f>_xll.qlCalendarAdvance(Calendar,B2208,A2209,"f",FALSE)</f>
        <v>54372</v>
      </c>
      <c r="C2209" s="237">
        <f>_xll.qlCalendarAdvance(Calendar,B2209,NDays&amp;"D")</f>
        <v>54374</v>
      </c>
      <c r="D2209" s="202">
        <v>2.4171380687767204E-2</v>
      </c>
      <c r="E2209" s="202">
        <v>2.3989735928884315E-2</v>
      </c>
      <c r="U2209" s="204"/>
    </row>
    <row r="2210" spans="1:21" x14ac:dyDescent="0.2">
      <c r="A2210" s="64" t="str">
        <f t="shared" si="35"/>
        <v>1w</v>
      </c>
      <c r="B2210" s="203">
        <f>_xll.qlCalendarAdvance(Calendar,B2209,A2210,"f",FALSE)</f>
        <v>54379</v>
      </c>
      <c r="C2210" s="237">
        <f>_xll.qlCalendarAdvance(Calendar,B2210,NDays&amp;"D")</f>
        <v>54381</v>
      </c>
      <c r="D2210" s="202">
        <v>2.4174201412463674E-2</v>
      </c>
      <c r="E2210" s="202">
        <v>2.3992715531289122E-2</v>
      </c>
      <c r="U2210" s="204"/>
    </row>
    <row r="2211" spans="1:21" x14ac:dyDescent="0.2">
      <c r="A2211" s="64" t="str">
        <f t="shared" si="35"/>
        <v>1w</v>
      </c>
      <c r="B2211" s="203">
        <f>_xll.qlCalendarAdvance(Calendar,B2210,A2211,"f",FALSE)</f>
        <v>54386</v>
      </c>
      <c r="C2211" s="237">
        <f>_xll.qlCalendarAdvance(Calendar,B2211,NDays&amp;"D")</f>
        <v>54388</v>
      </c>
      <c r="D2211" s="202">
        <v>2.4177006983016128E-2</v>
      </c>
      <c r="E2211" s="202">
        <v>2.3995680156714272E-2</v>
      </c>
      <c r="U2211" s="204"/>
    </row>
    <row r="2212" spans="1:21" x14ac:dyDescent="0.2">
      <c r="A2212" s="64" t="str">
        <f t="shared" si="35"/>
        <v>1w</v>
      </c>
      <c r="B2212" s="203">
        <f>_xll.qlCalendarAdvance(Calendar,B2211,A2212,"f",FALSE)</f>
        <v>54393</v>
      </c>
      <c r="C2212" s="237">
        <f>_xll.qlCalendarAdvance(Calendar,B2212,NDays&amp;"D")</f>
        <v>54395</v>
      </c>
      <c r="D2212" s="202">
        <v>2.4180800237511537E-2</v>
      </c>
      <c r="E2212" s="202">
        <v>2.3998629804919958E-2</v>
      </c>
      <c r="U2212" s="204"/>
    </row>
    <row r="2213" spans="1:21" x14ac:dyDescent="0.2">
      <c r="A2213" s="64" t="str">
        <f t="shared" si="35"/>
        <v>1w</v>
      </c>
      <c r="B2213" s="203">
        <f>_xll.qlCalendarAdvance(Calendar,B2212,A2213,"f",FALSE)</f>
        <v>54400</v>
      </c>
      <c r="C2213" s="237">
        <f>_xll.qlCalendarAdvance(Calendar,B2213,NDays&amp;"D")</f>
        <v>54402</v>
      </c>
      <c r="D2213" s="202">
        <v>2.4183574238659446E-2</v>
      </c>
      <c r="E2213" s="202">
        <v>2.4001564476066051E-2</v>
      </c>
      <c r="U2213" s="204"/>
    </row>
    <row r="2214" spans="1:21" x14ac:dyDescent="0.2">
      <c r="A2214" s="64" t="str">
        <f t="shared" si="35"/>
        <v>1w</v>
      </c>
      <c r="B2214" s="203">
        <f>_xll.qlCalendarAdvance(Calendar,B2213,A2214,"f",FALSE)</f>
        <v>54407</v>
      </c>
      <c r="C2214" s="237">
        <f>_xll.qlCalendarAdvance(Calendar,B2214,NDays&amp;"D")</f>
        <v>54409</v>
      </c>
      <c r="D2214" s="202">
        <v>2.4186331985545682E-2</v>
      </c>
      <c r="E2214" s="202">
        <v>2.4004484170392359E-2</v>
      </c>
      <c r="U2214" s="204"/>
    </row>
    <row r="2215" spans="1:21" x14ac:dyDescent="0.2">
      <c r="A2215" s="64" t="str">
        <f t="shared" si="35"/>
        <v>1w</v>
      </c>
      <c r="B2215" s="203">
        <f>_xll.qlCalendarAdvance(Calendar,B2214,A2215,"f",FALSE)</f>
        <v>54414</v>
      </c>
      <c r="C2215" s="237">
        <f>_xll.qlCalendarAdvance(Calendar,B2215,NDays&amp;"D")</f>
        <v>54416</v>
      </c>
      <c r="D2215" s="202">
        <v>2.4189072708849811E-2</v>
      </c>
      <c r="E2215" s="202">
        <v>2.4010410896342371E-2</v>
      </c>
      <c r="U2215" s="204"/>
    </row>
    <row r="2216" spans="1:21" x14ac:dyDescent="0.2">
      <c r="A2216" s="64" t="str">
        <f t="shared" si="35"/>
        <v>1w</v>
      </c>
      <c r="B2216" s="203">
        <f>_xll.qlCalendarAdvance(Calendar,B2215,A2216,"f",FALSE)</f>
        <v>54421</v>
      </c>
      <c r="C2216" s="237">
        <f>_xll.qlCalendarAdvance(Calendar,B2216,NDays&amp;"D")</f>
        <v>54423</v>
      </c>
      <c r="D2216" s="202">
        <v>2.4190797374061799E-2</v>
      </c>
      <c r="E2216" s="202">
        <v>2.4013298004734729E-2</v>
      </c>
      <c r="U2216" s="204"/>
    </row>
    <row r="2217" spans="1:21" x14ac:dyDescent="0.2">
      <c r="A2217" s="64" t="str">
        <f t="shared" si="35"/>
        <v>1w</v>
      </c>
      <c r="B2217" s="203">
        <f>_xll.qlCalendarAdvance(Calendar,B2216,A2217,"f",FALSE)</f>
        <v>54428</v>
      </c>
      <c r="C2217" s="237">
        <f>_xll.qlCalendarAdvance(Calendar,B2217,NDays&amp;"D")</f>
        <v>54430</v>
      </c>
      <c r="D2217" s="202">
        <v>2.4193503128957516E-2</v>
      </c>
      <c r="E2217" s="202">
        <v>2.4013153390933795E-2</v>
      </c>
      <c r="U2217" s="204"/>
    </row>
    <row r="2218" spans="1:21" x14ac:dyDescent="0.2">
      <c r="A2218" s="64" t="str">
        <f t="shared" si="35"/>
        <v>1w</v>
      </c>
      <c r="B2218" s="203">
        <f>_xll.qlCalendarAdvance(Calendar,B2217,A2218,"f",FALSE)</f>
        <v>54435</v>
      </c>
      <c r="C2218" s="237">
        <f>_xll.qlCalendarAdvance(Calendar,B2218,NDays&amp;"D")</f>
        <v>54437</v>
      </c>
      <c r="D2218" s="202">
        <v>2.4196189640987811E-2</v>
      </c>
      <c r="E2218" s="202">
        <v>2.4016013177181605E-2</v>
      </c>
      <c r="U2218" s="204"/>
    </row>
    <row r="2219" spans="1:21" x14ac:dyDescent="0.2">
      <c r="A2219" s="64" t="str">
        <f t="shared" si="35"/>
        <v>1w</v>
      </c>
      <c r="B2219" s="203">
        <f>_xll.qlCalendarAdvance(Calendar,B2218,A2219,"f",FALSE)</f>
        <v>54442</v>
      </c>
      <c r="C2219" s="237">
        <f>_xll.qlCalendarAdvance(Calendar,B2219,NDays&amp;"D")</f>
        <v>54444</v>
      </c>
      <c r="D2219" s="202">
        <v>2.4198856136619405E-2</v>
      </c>
      <c r="E2219" s="202">
        <v>2.4018857986209952E-2</v>
      </c>
      <c r="U2219" s="204"/>
    </row>
    <row r="2220" spans="1:21" x14ac:dyDescent="0.2">
      <c r="A2220" s="64" t="str">
        <f t="shared" si="35"/>
        <v>1w</v>
      </c>
      <c r="B2220" s="203">
        <f>_xll.qlCalendarAdvance(Calendar,B2219,A2220,"f",FALSE)</f>
        <v>54449</v>
      </c>
      <c r="C2220" s="237">
        <f>_xll.qlCalendarAdvance(Calendar,B2220,NDays&amp;"D")</f>
        <v>54451</v>
      </c>
      <c r="D2220" s="202">
        <v>2.4201501842315915E-2</v>
      </c>
      <c r="E2220" s="202">
        <v>2.4021687818258641E-2</v>
      </c>
      <c r="U2220" s="204"/>
    </row>
    <row r="2221" spans="1:21" x14ac:dyDescent="0.2">
      <c r="A2221" s="64" t="str">
        <f t="shared" si="35"/>
        <v>1w</v>
      </c>
      <c r="B2221" s="203">
        <f>_xll.qlCalendarAdvance(Calendar,B2220,A2221,"f",FALSE)</f>
        <v>54456</v>
      </c>
      <c r="C2221" s="237">
        <f>_xll.qlCalendarAdvance(Calendar,B2221,NDays&amp;"D")</f>
        <v>54458</v>
      </c>
      <c r="D2221" s="202">
        <v>2.420412598453877E-2</v>
      </c>
      <c r="E2221" s="202">
        <v>2.4024502673247738E-2</v>
      </c>
      <c r="U2221" s="204"/>
    </row>
    <row r="2222" spans="1:21" x14ac:dyDescent="0.2">
      <c r="A2222" s="64" t="str">
        <f t="shared" si="35"/>
        <v>1w</v>
      </c>
      <c r="B2222" s="203">
        <f>_xll.qlCalendarAdvance(Calendar,B2221,A2222,"f",FALSE)</f>
        <v>54463</v>
      </c>
      <c r="C2222" s="237">
        <f>_xll.qlCalendarAdvance(Calendar,B2222,NDays&amp;"D")</f>
        <v>54465</v>
      </c>
      <c r="D2222" s="202">
        <v>2.4206727789743646E-2</v>
      </c>
      <c r="E2222" s="202">
        <v>2.4027302551337115E-2</v>
      </c>
      <c r="U2222" s="204"/>
    </row>
    <row r="2223" spans="1:21" x14ac:dyDescent="0.2">
      <c r="A2223" s="64" t="str">
        <f t="shared" si="35"/>
        <v>1w</v>
      </c>
      <c r="B2223" s="203">
        <f>_xll.qlCalendarAdvance(Calendar,B2222,A2223,"f",FALSE)</f>
        <v>54470</v>
      </c>
      <c r="C2223" s="237">
        <f>_xll.qlCalendarAdvance(Calendar,B2223,NDays&amp;"D")</f>
        <v>54472</v>
      </c>
      <c r="D2223" s="202">
        <v>2.420930648438489E-2</v>
      </c>
      <c r="E2223" s="202">
        <v>2.4030087452286963E-2</v>
      </c>
      <c r="U2223" s="204"/>
    </row>
    <row r="2224" spans="1:21" x14ac:dyDescent="0.2">
      <c r="A2224" s="64" t="str">
        <f t="shared" si="35"/>
        <v>1w</v>
      </c>
      <c r="B2224" s="203">
        <f>_xll.qlCalendarAdvance(Calendar,B2223,A2224,"f",FALSE)</f>
        <v>54477</v>
      </c>
      <c r="C2224" s="237">
        <f>_xll.qlCalendarAdvance(Calendar,B2224,NDays&amp;"D")</f>
        <v>54479</v>
      </c>
      <c r="D2224" s="202">
        <v>2.4211861294911118E-2</v>
      </c>
      <c r="E2224" s="202">
        <v>2.4032857376177219E-2</v>
      </c>
      <c r="U2224" s="204"/>
    </row>
    <row r="2225" spans="1:21" x14ac:dyDescent="0.2">
      <c r="A2225" s="64" t="str">
        <f t="shared" si="35"/>
        <v>1w</v>
      </c>
      <c r="B2225" s="203">
        <f>_xll.qlCalendarAdvance(Calendar,B2224,A2225,"f",FALSE)</f>
        <v>54484</v>
      </c>
      <c r="C2225" s="237">
        <f>_xll.qlCalendarAdvance(Calendar,B2225,NDays&amp;"D")</f>
        <v>54486</v>
      </c>
      <c r="D2225" s="202">
        <v>2.4219304518289669E-2</v>
      </c>
      <c r="E2225" s="202">
        <v>2.4035612323167754E-2</v>
      </c>
      <c r="U2225" s="204"/>
    </row>
    <row r="2226" spans="1:21" x14ac:dyDescent="0.2">
      <c r="A2226" s="64" t="str">
        <f t="shared" si="35"/>
        <v>1w</v>
      </c>
      <c r="B2226" s="203">
        <f>_xll.qlCalendarAdvance(Calendar,B2225,A2226,"f",FALSE)</f>
        <v>54491</v>
      </c>
      <c r="C2226" s="237">
        <f>_xll.qlCalendarAdvance(Calendar,B2226,NDays&amp;"D")</f>
        <v>54493</v>
      </c>
      <c r="D2226" s="202">
        <v>2.422179903415107E-2</v>
      </c>
      <c r="E2226" s="202">
        <v>2.4038352293018761E-2</v>
      </c>
      <c r="U2226" s="204"/>
    </row>
    <row r="2227" spans="1:21" x14ac:dyDescent="0.2">
      <c r="A2227" s="64" t="str">
        <f t="shared" si="35"/>
        <v>1w</v>
      </c>
      <c r="B2227" s="203">
        <f>_xll.qlCalendarAdvance(Calendar,B2226,A2227,"f",FALSE)</f>
        <v>54498</v>
      </c>
      <c r="C2227" s="237">
        <f>_xll.qlCalendarAdvance(Calendar,B2227,NDays&amp;"D")</f>
        <v>54500</v>
      </c>
      <c r="D2227" s="202">
        <v>2.4224267095841141E-2</v>
      </c>
      <c r="E2227" s="202">
        <v>2.4041077285810175E-2</v>
      </c>
      <c r="U2227" s="204"/>
    </row>
    <row r="2228" spans="1:21" x14ac:dyDescent="0.2">
      <c r="A2228" s="64" t="str">
        <f t="shared" si="35"/>
        <v>1w</v>
      </c>
      <c r="B2228" s="203">
        <f>_xll.qlCalendarAdvance(Calendar,B2227,A2228,"f",FALSE)</f>
        <v>54505</v>
      </c>
      <c r="C2228" s="237">
        <f>_xll.qlCalendarAdvance(Calendar,B2228,NDays&amp;"D")</f>
        <v>54507</v>
      </c>
      <c r="D2228" s="202">
        <v>2.4226707950336008E-2</v>
      </c>
      <c r="E2228" s="202">
        <v>2.4043787301621933E-2</v>
      </c>
      <c r="U2228" s="204"/>
    </row>
    <row r="2229" spans="1:21" x14ac:dyDescent="0.2">
      <c r="A2229" s="64" t="str">
        <f t="shared" si="35"/>
        <v>1w</v>
      </c>
      <c r="B2229" s="203">
        <f>_xll.qlCalendarAdvance(Calendar,B2228,A2229,"f",FALSE)</f>
        <v>54512</v>
      </c>
      <c r="C2229" s="237">
        <f>_xll.qlCalendarAdvance(Calendar,B2229,NDays&amp;"D")</f>
        <v>54514</v>
      </c>
      <c r="D2229" s="202">
        <v>2.4226198874088726E-2</v>
      </c>
      <c r="E2229" s="202">
        <v>2.4046482340454034E-2</v>
      </c>
      <c r="U2229" s="204"/>
    </row>
    <row r="2230" spans="1:21" x14ac:dyDescent="0.2">
      <c r="A2230" s="64" t="str">
        <f t="shared" si="35"/>
        <v>1w</v>
      </c>
      <c r="B2230" s="203">
        <f>_xll.qlCalendarAdvance(Calendar,B2229,A2230,"f",FALSE)</f>
        <v>54519</v>
      </c>
      <c r="C2230" s="237">
        <f>_xll.qlCalendarAdvance(Calendar,B2230,NDays&amp;"D")</f>
        <v>54521</v>
      </c>
      <c r="D2230" s="202">
        <v>2.4228589708543729E-2</v>
      </c>
      <c r="E2230" s="202">
        <v>2.4049162402306479E-2</v>
      </c>
      <c r="U2230" s="204"/>
    </row>
    <row r="2231" spans="1:21" x14ac:dyDescent="0.2">
      <c r="A2231" s="64" t="str">
        <f t="shared" si="35"/>
        <v>1w</v>
      </c>
      <c r="B2231" s="203">
        <f>_xll.qlCalendarAdvance(Calendar,B2230,A2231,"f",FALSE)</f>
        <v>54526</v>
      </c>
      <c r="C2231" s="237">
        <f>_xll.qlCalendarAdvance(Calendar,B2231,NDays&amp;"D")</f>
        <v>54528</v>
      </c>
      <c r="D2231" s="202">
        <v>2.4230951176039593E-2</v>
      </c>
      <c r="E2231" s="202">
        <v>2.4055800136189021E-2</v>
      </c>
      <c r="U2231" s="204"/>
    </row>
    <row r="2232" spans="1:21" x14ac:dyDescent="0.2">
      <c r="A2232" s="64" t="str">
        <f t="shared" si="35"/>
        <v>1w</v>
      </c>
      <c r="B2232" s="203">
        <f>_xll.qlCalendarAdvance(Calendar,B2231,A2232,"f",FALSE)</f>
        <v>54533</v>
      </c>
      <c r="C2232" s="237">
        <f>_xll.qlCalendarAdvance(Calendar,B2232,NDays&amp;"D")</f>
        <v>54535</v>
      </c>
      <c r="D2232" s="202">
        <v>2.4233282511356303E-2</v>
      </c>
      <c r="E2232" s="202">
        <v>2.4054477594672719E-2</v>
      </c>
      <c r="U2232" s="204"/>
    </row>
    <row r="2233" spans="1:21" x14ac:dyDescent="0.2">
      <c r="A2233" s="64" t="str">
        <f t="shared" si="35"/>
        <v>1w</v>
      </c>
      <c r="B2233" s="203">
        <f>_xll.qlCalendarAdvance(Calendar,B2232,A2233,"f",FALSE)</f>
        <v>54540</v>
      </c>
      <c r="C2233" s="237">
        <f>_xll.qlCalendarAdvance(Calendar,B2233,NDays&amp;"D")</f>
        <v>54542</v>
      </c>
      <c r="D2233" s="202">
        <v>2.4235582949268159E-2</v>
      </c>
      <c r="E2233" s="202">
        <v>2.405711272526645E-2</v>
      </c>
      <c r="U2233" s="204"/>
    </row>
    <row r="2234" spans="1:21" x14ac:dyDescent="0.2">
      <c r="A2234" s="64" t="str">
        <f t="shared" si="35"/>
        <v>1w</v>
      </c>
      <c r="B2234" s="203">
        <f>_xll.qlCalendarAdvance(Calendar,B2233,A2234,"f",FALSE)</f>
        <v>54547</v>
      </c>
      <c r="C2234" s="237">
        <f>_xll.qlCalendarAdvance(Calendar,B2234,NDays&amp;"D")</f>
        <v>54549</v>
      </c>
      <c r="D2234" s="202">
        <v>2.4240739556506744E-2</v>
      </c>
      <c r="E2234" s="202">
        <v>2.4059732878880524E-2</v>
      </c>
      <c r="U2234" s="204"/>
    </row>
    <row r="2235" spans="1:21" x14ac:dyDescent="0.2">
      <c r="A2235" s="64" t="str">
        <f t="shared" si="35"/>
        <v>1w</v>
      </c>
      <c r="B2235" s="203">
        <f>_xll.qlCalendarAdvance(Calendar,B2234,A2235,"f",FALSE)</f>
        <v>54554</v>
      </c>
      <c r="C2235" s="237">
        <f>_xll.qlCalendarAdvance(Calendar,B2235,NDays&amp;"D")</f>
        <v>54556</v>
      </c>
      <c r="D2235" s="202">
        <v>2.4242968875737899E-2</v>
      </c>
      <c r="E2235" s="202">
        <v>2.4062338055435006E-2</v>
      </c>
      <c r="U2235" s="204"/>
    </row>
    <row r="2236" spans="1:21" x14ac:dyDescent="0.2">
      <c r="A2236" s="64" t="str">
        <f t="shared" si="35"/>
        <v>1w</v>
      </c>
      <c r="B2236" s="203">
        <f>_xll.qlCalendarAdvance(Calendar,B2235,A2236,"f",FALSE)</f>
        <v>54561</v>
      </c>
      <c r="C2236" s="237">
        <f>_xll.qlCalendarAdvance(Calendar,B2236,NDays&amp;"D")</f>
        <v>54563</v>
      </c>
      <c r="D2236" s="202">
        <v>2.4245164963492126E-2</v>
      </c>
      <c r="E2236" s="202">
        <v>2.4064928255009832E-2</v>
      </c>
      <c r="U2236" s="204"/>
    </row>
    <row r="2237" spans="1:21" x14ac:dyDescent="0.2">
      <c r="A2237" s="64" t="str">
        <f t="shared" si="35"/>
        <v>1w</v>
      </c>
      <c r="B2237" s="203">
        <f>_xll.qlCalendarAdvance(Calendar,B2236,A2237,"f",FALSE)</f>
        <v>54568</v>
      </c>
      <c r="C2237" s="237">
        <f>_xll.qlCalendarAdvance(Calendar,B2237,NDays&amp;"D")</f>
        <v>54570</v>
      </c>
      <c r="D2237" s="202">
        <v>2.4247327066724059E-2</v>
      </c>
      <c r="E2237" s="202">
        <v>2.4067503477525065E-2</v>
      </c>
      <c r="U2237" s="204"/>
    </row>
    <row r="2238" spans="1:21" x14ac:dyDescent="0.2">
      <c r="A2238" s="64" t="str">
        <f t="shared" si="35"/>
        <v>1w</v>
      </c>
      <c r="B2238" s="203">
        <f>_xll.qlCalendarAdvance(Calendar,B2237,A2238,"f",FALSE)</f>
        <v>54575</v>
      </c>
      <c r="C2238" s="237">
        <f>_xll.qlCalendarAdvance(Calendar,B2238,NDays&amp;"D")</f>
        <v>54577</v>
      </c>
      <c r="D2238" s="202">
        <v>2.424659490480794E-2</v>
      </c>
      <c r="E2238" s="202">
        <v>2.4070061236169948E-2</v>
      </c>
      <c r="U2238" s="204"/>
    </row>
    <row r="2239" spans="1:21" x14ac:dyDescent="0.2">
      <c r="A2239" s="64" t="str">
        <f t="shared" si="35"/>
        <v>1w</v>
      </c>
      <c r="B2239" s="203">
        <f>_xll.qlCalendarAdvance(Calendar,B2238,A2239,"f",FALSE)</f>
        <v>54582</v>
      </c>
      <c r="C2239" s="237">
        <f>_xll.qlCalendarAdvance(Calendar,B2239,NDays&amp;"D")</f>
        <v>54584</v>
      </c>
      <c r="D2239" s="202">
        <v>2.4248694250215398E-2</v>
      </c>
      <c r="E2239" s="202">
        <v>2.4072586744292579E-2</v>
      </c>
      <c r="U2239" s="204"/>
    </row>
    <row r="2240" spans="1:21" x14ac:dyDescent="0.2">
      <c r="A2240" s="64" t="str">
        <f t="shared" si="35"/>
        <v>1w</v>
      </c>
      <c r="B2240" s="203">
        <f>_xll.qlCalendarAdvance(Calendar,B2239,A2240,"f",FALSE)</f>
        <v>54589</v>
      </c>
      <c r="C2240" s="237">
        <f>_xll.qlCalendarAdvance(Calendar,B2240,NDays&amp;"D")</f>
        <v>54591</v>
      </c>
      <c r="D2240" s="202">
        <v>2.4250758434631797E-2</v>
      </c>
      <c r="E2240" s="202">
        <v>2.4075077515242072E-2</v>
      </c>
      <c r="U2240" s="204"/>
    </row>
    <row r="2241" spans="1:21" x14ac:dyDescent="0.2">
      <c r="A2241" s="64" t="str">
        <f t="shared" si="35"/>
        <v>1w</v>
      </c>
      <c r="B2241" s="203">
        <f>_xll.qlCalendarAdvance(Calendar,B2240,A2241,"f",FALSE)</f>
        <v>54596</v>
      </c>
      <c r="C2241" s="237">
        <f>_xll.qlCalendarAdvance(Calendar,B2241,NDays&amp;"D")</f>
        <v>54598</v>
      </c>
      <c r="D2241" s="202">
        <v>2.4252787457947064E-2</v>
      </c>
      <c r="E2241" s="202">
        <v>2.4077533548698682E-2</v>
      </c>
      <c r="U2241" s="204"/>
    </row>
    <row r="2242" spans="1:21" x14ac:dyDescent="0.2">
      <c r="A2242" s="64" t="str">
        <f t="shared" si="35"/>
        <v>1w</v>
      </c>
      <c r="B2242" s="203">
        <f>_xll.qlCalendarAdvance(Calendar,B2241,A2242,"f",FALSE)</f>
        <v>54603</v>
      </c>
      <c r="C2242" s="237">
        <f>_xll.qlCalendarAdvance(Calendar,B2242,NDays&amp;"D")</f>
        <v>54605</v>
      </c>
      <c r="D2242" s="202">
        <v>2.4257612357690934E-2</v>
      </c>
      <c r="E2242" s="202">
        <v>2.4079954844902218E-2</v>
      </c>
      <c r="U2242" s="204"/>
    </row>
    <row r="2243" spans="1:21" x14ac:dyDescent="0.2">
      <c r="A2243" s="64" t="str">
        <f t="shared" si="35"/>
        <v>1w</v>
      </c>
      <c r="B2243" s="203">
        <f>_xll.qlCalendarAdvance(Calendar,B2242,A2243,"f",FALSE)</f>
        <v>54610</v>
      </c>
      <c r="C2243" s="237">
        <f>_xll.qlCalendarAdvance(Calendar,B2243,NDays&amp;"D")</f>
        <v>54612</v>
      </c>
      <c r="D2243" s="202">
        <v>2.4259563915897155E-2</v>
      </c>
      <c r="E2243" s="202">
        <v>2.4082341403772745E-2</v>
      </c>
      <c r="U2243" s="204"/>
    </row>
    <row r="2244" spans="1:21" x14ac:dyDescent="0.2">
      <c r="A2244" s="64" t="str">
        <f t="shared" si="35"/>
        <v>1w</v>
      </c>
      <c r="B2244" s="203">
        <f>_xll.qlCalendarAdvance(Calendar,B2243,A2244,"f",FALSE)</f>
        <v>54617</v>
      </c>
      <c r="C2244" s="237">
        <f>_xll.qlCalendarAdvance(Calendar,B2244,NDays&amp;"D")</f>
        <v>54619</v>
      </c>
      <c r="D2244" s="202">
        <v>2.4261480305630509E-2</v>
      </c>
      <c r="E2244" s="202">
        <v>2.4084693225390197E-2</v>
      </c>
      <c r="U2244" s="204"/>
    </row>
    <row r="2245" spans="1:21" x14ac:dyDescent="0.2">
      <c r="A2245" s="64" t="str">
        <f t="shared" si="35"/>
        <v>1w</v>
      </c>
      <c r="B2245" s="203">
        <f>_xll.qlCalendarAdvance(Calendar,B2244,A2245,"f",FALSE)</f>
        <v>54624</v>
      </c>
      <c r="C2245" s="237">
        <f>_xll.qlCalendarAdvance(Calendar,B2245,NDays&amp;"D")</f>
        <v>54626</v>
      </c>
      <c r="D2245" s="202">
        <v>2.4263361526786993E-2</v>
      </c>
      <c r="E2245" s="202">
        <v>2.4087010309674639E-2</v>
      </c>
      <c r="U2245" s="204"/>
    </row>
    <row r="2246" spans="1:21" x14ac:dyDescent="0.2">
      <c r="A2246" s="64" t="str">
        <f t="shared" si="35"/>
        <v>1w</v>
      </c>
      <c r="B2246" s="203">
        <f>_xll.qlCalendarAdvance(Calendar,B2245,A2246,"f",FALSE)</f>
        <v>54631</v>
      </c>
      <c r="C2246" s="237">
        <f>_xll.qlCalendarAdvance(Calendar,B2246,NDays&amp;"D")</f>
        <v>54633</v>
      </c>
      <c r="D2246" s="202">
        <v>2.4265207579266479E-2</v>
      </c>
      <c r="E2246" s="202">
        <v>2.4089292656546135E-2</v>
      </c>
      <c r="U2246" s="204"/>
    </row>
    <row r="2247" spans="1:21" x14ac:dyDescent="0.2">
      <c r="A2247" s="64" t="str">
        <f t="shared" ref="A2247:A2310" si="36">A2246</f>
        <v>1w</v>
      </c>
      <c r="B2247" s="203">
        <f>_xll.qlCalendarAdvance(Calendar,B2246,A2247,"f",FALSE)</f>
        <v>54638</v>
      </c>
      <c r="C2247" s="237">
        <f>_xll.qlCalendarAdvance(Calendar,B2247,NDays&amp;"D")</f>
        <v>54640</v>
      </c>
      <c r="D2247" s="202">
        <v>2.4267018462969685E-2</v>
      </c>
      <c r="E2247" s="202">
        <v>2.4091540266244493E-2</v>
      </c>
      <c r="U2247" s="204"/>
    </row>
    <row r="2248" spans="1:21" x14ac:dyDescent="0.2">
      <c r="A2248" s="64" t="str">
        <f t="shared" si="36"/>
        <v>1w</v>
      </c>
      <c r="B2248" s="203">
        <f>_xll.qlCalendarAdvance(Calendar,B2247,A2248,"f",FALSE)</f>
        <v>54645</v>
      </c>
      <c r="C2248" s="237">
        <f>_xll.qlCalendarAdvance(Calendar,B2248,NDays&amp;"D")</f>
        <v>54647</v>
      </c>
      <c r="D2248" s="202">
        <v>2.4268794177797766E-2</v>
      </c>
      <c r="E2248" s="202">
        <v>2.4093753138529905E-2</v>
      </c>
      <c r="U2248" s="204"/>
    </row>
    <row r="2249" spans="1:21" x14ac:dyDescent="0.2">
      <c r="A2249" s="64" t="str">
        <f t="shared" si="36"/>
        <v>1w</v>
      </c>
      <c r="B2249" s="203">
        <f>_xll.qlCalendarAdvance(Calendar,B2248,A2249,"f",FALSE)</f>
        <v>54652</v>
      </c>
      <c r="C2249" s="237">
        <f>_xll.qlCalendarAdvance(Calendar,B2249,NDays&amp;"D")</f>
        <v>54654</v>
      </c>
      <c r="D2249" s="202">
        <v>2.4270534723655746E-2</v>
      </c>
      <c r="E2249" s="202">
        <v>2.4095931273402371E-2</v>
      </c>
      <c r="U2249" s="204"/>
    </row>
    <row r="2250" spans="1:21" x14ac:dyDescent="0.2">
      <c r="A2250" s="64" t="str">
        <f t="shared" si="36"/>
        <v>1w</v>
      </c>
      <c r="B2250" s="203">
        <f>_xll.qlCalendarAdvance(Calendar,B2249,A2250,"f",FALSE)</f>
        <v>54659</v>
      </c>
      <c r="C2250" s="237">
        <f>_xll.qlCalendarAdvance(Calendar,B2250,NDays&amp;"D")</f>
        <v>54661</v>
      </c>
      <c r="D2250" s="202">
        <v>2.4272240100450794E-2</v>
      </c>
      <c r="E2250" s="202">
        <v>2.4098074671101699E-2</v>
      </c>
      <c r="U2250" s="204"/>
    </row>
    <row r="2251" spans="1:21" x14ac:dyDescent="0.2">
      <c r="A2251" s="64" t="str">
        <f t="shared" si="36"/>
        <v>1w</v>
      </c>
      <c r="B2251" s="203">
        <f>_xll.qlCalendarAdvance(Calendar,B2250,A2251,"f",FALSE)</f>
        <v>54666</v>
      </c>
      <c r="C2251" s="237">
        <f>_xll.qlCalendarAdvance(Calendar,B2251,NDays&amp;"D")</f>
        <v>54668</v>
      </c>
      <c r="D2251" s="202">
        <v>2.4269298532553871E-2</v>
      </c>
      <c r="E2251" s="202">
        <v>2.4100183331547953E-2</v>
      </c>
      <c r="U2251" s="204"/>
    </row>
    <row r="2252" spans="1:21" x14ac:dyDescent="0.2">
      <c r="A2252" s="64" t="str">
        <f t="shared" si="36"/>
        <v>1w</v>
      </c>
      <c r="B2252" s="203">
        <f>_xll.qlCalendarAdvance(Calendar,B2251,A2252,"f",FALSE)</f>
        <v>54673</v>
      </c>
      <c r="C2252" s="237">
        <f>_xll.qlCalendarAdvance(Calendar,B2252,NDays&amp;"D")</f>
        <v>54675</v>
      </c>
      <c r="D2252" s="202">
        <v>2.4270945579521631E-2</v>
      </c>
      <c r="E2252" s="202">
        <v>2.4102257254501325E-2</v>
      </c>
      <c r="U2252" s="204"/>
    </row>
    <row r="2253" spans="1:21" x14ac:dyDescent="0.2">
      <c r="A2253" s="64" t="str">
        <f t="shared" si="36"/>
        <v>1w</v>
      </c>
      <c r="B2253" s="203">
        <f>_xll.qlCalendarAdvance(Calendar,B2252,A2253,"f",FALSE)</f>
        <v>54680</v>
      </c>
      <c r="C2253" s="237">
        <f>_xll.qlCalendarAdvance(Calendar,B2253,NDays&amp;"D")</f>
        <v>54682</v>
      </c>
      <c r="D2253" s="202">
        <v>2.4272557468930762E-2</v>
      </c>
      <c r="E2253" s="202">
        <v>2.4104296440121686E-2</v>
      </c>
      <c r="U2253" s="204"/>
    </row>
    <row r="2254" spans="1:21" x14ac:dyDescent="0.2">
      <c r="A2254" s="64" t="str">
        <f t="shared" si="36"/>
        <v>1w</v>
      </c>
      <c r="B2254" s="203">
        <f>_xll.qlCalendarAdvance(Calendar,B2253,A2254,"f",FALSE)</f>
        <v>54687</v>
      </c>
      <c r="C2254" s="237">
        <f>_xll.qlCalendarAdvance(Calendar,B2254,NDays&amp;"D")</f>
        <v>54689</v>
      </c>
      <c r="D2254" s="202">
        <v>2.4274134200698232E-2</v>
      </c>
      <c r="E2254" s="202">
        <v>2.4106300888488974E-2</v>
      </c>
      <c r="U2254" s="204"/>
    </row>
    <row r="2255" spans="1:21" x14ac:dyDescent="0.2">
      <c r="A2255" s="64" t="str">
        <f t="shared" si="36"/>
        <v>1w</v>
      </c>
      <c r="B2255" s="203">
        <f>_xll.qlCalendarAdvance(Calendar,B2254,A2255,"f",FALSE)</f>
        <v>54694</v>
      </c>
      <c r="C2255" s="237">
        <f>_xll.qlCalendarAdvance(Calendar,B2255,NDays&amp;"D")</f>
        <v>54696</v>
      </c>
      <c r="D2255" s="202">
        <v>2.4276588888175243E-2</v>
      </c>
      <c r="E2255" s="202">
        <v>2.4108270599603188E-2</v>
      </c>
      <c r="U2255" s="204"/>
    </row>
    <row r="2256" spans="1:21" x14ac:dyDescent="0.2">
      <c r="A2256" s="64" t="str">
        <f t="shared" si="36"/>
        <v>1w</v>
      </c>
      <c r="B2256" s="203">
        <f>_xll.qlCalendarAdvance(Calendar,B2255,A2256,"f",FALSE)</f>
        <v>54701</v>
      </c>
      <c r="C2256" s="237">
        <f>_xll.qlCalendarAdvance(Calendar,B2256,NDays&amp;"D")</f>
        <v>54703</v>
      </c>
      <c r="D2256" s="202">
        <v>2.4278092893933859E-2</v>
      </c>
      <c r="E2256" s="202">
        <v>2.4110205573304455E-2</v>
      </c>
      <c r="U2256" s="204"/>
    </row>
    <row r="2257" spans="1:21" x14ac:dyDescent="0.2">
      <c r="A2257" s="64" t="str">
        <f t="shared" si="36"/>
        <v>1w</v>
      </c>
      <c r="B2257" s="203">
        <f>_xll.qlCalendarAdvance(Calendar,B2256,A2257,"f",FALSE)</f>
        <v>54708</v>
      </c>
      <c r="C2257" s="237">
        <f>_xll.qlCalendarAdvance(Calendar,B2257,NDays&amp;"D")</f>
        <v>54710</v>
      </c>
      <c r="D2257" s="202">
        <v>2.4279561739452043E-2</v>
      </c>
      <c r="E2257" s="202">
        <v>2.4112105809672713E-2</v>
      </c>
      <c r="U2257" s="204"/>
    </row>
    <row r="2258" spans="1:21" x14ac:dyDescent="0.2">
      <c r="A2258" s="64" t="str">
        <f t="shared" si="36"/>
        <v>1w</v>
      </c>
      <c r="B2258" s="203">
        <f>_xll.qlCalendarAdvance(Calendar,B2257,A2258,"f",FALSE)</f>
        <v>54715</v>
      </c>
      <c r="C2258" s="237">
        <f>_xll.qlCalendarAdvance(Calendar,B2258,NDays&amp;"D")</f>
        <v>54717</v>
      </c>
      <c r="D2258" s="202">
        <v>2.4280995424652053E-2</v>
      </c>
      <c r="E2258" s="202">
        <v>2.4113971308787896E-2</v>
      </c>
      <c r="U2258" s="204"/>
    </row>
    <row r="2259" spans="1:21" x14ac:dyDescent="0.2">
      <c r="A2259" s="64" t="str">
        <f t="shared" si="36"/>
        <v>1w</v>
      </c>
      <c r="B2259" s="203">
        <f>_xll.qlCalendarAdvance(Calendar,B2258,A2259,"f",FALSE)</f>
        <v>54722</v>
      </c>
      <c r="C2259" s="237">
        <f>_xll.qlCalendarAdvance(Calendar,B2259,NDays&amp;"D")</f>
        <v>54724</v>
      </c>
      <c r="D2259" s="202">
        <v>2.4282393949458782E-2</v>
      </c>
      <c r="E2259" s="202">
        <v>2.4115802070490133E-2</v>
      </c>
      <c r="U2259" s="204"/>
    </row>
    <row r="2260" spans="1:21" x14ac:dyDescent="0.2">
      <c r="A2260" s="64" t="str">
        <f t="shared" si="36"/>
        <v>1w</v>
      </c>
      <c r="B2260" s="203">
        <f>_xll.qlCalendarAdvance(Calendar,B2259,A2260,"f",FALSE)</f>
        <v>54729</v>
      </c>
      <c r="C2260" s="237">
        <f>_xll.qlCalendarAdvance(Calendar,B2260,NDays&amp;"D")</f>
        <v>54731</v>
      </c>
      <c r="D2260" s="202">
        <v>2.4282856276316003E-2</v>
      </c>
      <c r="E2260" s="202">
        <v>2.411759809485936E-2</v>
      </c>
      <c r="U2260" s="204"/>
    </row>
    <row r="2261" spans="1:21" x14ac:dyDescent="0.2">
      <c r="A2261" s="64" t="str">
        <f t="shared" si="36"/>
        <v>1w</v>
      </c>
      <c r="B2261" s="203">
        <f>_xll.qlCalendarAdvance(Calendar,B2260,A2261,"f",FALSE)</f>
        <v>54736</v>
      </c>
      <c r="C2261" s="237">
        <f>_xll.qlCalendarAdvance(Calendar,B2261,NDays&amp;"D")</f>
        <v>54738</v>
      </c>
      <c r="D2261" s="202">
        <v>2.4284186902377054E-2</v>
      </c>
      <c r="E2261" s="202">
        <v>2.411935938205545E-2</v>
      </c>
      <c r="U2261" s="204"/>
    </row>
    <row r="2262" spans="1:21" x14ac:dyDescent="0.2">
      <c r="A2262" s="64" t="str">
        <f t="shared" si="36"/>
        <v>1w</v>
      </c>
      <c r="B2262" s="203">
        <f>_xll.qlCalendarAdvance(Calendar,B2261,A2262,"f",FALSE)</f>
        <v>54743</v>
      </c>
      <c r="C2262" s="237">
        <f>_xll.qlCalendarAdvance(Calendar,B2262,NDays&amp;"D")</f>
        <v>54745</v>
      </c>
      <c r="D2262" s="202">
        <v>2.4285482370186542E-2</v>
      </c>
      <c r="E2262" s="202">
        <v>2.4121085931758657E-2</v>
      </c>
      <c r="U2262" s="204"/>
    </row>
    <row r="2263" spans="1:21" x14ac:dyDescent="0.2">
      <c r="A2263" s="64" t="str">
        <f t="shared" si="36"/>
        <v>1w</v>
      </c>
      <c r="B2263" s="203">
        <f>_xll.qlCalendarAdvance(Calendar,B2262,A2263,"f",FALSE)</f>
        <v>54750</v>
      </c>
      <c r="C2263" s="237">
        <f>_xll.qlCalendarAdvance(Calendar,B2263,NDays&amp;"D")</f>
        <v>54752</v>
      </c>
      <c r="D2263" s="202">
        <v>2.4286742679676461E-2</v>
      </c>
      <c r="E2263" s="202">
        <v>2.412277774420879E-2</v>
      </c>
      <c r="U2263" s="204"/>
    </row>
    <row r="2264" spans="1:21" x14ac:dyDescent="0.2">
      <c r="A2264" s="64" t="str">
        <f t="shared" si="36"/>
        <v>1w</v>
      </c>
      <c r="B2264" s="203">
        <f>_xll.qlCalendarAdvance(Calendar,B2263,A2264,"f",FALSE)</f>
        <v>54757</v>
      </c>
      <c r="C2264" s="237">
        <f>_xll.qlCalendarAdvance(Calendar,B2264,NDays&amp;"D")</f>
        <v>54759</v>
      </c>
      <c r="D2264" s="202">
        <v>2.4288859165073961E-2</v>
      </c>
      <c r="E2264" s="202">
        <v>2.4124434819245977E-2</v>
      </c>
      <c r="U2264" s="204"/>
    </row>
    <row r="2265" spans="1:21" x14ac:dyDescent="0.2">
      <c r="A2265" s="64" t="str">
        <f t="shared" si="36"/>
        <v>1w</v>
      </c>
      <c r="B2265" s="203">
        <f>_xll.qlCalendarAdvance(Calendar,B2264,A2265,"f",FALSE)</f>
        <v>54764</v>
      </c>
      <c r="C2265" s="237">
        <f>_xll.qlCalendarAdvance(Calendar,B2265,NDays&amp;"D")</f>
        <v>54766</v>
      </c>
      <c r="D2265" s="202">
        <v>2.4290046726036935E-2</v>
      </c>
      <c r="E2265" s="202">
        <v>2.4126057157110026E-2</v>
      </c>
      <c r="U2265" s="204"/>
    </row>
    <row r="2266" spans="1:21" x14ac:dyDescent="0.2">
      <c r="A2266" s="64" t="str">
        <f t="shared" si="36"/>
        <v>1w</v>
      </c>
      <c r="B2266" s="203">
        <f>_xll.qlCalendarAdvance(Calendar,B2265,A2266,"f",FALSE)</f>
        <v>54771</v>
      </c>
      <c r="C2266" s="237">
        <f>_xll.qlCalendarAdvance(Calendar,B2266,NDays&amp;"D")</f>
        <v>54773</v>
      </c>
      <c r="D2266" s="202">
        <v>2.4291199126129648E-2</v>
      </c>
      <c r="E2266" s="202">
        <v>2.4127644757561129E-2</v>
      </c>
      <c r="U2266" s="204"/>
    </row>
    <row r="2267" spans="1:21" x14ac:dyDescent="0.2">
      <c r="A2267" s="64" t="str">
        <f t="shared" si="36"/>
        <v>1w</v>
      </c>
      <c r="B2267" s="203">
        <f>_xll.qlCalendarAdvance(Calendar,B2266,A2267,"f",FALSE)</f>
        <v>54778</v>
      </c>
      <c r="C2267" s="237">
        <f>_xll.qlCalendarAdvance(Calendar,B2267,NDays&amp;"D")</f>
        <v>54780</v>
      </c>
      <c r="D2267" s="202">
        <v>2.4292316365291056E-2</v>
      </c>
      <c r="E2267" s="202">
        <v>2.4129197620599285E-2</v>
      </c>
      <c r="U2267" s="204"/>
    </row>
    <row r="2268" spans="1:21" x14ac:dyDescent="0.2">
      <c r="A2268" s="64" t="str">
        <f t="shared" si="36"/>
        <v>1w</v>
      </c>
      <c r="B2268" s="203">
        <f>_xll.qlCalendarAdvance(Calendar,B2267,A2268,"f",FALSE)</f>
        <v>54785</v>
      </c>
      <c r="C2268" s="237">
        <f>_xll.qlCalendarAdvance(Calendar,B2268,NDays&amp;"D")</f>
        <v>54787</v>
      </c>
      <c r="D2268" s="202">
        <v>2.4293398443462295E-2</v>
      </c>
      <c r="E2268" s="202">
        <v>2.4130715746384368E-2</v>
      </c>
      <c r="U2268" s="204"/>
    </row>
    <row r="2269" spans="1:21" x14ac:dyDescent="0.2">
      <c r="A2269" s="64" t="str">
        <f t="shared" si="36"/>
        <v>1w</v>
      </c>
      <c r="B2269" s="203">
        <f>_xll.qlCalendarAdvance(Calendar,B2268,A2269,"f",FALSE)</f>
        <v>54792</v>
      </c>
      <c r="C2269" s="237">
        <f>_xll.qlCalendarAdvance(Calendar,B2269,NDays&amp;"D")</f>
        <v>54794</v>
      </c>
      <c r="D2269" s="202">
        <v>2.4293566208337461E-2</v>
      </c>
      <c r="E2269" s="202">
        <v>2.4132199134916377E-2</v>
      </c>
      <c r="U2269" s="204"/>
    </row>
    <row r="2270" spans="1:21" x14ac:dyDescent="0.2">
      <c r="A2270" s="64" t="str">
        <f t="shared" si="36"/>
        <v>1w</v>
      </c>
      <c r="B2270" s="203">
        <f>_xll.qlCalendarAdvance(Calendar,B2269,A2270,"f",FALSE)</f>
        <v>54799</v>
      </c>
      <c r="C2270" s="237">
        <f>_xll.qlCalendarAdvance(Calendar,B2270,NDays&amp;"D")</f>
        <v>54801</v>
      </c>
      <c r="D2270" s="202">
        <v>2.4294580407845042E-2</v>
      </c>
      <c r="E2270" s="202">
        <v>2.4133647785955503E-2</v>
      </c>
      <c r="U2270" s="204"/>
    </row>
    <row r="2271" spans="1:21" x14ac:dyDescent="0.2">
      <c r="A2271" s="64" t="str">
        <f t="shared" si="36"/>
        <v>1w</v>
      </c>
      <c r="B2271" s="203">
        <f>_xll.qlCalendarAdvance(Calendar,B2270,A2271,"f",FALSE)</f>
        <v>54806</v>
      </c>
      <c r="C2271" s="237">
        <f>_xll.qlCalendarAdvance(Calendar,B2271,NDays&amp;"D")</f>
        <v>54808</v>
      </c>
      <c r="D2271" s="202">
        <v>2.4295559448556086E-2</v>
      </c>
      <c r="E2271" s="202">
        <v>2.413506169966162E-2</v>
      </c>
      <c r="U2271" s="204"/>
    </row>
    <row r="2272" spans="1:21" x14ac:dyDescent="0.2">
      <c r="A2272" s="64" t="str">
        <f t="shared" si="36"/>
        <v>1w</v>
      </c>
      <c r="B2272" s="203">
        <f>_xll.qlCalendarAdvance(Calendar,B2271,A2272,"f",FALSE)</f>
        <v>54813</v>
      </c>
      <c r="C2272" s="237">
        <f>_xll.qlCalendarAdvance(Calendar,B2272,NDays&amp;"D")</f>
        <v>54815</v>
      </c>
      <c r="D2272" s="202">
        <v>2.4296503330420688E-2</v>
      </c>
      <c r="E2272" s="202">
        <v>2.4136440876194598E-2</v>
      </c>
      <c r="U2272" s="204"/>
    </row>
    <row r="2273" spans="1:21" x14ac:dyDescent="0.2">
      <c r="A2273" s="64" t="str">
        <f t="shared" si="36"/>
        <v>1w</v>
      </c>
      <c r="B2273" s="203">
        <f>_xll.qlCalendarAdvance(Calendar,B2272,A2273,"f",FALSE)</f>
        <v>54820</v>
      </c>
      <c r="C2273" s="237">
        <f>_xll.qlCalendarAdvance(Calendar,B2273,NDays&amp;"D")</f>
        <v>54822</v>
      </c>
      <c r="D2273" s="202">
        <v>2.4297412053387618E-2</v>
      </c>
      <c r="E2273" s="202">
        <v>2.4137785315394567E-2</v>
      </c>
      <c r="U2273" s="204"/>
    </row>
    <row r="2274" spans="1:21" x14ac:dyDescent="0.2">
      <c r="A2274" s="64" t="str">
        <f t="shared" si="36"/>
        <v>1w</v>
      </c>
      <c r="B2274" s="203">
        <f>_xll.qlCalendarAdvance(Calendar,B2273,A2274,"f",FALSE)</f>
        <v>54827</v>
      </c>
      <c r="C2274" s="237">
        <f>_xll.qlCalendarAdvance(Calendar,B2274,NDays&amp;"D")</f>
        <v>54829</v>
      </c>
      <c r="D2274" s="202">
        <v>2.4298285617410063E-2</v>
      </c>
      <c r="E2274" s="202">
        <v>2.4139095017101653E-2</v>
      </c>
      <c r="U2274" s="204"/>
    </row>
    <row r="2275" spans="1:21" x14ac:dyDescent="0.2">
      <c r="A2275" s="64" t="str">
        <f t="shared" si="36"/>
        <v>1w</v>
      </c>
      <c r="B2275" s="203">
        <f>_xll.qlCalendarAdvance(Calendar,B2274,A2275,"f",FALSE)</f>
        <v>54834</v>
      </c>
      <c r="C2275" s="237">
        <f>_xll.qlCalendarAdvance(Calendar,B2275,NDays&amp;"D")</f>
        <v>54836</v>
      </c>
      <c r="D2275" s="202">
        <v>2.4299124022442092E-2</v>
      </c>
      <c r="E2275" s="202">
        <v>2.4140369981475729E-2</v>
      </c>
      <c r="U2275" s="204"/>
    </row>
    <row r="2276" spans="1:21" x14ac:dyDescent="0.2">
      <c r="A2276" s="64" t="str">
        <f t="shared" si="36"/>
        <v>1w</v>
      </c>
      <c r="B2276" s="203">
        <f>_xll.qlCalendarAdvance(Calendar,B2275,A2276,"f",FALSE)</f>
        <v>54841</v>
      </c>
      <c r="C2276" s="237">
        <f>_xll.qlCalendarAdvance(Calendar,B2276,NDays&amp;"D")</f>
        <v>54843</v>
      </c>
      <c r="D2276" s="202">
        <v>2.4299927268440866E-2</v>
      </c>
      <c r="E2276" s="202">
        <v>2.4141610208676667E-2</v>
      </c>
      <c r="U2276" s="204"/>
    </row>
    <row r="2277" spans="1:21" x14ac:dyDescent="0.2">
      <c r="A2277" s="64" t="str">
        <f t="shared" si="36"/>
        <v>1w</v>
      </c>
      <c r="B2277" s="203">
        <f>_xll.qlCalendarAdvance(Calendar,B2276,A2277,"f",FALSE)</f>
        <v>54848</v>
      </c>
      <c r="C2277" s="237">
        <f>_xll.qlCalendarAdvance(Calendar,B2277,NDays&amp;"D")</f>
        <v>54850</v>
      </c>
      <c r="D2277" s="202">
        <v>2.4304991077320648E-2</v>
      </c>
      <c r="E2277" s="202">
        <v>2.4142815698464659E-2</v>
      </c>
      <c r="U2277" s="204"/>
    </row>
    <row r="2278" spans="1:21" x14ac:dyDescent="0.2">
      <c r="A2278" s="64" t="str">
        <f t="shared" si="36"/>
        <v>1w</v>
      </c>
      <c r="B2278" s="203">
        <f>_xll.qlCalendarAdvance(Calendar,B2277,A2278,"f",FALSE)</f>
        <v>54855</v>
      </c>
      <c r="C2278" s="237">
        <f>_xll.qlCalendarAdvance(Calendar,B2278,NDays&amp;"D")</f>
        <v>54857</v>
      </c>
      <c r="D2278" s="202">
        <v>2.4305711689974498E-2</v>
      </c>
      <c r="E2278" s="202">
        <v>2.4143986450839705E-2</v>
      </c>
      <c r="U2278" s="204"/>
    </row>
    <row r="2279" spans="1:21" x14ac:dyDescent="0.2">
      <c r="A2279" s="64" t="str">
        <f t="shared" si="36"/>
        <v>1w</v>
      </c>
      <c r="B2279" s="203">
        <f>_xll.qlCalendarAdvance(Calendar,B2278,A2279,"f",FALSE)</f>
        <v>54862</v>
      </c>
      <c r="C2279" s="237">
        <f>_xll.qlCalendarAdvance(Calendar,B2279,NDays&amp;"D")</f>
        <v>54864</v>
      </c>
      <c r="D2279" s="202">
        <v>2.4306397131671018E-2</v>
      </c>
      <c r="E2279" s="202">
        <v>2.4145122466041613E-2</v>
      </c>
      <c r="U2279" s="204"/>
    </row>
    <row r="2280" spans="1:21" x14ac:dyDescent="0.2">
      <c r="A2280" s="64" t="str">
        <f t="shared" si="36"/>
        <v>1w</v>
      </c>
      <c r="B2280" s="203">
        <f>_xll.qlCalendarAdvance(Calendar,B2279,A2280,"f",FALSE)</f>
        <v>54869</v>
      </c>
      <c r="C2280" s="237">
        <f>_xll.qlCalendarAdvance(Calendar,B2280,NDays&amp;"D")</f>
        <v>54871</v>
      </c>
      <c r="D2280" s="202">
        <v>2.4307047402372821E-2</v>
      </c>
      <c r="E2280" s="202">
        <v>2.4146223743830575E-2</v>
      </c>
      <c r="U2280" s="204"/>
    </row>
    <row r="2281" spans="1:21" x14ac:dyDescent="0.2">
      <c r="A2281" s="64" t="str">
        <f t="shared" si="36"/>
        <v>1w</v>
      </c>
      <c r="B2281" s="203">
        <f>_xll.qlCalendarAdvance(Calendar,B2280,A2281,"f",FALSE)</f>
        <v>54876</v>
      </c>
      <c r="C2281" s="237">
        <f>_xll.qlCalendarAdvance(Calendar,B2281,NDays&amp;"D")</f>
        <v>54878</v>
      </c>
      <c r="D2281" s="202">
        <v>2.4305115262644478E-2</v>
      </c>
      <c r="E2281" s="202">
        <v>2.4147290284286527E-2</v>
      </c>
      <c r="U2281" s="204"/>
    </row>
    <row r="2282" spans="1:21" x14ac:dyDescent="0.2">
      <c r="A2282" s="64" t="str">
        <f t="shared" si="36"/>
        <v>1w</v>
      </c>
      <c r="B2282" s="203">
        <f>_xll.qlCalendarAdvance(Calendar,B2281,A2282,"f",FALSE)</f>
        <v>54883</v>
      </c>
      <c r="C2282" s="237">
        <f>_xll.qlCalendarAdvance(Calendar,B2282,NDays&amp;"D")</f>
        <v>54885</v>
      </c>
      <c r="D2282" s="202">
        <v>2.4305702609675819E-2</v>
      </c>
      <c r="E2282" s="202">
        <v>2.415184976827689E-2</v>
      </c>
      <c r="U2282" s="204"/>
    </row>
    <row r="2283" spans="1:21" x14ac:dyDescent="0.2">
      <c r="A2283" s="64" t="str">
        <f t="shared" si="36"/>
        <v>1w</v>
      </c>
      <c r="B2283" s="203">
        <f>_xll.qlCalendarAdvance(Calendar,B2282,A2283,"f",FALSE)</f>
        <v>54890</v>
      </c>
      <c r="C2283" s="237">
        <f>_xll.qlCalendarAdvance(Calendar,B2283,NDays&amp;"D")</f>
        <v>54892</v>
      </c>
      <c r="D2283" s="202">
        <v>2.4306254792696436E-2</v>
      </c>
      <c r="E2283" s="202">
        <v>2.4149319153119464E-2</v>
      </c>
      <c r="U2283" s="204"/>
    </row>
    <row r="2284" spans="1:21" x14ac:dyDescent="0.2">
      <c r="A2284" s="64" t="str">
        <f t="shared" si="36"/>
        <v>1w</v>
      </c>
      <c r="B2284" s="203">
        <f>_xll.qlCalendarAdvance(Calendar,B2283,A2284,"f",FALSE)</f>
        <v>54897</v>
      </c>
      <c r="C2284" s="237">
        <f>_xll.qlCalendarAdvance(Calendar,B2284,NDays&amp;"D")</f>
        <v>54899</v>
      </c>
      <c r="D2284" s="202">
        <v>2.4306771811676633E-2</v>
      </c>
      <c r="E2284" s="202">
        <v>2.4150281481576386E-2</v>
      </c>
      <c r="U2284" s="204"/>
    </row>
    <row r="2285" spans="1:21" x14ac:dyDescent="0.2">
      <c r="A2285" s="64" t="str">
        <f t="shared" si="36"/>
        <v>1w</v>
      </c>
      <c r="B2285" s="203">
        <f>_xll.qlCalendarAdvance(Calendar,B2284,A2285,"f",FALSE)</f>
        <v>54904</v>
      </c>
      <c r="C2285" s="237">
        <f>_xll.qlCalendarAdvance(Calendar,B2285,NDays&amp;"D")</f>
        <v>54906</v>
      </c>
      <c r="D2285" s="202">
        <v>2.4307253666588889E-2</v>
      </c>
      <c r="E2285" s="202">
        <v>2.4151209072620361E-2</v>
      </c>
      <c r="U2285" s="204"/>
    </row>
    <row r="2286" spans="1:21" x14ac:dyDescent="0.2">
      <c r="A2286" s="64" t="str">
        <f t="shared" si="36"/>
        <v>1w</v>
      </c>
      <c r="B2286" s="203">
        <f>_xll.qlCalendarAdvance(Calendar,B2285,A2286,"f",FALSE)</f>
        <v>54911</v>
      </c>
      <c r="C2286" s="237">
        <f>_xll.qlCalendarAdvance(Calendar,B2286,NDays&amp;"D")</f>
        <v>54913</v>
      </c>
      <c r="D2286" s="202">
        <v>2.4310210433872336E-2</v>
      </c>
      <c r="E2286" s="202">
        <v>2.4152101926331326E-2</v>
      </c>
      <c r="U2286" s="204"/>
    </row>
    <row r="2287" spans="1:21" x14ac:dyDescent="0.2">
      <c r="A2287" s="64" t="str">
        <f t="shared" si="36"/>
        <v>1w</v>
      </c>
      <c r="B2287" s="203">
        <f>_xll.qlCalendarAdvance(Calendar,B2286,A2287,"f",FALSE)</f>
        <v>54918</v>
      </c>
      <c r="C2287" s="237">
        <f>_xll.qlCalendarAdvance(Calendar,B2287,NDays&amp;"D")</f>
        <v>54920</v>
      </c>
      <c r="D2287" s="202">
        <v>2.4310614506739114E-2</v>
      </c>
      <c r="E2287" s="202">
        <v>2.4152960042869154E-2</v>
      </c>
      <c r="U2287" s="204"/>
    </row>
    <row r="2288" spans="1:21" x14ac:dyDescent="0.2">
      <c r="A2288" s="64" t="str">
        <f t="shared" si="36"/>
        <v>1w</v>
      </c>
      <c r="B2288" s="203">
        <f>_xll.qlCalendarAdvance(Calendar,B2287,A2288,"f",FALSE)</f>
        <v>54925</v>
      </c>
      <c r="C2288" s="237">
        <f>_xll.qlCalendarAdvance(Calendar,B2288,NDays&amp;"D")</f>
        <v>54927</v>
      </c>
      <c r="D2288" s="202">
        <v>2.4310983408384262E-2</v>
      </c>
      <c r="E2288" s="202">
        <v>2.4153783421914099E-2</v>
      </c>
      <c r="U2288" s="204"/>
    </row>
    <row r="2289" spans="1:21" x14ac:dyDescent="0.2">
      <c r="A2289" s="64" t="str">
        <f t="shared" si="36"/>
        <v>1w</v>
      </c>
      <c r="B2289" s="203">
        <f>_xll.qlCalendarAdvance(Calendar,B2288,A2289,"f",FALSE)</f>
        <v>54932</v>
      </c>
      <c r="C2289" s="237">
        <f>_xll.qlCalendarAdvance(Calendar,B2289,NDays&amp;"D")</f>
        <v>54934</v>
      </c>
      <c r="D2289" s="202">
        <v>2.4311317138787574E-2</v>
      </c>
      <c r="E2289" s="202">
        <v>2.4154572063626034E-2</v>
      </c>
      <c r="U2289" s="204"/>
    </row>
    <row r="2290" spans="1:21" x14ac:dyDescent="0.2">
      <c r="A2290" s="64" t="str">
        <f t="shared" si="36"/>
        <v>1w</v>
      </c>
      <c r="B2290" s="203">
        <f>_xll.qlCalendarAdvance(Calendar,B2289,A2290,"f",FALSE)</f>
        <v>54939</v>
      </c>
      <c r="C2290" s="237">
        <f>_xll.qlCalendarAdvance(Calendar,B2290,NDays&amp;"D")</f>
        <v>54941</v>
      </c>
      <c r="D2290" s="202">
        <v>2.4309135479306781E-2</v>
      </c>
      <c r="E2290" s="202">
        <v>2.4155325968084895E-2</v>
      </c>
      <c r="U2290" s="204"/>
    </row>
    <row r="2291" spans="1:21" x14ac:dyDescent="0.2">
      <c r="A2291" s="64" t="str">
        <f t="shared" si="36"/>
        <v>1w</v>
      </c>
      <c r="B2291" s="203">
        <f>_xll.qlCalendarAdvance(Calendar,B2290,A2291,"f",FALSE)</f>
        <v>54946</v>
      </c>
      <c r="C2291" s="237">
        <f>_xll.qlCalendarAdvance(Calendar,B2291,NDays&amp;"D")</f>
        <v>54948</v>
      </c>
      <c r="D2291" s="202">
        <v>2.4309406349342255E-2</v>
      </c>
      <c r="E2291" s="202">
        <v>2.4156045135210746E-2</v>
      </c>
      <c r="U2291" s="204"/>
    </row>
    <row r="2292" spans="1:21" x14ac:dyDescent="0.2">
      <c r="A2292" s="64" t="str">
        <f t="shared" si="36"/>
        <v>1w</v>
      </c>
      <c r="B2292" s="203">
        <f>_xll.qlCalendarAdvance(Calendar,B2291,A2292,"f",FALSE)</f>
        <v>54953</v>
      </c>
      <c r="C2292" s="237">
        <f>_xll.qlCalendarAdvance(Calendar,B2292,NDays&amp;"D")</f>
        <v>54955</v>
      </c>
      <c r="D2292" s="202">
        <v>2.4309642055170007E-2</v>
      </c>
      <c r="E2292" s="202">
        <v>2.4156729564923651E-2</v>
      </c>
      <c r="U2292" s="204"/>
    </row>
    <row r="2293" spans="1:21" x14ac:dyDescent="0.2">
      <c r="A2293" s="64" t="str">
        <f t="shared" si="36"/>
        <v>1w</v>
      </c>
      <c r="B2293" s="203">
        <f>_xll.qlCalendarAdvance(Calendar,B2292,A2293,"f",FALSE)</f>
        <v>54960</v>
      </c>
      <c r="C2293" s="237">
        <f>_xll.qlCalendarAdvance(Calendar,B2293,NDays&amp;"D")</f>
        <v>54962</v>
      </c>
      <c r="D2293" s="202">
        <v>2.430984259677868E-2</v>
      </c>
      <c r="E2293" s="202">
        <v>2.415737925722361E-2</v>
      </c>
      <c r="U2293" s="204"/>
    </row>
    <row r="2294" spans="1:21" x14ac:dyDescent="0.2">
      <c r="A2294" s="64" t="str">
        <f t="shared" si="36"/>
        <v>1w</v>
      </c>
      <c r="B2294" s="203">
        <f>_xll.qlCalendarAdvance(Calendar,B2293,A2294,"f",FALSE)</f>
        <v>54967</v>
      </c>
      <c r="C2294" s="237">
        <f>_xll.qlCalendarAdvance(Calendar,B2294,NDays&amp;"D")</f>
        <v>54969</v>
      </c>
      <c r="D2294" s="202">
        <v>2.4310007974156483E-2</v>
      </c>
      <c r="E2294" s="202">
        <v>2.4157994212350431E-2</v>
      </c>
      <c r="U2294" s="204"/>
    </row>
    <row r="2295" spans="1:21" x14ac:dyDescent="0.2">
      <c r="A2295" s="64" t="str">
        <f t="shared" si="36"/>
        <v>1w</v>
      </c>
      <c r="B2295" s="203">
        <f>_xll.qlCalendarAdvance(Calendar,B2294,A2295,"f",FALSE)</f>
        <v>54974</v>
      </c>
      <c r="C2295" s="237">
        <f>_xll.qlCalendarAdvance(Calendar,B2295,NDays&amp;"D")</f>
        <v>54976</v>
      </c>
      <c r="D2295" s="202">
        <v>2.4312580924267281E-2</v>
      </c>
      <c r="E2295" s="202">
        <v>2.415857442998437E-2</v>
      </c>
      <c r="U2295" s="204"/>
    </row>
    <row r="2296" spans="1:21" x14ac:dyDescent="0.2">
      <c r="A2296" s="64" t="str">
        <f t="shared" si="36"/>
        <v>1w</v>
      </c>
      <c r="B2296" s="203">
        <f>_xll.qlCalendarAdvance(Calendar,B2295,A2296,"f",FALSE)</f>
        <v>54981</v>
      </c>
      <c r="C2296" s="237">
        <f>_xll.qlCalendarAdvance(Calendar,B2296,NDays&amp;"D")</f>
        <v>54983</v>
      </c>
      <c r="D2296" s="202">
        <v>2.4312668455583667E-2</v>
      </c>
      <c r="E2296" s="202">
        <v>2.4159119910285298E-2</v>
      </c>
      <c r="U2296" s="204"/>
    </row>
    <row r="2297" spans="1:21" x14ac:dyDescent="0.2">
      <c r="A2297" s="64" t="str">
        <f t="shared" si="36"/>
        <v>1w</v>
      </c>
      <c r="B2297" s="203">
        <f>_xll.qlCalendarAdvance(Calendar,B2296,A2297,"f",FALSE)</f>
        <v>54988</v>
      </c>
      <c r="C2297" s="237">
        <f>_xll.qlCalendarAdvance(Calendar,B2297,NDays&amp;"D")</f>
        <v>54990</v>
      </c>
      <c r="D2297" s="202">
        <v>2.4312720815569264E-2</v>
      </c>
      <c r="E2297" s="202">
        <v>2.4159630653413089E-2</v>
      </c>
      <c r="U2297" s="204"/>
    </row>
    <row r="2298" spans="1:21" x14ac:dyDescent="0.2">
      <c r="A2298" s="64" t="str">
        <f t="shared" si="36"/>
        <v>1w</v>
      </c>
      <c r="B2298" s="203">
        <f>_xll.qlCalendarAdvance(Calendar,B2297,A2298,"f",FALSE)</f>
        <v>54995</v>
      </c>
      <c r="C2298" s="237">
        <f>_xll.qlCalendarAdvance(Calendar,B2298,NDays&amp;"D")</f>
        <v>54997</v>
      </c>
      <c r="D2298" s="202">
        <v>2.4312738004219337E-2</v>
      </c>
      <c r="E2298" s="202">
        <v>2.4160106659047997E-2</v>
      </c>
      <c r="U2298" s="204"/>
    </row>
    <row r="2299" spans="1:21" x14ac:dyDescent="0.2">
      <c r="A2299" s="64" t="str">
        <f t="shared" si="36"/>
        <v>1w</v>
      </c>
      <c r="B2299" s="203">
        <f>_xll.qlCalendarAdvance(Calendar,B2298,A2299,"f",FALSE)</f>
        <v>55002</v>
      </c>
      <c r="C2299" s="237">
        <f>_xll.qlCalendarAdvance(Calendar,B2299,NDays&amp;"D")</f>
        <v>55004</v>
      </c>
      <c r="D2299" s="202">
        <v>2.4312720021533459E-2</v>
      </c>
      <c r="E2299" s="202">
        <v>2.4160547927429832E-2</v>
      </c>
      <c r="U2299" s="204"/>
    </row>
    <row r="2300" spans="1:21" x14ac:dyDescent="0.2">
      <c r="A2300" s="64" t="str">
        <f t="shared" si="36"/>
        <v>1w</v>
      </c>
      <c r="B2300" s="203">
        <f>_xll.qlCalendarAdvance(Calendar,B2299,A2300,"f",FALSE)</f>
        <v>55009</v>
      </c>
      <c r="C2300" s="237">
        <f>_xll.qlCalendarAdvance(Calendar,B2300,NDays&amp;"D")</f>
        <v>55011</v>
      </c>
      <c r="D2300" s="202">
        <v>2.4312666867512059E-2</v>
      </c>
      <c r="E2300" s="202">
        <v>2.416095445839872E-2</v>
      </c>
      <c r="U2300" s="204"/>
    </row>
    <row r="2301" spans="1:21" x14ac:dyDescent="0.2">
      <c r="A2301" s="64" t="str">
        <f t="shared" si="36"/>
        <v>1w</v>
      </c>
      <c r="B2301" s="203">
        <f>_xll.qlCalendarAdvance(Calendar,B2300,A2301,"f",FALSE)</f>
        <v>55016</v>
      </c>
      <c r="C2301" s="237">
        <f>_xll.qlCalendarAdvance(Calendar,B2301,NDays&amp;"D")</f>
        <v>55018</v>
      </c>
      <c r="D2301" s="202">
        <v>2.4312578542159863E-2</v>
      </c>
      <c r="E2301" s="202">
        <v>2.416132625219447E-2</v>
      </c>
      <c r="U2301" s="204"/>
    </row>
    <row r="2302" spans="1:21" x14ac:dyDescent="0.2">
      <c r="A2302" s="64" t="str">
        <f t="shared" si="36"/>
        <v>1w</v>
      </c>
      <c r="B2302" s="203">
        <f>_xll.qlCalendarAdvance(Calendar,B2301,A2302,"f",FALSE)</f>
        <v>55023</v>
      </c>
      <c r="C2302" s="237">
        <f>_xll.qlCalendarAdvance(Calendar,B2302,NDays&amp;"D")</f>
        <v>55025</v>
      </c>
      <c r="D2302" s="202">
        <v>2.4312455045479887E-2</v>
      </c>
      <c r="E2302" s="202">
        <v>2.4161663308497339E-2</v>
      </c>
      <c r="U2302" s="204"/>
    </row>
    <row r="2303" spans="1:21" x14ac:dyDescent="0.2">
      <c r="A2303" s="64" t="str">
        <f t="shared" si="36"/>
        <v>1w</v>
      </c>
      <c r="B2303" s="203">
        <f>_xll.qlCalendarAdvance(Calendar,B2302,A2303,"f",FALSE)</f>
        <v>55030</v>
      </c>
      <c r="C2303" s="237">
        <f>_xll.qlCalendarAdvance(Calendar,B2303,NDays&amp;"D")</f>
        <v>55032</v>
      </c>
      <c r="D2303" s="202">
        <v>2.4308324685431145E-2</v>
      </c>
      <c r="E2303" s="202">
        <v>2.4161965627387261E-2</v>
      </c>
      <c r="U2303" s="204"/>
    </row>
    <row r="2304" spans="1:21" x14ac:dyDescent="0.2">
      <c r="A2304" s="64" t="str">
        <f t="shared" si="36"/>
        <v>1w</v>
      </c>
      <c r="B2304" s="203">
        <f>_xll.qlCalendarAdvance(Calendar,B2303,A2304,"f",FALSE)</f>
        <v>55037</v>
      </c>
      <c r="C2304" s="237">
        <f>_xll.qlCalendarAdvance(Calendar,B2304,NDays&amp;"D")</f>
        <v>55039</v>
      </c>
      <c r="D2304" s="202">
        <v>2.4308143468116401E-2</v>
      </c>
      <c r="E2304" s="202">
        <v>2.4162233209024109E-2</v>
      </c>
      <c r="U2304" s="204"/>
    </row>
    <row r="2305" spans="1:21" x14ac:dyDescent="0.2">
      <c r="A2305" s="64" t="str">
        <f t="shared" si="36"/>
        <v>1w</v>
      </c>
      <c r="B2305" s="203">
        <f>_xll.qlCalendarAdvance(Calendar,B2304,A2305,"f",FALSE)</f>
        <v>55044</v>
      </c>
      <c r="C2305" s="237">
        <f>_xll.qlCalendarAdvance(Calendar,B2305,NDays&amp;"D")</f>
        <v>55046</v>
      </c>
      <c r="D2305" s="202">
        <v>2.4307927091294968E-2</v>
      </c>
      <c r="E2305" s="202">
        <v>2.4162466053407883E-2</v>
      </c>
      <c r="U2305" s="204"/>
    </row>
    <row r="2306" spans="1:21" x14ac:dyDescent="0.2">
      <c r="A2306" s="64" t="str">
        <f t="shared" si="36"/>
        <v>1w</v>
      </c>
      <c r="B2306" s="203">
        <f>_xll.qlCalendarAdvance(Calendar,B2305,A2306,"f",FALSE)</f>
        <v>55051</v>
      </c>
      <c r="C2306" s="237">
        <f>_xll.qlCalendarAdvance(Calendar,B2306,NDays&amp;"D")</f>
        <v>55053</v>
      </c>
      <c r="D2306" s="202">
        <v>2.4307675554977887E-2</v>
      </c>
      <c r="E2306" s="202">
        <v>2.4162664160458647E-2</v>
      </c>
      <c r="U2306" s="204"/>
    </row>
    <row r="2307" spans="1:21" x14ac:dyDescent="0.2">
      <c r="A2307" s="64" t="str">
        <f t="shared" si="36"/>
        <v>1w</v>
      </c>
      <c r="B2307" s="203">
        <f>_xll.qlCalendarAdvance(Calendar,B2306,A2307,"f",FALSE)</f>
        <v>55058</v>
      </c>
      <c r="C2307" s="237">
        <f>_xll.qlCalendarAdvance(Calendar,B2307,NDays&amp;"D")</f>
        <v>55060</v>
      </c>
      <c r="D2307" s="202">
        <v>2.4307388859177527E-2</v>
      </c>
      <c r="E2307" s="202">
        <v>2.4162827530016528E-2</v>
      </c>
      <c r="U2307" s="204"/>
    </row>
    <row r="2308" spans="1:21" x14ac:dyDescent="0.2">
      <c r="A2308" s="64" t="str">
        <f t="shared" si="36"/>
        <v>1w</v>
      </c>
      <c r="B2308" s="203">
        <f>_xll.qlCalendarAdvance(Calendar,B2307,A2308,"f",FALSE)</f>
        <v>55065</v>
      </c>
      <c r="C2308" s="237">
        <f>_xll.qlCalendarAdvance(Calendar,B2308,NDays&amp;"D")</f>
        <v>55067</v>
      </c>
      <c r="D2308" s="202">
        <v>2.4307849111491076E-2</v>
      </c>
      <c r="E2308" s="202">
        <v>2.4162956162401272E-2</v>
      </c>
      <c r="U2308" s="204"/>
    </row>
    <row r="2309" spans="1:21" x14ac:dyDescent="0.2">
      <c r="A2309" s="64" t="str">
        <f t="shared" si="36"/>
        <v>1w</v>
      </c>
      <c r="B2309" s="203">
        <f>_xll.qlCalendarAdvance(Calendar,B2308,A2309,"f",FALSE)</f>
        <v>55072</v>
      </c>
      <c r="C2309" s="237">
        <f>_xll.qlCalendarAdvance(Calendar,B2309,NDays&amp;"D")</f>
        <v>55074</v>
      </c>
      <c r="D2309" s="202">
        <v>2.4307489561258853E-2</v>
      </c>
      <c r="E2309" s="202">
        <v>2.4163050057293134E-2</v>
      </c>
      <c r="U2309" s="204"/>
    </row>
    <row r="2310" spans="1:21" x14ac:dyDescent="0.2">
      <c r="A2310" s="64" t="str">
        <f t="shared" si="36"/>
        <v>1w</v>
      </c>
      <c r="B2310" s="203">
        <f>_xll.qlCalendarAdvance(Calendar,B2309,A2310,"f",FALSE)</f>
        <v>55079</v>
      </c>
      <c r="C2310" s="237">
        <f>_xll.qlCalendarAdvance(Calendar,B2310,NDays&amp;"D")</f>
        <v>55081</v>
      </c>
      <c r="D2310" s="202">
        <v>2.4307094849237543E-2</v>
      </c>
      <c r="E2310" s="202">
        <v>2.4163109214851985E-2</v>
      </c>
      <c r="U2310" s="204"/>
    </row>
    <row r="2311" spans="1:21" x14ac:dyDescent="0.2">
      <c r="A2311" s="64" t="str">
        <f t="shared" ref="A2311:A2374" si="37">A2310</f>
        <v>1w</v>
      </c>
      <c r="B2311" s="203">
        <f>_xll.qlCalendarAdvance(Calendar,B2310,A2311,"f",FALSE)</f>
        <v>55086</v>
      </c>
      <c r="C2311" s="237">
        <f>_xll.qlCalendarAdvance(Calendar,B2311,NDays&amp;"D")</f>
        <v>55088</v>
      </c>
      <c r="D2311" s="202">
        <v>2.4306664975446913E-2</v>
      </c>
      <c r="E2311" s="202">
        <v>2.4163133635157763E-2</v>
      </c>
      <c r="U2311" s="204"/>
    </row>
    <row r="2312" spans="1:21" x14ac:dyDescent="0.2">
      <c r="A2312" s="64" t="str">
        <f t="shared" si="37"/>
        <v>1w</v>
      </c>
      <c r="B2312" s="203">
        <f>_xll.qlCalendarAdvance(Calendar,B2311,A2312,"f",FALSE)</f>
        <v>55093</v>
      </c>
      <c r="C2312" s="237">
        <f>_xll.qlCalendarAdvance(Calendar,B2312,NDays&amp;"D")</f>
        <v>55095</v>
      </c>
      <c r="D2312" s="202">
        <v>2.4305427988536861E-2</v>
      </c>
      <c r="E2312" s="202">
        <v>2.4163123318050594E-2</v>
      </c>
      <c r="U2312" s="204"/>
    </row>
    <row r="2313" spans="1:21" x14ac:dyDescent="0.2">
      <c r="A2313" s="64" t="str">
        <f t="shared" si="37"/>
        <v>1w</v>
      </c>
      <c r="B2313" s="203">
        <f>_xll.qlCalendarAdvance(Calendar,B2312,A2313,"f",FALSE)</f>
        <v>55100</v>
      </c>
      <c r="C2313" s="237">
        <f>_xll.qlCalendarAdvance(Calendar,B2313,NDays&amp;"D")</f>
        <v>55102</v>
      </c>
      <c r="D2313" s="202">
        <v>2.430493033622369E-2</v>
      </c>
      <c r="E2313" s="202">
        <v>2.4163078263690352E-2</v>
      </c>
      <c r="U2313" s="204"/>
    </row>
    <row r="2314" spans="1:21" x14ac:dyDescent="0.2">
      <c r="A2314" s="64" t="str">
        <f t="shared" si="37"/>
        <v>1w</v>
      </c>
      <c r="B2314" s="203">
        <f>_xll.qlCalendarAdvance(Calendar,B2313,A2314,"f",FALSE)</f>
        <v>55107</v>
      </c>
      <c r="C2314" s="237">
        <f>_xll.qlCalendarAdvance(Calendar,B2314,NDays&amp;"D")</f>
        <v>55109</v>
      </c>
      <c r="D2314" s="202">
        <v>2.4304397524572096E-2</v>
      </c>
      <c r="E2314" s="202">
        <v>2.4162998471917163E-2</v>
      </c>
      <c r="U2314" s="204"/>
    </row>
    <row r="2315" spans="1:21" x14ac:dyDescent="0.2">
      <c r="A2315" s="64" t="str">
        <f t="shared" si="37"/>
        <v>1w</v>
      </c>
      <c r="B2315" s="203">
        <f>_xll.qlCalendarAdvance(Calendar,B2314,A2315,"f",FALSE)</f>
        <v>55114</v>
      </c>
      <c r="C2315" s="237">
        <f>_xll.qlCalendarAdvance(Calendar,B2315,NDays&amp;"D")</f>
        <v>55116</v>
      </c>
      <c r="D2315" s="202">
        <v>2.43038295536099E-2</v>
      </c>
      <c r="E2315" s="202">
        <v>2.4162883942731028E-2</v>
      </c>
      <c r="U2315" s="204"/>
    </row>
    <row r="2316" spans="1:21" x14ac:dyDescent="0.2">
      <c r="A2316" s="64" t="str">
        <f t="shared" si="37"/>
        <v>1w</v>
      </c>
      <c r="B2316" s="203">
        <f>_xll.qlCalendarAdvance(Calendar,B2315,A2316,"f",FALSE)</f>
        <v>55121</v>
      </c>
      <c r="C2316" s="237">
        <f>_xll.qlCalendarAdvance(Calendar,B2316,NDays&amp;"D")</f>
        <v>55123</v>
      </c>
      <c r="D2316" s="202">
        <v>2.4303988180826668E-2</v>
      </c>
      <c r="E2316" s="202">
        <v>2.4162734676371755E-2</v>
      </c>
      <c r="U2316" s="204"/>
    </row>
    <row r="2317" spans="1:21" x14ac:dyDescent="0.2">
      <c r="A2317" s="64" t="str">
        <f t="shared" si="37"/>
        <v>1w</v>
      </c>
      <c r="B2317" s="203">
        <f>_xll.qlCalendarAdvance(Calendar,B2316,A2317,"f",FALSE)</f>
        <v>55128</v>
      </c>
      <c r="C2317" s="237">
        <f>_xll.qlCalendarAdvance(Calendar,B2317,NDays&amp;"D")</f>
        <v>55130</v>
      </c>
      <c r="D2317" s="202">
        <v>2.4303347336966492E-2</v>
      </c>
      <c r="E2317" s="202">
        <v>2.4162550672599536E-2</v>
      </c>
      <c r="U2317" s="204"/>
    </row>
    <row r="2318" spans="1:21" x14ac:dyDescent="0.2">
      <c r="A2318" s="64" t="str">
        <f t="shared" si="37"/>
        <v>1w</v>
      </c>
      <c r="B2318" s="203">
        <f>_xll.qlCalendarAdvance(Calendar,B2317,A2318,"f",FALSE)</f>
        <v>55135</v>
      </c>
      <c r="C2318" s="237">
        <f>_xll.qlCalendarAdvance(Calendar,B2318,NDays&amp;"D")</f>
        <v>55137</v>
      </c>
      <c r="D2318" s="202">
        <v>2.4302671331534638E-2</v>
      </c>
      <c r="E2318" s="202">
        <v>2.4162331931494307E-2</v>
      </c>
      <c r="U2318" s="204"/>
    </row>
    <row r="2319" spans="1:21" x14ac:dyDescent="0.2">
      <c r="A2319" s="64" t="str">
        <f t="shared" si="37"/>
        <v>1w</v>
      </c>
      <c r="B2319" s="203">
        <f>_xll.qlCalendarAdvance(Calendar,B2318,A2319,"f",FALSE)</f>
        <v>55142</v>
      </c>
      <c r="C2319" s="237">
        <f>_xll.qlCalendarAdvance(Calendar,B2319,NDays&amp;"D")</f>
        <v>55144</v>
      </c>
      <c r="D2319" s="202">
        <v>2.4301960164567565E-2</v>
      </c>
      <c r="E2319" s="202">
        <v>2.4162078453056068E-2</v>
      </c>
      <c r="U2319" s="204"/>
    </row>
    <row r="2320" spans="1:21" x14ac:dyDescent="0.2">
      <c r="A2320" s="64" t="str">
        <f t="shared" si="37"/>
        <v>1w</v>
      </c>
      <c r="B2320" s="203">
        <f>_xll.qlCalendarAdvance(Calendar,B2319,A2320,"f",FALSE)</f>
        <v>55149</v>
      </c>
      <c r="C2320" s="237">
        <f>_xll.qlCalendarAdvance(Calendar,B2320,NDays&amp;"D")</f>
        <v>55151</v>
      </c>
      <c r="D2320" s="202">
        <v>2.4301213836102602E-2</v>
      </c>
      <c r="E2320" s="202">
        <v>2.4161790237284819E-2</v>
      </c>
      <c r="U2320" s="204"/>
    </row>
    <row r="2321" spans="1:21" x14ac:dyDescent="0.2">
      <c r="A2321" s="64" t="str">
        <f t="shared" si="37"/>
        <v>1w</v>
      </c>
      <c r="B2321" s="203">
        <f>_xll.qlCalendarAdvance(Calendar,B2320,A2321,"f",FALSE)</f>
        <v>55156</v>
      </c>
      <c r="C2321" s="237">
        <f>_xll.qlCalendarAdvance(Calendar,B2321,NDays&amp;"D")</f>
        <v>55158</v>
      </c>
      <c r="D2321" s="202">
        <v>2.4299683384112446E-2</v>
      </c>
      <c r="E2321" s="202">
        <v>2.4161467284020688E-2</v>
      </c>
      <c r="U2321" s="204"/>
    </row>
    <row r="2322" spans="1:21" x14ac:dyDescent="0.2">
      <c r="A2322" s="64" t="str">
        <f t="shared" si="37"/>
        <v>1w</v>
      </c>
      <c r="B2322" s="203">
        <f>_xll.qlCalendarAdvance(Calendar,B2321,A2322,"f",FALSE)</f>
        <v>55163</v>
      </c>
      <c r="C2322" s="237">
        <f>_xll.qlCalendarAdvance(Calendar,B2322,NDays&amp;"D")</f>
        <v>55165</v>
      </c>
      <c r="D2322" s="202">
        <v>2.4298869298913194E-2</v>
      </c>
      <c r="E2322" s="202">
        <v>2.4161109593583419E-2</v>
      </c>
      <c r="U2322" s="204"/>
    </row>
    <row r="2323" spans="1:21" x14ac:dyDescent="0.2">
      <c r="A2323" s="64" t="str">
        <f t="shared" si="37"/>
        <v>1w</v>
      </c>
      <c r="B2323" s="203">
        <f>_xll.qlCalendarAdvance(Calendar,B2322,A2323,"f",FALSE)</f>
        <v>55170</v>
      </c>
      <c r="C2323" s="237">
        <f>_xll.qlCalendarAdvance(Calendar,B2323,NDays&amp;"D")</f>
        <v>55172</v>
      </c>
      <c r="D2323" s="202">
        <v>2.4298020054693493E-2</v>
      </c>
      <c r="E2323" s="202">
        <v>2.4160717165733203E-2</v>
      </c>
      <c r="U2323" s="204"/>
    </row>
    <row r="2324" spans="1:21" x14ac:dyDescent="0.2">
      <c r="A2324" s="64" t="str">
        <f t="shared" si="37"/>
        <v>1w</v>
      </c>
      <c r="B2324" s="203">
        <f>_xll.qlCalendarAdvance(Calendar,B2323,A2324,"f",FALSE)</f>
        <v>55177</v>
      </c>
      <c r="C2324" s="237">
        <f>_xll.qlCalendarAdvance(Calendar,B2324,NDays&amp;"D")</f>
        <v>55179</v>
      </c>
      <c r="D2324" s="202">
        <v>2.4297135651497069E-2</v>
      </c>
      <c r="E2324" s="202">
        <v>2.4160290000629914E-2</v>
      </c>
      <c r="U2324" s="204"/>
    </row>
    <row r="2325" spans="1:21" x14ac:dyDescent="0.2">
      <c r="A2325" s="64" t="str">
        <f t="shared" si="37"/>
        <v>1w</v>
      </c>
      <c r="B2325" s="203">
        <f>_xll.qlCalendarAdvance(Calendar,B2324,A2325,"f",FALSE)</f>
        <v>55184</v>
      </c>
      <c r="C2325" s="237">
        <f>_xll.qlCalendarAdvance(Calendar,B2325,NDays&amp;"D")</f>
        <v>55186</v>
      </c>
      <c r="D2325" s="202">
        <v>2.4296216089370295E-2</v>
      </c>
      <c r="E2325" s="202">
        <v>2.4159828098113678E-2</v>
      </c>
      <c r="U2325" s="204"/>
    </row>
    <row r="2326" spans="1:21" x14ac:dyDescent="0.2">
      <c r="A2326" s="64" t="str">
        <f t="shared" si="37"/>
        <v>1w</v>
      </c>
      <c r="B2326" s="203">
        <f>_xll.qlCalendarAdvance(Calendar,B2325,A2326,"f",FALSE)</f>
        <v>55191</v>
      </c>
      <c r="C2326" s="237">
        <f>_xll.qlCalendarAdvance(Calendar,B2326,NDays&amp;"D")</f>
        <v>55193</v>
      </c>
      <c r="D2326" s="202">
        <v>2.4295261368361746E-2</v>
      </c>
      <c r="E2326" s="202">
        <v>2.4159331458264433E-2</v>
      </c>
      <c r="U2326" s="204"/>
    </row>
    <row r="2327" spans="1:21" x14ac:dyDescent="0.2">
      <c r="A2327" s="64" t="str">
        <f t="shared" si="37"/>
        <v>1w</v>
      </c>
      <c r="B2327" s="203">
        <f>_xll.qlCalendarAdvance(Calendar,B2326,A2327,"f",FALSE)</f>
        <v>55198</v>
      </c>
      <c r="C2327" s="237">
        <f>_xll.qlCalendarAdvance(Calendar,B2327,NDays&amp;"D")</f>
        <v>55200</v>
      </c>
      <c r="D2327" s="202">
        <v>2.4294271488521771E-2</v>
      </c>
      <c r="E2327" s="202">
        <v>2.4158800081082177E-2</v>
      </c>
      <c r="U2327" s="204"/>
    </row>
    <row r="2328" spans="1:21" x14ac:dyDescent="0.2">
      <c r="A2328" s="64" t="str">
        <f t="shared" si="37"/>
        <v>1w</v>
      </c>
      <c r="B2328" s="203">
        <f>_xll.qlCalendarAdvance(Calendar,B2327,A2328,"f",FALSE)</f>
        <v>55205</v>
      </c>
      <c r="C2328" s="237">
        <f>_xll.qlCalendarAdvance(Calendar,B2328,NDays&amp;"D")</f>
        <v>55207</v>
      </c>
      <c r="D2328" s="202">
        <v>2.429324644990204E-2</v>
      </c>
      <c r="E2328" s="202">
        <v>2.4158233966566911E-2</v>
      </c>
      <c r="U2328" s="204"/>
    </row>
    <row r="2329" spans="1:21" x14ac:dyDescent="0.2">
      <c r="A2329" s="64" t="str">
        <f t="shared" si="37"/>
        <v>1w</v>
      </c>
      <c r="B2329" s="203">
        <f>_xll.qlCalendarAdvance(Calendar,B2328,A2329,"f",FALSE)</f>
        <v>55212</v>
      </c>
      <c r="C2329" s="237">
        <f>_xll.qlCalendarAdvance(Calendar,B2329,NDays&amp;"D")</f>
        <v>55214</v>
      </c>
      <c r="D2329" s="202">
        <v>2.4295825942687057E-2</v>
      </c>
      <c r="E2329" s="202">
        <v>2.4157633114718635E-2</v>
      </c>
      <c r="U2329" s="204"/>
    </row>
    <row r="2330" spans="1:21" x14ac:dyDescent="0.2">
      <c r="A2330" s="64" t="str">
        <f t="shared" si="37"/>
        <v>1w</v>
      </c>
      <c r="B2330" s="203">
        <f>_xll.qlCalendarAdvance(Calendar,B2329,A2330,"f",FALSE)</f>
        <v>55219</v>
      </c>
      <c r="C2330" s="237">
        <f>_xll.qlCalendarAdvance(Calendar,B2330,NDays&amp;"D")</f>
        <v>55221</v>
      </c>
      <c r="D2330" s="202">
        <v>2.4294717658463093E-2</v>
      </c>
      <c r="E2330" s="202">
        <v>2.4156997525537349E-2</v>
      </c>
      <c r="U2330" s="204"/>
    </row>
    <row r="2331" spans="1:21" x14ac:dyDescent="0.2">
      <c r="A2331" s="64" t="str">
        <f t="shared" si="37"/>
        <v>1w</v>
      </c>
      <c r="B2331" s="203">
        <f>_xll.qlCalendarAdvance(Calendar,B2330,A2331,"f",FALSE)</f>
        <v>55226</v>
      </c>
      <c r="C2331" s="237">
        <f>_xll.qlCalendarAdvance(Calendar,B2331,NDays&amp;"D")</f>
        <v>55228</v>
      </c>
      <c r="D2331" s="202">
        <v>2.4293574203872726E-2</v>
      </c>
      <c r="E2331" s="202">
        <v>2.4156327199023053E-2</v>
      </c>
      <c r="U2331" s="204"/>
    </row>
    <row r="2332" spans="1:21" x14ac:dyDescent="0.2">
      <c r="A2332" s="64" t="str">
        <f t="shared" si="37"/>
        <v>1w</v>
      </c>
      <c r="B2332" s="203">
        <f>_xll.qlCalendarAdvance(Calendar,B2331,A2332,"f",FALSE)</f>
        <v>55233</v>
      </c>
      <c r="C2332" s="237">
        <f>_xll.qlCalendarAdvance(Calendar,B2332,NDays&amp;"D")</f>
        <v>55235</v>
      </c>
      <c r="D2332" s="202">
        <v>2.4292395578978269E-2</v>
      </c>
      <c r="E2332" s="202">
        <v>2.4155622135015875E-2</v>
      </c>
      <c r="U2332" s="204"/>
    </row>
    <row r="2333" spans="1:21" x14ac:dyDescent="0.2">
      <c r="A2333" s="64" t="str">
        <f t="shared" si="37"/>
        <v>1w</v>
      </c>
      <c r="B2333" s="203">
        <f>_xll.qlCalendarAdvance(Calendar,B2332,A2333,"f",FALSE)</f>
        <v>55240</v>
      </c>
      <c r="C2333" s="237">
        <f>_xll.qlCalendarAdvance(Calendar,B2333,NDays&amp;"D")</f>
        <v>55242</v>
      </c>
      <c r="D2333" s="202">
        <v>2.428902968744303E-2</v>
      </c>
      <c r="E2333" s="202">
        <v>2.4157905466955398E-2</v>
      </c>
      <c r="U2333" s="204"/>
    </row>
    <row r="2334" spans="1:21" x14ac:dyDescent="0.2">
      <c r="A2334" s="64" t="str">
        <f t="shared" si="37"/>
        <v>1w</v>
      </c>
      <c r="B2334" s="203">
        <f>_xll.qlCalendarAdvance(Calendar,B2333,A2334,"f",FALSE)</f>
        <v>55247</v>
      </c>
      <c r="C2334" s="237">
        <f>_xll.qlCalendarAdvance(Calendar,B2334,NDays&amp;"D")</f>
        <v>55249</v>
      </c>
      <c r="D2334" s="202">
        <v>2.4287788508277904E-2</v>
      </c>
      <c r="E2334" s="202">
        <v>2.4154107795402169E-2</v>
      </c>
      <c r="U2334" s="204"/>
    </row>
    <row r="2335" spans="1:21" x14ac:dyDescent="0.2">
      <c r="A2335" s="64" t="str">
        <f t="shared" si="37"/>
        <v>1w</v>
      </c>
      <c r="B2335" s="203">
        <f>_xll.qlCalendarAdvance(Calendar,B2334,A2335,"f",FALSE)</f>
        <v>55254</v>
      </c>
      <c r="C2335" s="237">
        <f>_xll.qlCalendarAdvance(Calendar,B2335,NDays&amp;"D")</f>
        <v>55256</v>
      </c>
      <c r="D2335" s="202">
        <v>2.4286512166051242E-2</v>
      </c>
      <c r="E2335" s="202">
        <v>2.4153298519475896E-2</v>
      </c>
      <c r="U2335" s="204"/>
    </row>
    <row r="2336" spans="1:21" x14ac:dyDescent="0.2">
      <c r="A2336" s="64" t="str">
        <f t="shared" si="37"/>
        <v>1w</v>
      </c>
      <c r="B2336" s="203">
        <f>_xll.qlCalendarAdvance(Calendar,B2335,A2336,"f",FALSE)</f>
        <v>55261</v>
      </c>
      <c r="C2336" s="237">
        <f>_xll.qlCalendarAdvance(Calendar,B2336,NDays&amp;"D")</f>
        <v>55263</v>
      </c>
      <c r="D2336" s="202">
        <v>2.428520066082944E-2</v>
      </c>
      <c r="E2336" s="202">
        <v>2.4152454506216614E-2</v>
      </c>
      <c r="U2336" s="204"/>
    </row>
    <row r="2337" spans="1:21" x14ac:dyDescent="0.2">
      <c r="A2337" s="64" t="str">
        <f t="shared" si="37"/>
        <v>1w</v>
      </c>
      <c r="B2337" s="203">
        <f>_xll.qlCalendarAdvance(Calendar,B2336,A2337,"f",FALSE)</f>
        <v>55268</v>
      </c>
      <c r="C2337" s="237">
        <f>_xll.qlCalendarAdvance(Calendar,B2337,NDays&amp;"D")</f>
        <v>55270</v>
      </c>
      <c r="D2337" s="202">
        <v>2.4283853992683263E-2</v>
      </c>
      <c r="E2337" s="202">
        <v>2.4151575755704258E-2</v>
      </c>
      <c r="U2337" s="204"/>
    </row>
    <row r="2338" spans="1:21" x14ac:dyDescent="0.2">
      <c r="A2338" s="64" t="str">
        <f t="shared" si="37"/>
        <v>1w</v>
      </c>
      <c r="B2338" s="203">
        <f>_xll.qlCalendarAdvance(Calendar,B2337,A2338,"f",FALSE)</f>
        <v>55275</v>
      </c>
      <c r="C2338" s="237">
        <f>_xll.qlCalendarAdvance(Calendar,B2338,NDays&amp;"D")</f>
        <v>55277</v>
      </c>
      <c r="D2338" s="202">
        <v>2.4284585256913474E-2</v>
      </c>
      <c r="E2338" s="202">
        <v>2.4150662267778955E-2</v>
      </c>
      <c r="U2338" s="204"/>
    </row>
    <row r="2339" spans="1:21" x14ac:dyDescent="0.2">
      <c r="A2339" s="64" t="str">
        <f t="shared" si="37"/>
        <v>1w</v>
      </c>
      <c r="B2339" s="203">
        <f>_xll.qlCalendarAdvance(Calendar,B2338,A2339,"f",FALSE)</f>
        <v>55282</v>
      </c>
      <c r="C2339" s="237">
        <f>_xll.qlCalendarAdvance(Calendar,B2339,NDays&amp;"D")</f>
        <v>55284</v>
      </c>
      <c r="D2339" s="202">
        <v>2.4283160441773626E-2</v>
      </c>
      <c r="E2339" s="202">
        <v>2.4149714042520642E-2</v>
      </c>
      <c r="U2339" s="204"/>
    </row>
    <row r="2340" spans="1:21" x14ac:dyDescent="0.2">
      <c r="A2340" s="64" t="str">
        <f t="shared" si="37"/>
        <v>1w</v>
      </c>
      <c r="B2340" s="203">
        <f>_xll.qlCalendarAdvance(Calendar,B2339,A2340,"f",FALSE)</f>
        <v>55289</v>
      </c>
      <c r="C2340" s="237">
        <f>_xll.qlCalendarAdvance(Calendar,B2340,NDays&amp;"D")</f>
        <v>55291</v>
      </c>
      <c r="D2340" s="202">
        <v>2.4281700456890098E-2</v>
      </c>
      <c r="E2340" s="202">
        <v>2.414873107992932E-2</v>
      </c>
      <c r="U2340" s="204"/>
    </row>
    <row r="2341" spans="1:21" x14ac:dyDescent="0.2">
      <c r="A2341" s="64" t="str">
        <f t="shared" si="37"/>
        <v>1w</v>
      </c>
      <c r="B2341" s="203">
        <f>_xll.qlCalendarAdvance(Calendar,B2340,A2341,"f",FALSE)</f>
        <v>55296</v>
      </c>
      <c r="C2341" s="237">
        <f>_xll.qlCalendarAdvance(Calendar,B2341,NDays&amp;"D")</f>
        <v>55298</v>
      </c>
      <c r="D2341" s="202">
        <v>2.42802053023424E-2</v>
      </c>
      <c r="E2341" s="202">
        <v>2.4147713380084923E-2</v>
      </c>
      <c r="U2341" s="204"/>
    </row>
    <row r="2342" spans="1:21" x14ac:dyDescent="0.2">
      <c r="A2342" s="64" t="str">
        <f t="shared" si="37"/>
        <v>1w</v>
      </c>
      <c r="B2342" s="203">
        <f>_xll.qlCalendarAdvance(Calendar,B2341,A2342,"f",FALSE)</f>
        <v>55303</v>
      </c>
      <c r="C2342" s="237">
        <f>_xll.qlCalendarAdvance(Calendar,B2342,NDays&amp;"D")</f>
        <v>55305</v>
      </c>
      <c r="D2342" s="202">
        <v>2.4276593210635966E-2</v>
      </c>
      <c r="E2342" s="202">
        <v>2.414666094282758E-2</v>
      </c>
      <c r="U2342" s="204"/>
    </row>
    <row r="2343" spans="1:21" x14ac:dyDescent="0.2">
      <c r="A2343" s="64" t="str">
        <f t="shared" si="37"/>
        <v>1w</v>
      </c>
      <c r="B2343" s="203">
        <f>_xll.qlCalendarAdvance(Calendar,B2342,A2343,"f",FALSE)</f>
        <v>55310</v>
      </c>
      <c r="C2343" s="237">
        <f>_xll.qlCalendarAdvance(Calendar,B2343,NDays&amp;"D")</f>
        <v>55312</v>
      </c>
      <c r="D2343" s="202">
        <v>2.4275035566502071E-2</v>
      </c>
      <c r="E2343" s="202">
        <v>2.4145573768157291E-2</v>
      </c>
      <c r="U2343" s="204"/>
    </row>
    <row r="2344" spans="1:21" x14ac:dyDescent="0.2">
      <c r="A2344" s="64" t="str">
        <f t="shared" si="37"/>
        <v>1w</v>
      </c>
      <c r="B2344" s="203">
        <f>_xll.qlCalendarAdvance(Calendar,B2343,A2344,"f",FALSE)</f>
        <v>55317</v>
      </c>
      <c r="C2344" s="237">
        <f>_xll.qlCalendarAdvance(Calendar,B2344,NDays&amp;"D")</f>
        <v>55319</v>
      </c>
      <c r="D2344" s="202">
        <v>2.4273442759981952E-2</v>
      </c>
      <c r="E2344" s="202">
        <v>2.4144451856233928E-2</v>
      </c>
      <c r="U2344" s="204"/>
    </row>
    <row r="2345" spans="1:21" x14ac:dyDescent="0.2">
      <c r="A2345" s="64" t="str">
        <f t="shared" si="37"/>
        <v>1w</v>
      </c>
      <c r="B2345" s="203">
        <f>_xll.qlCalendarAdvance(Calendar,B2344,A2345,"f",FALSE)</f>
        <v>55324</v>
      </c>
      <c r="C2345" s="237">
        <f>_xll.qlCalendarAdvance(Calendar,B2345,NDays&amp;"D")</f>
        <v>55326</v>
      </c>
      <c r="D2345" s="202">
        <v>2.4271814791159033E-2</v>
      </c>
      <c r="E2345" s="202">
        <v>2.4143295206977555E-2</v>
      </c>
      <c r="U2345" s="204"/>
    </row>
    <row r="2346" spans="1:21" x14ac:dyDescent="0.2">
      <c r="A2346" s="64" t="str">
        <f t="shared" si="37"/>
        <v>1w</v>
      </c>
      <c r="B2346" s="203">
        <f>_xll.qlCalendarAdvance(Calendar,B2345,A2346,"f",FALSE)</f>
        <v>55331</v>
      </c>
      <c r="C2346" s="237">
        <f>_xll.qlCalendarAdvance(Calendar,B2346,NDays&amp;"D")</f>
        <v>55333</v>
      </c>
      <c r="D2346" s="202">
        <v>2.4270151660120681E-2</v>
      </c>
      <c r="E2346" s="202">
        <v>2.4142103820468108E-2</v>
      </c>
      <c r="U2346" s="204"/>
    </row>
    <row r="2347" spans="1:21" x14ac:dyDescent="0.2">
      <c r="A2347" s="64" t="str">
        <f t="shared" si="37"/>
        <v>1w</v>
      </c>
      <c r="B2347" s="203">
        <f>_xll.qlCalendarAdvance(Calendar,B2346,A2347,"f",FALSE)</f>
        <v>55338</v>
      </c>
      <c r="C2347" s="237">
        <f>_xll.qlCalendarAdvance(Calendar,B2347,NDays&amp;"D")</f>
        <v>55340</v>
      </c>
      <c r="D2347" s="202">
        <v>2.4270495816732469E-2</v>
      </c>
      <c r="E2347" s="202">
        <v>2.4140877696465779E-2</v>
      </c>
      <c r="U2347" s="204"/>
    </row>
    <row r="2348" spans="1:21" x14ac:dyDescent="0.2">
      <c r="A2348" s="64" t="str">
        <f t="shared" si="37"/>
        <v>1w</v>
      </c>
      <c r="B2348" s="203">
        <f>_xll.qlCalendarAdvance(Calendar,B2347,A2348,"f",FALSE)</f>
        <v>55345</v>
      </c>
      <c r="C2348" s="237">
        <f>_xll.qlCalendarAdvance(Calendar,B2348,NDays&amp;"D")</f>
        <v>55347</v>
      </c>
      <c r="D2348" s="202">
        <v>2.4268754476891117E-2</v>
      </c>
      <c r="E2348" s="202">
        <v>2.4139616835290312E-2</v>
      </c>
      <c r="U2348" s="204"/>
    </row>
    <row r="2349" spans="1:21" x14ac:dyDescent="0.2">
      <c r="A2349" s="64" t="str">
        <f t="shared" si="37"/>
        <v>1w</v>
      </c>
      <c r="B2349" s="203">
        <f>_xll.qlCalendarAdvance(Calendar,B2348,A2349,"f",FALSE)</f>
        <v>55352</v>
      </c>
      <c r="C2349" s="237">
        <f>_xll.qlCalendarAdvance(Calendar,B2349,NDays&amp;"D")</f>
        <v>55354</v>
      </c>
      <c r="D2349" s="202">
        <v>2.4266977968081381E-2</v>
      </c>
      <c r="E2349" s="202">
        <v>2.4138321236701898E-2</v>
      </c>
      <c r="U2349" s="204"/>
    </row>
    <row r="2350" spans="1:21" x14ac:dyDescent="0.2">
      <c r="A2350" s="64" t="str">
        <f t="shared" si="37"/>
        <v>1w</v>
      </c>
      <c r="B2350" s="203">
        <f>_xll.qlCalendarAdvance(Calendar,B2349,A2350,"f",FALSE)</f>
        <v>55359</v>
      </c>
      <c r="C2350" s="237">
        <f>_xll.qlCalendarAdvance(Calendar,B2350,NDays&amp;"D")</f>
        <v>55361</v>
      </c>
      <c r="D2350" s="202">
        <v>2.4265166290399098E-2</v>
      </c>
      <c r="E2350" s="202">
        <v>2.4136990900700539E-2</v>
      </c>
      <c r="U2350" s="204"/>
    </row>
    <row r="2351" spans="1:21" x14ac:dyDescent="0.2">
      <c r="A2351" s="64" t="str">
        <f t="shared" si="37"/>
        <v>1w</v>
      </c>
      <c r="B2351" s="203">
        <f>_xll.qlCalendarAdvance(Calendar,B2350,A2351,"f",FALSE)</f>
        <v>55366</v>
      </c>
      <c r="C2351" s="237">
        <f>_xll.qlCalendarAdvance(Calendar,B2351,NDays&amp;"D")</f>
        <v>55368</v>
      </c>
      <c r="D2351" s="202">
        <v>2.426331944394269E-2</v>
      </c>
      <c r="E2351" s="202">
        <v>2.4135625827446106E-2</v>
      </c>
      <c r="U2351" s="204"/>
    </row>
    <row r="2352" spans="1:21" x14ac:dyDescent="0.2">
      <c r="A2352" s="64" t="str">
        <f t="shared" si="37"/>
        <v>1w</v>
      </c>
      <c r="B2352" s="203">
        <f>_xll.qlCalendarAdvance(Calendar,B2351,A2352,"f",FALSE)</f>
        <v>55373</v>
      </c>
      <c r="C2352" s="237">
        <f>_xll.qlCalendarAdvance(Calendar,B2352,NDays&amp;"D")</f>
        <v>55375</v>
      </c>
      <c r="D2352" s="202">
        <v>2.4261437428811424E-2</v>
      </c>
      <c r="E2352" s="202">
        <v>2.4134226016858662E-2</v>
      </c>
      <c r="U2352" s="204"/>
    </row>
    <row r="2353" spans="1:21" x14ac:dyDescent="0.2">
      <c r="A2353" s="64" t="str">
        <f t="shared" si="37"/>
        <v>1w</v>
      </c>
      <c r="B2353" s="203">
        <f>_xll.qlCalendarAdvance(Calendar,B2352,A2353,"f",FALSE)</f>
        <v>55380</v>
      </c>
      <c r="C2353" s="237">
        <f>_xll.qlCalendarAdvance(Calendar,B2353,NDays&amp;"D")</f>
        <v>55382</v>
      </c>
      <c r="D2353" s="202">
        <v>2.4259520245105439E-2</v>
      </c>
      <c r="E2353" s="202">
        <v>2.4132791469018144E-2</v>
      </c>
      <c r="U2353" s="204"/>
    </row>
    <row r="2354" spans="1:21" x14ac:dyDescent="0.2">
      <c r="A2354" s="64" t="str">
        <f t="shared" si="37"/>
        <v>1w</v>
      </c>
      <c r="B2354" s="203">
        <f>_xll.qlCalendarAdvance(Calendar,B2353,A2354,"f",FALSE)</f>
        <v>55387</v>
      </c>
      <c r="C2354" s="237">
        <f>_xll.qlCalendarAdvance(Calendar,B2354,NDays&amp;"D")</f>
        <v>55389</v>
      </c>
      <c r="D2354" s="202">
        <v>2.4257567892929169E-2</v>
      </c>
      <c r="E2354" s="202">
        <v>2.4131322183684745E-2</v>
      </c>
      <c r="U2354" s="204"/>
    </row>
    <row r="2355" spans="1:21" x14ac:dyDescent="0.2">
      <c r="A2355" s="64" t="str">
        <f t="shared" si="37"/>
        <v>1w</v>
      </c>
      <c r="B2355" s="203">
        <f>_xll.qlCalendarAdvance(Calendar,B2354,A2355,"f",FALSE)</f>
        <v>55394</v>
      </c>
      <c r="C2355" s="237">
        <f>_xll.qlCalendarAdvance(Calendar,B2355,NDays&amp;"D")</f>
        <v>55396</v>
      </c>
      <c r="D2355" s="202">
        <v>2.4252941023930857E-2</v>
      </c>
      <c r="E2355" s="202">
        <v>2.4129818161018335E-2</v>
      </c>
      <c r="U2355" s="204"/>
    </row>
    <row r="2356" spans="1:21" x14ac:dyDescent="0.2">
      <c r="A2356" s="64" t="str">
        <f t="shared" si="37"/>
        <v>1w</v>
      </c>
      <c r="B2356" s="203">
        <f>_xll.qlCalendarAdvance(Calendar,B2355,A2356,"f",FALSE)</f>
        <v>55401</v>
      </c>
      <c r="C2356" s="237">
        <f>_xll.qlCalendarAdvance(Calendar,B2356,NDays&amp;"D")</f>
        <v>55403</v>
      </c>
      <c r="D2356" s="202">
        <v>2.4250928922116465E-2</v>
      </c>
      <c r="E2356" s="202">
        <v>2.4128279401178787E-2</v>
      </c>
      <c r="U2356" s="204"/>
    </row>
    <row r="2357" spans="1:21" x14ac:dyDescent="0.2">
      <c r="A2357" s="64" t="str">
        <f t="shared" si="37"/>
        <v>1w</v>
      </c>
      <c r="B2357" s="203">
        <f>_xll.qlCalendarAdvance(Calendar,B2356,A2357,"f",FALSE)</f>
        <v>55408</v>
      </c>
      <c r="C2357" s="237">
        <f>_xll.qlCalendarAdvance(Calendar,B2357,NDays&amp;"D")</f>
        <v>55410</v>
      </c>
      <c r="D2357" s="202">
        <v>2.4248881661492579E-2</v>
      </c>
      <c r="E2357" s="202">
        <v>2.4126705903926293E-2</v>
      </c>
      <c r="U2357" s="204"/>
    </row>
    <row r="2358" spans="1:21" x14ac:dyDescent="0.2">
      <c r="A2358" s="64" t="str">
        <f t="shared" si="37"/>
        <v>1w</v>
      </c>
      <c r="B2358" s="203">
        <f>_xll.qlCalendarAdvance(Calendar,B2357,A2358,"f",FALSE)</f>
        <v>55415</v>
      </c>
      <c r="C2358" s="237">
        <f>_xll.qlCalendarAdvance(Calendar,B2358,NDays&amp;"D")</f>
        <v>55417</v>
      </c>
      <c r="D2358" s="202">
        <v>2.4246799242166373E-2</v>
      </c>
      <c r="E2358" s="202">
        <v>2.4125097669340789E-2</v>
      </c>
      <c r="U2358" s="204"/>
    </row>
    <row r="2359" spans="1:21" x14ac:dyDescent="0.2">
      <c r="A2359" s="64" t="str">
        <f t="shared" si="37"/>
        <v>1w</v>
      </c>
      <c r="B2359" s="203">
        <f>_xll.qlCalendarAdvance(Calendar,B2358,A2359,"f",FALSE)</f>
        <v>55422</v>
      </c>
      <c r="C2359" s="237">
        <f>_xll.qlCalendarAdvance(Calendar,B2359,NDays&amp;"D")</f>
        <v>55424</v>
      </c>
      <c r="D2359" s="202">
        <v>2.4244681664248521E-2</v>
      </c>
      <c r="E2359" s="202">
        <v>2.4123454697502211E-2</v>
      </c>
      <c r="U2359" s="204"/>
    </row>
    <row r="2360" spans="1:21" x14ac:dyDescent="0.2">
      <c r="A2360" s="64" t="str">
        <f t="shared" si="37"/>
        <v>1w</v>
      </c>
      <c r="B2360" s="203">
        <f>_xll.qlCalendarAdvance(Calendar,B2359,A2360,"f",FALSE)</f>
        <v>55429</v>
      </c>
      <c r="C2360" s="237">
        <f>_xll.qlCalendarAdvance(Calendar,B2360,NDays&amp;"D")</f>
        <v>55431</v>
      </c>
      <c r="D2360" s="202">
        <v>2.4243175845619164E-2</v>
      </c>
      <c r="E2360" s="202">
        <v>2.4121776988170751E-2</v>
      </c>
      <c r="U2360" s="204"/>
    </row>
    <row r="2361" spans="1:21" x14ac:dyDescent="0.2">
      <c r="A2361" s="64" t="str">
        <f t="shared" si="37"/>
        <v>1w</v>
      </c>
      <c r="B2361" s="203">
        <f>_xll.qlCalendarAdvance(Calendar,B2360,A2361,"f",FALSE)</f>
        <v>55436</v>
      </c>
      <c r="C2361" s="237">
        <f>_xll.qlCalendarAdvance(Calendar,B2361,NDays&amp;"D")</f>
        <v>55438</v>
      </c>
      <c r="D2361" s="202">
        <v>2.4240985292954001E-2</v>
      </c>
      <c r="E2361" s="202">
        <v>2.4120064541586217E-2</v>
      </c>
      <c r="U2361" s="204"/>
    </row>
    <row r="2362" spans="1:21" x14ac:dyDescent="0.2">
      <c r="A2362" s="64" t="str">
        <f t="shared" si="37"/>
        <v>1w</v>
      </c>
      <c r="B2362" s="203">
        <f>_xll.qlCalendarAdvance(Calendar,B2361,A2362,"f",FALSE)</f>
        <v>55443</v>
      </c>
      <c r="C2362" s="237">
        <f>_xll.qlCalendarAdvance(Calendar,B2362,NDays&amp;"D")</f>
        <v>55445</v>
      </c>
      <c r="D2362" s="202">
        <v>2.4241323719707233E-2</v>
      </c>
      <c r="E2362" s="202">
        <v>2.4118317357668673E-2</v>
      </c>
      <c r="U2362" s="204"/>
    </row>
    <row r="2363" spans="1:21" x14ac:dyDescent="0.2">
      <c r="A2363" s="64" t="str">
        <f t="shared" si="37"/>
        <v>1w</v>
      </c>
      <c r="B2363" s="203">
        <f>_xll.qlCalendarAdvance(Calendar,B2362,A2363,"f",FALSE)</f>
        <v>55450</v>
      </c>
      <c r="C2363" s="237">
        <f>_xll.qlCalendarAdvance(Calendar,B2363,NDays&amp;"D")</f>
        <v>55452</v>
      </c>
      <c r="D2363" s="202">
        <v>2.4236498705994126E-2</v>
      </c>
      <c r="E2363" s="202">
        <v>2.411653543657799E-2</v>
      </c>
      <c r="U2363" s="204"/>
    </row>
    <row r="2364" spans="1:21" x14ac:dyDescent="0.2">
      <c r="A2364" s="64" t="str">
        <f t="shared" si="37"/>
        <v>1w</v>
      </c>
      <c r="B2364" s="203">
        <f>_xll.qlCalendarAdvance(Calendar,B2363,A2364,"f",FALSE)</f>
        <v>55457</v>
      </c>
      <c r="C2364" s="237">
        <f>_xll.qlCalendarAdvance(Calendar,B2364,NDays&amp;"D")</f>
        <v>55459</v>
      </c>
      <c r="D2364" s="202">
        <v>2.4233566399747178E-2</v>
      </c>
      <c r="E2364" s="202">
        <v>2.411471877791449E-2</v>
      </c>
      <c r="U2364" s="204"/>
    </row>
    <row r="2365" spans="1:21" x14ac:dyDescent="0.2">
      <c r="A2365" s="64" t="str">
        <f t="shared" si="37"/>
        <v>1w</v>
      </c>
      <c r="B2365" s="203">
        <f>_xll.qlCalendarAdvance(Calendar,B2364,A2365,"f",FALSE)</f>
        <v>55464</v>
      </c>
      <c r="C2365" s="237">
        <f>_xll.qlCalendarAdvance(Calendar,B2365,NDays&amp;"D")</f>
        <v>55466</v>
      </c>
      <c r="D2365" s="202">
        <v>2.4231237872684584E-2</v>
      </c>
      <c r="E2365" s="202">
        <v>2.4112867382077852E-2</v>
      </c>
      <c r="U2365" s="204"/>
    </row>
    <row r="2366" spans="1:21" x14ac:dyDescent="0.2">
      <c r="A2366" s="64" t="str">
        <f t="shared" si="37"/>
        <v>1w</v>
      </c>
      <c r="B2366" s="203">
        <f>_xll.qlCalendarAdvance(Calendar,B2365,A2366,"f",FALSE)</f>
        <v>55471</v>
      </c>
      <c r="C2366" s="237">
        <f>_xll.qlCalendarAdvance(Calendar,B2366,NDays&amp;"D")</f>
        <v>55473</v>
      </c>
      <c r="D2366" s="202">
        <v>2.422887418784947E-2</v>
      </c>
      <c r="E2366" s="202">
        <v>2.4110981248908203E-2</v>
      </c>
      <c r="U2366" s="204"/>
    </row>
    <row r="2367" spans="1:21" x14ac:dyDescent="0.2">
      <c r="A2367" s="64" t="str">
        <f t="shared" si="37"/>
        <v>1w</v>
      </c>
      <c r="B2367" s="203">
        <f>_xll.qlCalendarAdvance(Calendar,B2366,A2367,"f",FALSE)</f>
        <v>55478</v>
      </c>
      <c r="C2367" s="237">
        <f>_xll.qlCalendarAdvance(Calendar,B2367,NDays&amp;"D")</f>
        <v>55480</v>
      </c>
      <c r="D2367" s="202">
        <v>2.4226475345366573E-2</v>
      </c>
      <c r="E2367" s="202">
        <v>2.4109060378325609E-2</v>
      </c>
      <c r="U2367" s="204"/>
    </row>
    <row r="2368" spans="1:21" x14ac:dyDescent="0.2">
      <c r="A2368" s="64" t="str">
        <f t="shared" si="37"/>
        <v>1w</v>
      </c>
      <c r="B2368" s="203">
        <f>_xll.qlCalendarAdvance(Calendar,B2367,A2368,"f",FALSE)</f>
        <v>55485</v>
      </c>
      <c r="C2368" s="237">
        <f>_xll.qlCalendarAdvance(Calendar,B2368,NDays&amp;"D")</f>
        <v>55487</v>
      </c>
      <c r="D2368" s="202">
        <v>2.4224666934709878E-2</v>
      </c>
      <c r="E2368" s="202">
        <v>2.4107104770410004E-2</v>
      </c>
      <c r="U2368" s="204"/>
    </row>
    <row r="2369" spans="1:21" x14ac:dyDescent="0.2">
      <c r="A2369" s="64" t="str">
        <f t="shared" si="37"/>
        <v>1w</v>
      </c>
      <c r="B2369" s="203">
        <f>_xll.qlCalendarAdvance(Calendar,B2368,A2369,"f",FALSE)</f>
        <v>55492</v>
      </c>
      <c r="C2369" s="237">
        <f>_xll.qlCalendarAdvance(Calendar,B2369,NDays&amp;"D")</f>
        <v>55494</v>
      </c>
      <c r="D2369" s="202">
        <v>2.422219510078763E-2</v>
      </c>
      <c r="E2369" s="202">
        <v>2.4105114425241325E-2</v>
      </c>
      <c r="U2369" s="204"/>
    </row>
    <row r="2370" spans="1:21" x14ac:dyDescent="0.2">
      <c r="A2370" s="64" t="str">
        <f t="shared" si="37"/>
        <v>1w</v>
      </c>
      <c r="B2370" s="203">
        <f>_xll.qlCalendarAdvance(Calendar,B2369,A2370,"f",FALSE)</f>
        <v>55499</v>
      </c>
      <c r="C2370" s="237">
        <f>_xll.qlCalendarAdvance(Calendar,B2370,NDays&amp;"D")</f>
        <v>55501</v>
      </c>
      <c r="D2370" s="202">
        <v>2.4219688107276482E-2</v>
      </c>
      <c r="E2370" s="202">
        <v>2.4103089342819572E-2</v>
      </c>
      <c r="U2370" s="204"/>
    </row>
    <row r="2371" spans="1:21" x14ac:dyDescent="0.2">
      <c r="A2371" s="64" t="str">
        <f t="shared" si="37"/>
        <v>1w</v>
      </c>
      <c r="B2371" s="203">
        <f>_xll.qlCalendarAdvance(Calendar,B2370,A2371,"f",FALSE)</f>
        <v>55506</v>
      </c>
      <c r="C2371" s="237">
        <f>_xll.qlCalendarAdvance(Calendar,B2371,NDays&amp;"D")</f>
        <v>55508</v>
      </c>
      <c r="D2371" s="202">
        <v>2.4217145954310536E-2</v>
      </c>
      <c r="E2371" s="202">
        <v>2.4101029522984874E-2</v>
      </c>
      <c r="U2371" s="204"/>
    </row>
    <row r="2372" spans="1:21" x14ac:dyDescent="0.2">
      <c r="A2372" s="64" t="str">
        <f t="shared" si="37"/>
        <v>1w</v>
      </c>
      <c r="B2372" s="203">
        <f>_xll.qlCalendarAdvance(Calendar,B2371,A2372,"f",FALSE)</f>
        <v>55514</v>
      </c>
      <c r="C2372" s="237">
        <f>_xll.qlCalendarAdvance(Calendar,B2372,NDays&amp;"D")</f>
        <v>55516</v>
      </c>
      <c r="D2372" s="202">
        <v>2.4213583098659452E-2</v>
      </c>
      <c r="E2372" s="202">
        <v>2.4100597831882009E-2</v>
      </c>
      <c r="U2372" s="204"/>
    </row>
    <row r="2373" spans="1:21" x14ac:dyDescent="0.2">
      <c r="A2373" s="64" t="str">
        <f t="shared" si="37"/>
        <v>1w</v>
      </c>
      <c r="B2373" s="203">
        <f>_xll.qlCalendarAdvance(Calendar,B2372,A2373,"f",FALSE)</f>
        <v>55521</v>
      </c>
      <c r="C2373" s="237">
        <f>_xll.qlCalendarAdvance(Calendar,B2373,NDays&amp;"D")</f>
        <v>55523</v>
      </c>
      <c r="D2373" s="202">
        <v>2.4210968290610688E-2</v>
      </c>
      <c r="E2373" s="202">
        <v>2.4097803571931919E-2</v>
      </c>
      <c r="U2373" s="204"/>
    </row>
    <row r="2374" spans="1:21" x14ac:dyDescent="0.2">
      <c r="A2374" s="64" t="str">
        <f t="shared" si="37"/>
        <v>1w</v>
      </c>
      <c r="B2374" s="203">
        <f>_xll.qlCalendarAdvance(Calendar,B2373,A2374,"f",FALSE)</f>
        <v>55528</v>
      </c>
      <c r="C2374" s="237">
        <f>_xll.qlCalendarAdvance(Calendar,B2374,NDays&amp;"D")</f>
        <v>55530</v>
      </c>
      <c r="D2374" s="202">
        <v>2.4208318325858E-2</v>
      </c>
      <c r="E2374" s="202">
        <v>2.4095629324190071E-2</v>
      </c>
      <c r="U2374" s="204"/>
    </row>
    <row r="2375" spans="1:21" x14ac:dyDescent="0.2">
      <c r="A2375" s="64" t="str">
        <f t="shared" ref="A2375:A2438" si="38">A2374</f>
        <v>1w</v>
      </c>
      <c r="B2375" s="203">
        <f>_xll.qlCalendarAdvance(Calendar,B2374,A2375,"f",FALSE)</f>
        <v>55535</v>
      </c>
      <c r="C2375" s="237">
        <f>_xll.qlCalendarAdvance(Calendar,B2375,NDays&amp;"D")</f>
        <v>55537</v>
      </c>
      <c r="D2375" s="202">
        <v>2.4205633204540181E-2</v>
      </c>
      <c r="E2375" s="202">
        <v>2.4093420334478921E-2</v>
      </c>
      <c r="U2375" s="204"/>
    </row>
    <row r="2376" spans="1:21" x14ac:dyDescent="0.2">
      <c r="A2376" s="64" t="str">
        <f t="shared" si="38"/>
        <v>1w</v>
      </c>
      <c r="B2376" s="203">
        <f>_xll.qlCalendarAdvance(Calendar,B2375,A2376,"f",FALSE)</f>
        <v>55542</v>
      </c>
      <c r="C2376" s="237">
        <f>_xll.qlCalendarAdvance(Calendar,B2376,NDays&amp;"D")</f>
        <v>55544</v>
      </c>
      <c r="D2376" s="202">
        <v>2.4202912926799096E-2</v>
      </c>
      <c r="E2376" s="202">
        <v>2.4091176602825115E-2</v>
      </c>
      <c r="U2376" s="204"/>
    </row>
    <row r="2377" spans="1:21" x14ac:dyDescent="0.2">
      <c r="A2377" s="64" t="str">
        <f t="shared" si="38"/>
        <v>1w</v>
      </c>
      <c r="B2377" s="203">
        <f>_xll.qlCalendarAdvance(Calendar,B2376,A2377,"f",FALSE)</f>
        <v>55549</v>
      </c>
      <c r="C2377" s="237">
        <f>_xll.qlCalendarAdvance(Calendar,B2377,NDays&amp;"D")</f>
        <v>55551</v>
      </c>
      <c r="D2377" s="202">
        <v>2.4200157492777485E-2</v>
      </c>
      <c r="E2377" s="202">
        <v>2.4088898129202008E-2</v>
      </c>
      <c r="U2377" s="204"/>
    </row>
    <row r="2378" spans="1:21" x14ac:dyDescent="0.2">
      <c r="A2378" s="64" t="str">
        <f t="shared" si="38"/>
        <v>1w</v>
      </c>
      <c r="B2378" s="203">
        <f>_xll.qlCalendarAdvance(Calendar,B2377,A2378,"f",FALSE)</f>
        <v>55556</v>
      </c>
      <c r="C2378" s="237">
        <f>_xll.qlCalendarAdvance(Calendar,B2378,NDays&amp;"D")</f>
        <v>55558</v>
      </c>
      <c r="D2378" s="202">
        <v>2.419736690262073E-2</v>
      </c>
      <c r="E2378" s="202">
        <v>2.4086584913689535E-2</v>
      </c>
      <c r="U2378" s="204"/>
    </row>
    <row r="2379" spans="1:21" x14ac:dyDescent="0.2">
      <c r="A2379" s="64" t="str">
        <f t="shared" si="38"/>
        <v>1w</v>
      </c>
      <c r="B2379" s="203">
        <f>_xll.qlCalendarAdvance(Calendar,B2378,A2379,"f",FALSE)</f>
        <v>55563</v>
      </c>
      <c r="C2379" s="237">
        <f>_xll.qlCalendarAdvance(Calendar,B2379,NDays&amp;"D")</f>
        <v>55565</v>
      </c>
      <c r="D2379" s="202">
        <v>2.4194541156476401E-2</v>
      </c>
      <c r="E2379" s="202">
        <v>2.4084236956234406E-2</v>
      </c>
      <c r="U2379" s="204"/>
    </row>
    <row r="2380" spans="1:21" x14ac:dyDescent="0.2">
      <c r="A2380" s="64" t="str">
        <f t="shared" si="38"/>
        <v>1w</v>
      </c>
      <c r="B2380" s="203">
        <f>_xll.qlCalendarAdvance(Calendar,B2379,A2380,"f",FALSE)</f>
        <v>55570</v>
      </c>
      <c r="C2380" s="237">
        <f>_xll.qlCalendarAdvance(Calendar,B2380,NDays&amp;"D")</f>
        <v>55572</v>
      </c>
      <c r="D2380" s="202">
        <v>2.4191680254493395E-2</v>
      </c>
      <c r="E2380" s="202">
        <v>2.4081854256863267E-2</v>
      </c>
      <c r="U2380" s="204"/>
    </row>
    <row r="2381" spans="1:21" x14ac:dyDescent="0.2">
      <c r="A2381" s="64" t="str">
        <f t="shared" si="38"/>
        <v>1w</v>
      </c>
      <c r="B2381" s="203">
        <f>_xll.qlCalendarAdvance(Calendar,B2380,A2381,"f",FALSE)</f>
        <v>55577</v>
      </c>
      <c r="C2381" s="237">
        <f>_xll.qlCalendarAdvance(Calendar,B2381,NDays&amp;"D")</f>
        <v>55579</v>
      </c>
      <c r="D2381" s="202">
        <v>2.4190554180382458E-2</v>
      </c>
      <c r="E2381" s="202">
        <v>2.4079436815522826E-2</v>
      </c>
      <c r="U2381" s="204"/>
    </row>
    <row r="2382" spans="1:21" x14ac:dyDescent="0.2">
      <c r="A2382" s="64" t="str">
        <f t="shared" si="38"/>
        <v>1w</v>
      </c>
      <c r="B2382" s="203">
        <f>_xll.qlCalendarAdvance(Calendar,B2381,A2382,"f",FALSE)</f>
        <v>55584</v>
      </c>
      <c r="C2382" s="237">
        <f>_xll.qlCalendarAdvance(Calendar,B2382,NDays&amp;"D")</f>
        <v>55586</v>
      </c>
      <c r="D2382" s="202">
        <v>2.4187614845126399E-2</v>
      </c>
      <c r="E2382" s="202">
        <v>2.4076984632239729E-2</v>
      </c>
      <c r="U2382" s="204"/>
    </row>
    <row r="2383" spans="1:21" x14ac:dyDescent="0.2">
      <c r="A2383" s="64" t="str">
        <f t="shared" si="38"/>
        <v>1w</v>
      </c>
      <c r="B2383" s="203">
        <f>_xll.qlCalendarAdvance(Calendar,B2382,A2383,"f",FALSE)</f>
        <v>55591</v>
      </c>
      <c r="C2383" s="237">
        <f>_xll.qlCalendarAdvance(Calendar,B2383,NDays&amp;"D")</f>
        <v>55593</v>
      </c>
      <c r="D2383" s="202">
        <v>2.4184640347552314E-2</v>
      </c>
      <c r="E2383" s="202">
        <v>2.4074497707040621E-2</v>
      </c>
      <c r="U2383" s="204"/>
    </row>
    <row r="2384" spans="1:21" x14ac:dyDescent="0.2">
      <c r="A2384" s="64" t="str">
        <f t="shared" si="38"/>
        <v>1w</v>
      </c>
      <c r="B2384" s="203">
        <f>_xll.qlCalendarAdvance(Calendar,B2383,A2384,"f",FALSE)</f>
        <v>55598</v>
      </c>
      <c r="C2384" s="237">
        <f>_xll.qlCalendarAdvance(Calendar,B2384,NDays&amp;"D")</f>
        <v>55600</v>
      </c>
      <c r="D2384" s="202">
        <v>2.418163068781834E-2</v>
      </c>
      <c r="E2384" s="202">
        <v>2.4071976039925502E-2</v>
      </c>
      <c r="U2384" s="204"/>
    </row>
    <row r="2385" spans="1:21" x14ac:dyDescent="0.2">
      <c r="A2385" s="64" t="str">
        <f t="shared" si="38"/>
        <v>1w</v>
      </c>
      <c r="B2385" s="203">
        <f>_xll.qlCalendarAdvance(Calendar,B2384,A2385,"f",FALSE)</f>
        <v>55605</v>
      </c>
      <c r="C2385" s="237">
        <f>_xll.qlCalendarAdvance(Calendar,B2385,NDays&amp;"D")</f>
        <v>55607</v>
      </c>
      <c r="D2385" s="202">
        <v>2.4178585866086514E-2</v>
      </c>
      <c r="E2385" s="202">
        <v>2.4069419630921018E-2</v>
      </c>
      <c r="U2385" s="204"/>
    </row>
    <row r="2386" spans="1:21" x14ac:dyDescent="0.2">
      <c r="A2386" s="64" t="str">
        <f t="shared" si="38"/>
        <v>1w</v>
      </c>
      <c r="B2386" s="203">
        <f>_xll.qlCalendarAdvance(Calendar,B2385,A2386,"f",FALSE)</f>
        <v>55612</v>
      </c>
      <c r="C2386" s="237">
        <f>_xll.qlCalendarAdvance(Calendar,B2386,NDays&amp;"D")</f>
        <v>55614</v>
      </c>
      <c r="D2386" s="202">
        <v>2.4175505882519297E-2</v>
      </c>
      <c r="E2386" s="202">
        <v>2.4066828479973879E-2</v>
      </c>
      <c r="U2386" s="204"/>
    </row>
    <row r="2387" spans="1:21" x14ac:dyDescent="0.2">
      <c r="A2387" s="64" t="str">
        <f t="shared" si="38"/>
        <v>1w</v>
      </c>
      <c r="B2387" s="203">
        <f>_xll.qlCalendarAdvance(Calendar,B2386,A2387,"f",FALSE)</f>
        <v>55619</v>
      </c>
      <c r="C2387" s="237">
        <f>_xll.qlCalendarAdvance(Calendar,B2387,NDays&amp;"D")</f>
        <v>55621</v>
      </c>
      <c r="D2387" s="202">
        <v>2.4172390737282615E-2</v>
      </c>
      <c r="E2387" s="202">
        <v>2.4064202587084083E-2</v>
      </c>
      <c r="U2387" s="204"/>
    </row>
    <row r="2388" spans="1:21" x14ac:dyDescent="0.2">
      <c r="A2388" s="64" t="str">
        <f t="shared" si="38"/>
        <v>1w</v>
      </c>
      <c r="B2388" s="203">
        <f>_xll.qlCalendarAdvance(Calendar,B2387,A2388,"f",FALSE)</f>
        <v>55626</v>
      </c>
      <c r="C2388" s="237">
        <f>_xll.qlCalendarAdvance(Calendar,B2388,NDays&amp;"D")</f>
        <v>55632</v>
      </c>
      <c r="D2388" s="202">
        <v>2.4166285826460934E-2</v>
      </c>
      <c r="E2388" s="202">
        <v>2.4058783398066552E-2</v>
      </c>
      <c r="U2388" s="204"/>
    </row>
    <row r="2389" spans="1:21" x14ac:dyDescent="0.2">
      <c r="A2389" s="64" t="str">
        <f t="shared" si="38"/>
        <v>1w</v>
      </c>
      <c r="B2389" s="203">
        <f>_xll.qlCalendarAdvance(Calendar,B2388,A2389,"f",FALSE)</f>
        <v>55633</v>
      </c>
      <c r="C2389" s="237">
        <f>_xll.qlCalendarAdvance(Calendar,B2389,NDays&amp;"D")</f>
        <v>55635</v>
      </c>
      <c r="D2389" s="202">
        <v>2.4166054962466689E-2</v>
      </c>
      <c r="E2389" s="202">
        <v>2.4058846575556458E-2</v>
      </c>
      <c r="U2389" s="204"/>
    </row>
    <row r="2390" spans="1:21" x14ac:dyDescent="0.2">
      <c r="A2390" s="64" t="str">
        <f t="shared" si="38"/>
        <v>1w</v>
      </c>
      <c r="B2390" s="203">
        <f>_xll.qlCalendarAdvance(Calendar,B2389,A2390,"f",FALSE)</f>
        <v>55641</v>
      </c>
      <c r="C2390" s="237">
        <f>_xll.qlCalendarAdvance(Calendar,B2390,NDays&amp;"D")</f>
        <v>55645</v>
      </c>
      <c r="D2390" s="202">
        <v>2.4160879159336519E-2</v>
      </c>
      <c r="E2390" s="202">
        <v>2.4053723071428834E-2</v>
      </c>
      <c r="U2390" s="204"/>
    </row>
    <row r="2391" spans="1:21" x14ac:dyDescent="0.2">
      <c r="A2391" s="64" t="str">
        <f t="shared" si="38"/>
        <v>1w</v>
      </c>
      <c r="B2391" s="203">
        <f>_xll.qlCalendarAdvance(Calendar,B2390,A2391,"f",FALSE)</f>
        <v>55648</v>
      </c>
      <c r="C2391" s="237">
        <f>_xll.qlCalendarAdvance(Calendar,B2391,NDays&amp;"D")</f>
        <v>55652</v>
      </c>
      <c r="D2391" s="202">
        <v>2.4157611029617498E-2</v>
      </c>
      <c r="E2391" s="202">
        <v>2.405094865537194E-2</v>
      </c>
      <c r="U2391" s="204"/>
    </row>
    <row r="2392" spans="1:21" x14ac:dyDescent="0.2">
      <c r="A2392" s="64" t="str">
        <f t="shared" si="38"/>
        <v>1w</v>
      </c>
      <c r="B2392" s="203">
        <f>_xll.qlCalendarAdvance(Calendar,B2391,A2392,"f",FALSE)</f>
        <v>55655</v>
      </c>
      <c r="C2392" s="237">
        <f>_xll.qlCalendarAdvance(Calendar,B2392,NDays&amp;"D")</f>
        <v>55659</v>
      </c>
      <c r="D2392" s="202">
        <v>2.4154307741458839E-2</v>
      </c>
      <c r="E2392" s="202">
        <v>2.4048139501902099E-2</v>
      </c>
      <c r="U2392" s="204"/>
    </row>
    <row r="2393" spans="1:21" x14ac:dyDescent="0.2">
      <c r="A2393" s="64" t="str">
        <f t="shared" si="38"/>
        <v>1w</v>
      </c>
      <c r="B2393" s="203">
        <f>_xll.qlCalendarAdvance(Calendar,B2392,A2393,"f",FALSE)</f>
        <v>55662</v>
      </c>
      <c r="C2393" s="237">
        <f>_xll.qlCalendarAdvance(Calendar,B2393,NDays&amp;"D")</f>
        <v>55666</v>
      </c>
      <c r="D2393" s="202">
        <v>2.4150969295036486E-2</v>
      </c>
      <c r="E2393" s="202">
        <v>2.4045295611179185E-2</v>
      </c>
      <c r="U2393" s="204"/>
    </row>
    <row r="2394" spans="1:21" x14ac:dyDescent="0.2">
      <c r="A2394" s="64" t="str">
        <f t="shared" si="38"/>
        <v>1w</v>
      </c>
      <c r="B2394" s="203">
        <f>_xll.qlCalendarAdvance(Calendar,B2393,A2394,"f",FALSE)</f>
        <v>55669</v>
      </c>
      <c r="C2394" s="237">
        <f>_xll.qlCalendarAdvance(Calendar,B2394,NDays&amp;"D")</f>
        <v>55673</v>
      </c>
      <c r="D2394" s="202">
        <v>2.4147042244465716E-2</v>
      </c>
      <c r="E2394" s="202">
        <v>2.4042416983363069E-2</v>
      </c>
      <c r="U2394" s="204"/>
    </row>
    <row r="2395" spans="1:21" x14ac:dyDescent="0.2">
      <c r="A2395" s="64" t="str">
        <f t="shared" si="38"/>
        <v>1w</v>
      </c>
      <c r="B2395" s="203">
        <f>_xll.qlCalendarAdvance(Calendar,B2394,A2395,"f",FALSE)</f>
        <v>55676</v>
      </c>
      <c r="C2395" s="237">
        <f>_xll.qlCalendarAdvance(Calendar,B2395,NDays&amp;"D")</f>
        <v>55680</v>
      </c>
      <c r="D2395" s="202">
        <v>2.4143636220366013E-2</v>
      </c>
      <c r="E2395" s="202">
        <v>2.403950361805407E-2</v>
      </c>
      <c r="U2395" s="204"/>
    </row>
    <row r="2396" spans="1:21" x14ac:dyDescent="0.2">
      <c r="A2396" s="64" t="str">
        <f t="shared" si="38"/>
        <v>1w</v>
      </c>
      <c r="B2396" s="203">
        <f>_xll.qlCalendarAdvance(Calendar,B2395,A2396,"f",FALSE)</f>
        <v>55683</v>
      </c>
      <c r="C2396" s="237">
        <f>_xll.qlCalendarAdvance(Calendar,B2396,NDays&amp;"D")</f>
        <v>55687</v>
      </c>
      <c r="D2396" s="202">
        <v>2.4140195040839765E-2</v>
      </c>
      <c r="E2396" s="202">
        <v>2.4036555515412061E-2</v>
      </c>
      <c r="U2396" s="204"/>
    </row>
    <row r="2397" spans="1:21" x14ac:dyDescent="0.2">
      <c r="A2397" s="64" t="str">
        <f t="shared" si="38"/>
        <v>1w</v>
      </c>
      <c r="B2397" s="203">
        <f>_xll.qlCalendarAdvance(Calendar,B2396,A2397,"f",FALSE)</f>
        <v>55690</v>
      </c>
      <c r="C2397" s="237">
        <f>_xll.qlCalendarAdvance(Calendar,B2397,NDays&amp;"D")</f>
        <v>55694</v>
      </c>
      <c r="D2397" s="202">
        <v>2.4136718706069114E-2</v>
      </c>
      <c r="E2397" s="202">
        <v>2.4033572675596915E-2</v>
      </c>
      <c r="U2397" s="204"/>
    </row>
    <row r="2398" spans="1:21" x14ac:dyDescent="0.2">
      <c r="A2398" s="64" t="str">
        <f t="shared" si="38"/>
        <v>1w</v>
      </c>
      <c r="B2398" s="203">
        <f>_xll.qlCalendarAdvance(Calendar,B2397,A2398,"f",FALSE)</f>
        <v>55697</v>
      </c>
      <c r="C2398" s="237">
        <f>_xll.qlCalendarAdvance(Calendar,B2398,NDays&amp;"D")</f>
        <v>55701</v>
      </c>
      <c r="D2398" s="202">
        <v>2.4134291935847419E-2</v>
      </c>
      <c r="E2398" s="202">
        <v>2.4030555098368822E-2</v>
      </c>
      <c r="U2398" s="204"/>
    </row>
    <row r="2399" spans="1:21" x14ac:dyDescent="0.2">
      <c r="A2399" s="64" t="str">
        <f t="shared" si="38"/>
        <v>1w</v>
      </c>
      <c r="B2399" s="203">
        <f>_xll.qlCalendarAdvance(Calendar,B2398,A2399,"f",FALSE)</f>
        <v>55704</v>
      </c>
      <c r="C2399" s="237">
        <f>_xll.qlCalendarAdvance(Calendar,B2399,NDays&amp;"D")</f>
        <v>55708</v>
      </c>
      <c r="D2399" s="202">
        <v>2.4130200303055047E-2</v>
      </c>
      <c r="E2399" s="202">
        <v>2.4027502783807719E-2</v>
      </c>
      <c r="U2399" s="204"/>
    </row>
    <row r="2400" spans="1:21" x14ac:dyDescent="0.2">
      <c r="A2400" s="64" t="str">
        <f t="shared" si="38"/>
        <v>1w</v>
      </c>
      <c r="B2400" s="203">
        <f>_xll.qlCalendarAdvance(Calendar,B2399,A2400,"f",FALSE)</f>
        <v>55711</v>
      </c>
      <c r="C2400" s="237">
        <f>_xll.qlCalendarAdvance(Calendar,B2400,NDays&amp;"D")</f>
        <v>55715</v>
      </c>
      <c r="D2400" s="202">
        <v>2.4126615753871049E-2</v>
      </c>
      <c r="E2400" s="202">
        <v>2.4024415732073479E-2</v>
      </c>
      <c r="U2400" s="204"/>
    </row>
    <row r="2401" spans="1:21" x14ac:dyDescent="0.2">
      <c r="A2401" s="64" t="str">
        <f t="shared" si="38"/>
        <v>1w</v>
      </c>
      <c r="B2401" s="203">
        <f>_xll.qlCalendarAdvance(Calendar,B2400,A2401,"f",FALSE)</f>
        <v>55718</v>
      </c>
      <c r="C2401" s="237">
        <f>_xll.qlCalendarAdvance(Calendar,B2401,NDays&amp;"D")</f>
        <v>55722</v>
      </c>
      <c r="D2401" s="202">
        <v>2.4122996047898266E-2</v>
      </c>
      <c r="E2401" s="202">
        <v>2.4021293943006228E-2</v>
      </c>
      <c r="U2401" s="204"/>
    </row>
    <row r="2402" spans="1:21" x14ac:dyDescent="0.2">
      <c r="A2402" s="64" t="str">
        <f t="shared" si="38"/>
        <v>1w</v>
      </c>
      <c r="B2402" s="203">
        <f>_xll.qlCalendarAdvance(Calendar,B2401,A2402,"f",FALSE)</f>
        <v>55725</v>
      </c>
      <c r="C2402" s="237">
        <f>_xll.qlCalendarAdvance(Calendar,B2402,NDays&amp;"D")</f>
        <v>55729</v>
      </c>
      <c r="D2402" s="202">
        <v>2.411934118532915E-2</v>
      </c>
      <c r="E2402" s="202">
        <v>2.4018137416685903E-2</v>
      </c>
      <c r="U2402" s="204"/>
    </row>
    <row r="2403" spans="1:21" x14ac:dyDescent="0.2">
      <c r="A2403" s="64" t="str">
        <f t="shared" si="38"/>
        <v>1w</v>
      </c>
      <c r="B2403" s="203">
        <f>_xll.qlCalendarAdvance(Calendar,B2402,A2403,"f",FALSE)</f>
        <v>55732</v>
      </c>
      <c r="C2403" s="237">
        <f>_xll.qlCalendarAdvance(Calendar,B2403,NDays&amp;"D")</f>
        <v>55736</v>
      </c>
      <c r="D2403" s="202">
        <v>2.4115651166358335E-2</v>
      </c>
      <c r="E2403" s="202">
        <v>2.4014946152872696E-2</v>
      </c>
      <c r="U2403" s="204"/>
    </row>
    <row r="2404" spans="1:21" x14ac:dyDescent="0.2">
      <c r="A2404" s="64" t="str">
        <f t="shared" si="38"/>
        <v>1w</v>
      </c>
      <c r="B2404" s="203">
        <f>_xll.qlCalendarAdvance(Calendar,B2403,A2404,"f",FALSE)</f>
        <v>55739</v>
      </c>
      <c r="C2404" s="237">
        <f>_xll.qlCalendarAdvance(Calendar,B2404,NDays&amp;"D")</f>
        <v>55743</v>
      </c>
      <c r="D2404" s="202">
        <v>2.4111925991183052E-2</v>
      </c>
      <c r="E2404" s="202">
        <v>2.4011720151886351E-2</v>
      </c>
      <c r="U2404" s="204"/>
    </row>
    <row r="2405" spans="1:21" x14ac:dyDescent="0.2">
      <c r="A2405" s="64" t="str">
        <f t="shared" si="38"/>
        <v>1w</v>
      </c>
      <c r="B2405" s="203">
        <f>_xll.qlCalendarAdvance(Calendar,B2404,A2405,"f",FALSE)</f>
        <v>55746</v>
      </c>
      <c r="C2405" s="237">
        <f>_xll.qlCalendarAdvance(Calendar,B2405,NDays&amp;"D")</f>
        <v>55750</v>
      </c>
      <c r="D2405" s="202">
        <v>2.4108165660001832E-2</v>
      </c>
      <c r="E2405" s="202">
        <v>2.4008459413646932E-2</v>
      </c>
      <c r="U2405" s="204"/>
    </row>
    <row r="2406" spans="1:21" x14ac:dyDescent="0.2">
      <c r="A2406" s="64" t="str">
        <f t="shared" si="38"/>
        <v>1w</v>
      </c>
      <c r="B2406" s="203">
        <f>_xll.qlCalendarAdvance(Calendar,B2405,A2406,"f",FALSE)</f>
        <v>55753</v>
      </c>
      <c r="C2406" s="237">
        <f>_xll.qlCalendarAdvance(Calendar,B2406,NDays&amp;"D")</f>
        <v>55757</v>
      </c>
      <c r="D2406" s="202">
        <v>2.4104370173013655E-2</v>
      </c>
      <c r="E2406" s="202">
        <v>2.4005163938074503E-2</v>
      </c>
      <c r="U2406" s="204"/>
    </row>
    <row r="2407" spans="1:21" x14ac:dyDescent="0.2">
      <c r="A2407" s="64" t="str">
        <f t="shared" si="38"/>
        <v>1w</v>
      </c>
      <c r="B2407" s="203">
        <f>_xll.qlCalendarAdvance(Calendar,B2406,A2407,"f",FALSE)</f>
        <v>55760</v>
      </c>
      <c r="C2407" s="237">
        <f>_xll.qlCalendarAdvance(Calendar,B2407,NDays&amp;"D")</f>
        <v>55764</v>
      </c>
      <c r="D2407" s="202">
        <v>2.4099503950820014E-2</v>
      </c>
      <c r="E2407" s="202">
        <v>2.4001833725169064E-2</v>
      </c>
      <c r="U2407" s="204"/>
    </row>
    <row r="2408" spans="1:21" x14ac:dyDescent="0.2">
      <c r="A2408" s="64" t="str">
        <f t="shared" si="38"/>
        <v>1w</v>
      </c>
      <c r="B2408" s="203">
        <f>_xll.qlCalendarAdvance(Calendar,B2407,A2408,"f",FALSE)</f>
        <v>55767</v>
      </c>
      <c r="C2408" s="237">
        <f>_xll.qlCalendarAdvance(Calendar,B2408,NDays&amp;"D")</f>
        <v>55771</v>
      </c>
      <c r="D2408" s="202">
        <v>2.4095643688678427E-2</v>
      </c>
      <c r="E2408" s="202">
        <v>2.3998468775090487E-2</v>
      </c>
      <c r="U2408" s="204"/>
    </row>
    <row r="2409" spans="1:21" x14ac:dyDescent="0.2">
      <c r="A2409" s="64" t="str">
        <f t="shared" si="38"/>
        <v>1w</v>
      </c>
      <c r="B2409" s="203">
        <f>_xll.qlCalendarAdvance(Calendar,B2408,A2409,"f",FALSE)</f>
        <v>55774</v>
      </c>
      <c r="C2409" s="237">
        <f>_xll.qlCalendarAdvance(Calendar,B2409,NDays&amp;"D")</f>
        <v>55778</v>
      </c>
      <c r="D2409" s="202">
        <v>2.4091748275907616E-2</v>
      </c>
      <c r="E2409" s="202">
        <v>2.3995069087519028E-2</v>
      </c>
      <c r="U2409" s="204"/>
    </row>
    <row r="2410" spans="1:21" x14ac:dyDescent="0.2">
      <c r="A2410" s="64" t="str">
        <f t="shared" si="38"/>
        <v>1w</v>
      </c>
      <c r="B2410" s="203">
        <f>_xll.qlCalendarAdvance(Calendar,B2409,A2410,"f",FALSE)</f>
        <v>55781</v>
      </c>
      <c r="C2410" s="237">
        <f>_xll.qlCalendarAdvance(Calendar,B2410,NDays&amp;"D")</f>
        <v>55785</v>
      </c>
      <c r="D2410" s="202">
        <v>2.4087817712712255E-2</v>
      </c>
      <c r="E2410" s="202">
        <v>2.3991634662694494E-2</v>
      </c>
      <c r="U2410" s="204"/>
    </row>
    <row r="2411" spans="1:21" x14ac:dyDescent="0.2">
      <c r="A2411" s="64" t="str">
        <f t="shared" si="38"/>
        <v>1w</v>
      </c>
      <c r="B2411" s="203">
        <f>_xll.qlCalendarAdvance(Calendar,B2410,A2411,"f",FALSE)</f>
        <v>55788</v>
      </c>
      <c r="C2411" s="237">
        <f>_xll.qlCalendarAdvance(Calendar,B2411,NDays&amp;"D")</f>
        <v>55792</v>
      </c>
      <c r="D2411" s="202">
        <v>2.4083851999300531E-2</v>
      </c>
      <c r="E2411" s="202">
        <v>2.3988165500696823E-2</v>
      </c>
      <c r="U2411" s="204"/>
    </row>
    <row r="2412" spans="1:21" x14ac:dyDescent="0.2">
      <c r="A2412" s="64" t="str">
        <f t="shared" si="38"/>
        <v>1w</v>
      </c>
      <c r="B2412" s="203">
        <f>_xll.qlCalendarAdvance(Calendar,B2411,A2412,"f",FALSE)</f>
        <v>55795</v>
      </c>
      <c r="C2412" s="237">
        <f>_xll.qlCalendarAdvance(Calendar,B2412,NDays&amp;"D")</f>
        <v>55799</v>
      </c>
      <c r="D2412" s="202">
        <v>2.4080355184843527E-2</v>
      </c>
      <c r="E2412" s="202">
        <v>2.3984661601366142E-2</v>
      </c>
      <c r="U2412" s="204"/>
    </row>
    <row r="2413" spans="1:21" x14ac:dyDescent="0.2">
      <c r="A2413" s="64" t="str">
        <f t="shared" si="38"/>
        <v>1w</v>
      </c>
      <c r="B2413" s="203">
        <f>_xll.qlCalendarAdvance(Calendar,B2412,A2413,"f",FALSE)</f>
        <v>55802</v>
      </c>
      <c r="C2413" s="237">
        <f>_xll.qlCalendarAdvance(Calendar,B2413,NDays&amp;"D")</f>
        <v>55806</v>
      </c>
      <c r="D2413" s="202">
        <v>2.4075815122662488E-2</v>
      </c>
      <c r="E2413" s="202">
        <v>2.3981122964782386E-2</v>
      </c>
      <c r="U2413" s="204"/>
    </row>
    <row r="2414" spans="1:21" x14ac:dyDescent="0.2">
      <c r="A2414" s="64" t="str">
        <f t="shared" si="38"/>
        <v>1w</v>
      </c>
      <c r="B2414" s="203">
        <f>_xll.qlCalendarAdvance(Calendar,B2413,A2414,"f",FALSE)</f>
        <v>55809</v>
      </c>
      <c r="C2414" s="237">
        <f>_xll.qlCalendarAdvance(Calendar,B2414,NDays&amp;"D")</f>
        <v>55813</v>
      </c>
      <c r="D2414" s="202">
        <v>2.4071743959860007E-2</v>
      </c>
      <c r="E2414" s="202">
        <v>2.3977549590865621E-2</v>
      </c>
      <c r="U2414" s="204"/>
    </row>
    <row r="2415" spans="1:21" x14ac:dyDescent="0.2">
      <c r="A2415" s="64" t="str">
        <f t="shared" si="38"/>
        <v>1w</v>
      </c>
      <c r="B2415" s="203">
        <f>_xll.qlCalendarAdvance(Calendar,B2414,A2415,"f",FALSE)</f>
        <v>55816</v>
      </c>
      <c r="C2415" s="237">
        <f>_xll.qlCalendarAdvance(Calendar,B2415,NDays&amp;"D")</f>
        <v>55820</v>
      </c>
      <c r="D2415" s="202">
        <v>2.406763764768664E-2</v>
      </c>
      <c r="E2415" s="202">
        <v>2.3973941479695782E-2</v>
      </c>
      <c r="U2415" s="204"/>
    </row>
    <row r="2416" spans="1:21" x14ac:dyDescent="0.2">
      <c r="A2416" s="64" t="str">
        <f t="shared" si="38"/>
        <v>1w</v>
      </c>
      <c r="B2416" s="203">
        <f>_xll.qlCalendarAdvance(Calendar,B2415,A2416,"f",FALSE)</f>
        <v>55823</v>
      </c>
      <c r="C2416" s="237">
        <f>_xll.qlCalendarAdvance(Calendar,B2416,NDays&amp;"D")</f>
        <v>55827</v>
      </c>
      <c r="D2416" s="202">
        <v>2.4063496186360233E-2</v>
      </c>
      <c r="E2416" s="202">
        <v>2.3970298631192932E-2</v>
      </c>
      <c r="U2416" s="204"/>
    </row>
    <row r="2417" spans="1:21" x14ac:dyDescent="0.2">
      <c r="A2417" s="64" t="str">
        <f t="shared" si="38"/>
        <v>1w</v>
      </c>
      <c r="B2417" s="203">
        <f>_xll.qlCalendarAdvance(Calendar,B2416,A2417,"f",FALSE)</f>
        <v>55830</v>
      </c>
      <c r="C2417" s="237">
        <f>_xll.qlCalendarAdvance(Calendar,B2417,NDays&amp;"D")</f>
        <v>55834</v>
      </c>
      <c r="D2417" s="202">
        <v>2.4059319576096881E-2</v>
      </c>
      <c r="E2417" s="202">
        <v>2.3966621045277137E-2</v>
      </c>
      <c r="U2417" s="204"/>
    </row>
    <row r="2418" spans="1:21" x14ac:dyDescent="0.2">
      <c r="A2418" s="64" t="str">
        <f t="shared" si="38"/>
        <v>1w</v>
      </c>
      <c r="B2418" s="203">
        <f>_xll.qlCalendarAdvance(Calendar,B2417,A2418,"f",FALSE)</f>
        <v>55837</v>
      </c>
      <c r="C2418" s="237">
        <f>_xll.qlCalendarAdvance(Calendar,B2418,NDays&amp;"D")</f>
        <v>55841</v>
      </c>
      <c r="D2418" s="202">
        <v>2.4055107817118379E-2</v>
      </c>
      <c r="E2418" s="202">
        <v>2.3962908722268139E-2</v>
      </c>
      <c r="U2418" s="204"/>
    </row>
    <row r="2419" spans="1:21" x14ac:dyDescent="0.2">
      <c r="A2419" s="64" t="str">
        <f t="shared" si="38"/>
        <v>1w</v>
      </c>
      <c r="B2419" s="203">
        <f>_xll.qlCalendarAdvance(Calendar,B2418,A2419,"f",FALSE)</f>
        <v>55844</v>
      </c>
      <c r="C2419" s="237">
        <f>_xll.qlCalendarAdvance(Calendar,B2419,NDays&amp;"D")</f>
        <v>55848</v>
      </c>
      <c r="D2419" s="202">
        <v>2.4050860909645651E-2</v>
      </c>
      <c r="E2419" s="202">
        <v>2.3959161662006068E-2</v>
      </c>
      <c r="U2419" s="204"/>
    </row>
    <row r="2420" spans="1:21" x14ac:dyDescent="0.2">
      <c r="A2420" s="64" t="str">
        <f t="shared" si="38"/>
        <v>1w</v>
      </c>
      <c r="B2420" s="203">
        <f>_xll.qlCalendarAdvance(Calendar,B2419,A2420,"f",FALSE)</f>
        <v>55851</v>
      </c>
      <c r="C2420" s="237">
        <f>_xll.qlCalendarAdvance(Calendar,B2420,NDays&amp;"D")</f>
        <v>55855</v>
      </c>
      <c r="D2420" s="202">
        <v>2.4046578853902698E-2</v>
      </c>
      <c r="E2420" s="202">
        <v>2.3955379864410986E-2</v>
      </c>
      <c r="U2420" s="204"/>
    </row>
    <row r="2421" spans="1:21" x14ac:dyDescent="0.2">
      <c r="A2421" s="64" t="str">
        <f t="shared" si="38"/>
        <v>1w</v>
      </c>
      <c r="B2421" s="203">
        <f>_xll.qlCalendarAdvance(Calendar,B2420,A2421,"f",FALSE)</f>
        <v>55858</v>
      </c>
      <c r="C2421" s="237">
        <f>_xll.qlCalendarAdvance(Calendar,B2421,NDays&amp;"D")</f>
        <v>55862</v>
      </c>
      <c r="D2421" s="202">
        <v>2.4042261650114388E-2</v>
      </c>
      <c r="E2421" s="202">
        <v>2.3951563329402958E-2</v>
      </c>
      <c r="U2421" s="204"/>
    </row>
    <row r="2422" spans="1:21" x14ac:dyDescent="0.2">
      <c r="A2422" s="64" t="str">
        <f t="shared" si="38"/>
        <v>1w</v>
      </c>
      <c r="B2422" s="203">
        <f>_xll.qlCalendarAdvance(Calendar,B2421,A2422,"f",FALSE)</f>
        <v>55865</v>
      </c>
      <c r="C2422" s="237">
        <f>_xll.qlCalendarAdvance(Calendar,B2422,NDays&amp;"D")</f>
        <v>55869</v>
      </c>
      <c r="D2422" s="202">
        <v>2.4037909298509554E-2</v>
      </c>
      <c r="E2422" s="202">
        <v>2.3947712057301729E-2</v>
      </c>
      <c r="U2422" s="204"/>
    </row>
    <row r="2423" spans="1:21" x14ac:dyDescent="0.2">
      <c r="A2423" s="64" t="str">
        <f t="shared" si="38"/>
        <v>1w</v>
      </c>
      <c r="B2423" s="203">
        <f>_xll.qlCalendarAdvance(Calendar,B2422,A2423,"f",FALSE)</f>
        <v>55872</v>
      </c>
      <c r="C2423" s="237">
        <f>_xll.qlCalendarAdvance(Calendar,B2423,NDays&amp;"D")</f>
        <v>55876</v>
      </c>
      <c r="D2423" s="202">
        <v>2.4033521799316584E-2</v>
      </c>
      <c r="E2423" s="202">
        <v>2.3943826047867489E-2</v>
      </c>
      <c r="U2423" s="204"/>
    </row>
    <row r="2424" spans="1:21" x14ac:dyDescent="0.2">
      <c r="A2424" s="64" t="str">
        <f t="shared" si="38"/>
        <v>1w</v>
      </c>
      <c r="B2424" s="203">
        <f>_xll.qlCalendarAdvance(Calendar,B2423,A2424,"f",FALSE)</f>
        <v>55880</v>
      </c>
      <c r="C2424" s="237">
        <f>_xll.qlCalendarAdvance(Calendar,B2424,NDays&amp;"D")</f>
        <v>55884</v>
      </c>
      <c r="D2424" s="202">
        <v>2.4027994081191932E-2</v>
      </c>
      <c r="E2424" s="202">
        <v>2.3939856475596599E-2</v>
      </c>
      <c r="U2424" s="204"/>
    </row>
    <row r="2425" spans="1:21" x14ac:dyDescent="0.2">
      <c r="A2425" s="64" t="str">
        <f t="shared" si="38"/>
        <v>1w</v>
      </c>
      <c r="B2425" s="203">
        <f>_xll.qlCalendarAdvance(Calendar,B2424,A2425,"f",FALSE)</f>
        <v>55887</v>
      </c>
      <c r="C2425" s="237">
        <f>_xll.qlCalendarAdvance(Calendar,B2425,NDays&amp;"D")</f>
        <v>55891</v>
      </c>
      <c r="D2425" s="202">
        <v>2.4023534072873467E-2</v>
      </c>
      <c r="E2425" s="202">
        <v>2.3935381912236764E-2</v>
      </c>
      <c r="U2425" s="204"/>
    </row>
    <row r="2426" spans="1:21" x14ac:dyDescent="0.2">
      <c r="A2426" s="64" t="str">
        <f t="shared" si="38"/>
        <v>1w</v>
      </c>
      <c r="B2426" s="203">
        <f>_xll.qlCalendarAdvance(Calendar,B2425,A2426,"f",FALSE)</f>
        <v>55894</v>
      </c>
      <c r="C2426" s="237">
        <f>_xll.qlCalendarAdvance(Calendar,B2426,NDays&amp;"D")</f>
        <v>55898</v>
      </c>
      <c r="D2426" s="202">
        <v>2.4019038919957936E-2</v>
      </c>
      <c r="E2426" s="202">
        <v>2.3931386728373027E-2</v>
      </c>
      <c r="U2426" s="204"/>
    </row>
    <row r="2427" spans="1:21" x14ac:dyDescent="0.2">
      <c r="A2427" s="64" t="str">
        <f t="shared" si="38"/>
        <v>1w</v>
      </c>
      <c r="B2427" s="203">
        <f>_xll.qlCalendarAdvance(Calendar,B2426,A2427,"f",FALSE)</f>
        <v>55901</v>
      </c>
      <c r="C2427" s="237">
        <f>_xll.qlCalendarAdvance(Calendar,B2427,NDays&amp;"D")</f>
        <v>55905</v>
      </c>
      <c r="D2427" s="202">
        <v>2.4014508622682496E-2</v>
      </c>
      <c r="E2427" s="202">
        <v>2.3927356807416089E-2</v>
      </c>
      <c r="U2427" s="204"/>
    </row>
    <row r="2428" spans="1:21" x14ac:dyDescent="0.2">
      <c r="A2428" s="64" t="str">
        <f t="shared" si="38"/>
        <v>1w</v>
      </c>
      <c r="B2428" s="203">
        <f>_xll.qlCalendarAdvance(Calendar,B2427,A2428,"f",FALSE)</f>
        <v>55908</v>
      </c>
      <c r="C2428" s="237">
        <f>_xll.qlCalendarAdvance(Calendar,B2428,NDays&amp;"D")</f>
        <v>55912</v>
      </c>
      <c r="D2428" s="202">
        <v>2.4009943181283865E-2</v>
      </c>
      <c r="E2428" s="202">
        <v>2.3923292149206077E-2</v>
      </c>
      <c r="U2428" s="204"/>
    </row>
    <row r="2429" spans="1:21" x14ac:dyDescent="0.2">
      <c r="A2429" s="64" t="str">
        <f t="shared" si="38"/>
        <v>1w</v>
      </c>
      <c r="B2429" s="203">
        <f>_xll.qlCalendarAdvance(Calendar,B2428,A2429,"f",FALSE)</f>
        <v>55915</v>
      </c>
      <c r="C2429" s="237">
        <f>_xll.qlCalendarAdvance(Calendar,B2429,NDays&amp;"D")</f>
        <v>55919</v>
      </c>
      <c r="D2429" s="202">
        <v>2.4005342596000526E-2</v>
      </c>
      <c r="E2429" s="202">
        <v>2.3919192753583118E-2</v>
      </c>
      <c r="U2429" s="204"/>
    </row>
    <row r="2430" spans="1:21" x14ac:dyDescent="0.2">
      <c r="A2430" s="64" t="str">
        <f t="shared" si="38"/>
        <v>1w</v>
      </c>
      <c r="B2430" s="203">
        <f>_xll.qlCalendarAdvance(Calendar,B2429,A2430,"f",FALSE)</f>
        <v>55922</v>
      </c>
      <c r="C2430" s="237">
        <f>_xll.qlCalendarAdvance(Calendar,B2430,NDays&amp;"D")</f>
        <v>55926</v>
      </c>
      <c r="D2430" s="202">
        <v>2.4000706867074052E-2</v>
      </c>
      <c r="E2430" s="202">
        <v>2.3915058620707086E-2</v>
      </c>
      <c r="U2430" s="204"/>
    </row>
    <row r="2431" spans="1:21" x14ac:dyDescent="0.2">
      <c r="A2431" s="64" t="str">
        <f t="shared" si="38"/>
        <v>1w</v>
      </c>
      <c r="B2431" s="203">
        <f>_xll.qlCalendarAdvance(Calendar,B2430,A2431,"f",FALSE)</f>
        <v>55929</v>
      </c>
      <c r="C2431" s="237">
        <f>_xll.qlCalendarAdvance(Calendar,B2431,NDays&amp;"D")</f>
        <v>55933</v>
      </c>
      <c r="D2431" s="202">
        <v>2.3996035994747346E-2</v>
      </c>
      <c r="E2431" s="202">
        <v>2.3910889750577979E-2</v>
      </c>
      <c r="U2431" s="204"/>
    </row>
    <row r="2432" spans="1:21" x14ac:dyDescent="0.2">
      <c r="A2432" s="64" t="str">
        <f t="shared" si="38"/>
        <v>1w</v>
      </c>
      <c r="B2432" s="203">
        <f>_xll.qlCalendarAdvance(Calendar,B2431,A2432,"f",FALSE)</f>
        <v>55936</v>
      </c>
      <c r="C2432" s="237">
        <f>_xll.qlCalendarAdvance(Calendar,B2432,NDays&amp;"D")</f>
        <v>55940</v>
      </c>
      <c r="D2432" s="202">
        <v>2.3991329979265071E-2</v>
      </c>
      <c r="E2432" s="202">
        <v>2.3906686143275735E-2</v>
      </c>
      <c r="U2432" s="204"/>
    </row>
    <row r="2433" spans="1:21" x14ac:dyDescent="0.2">
      <c r="A2433" s="64" t="str">
        <f t="shared" si="38"/>
        <v>1w</v>
      </c>
      <c r="B2433" s="203">
        <f>_xll.qlCalendarAdvance(Calendar,B2432,A2433,"f",FALSE)</f>
        <v>55943</v>
      </c>
      <c r="C2433" s="237">
        <f>_xll.qlCalendarAdvance(Calendar,B2433,NDays&amp;"D")</f>
        <v>55947</v>
      </c>
      <c r="D2433" s="202">
        <v>2.3987923241705261E-2</v>
      </c>
      <c r="E2433" s="202">
        <v>2.3902447798560544E-2</v>
      </c>
      <c r="U2433" s="204"/>
    </row>
    <row r="2434" spans="1:21" x14ac:dyDescent="0.2">
      <c r="A2434" s="64" t="str">
        <f t="shared" si="38"/>
        <v>1w</v>
      </c>
      <c r="B2434" s="203">
        <f>_xll.qlCalendarAdvance(Calendar,B2433,A2434,"f",FALSE)</f>
        <v>55950</v>
      </c>
      <c r="C2434" s="237">
        <f>_xll.qlCalendarAdvance(Calendar,B2434,NDays&amp;"D")</f>
        <v>55954</v>
      </c>
      <c r="D2434" s="202">
        <v>2.3983138459722463E-2</v>
      </c>
      <c r="E2434" s="202">
        <v>2.389817471659228E-2</v>
      </c>
      <c r="U2434" s="204"/>
    </row>
    <row r="2435" spans="1:21" x14ac:dyDescent="0.2">
      <c r="A2435" s="64" t="str">
        <f t="shared" si="38"/>
        <v>1w</v>
      </c>
      <c r="B2435" s="203">
        <f>_xll.qlCalendarAdvance(Calendar,B2434,A2435,"f",FALSE)</f>
        <v>55957</v>
      </c>
      <c r="C2435" s="237">
        <f>_xll.qlCalendarAdvance(Calendar,B2435,NDays&amp;"D")</f>
        <v>55961</v>
      </c>
      <c r="D2435" s="202">
        <v>2.3978318528592158E-2</v>
      </c>
      <c r="E2435" s="202">
        <v>2.3893866897450877E-2</v>
      </c>
      <c r="U2435" s="204"/>
    </row>
    <row r="2436" spans="1:21" x14ac:dyDescent="0.2">
      <c r="A2436" s="64" t="str">
        <f t="shared" si="38"/>
        <v>1w</v>
      </c>
      <c r="B2436" s="203">
        <f>_xll.qlCalendarAdvance(Calendar,B2435,A2436,"f",FALSE)</f>
        <v>55964</v>
      </c>
      <c r="C2436" s="237">
        <f>_xll.qlCalendarAdvance(Calendar,B2436,NDays&amp;"D")</f>
        <v>55968</v>
      </c>
      <c r="D2436" s="202">
        <v>2.3973463448571101E-2</v>
      </c>
      <c r="E2436" s="202">
        <v>2.3889524341056401E-2</v>
      </c>
      <c r="U2436" s="204"/>
    </row>
    <row r="2437" spans="1:21" x14ac:dyDescent="0.2">
      <c r="A2437" s="64" t="str">
        <f t="shared" si="38"/>
        <v>1w</v>
      </c>
      <c r="B2437" s="203">
        <f>_xll.qlCalendarAdvance(Calendar,B2436,A2437,"f",FALSE)</f>
        <v>55971</v>
      </c>
      <c r="C2437" s="237">
        <f>_xll.qlCalendarAdvance(Calendar,B2437,NDays&amp;"D")</f>
        <v>55975</v>
      </c>
      <c r="D2437" s="202">
        <v>2.3968139986161902E-2</v>
      </c>
      <c r="E2437" s="202">
        <v>2.3885147047328914E-2</v>
      </c>
      <c r="U2437" s="204"/>
    </row>
    <row r="2438" spans="1:21" x14ac:dyDescent="0.2">
      <c r="A2438" s="64" t="str">
        <f t="shared" si="38"/>
        <v>1w</v>
      </c>
      <c r="B2438" s="203">
        <f>_xll.qlCalendarAdvance(Calendar,B2437,A2438,"f",FALSE)</f>
        <v>55982</v>
      </c>
      <c r="C2438" s="237">
        <f>_xll.qlCalendarAdvance(Calendar,B2438,NDays&amp;"D")</f>
        <v>55984</v>
      </c>
      <c r="D2438" s="202">
        <v>2.3961804549843826E-2</v>
      </c>
      <c r="E2438" s="202">
        <v>2.387946805581187E-2</v>
      </c>
      <c r="U2438" s="204"/>
    </row>
    <row r="2439" spans="1:21" x14ac:dyDescent="0.2">
      <c r="A2439" s="64" t="str">
        <f t="shared" ref="A2439:A2502" si="39">A2438</f>
        <v>1w</v>
      </c>
      <c r="B2439" s="203">
        <f>_xll.qlCalendarAdvance(Calendar,B2438,A2439,"f",FALSE)</f>
        <v>55989</v>
      </c>
      <c r="C2439" s="237">
        <f>_xll.qlCalendarAdvance(Calendar,B2439,NDays&amp;"D")</f>
        <v>55991</v>
      </c>
      <c r="D2439" s="202">
        <v>2.3956836821611118E-2</v>
      </c>
      <c r="E2439" s="202">
        <v>2.3875011362637366E-2</v>
      </c>
      <c r="U2439" s="204"/>
    </row>
    <row r="2440" spans="1:21" x14ac:dyDescent="0.2">
      <c r="A2440" s="64" t="str">
        <f t="shared" si="39"/>
        <v>1w</v>
      </c>
      <c r="B2440" s="203">
        <f>_xll.qlCalendarAdvance(Calendar,B2439,A2440,"f",FALSE)</f>
        <v>55996</v>
      </c>
      <c r="C2440" s="237">
        <f>_xll.qlCalendarAdvance(Calendar,B2440,NDays&amp;"D")</f>
        <v>55998</v>
      </c>
      <c r="D2440" s="202">
        <v>2.3951833947845589E-2</v>
      </c>
      <c r="E2440" s="202">
        <v>2.3870519932129852E-2</v>
      </c>
      <c r="U2440" s="204"/>
    </row>
    <row r="2441" spans="1:21" x14ac:dyDescent="0.2">
      <c r="A2441" s="64" t="str">
        <f t="shared" si="39"/>
        <v>1w</v>
      </c>
      <c r="B2441" s="203">
        <f>_xll.qlCalendarAdvance(Calendar,B2440,A2441,"f",FALSE)</f>
        <v>56003</v>
      </c>
      <c r="C2441" s="237">
        <f>_xll.qlCalendarAdvance(Calendar,B2441,NDays&amp;"D")</f>
        <v>56006</v>
      </c>
      <c r="D2441" s="202">
        <v>2.394691440150086E-2</v>
      </c>
      <c r="E2441" s="202">
        <v>2.3866276002175724E-2</v>
      </c>
      <c r="U2441" s="204"/>
    </row>
    <row r="2442" spans="1:21" x14ac:dyDescent="0.2">
      <c r="A2442" s="64" t="str">
        <f t="shared" si="39"/>
        <v>1w</v>
      </c>
      <c r="B2442" s="203">
        <f>_xll.qlCalendarAdvance(Calendar,B2441,A2442,"f",FALSE)</f>
        <v>56010</v>
      </c>
      <c r="C2442" s="237">
        <f>_xll.qlCalendarAdvance(Calendar,B2442,NDays&amp;"D")</f>
        <v>56012</v>
      </c>
      <c r="D2442" s="202">
        <v>2.3942976653388005E-2</v>
      </c>
      <c r="E2442" s="202">
        <v>2.3861432859675347E-2</v>
      </c>
      <c r="U2442" s="204"/>
    </row>
    <row r="2443" spans="1:21" x14ac:dyDescent="0.2">
      <c r="A2443" s="64" t="str">
        <f t="shared" si="39"/>
        <v>1w</v>
      </c>
      <c r="B2443" s="203">
        <f>_xll.qlCalendarAdvance(Calendar,B2442,A2443,"f",FALSE)</f>
        <v>56017</v>
      </c>
      <c r="C2443" s="237">
        <f>_xll.qlCalendarAdvance(Calendar,B2443,NDays&amp;"D")</f>
        <v>56019</v>
      </c>
      <c r="D2443" s="202">
        <v>2.39378597992605E-2</v>
      </c>
      <c r="E2443" s="202">
        <v>2.3856837217408611E-2</v>
      </c>
      <c r="U2443" s="204"/>
    </row>
    <row r="2444" spans="1:21" x14ac:dyDescent="0.2">
      <c r="A2444" s="64" t="str">
        <f t="shared" si="39"/>
        <v>1w</v>
      </c>
      <c r="B2444" s="203">
        <f>_xll.qlCalendarAdvance(Calendar,B2443,A2444,"f",FALSE)</f>
        <v>56024</v>
      </c>
      <c r="C2444" s="237">
        <f>_xll.qlCalendarAdvance(Calendar,B2444,NDays&amp;"D")</f>
        <v>56026</v>
      </c>
      <c r="D2444" s="202">
        <v>2.3932707793979609E-2</v>
      </c>
      <c r="E2444" s="202">
        <v>2.3852206838048673E-2</v>
      </c>
      <c r="U2444" s="204"/>
    </row>
    <row r="2445" spans="1:21" x14ac:dyDescent="0.2">
      <c r="A2445" s="64" t="str">
        <f t="shared" si="39"/>
        <v>1w</v>
      </c>
      <c r="B2445" s="203">
        <f>_xll.qlCalendarAdvance(Calendar,B2444,A2445,"f",FALSE)</f>
        <v>56031</v>
      </c>
      <c r="C2445" s="237">
        <f>_xll.qlCalendarAdvance(Calendar,B2445,NDays&amp;"D")</f>
        <v>56033</v>
      </c>
      <c r="D2445" s="202">
        <v>2.3926292405371117E-2</v>
      </c>
      <c r="E2445" s="202">
        <v>2.3847541721355725E-2</v>
      </c>
      <c r="U2445" s="204"/>
    </row>
    <row r="2446" spans="1:21" x14ac:dyDescent="0.2">
      <c r="A2446" s="64" t="str">
        <f t="shared" si="39"/>
        <v>1w</v>
      </c>
      <c r="B2446" s="203">
        <f>_xll.qlCalendarAdvance(Calendar,B2445,A2446,"f",FALSE)</f>
        <v>56038</v>
      </c>
      <c r="C2446" s="237">
        <f>_xll.qlCalendarAdvance(Calendar,B2446,NDays&amp;"D")</f>
        <v>56040</v>
      </c>
      <c r="D2446" s="202">
        <v>2.3921078664040866E-2</v>
      </c>
      <c r="E2446" s="202">
        <v>2.3842841867489639E-2</v>
      </c>
      <c r="U2446" s="204"/>
    </row>
    <row r="2447" spans="1:21" x14ac:dyDescent="0.2">
      <c r="A2447" s="64" t="str">
        <f t="shared" si="39"/>
        <v>1w</v>
      </c>
      <c r="B2447" s="203">
        <f>_xll.qlCalendarAdvance(Calendar,B2446,A2447,"f",FALSE)</f>
        <v>56045</v>
      </c>
      <c r="C2447" s="237">
        <f>_xll.qlCalendarAdvance(Calendar,B2447,NDays&amp;"D")</f>
        <v>56047</v>
      </c>
      <c r="D2447" s="202">
        <v>2.3915829779071356E-2</v>
      </c>
      <c r="E2447" s="202">
        <v>2.3838107276290543E-2</v>
      </c>
      <c r="U2447" s="204"/>
    </row>
    <row r="2448" spans="1:21" x14ac:dyDescent="0.2">
      <c r="A2448" s="64" t="str">
        <f t="shared" si="39"/>
        <v>1w</v>
      </c>
      <c r="B2448" s="203">
        <f>_xll.qlCalendarAdvance(Calendar,B2447,A2448,"f",FALSE)</f>
        <v>56052</v>
      </c>
      <c r="C2448" s="237">
        <f>_xll.qlCalendarAdvance(Calendar,B2448,NDays&amp;"D")</f>
        <v>56054</v>
      </c>
      <c r="D2448" s="202">
        <v>2.3910545750742151E-2</v>
      </c>
      <c r="E2448" s="202">
        <v>2.3833337947918309E-2</v>
      </c>
      <c r="U2448" s="204"/>
    </row>
    <row r="2449" spans="1:21" x14ac:dyDescent="0.2">
      <c r="A2449" s="64" t="str">
        <f t="shared" si="39"/>
        <v>1w</v>
      </c>
      <c r="B2449" s="203">
        <f>_xll.qlCalendarAdvance(Calendar,B2448,A2449,"f",FALSE)</f>
        <v>56059</v>
      </c>
      <c r="C2449" s="237">
        <f>_xll.qlCalendarAdvance(Calendar,B2449,NDays&amp;"D")</f>
        <v>56061</v>
      </c>
      <c r="D2449" s="202">
        <v>2.3906420510039036E-2</v>
      </c>
      <c r="E2449" s="202">
        <v>2.3828533882213065E-2</v>
      </c>
      <c r="U2449" s="204"/>
    </row>
    <row r="2450" spans="1:21" x14ac:dyDescent="0.2">
      <c r="A2450" s="64" t="str">
        <f t="shared" si="39"/>
        <v>1w</v>
      </c>
      <c r="B2450" s="203">
        <f>_xll.qlCalendarAdvance(Calendar,B2449,A2450,"f",FALSE)</f>
        <v>56066</v>
      </c>
      <c r="C2450" s="237">
        <f>_xll.qlCalendarAdvance(Calendar,B2450,NDays&amp;"D")</f>
        <v>56068</v>
      </c>
      <c r="D2450" s="202">
        <v>2.3901057603724303E-2</v>
      </c>
      <c r="E2450" s="202">
        <v>2.3823695079254747E-2</v>
      </c>
      <c r="U2450" s="204"/>
    </row>
    <row r="2451" spans="1:21" x14ac:dyDescent="0.2">
      <c r="A2451" s="64" t="str">
        <f t="shared" si="39"/>
        <v>1w</v>
      </c>
      <c r="B2451" s="203">
        <f>_xll.qlCalendarAdvance(Calendar,B2450,A2451,"f",FALSE)</f>
        <v>56073</v>
      </c>
      <c r="C2451" s="237">
        <f>_xll.qlCalendarAdvance(Calendar,B2451,NDays&amp;"D")</f>
        <v>56075</v>
      </c>
      <c r="D2451" s="202">
        <v>2.3895659548236969E-2</v>
      </c>
      <c r="E2451" s="202">
        <v>2.3818821539123292E-2</v>
      </c>
      <c r="U2451" s="204"/>
    </row>
    <row r="2452" spans="1:21" x14ac:dyDescent="0.2">
      <c r="A2452" s="64" t="str">
        <f t="shared" si="39"/>
        <v>1w</v>
      </c>
      <c r="B2452" s="203">
        <f>_xll.qlCalendarAdvance(Calendar,B2451,A2452,"f",FALSE)</f>
        <v>56080</v>
      </c>
      <c r="C2452" s="237">
        <f>_xll.qlCalendarAdvance(Calendar,B2452,NDays&amp;"D")</f>
        <v>56082</v>
      </c>
      <c r="D2452" s="202">
        <v>2.389022634386798E-2</v>
      </c>
      <c r="E2452" s="202">
        <v>2.3813913261818698E-2</v>
      </c>
      <c r="U2452" s="204"/>
    </row>
    <row r="2453" spans="1:21" x14ac:dyDescent="0.2">
      <c r="A2453" s="64" t="str">
        <f t="shared" si="39"/>
        <v>1w</v>
      </c>
      <c r="B2453" s="203">
        <f>_xll.qlCalendarAdvance(Calendar,B2452,A2453,"f",FALSE)</f>
        <v>56087</v>
      </c>
      <c r="C2453" s="237">
        <f>_xll.qlCalendarAdvance(Calendar,B2453,NDays&amp;"D")</f>
        <v>56089</v>
      </c>
      <c r="D2453" s="202">
        <v>2.3884757990908712E-2</v>
      </c>
      <c r="E2453" s="202">
        <v>2.3808970247181094E-2</v>
      </c>
      <c r="U2453" s="204"/>
    </row>
    <row r="2454" spans="1:21" x14ac:dyDescent="0.2">
      <c r="A2454" s="64" t="str">
        <f t="shared" si="39"/>
        <v>1w</v>
      </c>
      <c r="B2454" s="203">
        <f>_xll.qlCalendarAdvance(Calendar,B2453,A2454,"f",FALSE)</f>
        <v>56094</v>
      </c>
      <c r="C2454" s="237">
        <f>_xll.qlCalendarAdvance(Calendar,B2454,NDays&amp;"D")</f>
        <v>56096</v>
      </c>
      <c r="D2454" s="202">
        <v>2.3878103585995174E-2</v>
      </c>
      <c r="E2454" s="202">
        <v>2.3803992495130544E-2</v>
      </c>
      <c r="U2454" s="204"/>
    </row>
    <row r="2455" spans="1:21" x14ac:dyDescent="0.2">
      <c r="A2455" s="64" t="str">
        <f t="shared" si="39"/>
        <v>1w</v>
      </c>
      <c r="B2455" s="203">
        <f>_xll.qlCalendarAdvance(Calendar,B2454,A2455,"f",FALSE)</f>
        <v>56101</v>
      </c>
      <c r="C2455" s="237">
        <f>_xll.qlCalendarAdvance(Calendar,B2455,NDays&amp;"D")</f>
        <v>56103</v>
      </c>
      <c r="D2455" s="202">
        <v>2.387371584040035E-2</v>
      </c>
      <c r="E2455" s="202">
        <v>2.3798980006066728E-2</v>
      </c>
      <c r="U2455" s="204"/>
    </row>
    <row r="2456" spans="1:21" x14ac:dyDescent="0.2">
      <c r="A2456" s="64" t="str">
        <f t="shared" si="39"/>
        <v>1w</v>
      </c>
      <c r="B2456" s="203">
        <f>_xll.qlCalendarAdvance(Calendar,B2455,A2456,"f",FALSE)</f>
        <v>56108</v>
      </c>
      <c r="C2456" s="237">
        <f>_xll.qlCalendarAdvance(Calendar,B2456,NDays&amp;"D")</f>
        <v>56110</v>
      </c>
      <c r="D2456" s="202">
        <v>2.3868142043446044E-2</v>
      </c>
      <c r="E2456" s="202">
        <v>2.3793932779829774E-2</v>
      </c>
      <c r="U2456" s="204"/>
    </row>
    <row r="2457" spans="1:21" x14ac:dyDescent="0.2">
      <c r="A2457" s="64" t="str">
        <f t="shared" si="39"/>
        <v>1w</v>
      </c>
      <c r="B2457" s="203">
        <f>_xll.qlCalendarAdvance(Calendar,B2456,A2457,"f",FALSE)</f>
        <v>56115</v>
      </c>
      <c r="C2457" s="237">
        <f>_xll.qlCalendarAdvance(Calendar,B2457,NDays&amp;"D")</f>
        <v>56117</v>
      </c>
      <c r="D2457" s="202">
        <v>2.3862533099090619E-2</v>
      </c>
      <c r="E2457" s="202">
        <v>2.378885081625981E-2</v>
      </c>
      <c r="U2457" s="204"/>
    </row>
    <row r="2458" spans="1:21" x14ac:dyDescent="0.2">
      <c r="A2458" s="64" t="str">
        <f t="shared" si="39"/>
        <v>1w</v>
      </c>
      <c r="B2458" s="203">
        <f>_xll.qlCalendarAdvance(Calendar,B2457,A2458,"f",FALSE)</f>
        <v>56122</v>
      </c>
      <c r="C2458" s="237">
        <f>_xll.qlCalendarAdvance(Calendar,B2458,NDays&amp;"D")</f>
        <v>56124</v>
      </c>
      <c r="D2458" s="202">
        <v>2.3855772645106389E-2</v>
      </c>
      <c r="E2458" s="202">
        <v>2.3783734115356836E-2</v>
      </c>
      <c r="U2458" s="204"/>
    </row>
    <row r="2459" spans="1:21" x14ac:dyDescent="0.2">
      <c r="A2459" s="64" t="str">
        <f t="shared" si="39"/>
        <v>1w</v>
      </c>
      <c r="B2459" s="203">
        <f>_xll.qlCalendarAdvance(Calendar,B2458,A2459,"f",FALSE)</f>
        <v>56129</v>
      </c>
      <c r="C2459" s="237">
        <f>_xll.qlCalendarAdvance(Calendar,B2459,NDays&amp;"D")</f>
        <v>56131</v>
      </c>
      <c r="D2459" s="202">
        <v>2.3849362287598458E-2</v>
      </c>
      <c r="E2459" s="202">
        <v>2.377858267736066E-2</v>
      </c>
      <c r="U2459" s="204"/>
    </row>
    <row r="2460" spans="1:21" x14ac:dyDescent="0.2">
      <c r="A2460" s="64" t="str">
        <f t="shared" si="39"/>
        <v>1w</v>
      </c>
      <c r="B2460" s="203">
        <f>_xll.qlCalendarAdvance(Calendar,B2459,A2460,"f",FALSE)</f>
        <v>56136</v>
      </c>
      <c r="C2460" s="237">
        <f>_xll.qlCalendarAdvance(Calendar,B2460,NDays&amp;"D")</f>
        <v>56138</v>
      </c>
      <c r="D2460" s="202">
        <v>2.3843662331898097E-2</v>
      </c>
      <c r="E2460" s="202">
        <v>2.377339650211141E-2</v>
      </c>
      <c r="U2460" s="204"/>
    </row>
    <row r="2461" spans="1:21" x14ac:dyDescent="0.2">
      <c r="A2461" s="64" t="str">
        <f t="shared" si="39"/>
        <v>1w</v>
      </c>
      <c r="B2461" s="203">
        <f>_xll.qlCalendarAdvance(Calendar,B2460,A2461,"f",FALSE)</f>
        <v>56143</v>
      </c>
      <c r="C2461" s="237">
        <f>_xll.qlCalendarAdvance(Calendar,B2461,NDays&amp;"D")</f>
        <v>56145</v>
      </c>
      <c r="D2461" s="202">
        <v>2.3837927241023408E-2</v>
      </c>
      <c r="E2461" s="202">
        <v>2.376817558952915E-2</v>
      </c>
      <c r="U2461" s="204"/>
    </row>
    <row r="2462" spans="1:21" x14ac:dyDescent="0.2">
      <c r="A2462" s="64" t="str">
        <f t="shared" si="39"/>
        <v>1w</v>
      </c>
      <c r="B2462" s="203">
        <f>_xll.qlCalendarAdvance(Calendar,B2461,A2462,"f",FALSE)</f>
        <v>56150</v>
      </c>
      <c r="C2462" s="237">
        <f>_xll.qlCalendarAdvance(Calendar,B2462,NDays&amp;"D")</f>
        <v>56152</v>
      </c>
      <c r="D2462" s="202">
        <v>2.3832157015275586E-2</v>
      </c>
      <c r="E2462" s="202">
        <v>2.3762919939773752E-2</v>
      </c>
      <c r="U2462" s="204"/>
    </row>
    <row r="2463" spans="1:21" x14ac:dyDescent="0.2">
      <c r="A2463" s="64" t="str">
        <f t="shared" si="39"/>
        <v>1w</v>
      </c>
      <c r="B2463" s="203">
        <f>_xll.qlCalendarAdvance(Calendar,B2462,A2463,"f",FALSE)</f>
        <v>56157</v>
      </c>
      <c r="C2463" s="237">
        <f>_xll.qlCalendarAdvance(Calendar,B2463,NDays&amp;"D")</f>
        <v>56159</v>
      </c>
      <c r="D2463" s="202">
        <v>2.3826710116489569E-2</v>
      </c>
      <c r="E2463" s="202">
        <v>2.3757629552925152E-2</v>
      </c>
      <c r="U2463" s="204"/>
    </row>
    <row r="2464" spans="1:21" x14ac:dyDescent="0.2">
      <c r="A2464" s="64" t="str">
        <f t="shared" si="39"/>
        <v>1w</v>
      </c>
      <c r="B2464" s="203">
        <f>_xll.qlCalendarAdvance(Calendar,B2463,A2464,"f",FALSE)</f>
        <v>56164</v>
      </c>
      <c r="C2464" s="237">
        <f>_xll.qlCalendarAdvance(Calendar,B2464,NDays&amp;"D")</f>
        <v>56166</v>
      </c>
      <c r="D2464" s="202">
        <v>2.3820866727981123E-2</v>
      </c>
      <c r="E2464" s="202">
        <v>2.3752304428743543E-2</v>
      </c>
      <c r="U2464" s="204"/>
    </row>
    <row r="2465" spans="1:21" x14ac:dyDescent="0.2">
      <c r="A2465" s="64" t="str">
        <f t="shared" si="39"/>
        <v>1w</v>
      </c>
      <c r="B2465" s="203">
        <f>_xll.qlCalendarAdvance(Calendar,B2464,A2465,"f",FALSE)</f>
        <v>56171</v>
      </c>
      <c r="C2465" s="237">
        <f>_xll.qlCalendarAdvance(Calendar,B2465,NDays&amp;"D")</f>
        <v>56173</v>
      </c>
      <c r="D2465" s="202">
        <v>2.381498820331715E-2</v>
      </c>
      <c r="E2465" s="202">
        <v>2.3746944567308859E-2</v>
      </c>
      <c r="U2465" s="204"/>
    </row>
    <row r="2466" spans="1:21" x14ac:dyDescent="0.2">
      <c r="A2466" s="64" t="str">
        <f t="shared" si="39"/>
        <v>1w</v>
      </c>
      <c r="B2466" s="203">
        <f>_xll.qlCalendarAdvance(Calendar,B2465,A2466,"f",FALSE)</f>
        <v>56178</v>
      </c>
      <c r="C2466" s="237">
        <f>_xll.qlCalendarAdvance(Calendar,B2466,NDays&amp;"D")</f>
        <v>56180</v>
      </c>
      <c r="D2466" s="202">
        <v>2.3809074542807295E-2</v>
      </c>
      <c r="E2466" s="202">
        <v>2.3741549968701037E-2</v>
      </c>
      <c r="U2466" s="204"/>
    </row>
    <row r="2467" spans="1:21" x14ac:dyDescent="0.2">
      <c r="A2467" s="64" t="str">
        <f t="shared" si="39"/>
        <v>1w</v>
      </c>
      <c r="B2467" s="203">
        <f>_xll.qlCalendarAdvance(Calendar,B2466,A2467,"f",FALSE)</f>
        <v>56185</v>
      </c>
      <c r="C2467" s="237">
        <f>_xll.qlCalendarAdvance(Calendar,B2467,NDays&amp;"D")</f>
        <v>56187</v>
      </c>
      <c r="D2467" s="202">
        <v>2.3803125746763399E-2</v>
      </c>
      <c r="E2467" s="202">
        <v>2.3736120632920077E-2</v>
      </c>
      <c r="U2467" s="204"/>
    </row>
    <row r="2468" spans="1:21" x14ac:dyDescent="0.2">
      <c r="A2468" s="64" t="str">
        <f t="shared" si="39"/>
        <v>1w</v>
      </c>
      <c r="B2468" s="203">
        <f>_xll.qlCalendarAdvance(Calendar,B2467,A2468,"f",FALSE)</f>
        <v>56192</v>
      </c>
      <c r="C2468" s="237">
        <f>_xll.qlCalendarAdvance(Calendar,B2468,NDays&amp;"D")</f>
        <v>56194</v>
      </c>
      <c r="D2468" s="202">
        <v>2.3796797845511933E-2</v>
      </c>
      <c r="E2468" s="202">
        <v>2.3730656559886043E-2</v>
      </c>
      <c r="U2468" s="204"/>
    </row>
    <row r="2469" spans="1:21" x14ac:dyDescent="0.2">
      <c r="A2469" s="64" t="str">
        <f t="shared" si="39"/>
        <v>1w</v>
      </c>
      <c r="B2469" s="203">
        <f>_xll.qlCalendarAdvance(Calendar,B2468,A2469,"f",FALSE)</f>
        <v>56199</v>
      </c>
      <c r="C2469" s="237">
        <f>_xll.qlCalendarAdvance(Calendar,B2469,NDays&amp;"D")</f>
        <v>56201</v>
      </c>
      <c r="D2469" s="202">
        <v>2.3790781684218592E-2</v>
      </c>
      <c r="E2469" s="202">
        <v>2.3725157749518999E-2</v>
      </c>
      <c r="U2469" s="204"/>
    </row>
    <row r="2470" spans="1:21" x14ac:dyDescent="0.2">
      <c r="A2470" s="64" t="str">
        <f t="shared" si="39"/>
        <v>1w</v>
      </c>
      <c r="B2470" s="203">
        <f>_xll.qlCalendarAdvance(Calendar,B2469,A2470,"f",FALSE)</f>
        <v>56206</v>
      </c>
      <c r="C2470" s="237">
        <f>_xll.qlCalendarAdvance(Calendar,B2470,NDays&amp;"D")</f>
        <v>56208</v>
      </c>
      <c r="D2470" s="202">
        <v>2.3784730390523069E-2</v>
      </c>
      <c r="E2470" s="202">
        <v>2.3719624202058753E-2</v>
      </c>
      <c r="U2470" s="204"/>
    </row>
    <row r="2471" spans="1:21" x14ac:dyDescent="0.2">
      <c r="A2471" s="64" t="str">
        <f t="shared" si="39"/>
        <v>1w</v>
      </c>
      <c r="B2471" s="203">
        <f>_xll.qlCalendarAdvance(Calendar,B2470,A2471,"f",FALSE)</f>
        <v>56213</v>
      </c>
      <c r="C2471" s="237">
        <f>_xll.qlCalendarAdvance(Calendar,B2471,NDays&amp;"D")</f>
        <v>56215</v>
      </c>
      <c r="D2471" s="202">
        <v>2.3778643964740252E-2</v>
      </c>
      <c r="E2471" s="202">
        <v>2.371405591742537E-2</v>
      </c>
      <c r="U2471" s="204"/>
    </row>
    <row r="2472" spans="1:21" x14ac:dyDescent="0.2">
      <c r="A2472" s="64" t="str">
        <f t="shared" si="39"/>
        <v>1w</v>
      </c>
      <c r="B2472" s="203">
        <f>_xll.qlCalendarAdvance(Calendar,B2471,A2472,"f",FALSE)</f>
        <v>56220</v>
      </c>
      <c r="C2472" s="237">
        <f>_xll.qlCalendarAdvance(Calendar,B2472,NDays&amp;"D")</f>
        <v>56222</v>
      </c>
      <c r="D2472" s="202">
        <v>2.3772854981011362E-2</v>
      </c>
      <c r="E2472" s="202">
        <v>2.370845289537904E-2</v>
      </c>
      <c r="U2472" s="204"/>
    </row>
    <row r="2473" spans="1:21" x14ac:dyDescent="0.2">
      <c r="A2473" s="64" t="str">
        <f t="shared" si="39"/>
        <v>1w</v>
      </c>
      <c r="B2473" s="203">
        <f>_xll.qlCalendarAdvance(Calendar,B2472,A2473,"f",FALSE)</f>
        <v>56227</v>
      </c>
      <c r="C2473" s="237">
        <f>_xll.qlCalendarAdvance(Calendar,B2473,NDays&amp;"D")</f>
        <v>56229</v>
      </c>
      <c r="D2473" s="202">
        <v>2.3766697546944125E-2</v>
      </c>
      <c r="E2473" s="202">
        <v>2.3702815136319444E-2</v>
      </c>
      <c r="U2473" s="204"/>
    </row>
    <row r="2474" spans="1:21" x14ac:dyDescent="0.2">
      <c r="A2474" s="64" t="str">
        <f t="shared" si="39"/>
        <v>1w</v>
      </c>
      <c r="B2474" s="203">
        <f>_xll.qlCalendarAdvance(Calendar,B2473,A2474,"f",FALSE)</f>
        <v>56234</v>
      </c>
      <c r="C2474" s="237">
        <f>_xll.qlCalendarAdvance(Calendar,B2474,NDays&amp;"D")</f>
        <v>56236</v>
      </c>
      <c r="D2474" s="202">
        <v>2.376050916337151E-2</v>
      </c>
      <c r="E2474" s="202">
        <v>2.369714264008671E-2</v>
      </c>
      <c r="U2474" s="204"/>
    </row>
    <row r="2475" spans="1:21" x14ac:dyDescent="0.2">
      <c r="A2475" s="64" t="str">
        <f t="shared" si="39"/>
        <v>1w</v>
      </c>
      <c r="B2475" s="203">
        <f>_xll.qlCalendarAdvance(Calendar,B2474,A2475,"f",FALSE)</f>
        <v>56241</v>
      </c>
      <c r="C2475" s="237">
        <f>_xll.qlCalendarAdvance(Calendar,B2475,NDays&amp;"D")</f>
        <v>56247</v>
      </c>
      <c r="D2475" s="202">
        <v>2.3750727449235686E-2</v>
      </c>
      <c r="E2475" s="202">
        <v>2.3688158533907711E-2</v>
      </c>
      <c r="U2475" s="204"/>
    </row>
    <row r="2476" spans="1:21" x14ac:dyDescent="0.2">
      <c r="A2476" s="64" t="str">
        <f t="shared" si="39"/>
        <v>1w</v>
      </c>
      <c r="B2476" s="203">
        <f>_xll.qlCalendarAdvance(Calendar,B2475,A2476,"f",FALSE)</f>
        <v>56248</v>
      </c>
      <c r="C2476" s="237">
        <f>_xll.qlCalendarAdvance(Calendar,B2476,NDays&amp;"D")</f>
        <v>56251</v>
      </c>
      <c r="D2476" s="202">
        <v>2.374683067422384E-2</v>
      </c>
      <c r="E2476" s="202">
        <v>2.3685604440437658E-2</v>
      </c>
      <c r="U2476" s="204"/>
    </row>
    <row r="2477" spans="1:21" x14ac:dyDescent="0.2">
      <c r="A2477" s="64" t="str">
        <f t="shared" si="39"/>
        <v>1w</v>
      </c>
      <c r="B2477" s="203">
        <f>_xll.qlCalendarAdvance(Calendar,B2476,A2477,"f",FALSE)</f>
        <v>56255</v>
      </c>
      <c r="C2477" s="237">
        <f>_xll.qlCalendarAdvance(Calendar,B2477,NDays&amp;"D")</f>
        <v>56257</v>
      </c>
      <c r="D2477" s="202">
        <v>2.3741458094571958E-2</v>
      </c>
      <c r="E2477" s="202">
        <v>2.3679916727870065E-2</v>
      </c>
      <c r="U2477" s="204"/>
    </row>
    <row r="2478" spans="1:21" x14ac:dyDescent="0.2">
      <c r="A2478" s="64" t="str">
        <f t="shared" si="39"/>
        <v>1w</v>
      </c>
      <c r="B2478" s="203">
        <f>_xll.qlCalendarAdvance(Calendar,B2477,A2478,"f",FALSE)</f>
        <v>56262</v>
      </c>
      <c r="C2478" s="237">
        <f>_xll.qlCalendarAdvance(Calendar,B2478,NDays&amp;"D")</f>
        <v>56264</v>
      </c>
      <c r="D2478" s="202">
        <v>2.3735169583269555E-2</v>
      </c>
      <c r="E2478" s="202">
        <v>2.3674105282784907E-2</v>
      </c>
      <c r="U2478" s="204"/>
    </row>
    <row r="2479" spans="1:21" x14ac:dyDescent="0.2">
      <c r="A2479" s="64" t="str">
        <f t="shared" si="39"/>
        <v>1w</v>
      </c>
      <c r="B2479" s="203">
        <f>_xll.qlCalendarAdvance(Calendar,B2478,A2479,"f",FALSE)</f>
        <v>56269</v>
      </c>
      <c r="C2479" s="237">
        <f>_xll.qlCalendarAdvance(Calendar,B2479,NDays&amp;"D")</f>
        <v>56271</v>
      </c>
      <c r="D2479" s="202">
        <v>2.372886115062478E-2</v>
      </c>
      <c r="E2479" s="202">
        <v>2.366825910036674E-2</v>
      </c>
      <c r="U2479" s="204"/>
    </row>
    <row r="2480" spans="1:21" x14ac:dyDescent="0.2">
      <c r="A2480" s="64" t="str">
        <f t="shared" si="39"/>
        <v>1w</v>
      </c>
      <c r="B2480" s="203">
        <f>_xll.qlCalendarAdvance(Calendar,B2479,A2480,"f",FALSE)</f>
        <v>56276</v>
      </c>
      <c r="C2480" s="237">
        <f>_xll.qlCalendarAdvance(Calendar,B2480,NDays&amp;"D")</f>
        <v>56278</v>
      </c>
      <c r="D2480" s="202">
        <v>2.372253506190098E-2</v>
      </c>
      <c r="E2480" s="202">
        <v>2.366237818085537E-2</v>
      </c>
      <c r="U2480" s="204"/>
    </row>
    <row r="2481" spans="1:21" x14ac:dyDescent="0.2">
      <c r="A2481" s="64" t="str">
        <f t="shared" si="39"/>
        <v>1w</v>
      </c>
      <c r="B2481" s="203">
        <f>_xll.qlCalendarAdvance(Calendar,B2480,A2481,"f",FALSE)</f>
        <v>56283</v>
      </c>
      <c r="C2481" s="237">
        <f>_xll.qlCalendarAdvance(Calendar,B2481,NDays&amp;"D")</f>
        <v>56285</v>
      </c>
      <c r="D2481" s="202">
        <v>2.3716193582335867E-2</v>
      </c>
      <c r="E2481" s="202">
        <v>2.3656462524170863E-2</v>
      </c>
      <c r="U2481" s="204"/>
    </row>
    <row r="2482" spans="1:21" x14ac:dyDescent="0.2">
      <c r="A2482" s="64" t="str">
        <f t="shared" si="39"/>
        <v>1w</v>
      </c>
      <c r="B2482" s="203">
        <f>_xll.qlCalendarAdvance(Calendar,B2481,A2482,"f",FALSE)</f>
        <v>56290</v>
      </c>
      <c r="C2482" s="237">
        <f>_xll.qlCalendarAdvance(Calendar,B2482,NDays&amp;"D")</f>
        <v>56292</v>
      </c>
      <c r="D2482" s="202">
        <v>2.3709838977135373E-2</v>
      </c>
      <c r="E2482" s="202">
        <v>2.3650512130233281E-2</v>
      </c>
      <c r="U2482" s="204"/>
    </row>
    <row r="2483" spans="1:21" x14ac:dyDescent="0.2">
      <c r="A2483" s="64" t="str">
        <f t="shared" si="39"/>
        <v>1w</v>
      </c>
      <c r="B2483" s="203">
        <f>_xll.qlCalendarAdvance(Calendar,B2482,A2483,"f",FALSE)</f>
        <v>56297</v>
      </c>
      <c r="C2483" s="237">
        <f>_xll.qlCalendarAdvance(Calendar,B2483,NDays&amp;"D")</f>
        <v>56299</v>
      </c>
      <c r="D2483" s="202">
        <v>2.3703473511479802E-2</v>
      </c>
      <c r="E2483" s="202">
        <v>2.3644526999122562E-2</v>
      </c>
      <c r="U2483" s="204"/>
    </row>
    <row r="2484" spans="1:21" x14ac:dyDescent="0.2">
      <c r="A2484" s="64" t="str">
        <f t="shared" si="39"/>
        <v>1w</v>
      </c>
      <c r="B2484" s="203">
        <f>_xll.qlCalendarAdvance(Calendar,B2483,A2484,"f",FALSE)</f>
        <v>56304</v>
      </c>
      <c r="C2484" s="237">
        <f>_xll.qlCalendarAdvance(Calendar,B2484,NDays&amp;"D")</f>
        <v>56306</v>
      </c>
      <c r="D2484" s="202">
        <v>2.3697099450520755E-2</v>
      </c>
      <c r="E2484" s="202">
        <v>2.3638507130838704E-2</v>
      </c>
      <c r="U2484" s="204"/>
    </row>
    <row r="2485" spans="1:21" x14ac:dyDescent="0.2">
      <c r="A2485" s="64" t="str">
        <f t="shared" si="39"/>
        <v>1w</v>
      </c>
      <c r="B2485" s="203">
        <f>_xll.qlCalendarAdvance(Calendar,B2484,A2485,"f",FALSE)</f>
        <v>56311</v>
      </c>
      <c r="C2485" s="237">
        <f>_xll.qlCalendarAdvance(Calendar,B2485,NDays&amp;"D")</f>
        <v>56313</v>
      </c>
      <c r="D2485" s="202">
        <v>2.3692317919148241E-2</v>
      </c>
      <c r="E2485" s="202">
        <v>2.3632452525381709E-2</v>
      </c>
      <c r="U2485" s="204"/>
    </row>
    <row r="2486" spans="1:21" x14ac:dyDescent="0.2">
      <c r="A2486" s="64" t="str">
        <f t="shared" si="39"/>
        <v>1w</v>
      </c>
      <c r="B2486" s="203">
        <f>_xll.qlCalendarAdvance(Calendar,B2485,A2486,"f",FALSE)</f>
        <v>56318</v>
      </c>
      <c r="C2486" s="237">
        <f>_xll.qlCalendarAdvance(Calendar,B2486,NDays&amp;"D")</f>
        <v>56320</v>
      </c>
      <c r="D2486" s="202">
        <v>2.3685935617770524E-2</v>
      </c>
      <c r="E2486" s="202">
        <v>2.3626363182671639E-2</v>
      </c>
      <c r="U2486" s="204"/>
    </row>
    <row r="2487" spans="1:21" x14ac:dyDescent="0.2">
      <c r="A2487" s="64" t="str">
        <f t="shared" si="39"/>
        <v>1w</v>
      </c>
      <c r="B2487" s="203">
        <f>_xll.qlCalendarAdvance(Calendar,B2486,A2487,"f",FALSE)</f>
        <v>56325</v>
      </c>
      <c r="C2487" s="237">
        <f>_xll.qlCalendarAdvance(Calendar,B2487,NDays&amp;"D")</f>
        <v>56327</v>
      </c>
      <c r="D2487" s="202">
        <v>2.3679552195000796E-2</v>
      </c>
      <c r="E2487" s="202">
        <v>2.3620239102708496E-2</v>
      </c>
      <c r="U2487" s="204"/>
    </row>
    <row r="2488" spans="1:21" x14ac:dyDescent="0.2">
      <c r="A2488" s="64" t="str">
        <f t="shared" si="39"/>
        <v>1w</v>
      </c>
      <c r="B2488" s="203">
        <f>_xll.qlCalendarAdvance(Calendar,B2487,A2488,"f",FALSE)</f>
        <v>56332</v>
      </c>
      <c r="C2488" s="237">
        <f>_xll.qlCalendarAdvance(Calendar,B2488,NDays&amp;"D")</f>
        <v>56334</v>
      </c>
      <c r="D2488" s="202">
        <v>2.3673169855701587E-2</v>
      </c>
      <c r="E2488" s="202">
        <v>2.3615411189615187E-2</v>
      </c>
      <c r="U2488" s="204"/>
    </row>
    <row r="2489" spans="1:21" x14ac:dyDescent="0.2">
      <c r="A2489" s="64" t="str">
        <f t="shared" si="39"/>
        <v>1w</v>
      </c>
      <c r="B2489" s="203">
        <f>_xll.qlCalendarAdvance(Calendar,B2488,A2489,"f",FALSE)</f>
        <v>56339</v>
      </c>
      <c r="C2489" s="237">
        <f>_xll.qlCalendarAdvance(Calendar,B2489,NDays&amp;"D")</f>
        <v>56341</v>
      </c>
      <c r="D2489" s="202">
        <v>2.3665823652248591E-2</v>
      </c>
      <c r="E2489" s="202">
        <v>2.3607886731502603E-2</v>
      </c>
      <c r="U2489" s="204"/>
    </row>
    <row r="2490" spans="1:21" x14ac:dyDescent="0.2">
      <c r="A2490" s="64" t="str">
        <f t="shared" si="39"/>
        <v>1w</v>
      </c>
      <c r="B2490" s="203">
        <f>_xll.qlCalendarAdvance(Calendar,B2489,A2490,"f",FALSE)</f>
        <v>56346</v>
      </c>
      <c r="C2490" s="237">
        <f>_xll.qlCalendarAdvance(Calendar,B2490,NDays&amp;"D")</f>
        <v>56348</v>
      </c>
      <c r="D2490" s="202">
        <v>2.3659447377205767E-2</v>
      </c>
      <c r="E2490" s="202">
        <v>2.3601658440099982E-2</v>
      </c>
      <c r="U2490" s="204"/>
    </row>
    <row r="2491" spans="1:21" x14ac:dyDescent="0.2">
      <c r="A2491" s="64" t="str">
        <f t="shared" si="39"/>
        <v>1w</v>
      </c>
      <c r="B2491" s="203">
        <f>_xll.qlCalendarAdvance(Calendar,B2490,A2491,"f",FALSE)</f>
        <v>56353</v>
      </c>
      <c r="C2491" s="237">
        <f>_xll.qlCalendarAdvance(Calendar,B2491,NDays&amp;"D")</f>
        <v>56355</v>
      </c>
      <c r="D2491" s="202">
        <v>2.3653078540103914E-2</v>
      </c>
      <c r="E2491" s="202">
        <v>2.3595395411444287E-2</v>
      </c>
      <c r="U2491" s="204"/>
    </row>
    <row r="2492" spans="1:21" x14ac:dyDescent="0.2">
      <c r="A2492" s="64" t="str">
        <f t="shared" si="39"/>
        <v>1w</v>
      </c>
      <c r="B2492" s="203">
        <f>_xll.qlCalendarAdvance(Calendar,B2491,A2492,"f",FALSE)</f>
        <v>56360</v>
      </c>
      <c r="C2492" s="237">
        <f>_xll.qlCalendarAdvance(Calendar,B2492,NDays&amp;"D")</f>
        <v>56362</v>
      </c>
      <c r="D2492" s="202">
        <v>2.3646719381400907E-2</v>
      </c>
      <c r="E2492" s="202">
        <v>2.3589097645775325E-2</v>
      </c>
      <c r="U2492" s="204"/>
    </row>
    <row r="2493" spans="1:21" x14ac:dyDescent="0.2">
      <c r="A2493" s="64" t="str">
        <f t="shared" si="39"/>
        <v>1w</v>
      </c>
      <c r="B2493" s="203">
        <f>_xll.qlCalendarAdvance(Calendar,B2492,A2493,"f",FALSE)</f>
        <v>56367</v>
      </c>
      <c r="C2493" s="237">
        <f>_xll.qlCalendarAdvance(Calendar,B2493,NDays&amp;"D")</f>
        <v>56369</v>
      </c>
      <c r="D2493" s="202">
        <v>2.3640372141524483E-2</v>
      </c>
      <c r="E2493" s="202">
        <v>2.3583720327364777E-2</v>
      </c>
      <c r="U2493" s="204"/>
    </row>
    <row r="2494" spans="1:21" x14ac:dyDescent="0.2">
      <c r="A2494" s="64" t="str">
        <f t="shared" si="39"/>
        <v>1w</v>
      </c>
      <c r="B2494" s="203">
        <f>_xll.qlCalendarAdvance(Calendar,B2493,A2494,"f",FALSE)</f>
        <v>56374</v>
      </c>
      <c r="C2494" s="237">
        <f>_xll.qlCalendarAdvance(Calendar,B2494,NDays&amp;"D")</f>
        <v>56376</v>
      </c>
      <c r="D2494" s="202">
        <v>2.3635022041345578E-2</v>
      </c>
      <c r="E2494" s="202">
        <v>2.3576397902678181E-2</v>
      </c>
      <c r="U2494" s="204"/>
    </row>
    <row r="2495" spans="1:21" x14ac:dyDescent="0.2">
      <c r="A2495" s="64" t="str">
        <f t="shared" si="39"/>
        <v>1w</v>
      </c>
      <c r="B2495" s="203">
        <f>_xll.qlCalendarAdvance(Calendar,B2494,A2495,"f",FALSE)</f>
        <v>56381</v>
      </c>
      <c r="C2495" s="237">
        <f>_xll.qlCalendarAdvance(Calendar,B2495,NDays&amp;"D")</f>
        <v>56383</v>
      </c>
      <c r="D2495" s="202">
        <v>2.3628709020024823E-2</v>
      </c>
      <c r="E2495" s="202">
        <v>2.3569995925489806E-2</v>
      </c>
      <c r="U2495" s="204"/>
    </row>
    <row r="2496" spans="1:21" x14ac:dyDescent="0.2">
      <c r="A2496" s="64" t="str">
        <f t="shared" si="39"/>
        <v>1w</v>
      </c>
      <c r="B2496" s="203">
        <f>_xll.qlCalendarAdvance(Calendar,B2495,A2496,"f",FALSE)</f>
        <v>56388</v>
      </c>
      <c r="C2496" s="237">
        <f>_xll.qlCalendarAdvance(Calendar,B2496,NDays&amp;"D")</f>
        <v>56390</v>
      </c>
      <c r="D2496" s="202">
        <v>2.3622414720029201E-2</v>
      </c>
      <c r="E2496" s="202">
        <v>2.3563559210968421E-2</v>
      </c>
      <c r="U2496" s="204"/>
    </row>
    <row r="2497" spans="1:21" x14ac:dyDescent="0.2">
      <c r="A2497" s="64" t="str">
        <f t="shared" si="39"/>
        <v>1w</v>
      </c>
      <c r="B2497" s="203">
        <f>_xll.qlCalendarAdvance(Calendar,B2496,A2497,"f",FALSE)</f>
        <v>56395</v>
      </c>
      <c r="C2497" s="237">
        <f>_xll.qlCalendarAdvance(Calendar,B2497,NDays&amp;"D")</f>
        <v>56397</v>
      </c>
      <c r="D2497" s="202">
        <v>2.3616141345964244E-2</v>
      </c>
      <c r="E2497" s="202">
        <v>2.3557087759353834E-2</v>
      </c>
      <c r="U2497" s="204"/>
    </row>
    <row r="2498" spans="1:21" x14ac:dyDescent="0.2">
      <c r="A2498" s="64" t="str">
        <f t="shared" si="39"/>
        <v>1w</v>
      </c>
      <c r="B2498" s="203">
        <f>_xll.qlCalendarAdvance(Calendar,B2497,A2498,"f",FALSE)</f>
        <v>56402</v>
      </c>
      <c r="C2498" s="237">
        <f>_xll.qlCalendarAdvance(Calendar,B2498,NDays&amp;"D")</f>
        <v>56404</v>
      </c>
      <c r="D2498" s="202">
        <v>2.3608892902399588E-2</v>
      </c>
      <c r="E2498" s="202">
        <v>2.3550606573925492E-2</v>
      </c>
      <c r="U2498" s="204"/>
    </row>
    <row r="2499" spans="1:21" x14ac:dyDescent="0.2">
      <c r="A2499" s="64" t="str">
        <f t="shared" si="39"/>
        <v>1w</v>
      </c>
      <c r="B2499" s="203">
        <f>_xll.qlCalendarAdvance(Calendar,B2498,A2499,"f",FALSE)</f>
        <v>56409</v>
      </c>
      <c r="C2499" s="237">
        <f>_xll.qlCalendarAdvance(Calendar,B2499,NDays&amp;"D")</f>
        <v>56411</v>
      </c>
      <c r="D2499" s="202">
        <v>2.3602662066249603E-2</v>
      </c>
      <c r="E2499" s="202">
        <v>2.354414833646068E-2</v>
      </c>
      <c r="U2499" s="204"/>
    </row>
    <row r="2500" spans="1:21" x14ac:dyDescent="0.2">
      <c r="A2500" s="64" t="str">
        <f t="shared" si="39"/>
        <v>1w</v>
      </c>
      <c r="B2500" s="203">
        <f>_xll.qlCalendarAdvance(Calendar,B2499,A2500,"f",FALSE)</f>
        <v>56416</v>
      </c>
      <c r="C2500" s="237">
        <f>_xll.qlCalendarAdvance(Calendar,B2500,NDays&amp;"D")</f>
        <v>56418</v>
      </c>
      <c r="D2500" s="202">
        <v>2.3596454670277503E-2</v>
      </c>
      <c r="E2500" s="202">
        <v>2.3537713243522163E-2</v>
      </c>
      <c r="U2500" s="204"/>
    </row>
    <row r="2501" spans="1:21" x14ac:dyDescent="0.2">
      <c r="A2501" s="64" t="str">
        <f t="shared" si="39"/>
        <v>1w</v>
      </c>
      <c r="B2501" s="203">
        <f>_xll.qlCalendarAdvance(Calendar,B2500,A2501,"f",FALSE)</f>
        <v>56423</v>
      </c>
      <c r="C2501" s="237">
        <f>_xll.qlCalendarAdvance(Calendar,B2501,NDays&amp;"D")</f>
        <v>56425</v>
      </c>
      <c r="D2501" s="202">
        <v>2.359128011354699E-2</v>
      </c>
      <c r="E2501" s="202">
        <v>2.3531301295349749E-2</v>
      </c>
      <c r="U2501" s="204"/>
    </row>
    <row r="2502" spans="1:21" x14ac:dyDescent="0.2">
      <c r="A2502" s="64" t="str">
        <f t="shared" si="39"/>
        <v>1w</v>
      </c>
      <c r="B2502" s="203">
        <f>_xll.qlCalendarAdvance(Calendar,B2501,A2502,"f",FALSE)</f>
        <v>56430</v>
      </c>
      <c r="C2502" s="237">
        <f>_xll.qlCalendarAdvance(Calendar,B2502,NDays&amp;"D")</f>
        <v>56432</v>
      </c>
      <c r="D2502" s="202">
        <v>2.3585123417201564E-2</v>
      </c>
      <c r="E2502" s="202">
        <v>2.3524912492023375E-2</v>
      </c>
      <c r="U2502" s="204"/>
    </row>
    <row r="2503" spans="1:21" x14ac:dyDescent="0.2">
      <c r="A2503" s="64" t="str">
        <f t="shared" ref="A2503:A2566" si="40">A2502</f>
        <v>1w</v>
      </c>
      <c r="B2503" s="203">
        <f>_xll.qlCalendarAdvance(Calendar,B2502,A2503,"f",FALSE)</f>
        <v>56437</v>
      </c>
      <c r="C2503" s="237">
        <f>_xll.qlCalendarAdvance(Calendar,B2503,NDays&amp;"D")</f>
        <v>56439</v>
      </c>
      <c r="D2503" s="202">
        <v>2.3578990165222156E-2</v>
      </c>
      <c r="E2503" s="202">
        <v>2.3518546833223297E-2</v>
      </c>
      <c r="U2503" s="204"/>
    </row>
    <row r="2504" spans="1:21" x14ac:dyDescent="0.2">
      <c r="A2504" s="64" t="str">
        <f t="shared" si="40"/>
        <v>1w</v>
      </c>
      <c r="B2504" s="203">
        <f>_xll.qlCalendarAdvance(Calendar,B2503,A2504,"f",FALSE)</f>
        <v>56444</v>
      </c>
      <c r="C2504" s="237">
        <f>_xll.qlCalendarAdvance(Calendar,B2504,NDays&amp;"D")</f>
        <v>56446</v>
      </c>
      <c r="D2504" s="202">
        <v>2.3572880357390445E-2</v>
      </c>
      <c r="E2504" s="202">
        <v>2.3512204319189323E-2</v>
      </c>
      <c r="U2504" s="204"/>
    </row>
    <row r="2505" spans="1:21" x14ac:dyDescent="0.2">
      <c r="A2505" s="64" t="str">
        <f t="shared" si="40"/>
        <v>1w</v>
      </c>
      <c r="B2505" s="203">
        <f>_xll.qlCalendarAdvance(Calendar,B2504,A2505,"f",FALSE)</f>
        <v>56451</v>
      </c>
      <c r="C2505" s="237">
        <f>_xll.qlCalendarAdvance(Calendar,B2505,NDays&amp;"D")</f>
        <v>56453</v>
      </c>
      <c r="D2505" s="202">
        <v>2.3566793993486393E-2</v>
      </c>
      <c r="E2505" s="202">
        <v>2.3505884949841516E-2</v>
      </c>
      <c r="U2505" s="204"/>
    </row>
    <row r="2506" spans="1:21" x14ac:dyDescent="0.2">
      <c r="A2506" s="64" t="str">
        <f t="shared" si="40"/>
        <v>1w</v>
      </c>
      <c r="B2506" s="203">
        <f>_xll.qlCalendarAdvance(Calendar,B2505,A2506,"f",FALSE)</f>
        <v>56458</v>
      </c>
      <c r="C2506" s="237">
        <f>_xll.qlCalendarAdvance(Calendar,B2506,NDays&amp;"D")</f>
        <v>56460</v>
      </c>
      <c r="D2506" s="202">
        <v>2.3559702525971706E-2</v>
      </c>
      <c r="E2506" s="202">
        <v>2.3499588725259812E-2</v>
      </c>
      <c r="U2506" s="204"/>
    </row>
    <row r="2507" spans="1:21" x14ac:dyDescent="0.2">
      <c r="A2507" s="64" t="str">
        <f t="shared" si="40"/>
        <v>1w</v>
      </c>
      <c r="B2507" s="203">
        <f>_xll.qlCalendarAdvance(Calendar,B2506,A2507,"f",FALSE)</f>
        <v>56465</v>
      </c>
      <c r="C2507" s="237">
        <f>_xll.qlCalendarAdvance(Calendar,B2507,NDays&amp;"D")</f>
        <v>56467</v>
      </c>
      <c r="D2507" s="202">
        <v>2.3554691596589711E-2</v>
      </c>
      <c r="E2507" s="202">
        <v>2.3493315645364277E-2</v>
      </c>
      <c r="U2507" s="204"/>
    </row>
    <row r="2508" spans="1:21" x14ac:dyDescent="0.2">
      <c r="A2508" s="64" t="str">
        <f t="shared" si="40"/>
        <v>1w</v>
      </c>
      <c r="B2508" s="203">
        <f>_xll.qlCalendarAdvance(Calendar,B2507,A2508,"f",FALSE)</f>
        <v>56472</v>
      </c>
      <c r="C2508" s="237">
        <f>_xll.qlCalendarAdvance(Calendar,B2508,NDays&amp;"D")</f>
        <v>56474</v>
      </c>
      <c r="D2508" s="202">
        <v>2.3548675563163018E-2</v>
      </c>
      <c r="E2508" s="202">
        <v>2.3487065710074972E-2</v>
      </c>
      <c r="U2508" s="204"/>
    </row>
    <row r="2509" spans="1:21" x14ac:dyDescent="0.2">
      <c r="A2509" s="64" t="str">
        <f t="shared" si="40"/>
        <v>1w</v>
      </c>
      <c r="B2509" s="203">
        <f>_xll.qlCalendarAdvance(Calendar,B2508,A2509,"f",FALSE)</f>
        <v>56479</v>
      </c>
      <c r="C2509" s="237">
        <f>_xll.qlCalendarAdvance(Calendar,B2509,NDays&amp;"D")</f>
        <v>56481</v>
      </c>
      <c r="D2509" s="202">
        <v>2.354268297279543E-2</v>
      </c>
      <c r="E2509" s="202">
        <v>2.3480838919471836E-2</v>
      </c>
      <c r="U2509" s="204"/>
    </row>
    <row r="2510" spans="1:21" x14ac:dyDescent="0.2">
      <c r="A2510" s="64" t="str">
        <f t="shared" si="40"/>
        <v>1w</v>
      </c>
      <c r="B2510" s="203">
        <f>_xll.qlCalendarAdvance(Calendar,B2509,A2510,"f",FALSE)</f>
        <v>56486</v>
      </c>
      <c r="C2510" s="237">
        <f>_xll.qlCalendarAdvance(Calendar,B2510,NDays&amp;"D")</f>
        <v>56488</v>
      </c>
      <c r="D2510" s="202">
        <v>2.3535669872552029E-2</v>
      </c>
      <c r="E2510" s="202">
        <v>2.3474635273714739E-2</v>
      </c>
      <c r="U2510" s="204"/>
    </row>
    <row r="2511" spans="1:21" x14ac:dyDescent="0.2">
      <c r="A2511" s="64" t="str">
        <f t="shared" si="40"/>
        <v>1w</v>
      </c>
      <c r="B2511" s="203">
        <f>_xll.qlCalendarAdvance(Calendar,B2510,A2511,"f",FALSE)</f>
        <v>56493</v>
      </c>
      <c r="C2511" s="237">
        <f>_xll.qlCalendarAdvance(Calendar,B2511,NDays&amp;"D")</f>
        <v>56495</v>
      </c>
      <c r="D2511" s="202">
        <v>2.352902245246254E-2</v>
      </c>
      <c r="E2511" s="202">
        <v>2.3468454772563874E-2</v>
      </c>
      <c r="U2511" s="204"/>
    </row>
    <row r="2512" spans="1:21" x14ac:dyDescent="0.2">
      <c r="A2512" s="64" t="str">
        <f t="shared" si="40"/>
        <v>1w</v>
      </c>
      <c r="B2512" s="203">
        <f>_xll.qlCalendarAdvance(Calendar,B2511,A2512,"f",FALSE)</f>
        <v>56500</v>
      </c>
      <c r="C2512" s="237">
        <f>_xll.qlCalendarAdvance(Calendar,B2512,NDays&amp;"D")</f>
        <v>56502</v>
      </c>
      <c r="D2512" s="202">
        <v>2.3523093743985014E-2</v>
      </c>
      <c r="E2512" s="202">
        <v>2.3462297416099176E-2</v>
      </c>
      <c r="U2512" s="204"/>
    </row>
    <row r="2513" spans="1:21" x14ac:dyDescent="0.2">
      <c r="A2513" s="64" t="str">
        <f t="shared" si="40"/>
        <v>1w</v>
      </c>
      <c r="B2513" s="203">
        <f>_xll.qlCalendarAdvance(Calendar,B2512,A2513,"f",FALSE)</f>
        <v>56507</v>
      </c>
      <c r="C2513" s="237">
        <f>_xll.qlCalendarAdvance(Calendar,B2513,NDays&amp;"D")</f>
        <v>56509</v>
      </c>
      <c r="D2513" s="202">
        <v>2.3517188469695562E-2</v>
      </c>
      <c r="E2513" s="202">
        <v>2.3456163204400582E-2</v>
      </c>
      <c r="U2513" s="204"/>
    </row>
    <row r="2514" spans="1:21" x14ac:dyDescent="0.2">
      <c r="A2514" s="64" t="str">
        <f t="shared" si="40"/>
        <v>1w</v>
      </c>
      <c r="B2514" s="203">
        <f>_xll.qlCalendarAdvance(Calendar,B2513,A2514,"f",FALSE)</f>
        <v>56514</v>
      </c>
      <c r="C2514" s="237">
        <f>_xll.qlCalendarAdvance(Calendar,B2514,NDays&amp;"D")</f>
        <v>56516</v>
      </c>
      <c r="D2514" s="202">
        <v>2.3511306629385286E-2</v>
      </c>
      <c r="E2514" s="202">
        <v>2.3450052137308219E-2</v>
      </c>
      <c r="U2514" s="204"/>
    </row>
    <row r="2515" spans="1:21" x14ac:dyDescent="0.2">
      <c r="A2515" s="64" t="str">
        <f t="shared" si="40"/>
        <v>1w</v>
      </c>
      <c r="B2515" s="203">
        <f>_xll.qlCalendarAdvance(Calendar,B2514,A2515,"f",FALSE)</f>
        <v>56521</v>
      </c>
      <c r="C2515" s="237">
        <f>_xll.qlCalendarAdvance(Calendar,B2515,NDays&amp;"D")</f>
        <v>56523</v>
      </c>
      <c r="D2515" s="202">
        <v>2.3505802244318207E-2</v>
      </c>
      <c r="E2515" s="202">
        <v>2.3443964214902024E-2</v>
      </c>
      <c r="U2515" s="204"/>
    </row>
    <row r="2516" spans="1:21" x14ac:dyDescent="0.2">
      <c r="A2516" s="64" t="str">
        <f t="shared" si="40"/>
        <v>1w</v>
      </c>
      <c r="B2516" s="203">
        <f>_xll.qlCalendarAdvance(Calendar,B2515,A2516,"f",FALSE)</f>
        <v>56528</v>
      </c>
      <c r="C2516" s="237">
        <f>_xll.qlCalendarAdvance(Calendar,B2516,NDays&amp;"D")</f>
        <v>56530</v>
      </c>
      <c r="D2516" s="202">
        <v>2.3499968566552298E-2</v>
      </c>
      <c r="E2516" s="202">
        <v>2.3437899437181997E-2</v>
      </c>
      <c r="U2516" s="204"/>
    </row>
    <row r="2517" spans="1:21" x14ac:dyDescent="0.2">
      <c r="A2517" s="64" t="str">
        <f t="shared" si="40"/>
        <v>1w</v>
      </c>
      <c r="B2517" s="203">
        <f>_xll.qlCalendarAdvance(Calendar,B2516,A2517,"f",FALSE)</f>
        <v>56535</v>
      </c>
      <c r="C2517" s="237">
        <f>_xll.qlCalendarAdvance(Calendar,B2517,NDays&amp;"D")</f>
        <v>56537</v>
      </c>
      <c r="D2517" s="202">
        <v>2.3494158323752446E-2</v>
      </c>
      <c r="E2517" s="202">
        <v>2.3431857804228073E-2</v>
      </c>
      <c r="U2517" s="204"/>
    </row>
    <row r="2518" spans="1:21" x14ac:dyDescent="0.2">
      <c r="A2518" s="64" t="str">
        <f t="shared" si="40"/>
        <v>1w</v>
      </c>
      <c r="B2518" s="203">
        <f>_xll.qlCalendarAdvance(Calendar,B2517,A2518,"f",FALSE)</f>
        <v>56542</v>
      </c>
      <c r="C2518" s="237">
        <f>_xll.qlCalendarAdvance(Calendar,B2518,NDays&amp;"D")</f>
        <v>56544</v>
      </c>
      <c r="D2518" s="202">
        <v>2.3488371515714417E-2</v>
      </c>
      <c r="E2518" s="202">
        <v>2.3425839315880381E-2</v>
      </c>
      <c r="U2518" s="204"/>
    </row>
    <row r="2519" spans="1:21" x14ac:dyDescent="0.2">
      <c r="A2519" s="64" t="str">
        <f t="shared" si="40"/>
        <v>1w</v>
      </c>
      <c r="B2519" s="203">
        <f>_xll.qlCalendarAdvance(Calendar,B2518,A2519,"f",FALSE)</f>
        <v>56549</v>
      </c>
      <c r="C2519" s="237">
        <f>_xll.qlCalendarAdvance(Calendar,B2519,NDays&amp;"D")</f>
        <v>56551</v>
      </c>
      <c r="D2519" s="202">
        <v>2.3482608142235732E-2</v>
      </c>
      <c r="E2519" s="202">
        <v>2.3419843972298793E-2</v>
      </c>
      <c r="U2519" s="204"/>
    </row>
    <row r="2520" spans="1:21" x14ac:dyDescent="0.2">
      <c r="A2520" s="64" t="str">
        <f t="shared" si="40"/>
        <v>1w</v>
      </c>
      <c r="B2520" s="203">
        <f>_xll.qlCalendarAdvance(Calendar,B2519,A2520,"f",FALSE)</f>
        <v>56556</v>
      </c>
      <c r="C2520" s="237">
        <f>_xll.qlCalendarAdvance(Calendar,B2520,NDays&amp;"D")</f>
        <v>56558</v>
      </c>
      <c r="D2520" s="202">
        <v>2.3476507689669621E-2</v>
      </c>
      <c r="E2520" s="202">
        <v>2.34138717732435E-2</v>
      </c>
      <c r="U2520" s="204"/>
    </row>
    <row r="2521" spans="1:21" x14ac:dyDescent="0.2">
      <c r="A2521" s="64" t="str">
        <f t="shared" si="40"/>
        <v>1w</v>
      </c>
      <c r="B2521" s="203">
        <f>_xll.qlCalendarAdvance(Calendar,B2520,A2521,"f",FALSE)</f>
        <v>56563</v>
      </c>
      <c r="C2521" s="237">
        <f>_xll.qlCalendarAdvance(Calendar,B2521,NDays&amp;"D")</f>
        <v>56565</v>
      </c>
      <c r="D2521" s="202">
        <v>2.347078988151825E-2</v>
      </c>
      <c r="E2521" s="202">
        <v>2.3407922719114183E-2</v>
      </c>
      <c r="U2521" s="204"/>
    </row>
    <row r="2522" spans="1:21" x14ac:dyDescent="0.2">
      <c r="A2522" s="64" t="str">
        <f t="shared" si="40"/>
        <v>1w</v>
      </c>
      <c r="B2522" s="203">
        <f>_xll.qlCalendarAdvance(Calendar,B2521,A2522,"f",FALSE)</f>
        <v>56570</v>
      </c>
      <c r="C2522" s="237">
        <f>_xll.qlCalendarAdvance(Calendar,B2522,NDays&amp;"D")</f>
        <v>56572</v>
      </c>
      <c r="D2522" s="202">
        <v>2.3465095505726577E-2</v>
      </c>
      <c r="E2522" s="202">
        <v>2.3401996809431225E-2</v>
      </c>
      <c r="U2522" s="204"/>
    </row>
    <row r="2523" spans="1:21" x14ac:dyDescent="0.2">
      <c r="A2523" s="64" t="str">
        <f t="shared" si="40"/>
        <v>1w</v>
      </c>
      <c r="B2523" s="203">
        <f>_xll.qlCalendarAdvance(Calendar,B2522,A2523,"f",FALSE)</f>
        <v>56577</v>
      </c>
      <c r="C2523" s="237">
        <f>_xll.qlCalendarAdvance(Calendar,B2523,NDays&amp;"D")</f>
        <v>56579</v>
      </c>
      <c r="D2523" s="202">
        <v>2.345942456209631E-2</v>
      </c>
      <c r="E2523" s="202">
        <v>2.3396094044594307E-2</v>
      </c>
      <c r="U2523" s="204"/>
    </row>
    <row r="2524" spans="1:21" x14ac:dyDescent="0.2">
      <c r="A2524" s="64" t="str">
        <f t="shared" si="40"/>
        <v>1w</v>
      </c>
      <c r="B2524" s="203">
        <f>_xll.qlCalendarAdvance(Calendar,B2523,A2524,"f",FALSE)</f>
        <v>56584</v>
      </c>
      <c r="C2524" s="237">
        <f>_xll.qlCalendarAdvance(Calendar,B2524,NDays&amp;"D")</f>
        <v>56586</v>
      </c>
      <c r="D2524" s="202">
        <v>2.3454142786170938E-2</v>
      </c>
      <c r="E2524" s="202">
        <v>2.339021442436362E-2</v>
      </c>
      <c r="U2524" s="204"/>
    </row>
    <row r="2525" spans="1:21" x14ac:dyDescent="0.2">
      <c r="A2525" s="64" t="str">
        <f t="shared" si="40"/>
        <v>1w</v>
      </c>
      <c r="B2525" s="203">
        <f>_xll.qlCalendarAdvance(Calendar,B2524,A2525,"f",FALSE)</f>
        <v>56591</v>
      </c>
      <c r="C2525" s="237">
        <f>_xll.qlCalendarAdvance(Calendar,B2525,NDays&amp;"D")</f>
        <v>56593</v>
      </c>
      <c r="D2525" s="202">
        <v>2.3448520015824471E-2</v>
      </c>
      <c r="E2525" s="202">
        <v>2.3384357948819101E-2</v>
      </c>
      <c r="U2525" s="204"/>
    </row>
    <row r="2526" spans="1:21" x14ac:dyDescent="0.2">
      <c r="A2526" s="64" t="str">
        <f t="shared" si="40"/>
        <v>1w</v>
      </c>
      <c r="B2526" s="203">
        <f>_xll.qlCalendarAdvance(Calendar,B2525,A2526,"f",FALSE)</f>
        <v>56598</v>
      </c>
      <c r="C2526" s="237">
        <f>_xll.qlCalendarAdvance(Calendar,B2526,NDays&amp;"D")</f>
        <v>56600</v>
      </c>
      <c r="D2526" s="202">
        <v>2.344292067863803E-2</v>
      </c>
      <c r="E2526" s="202">
        <v>2.3378524617880814E-2</v>
      </c>
      <c r="U2526" s="204"/>
    </row>
    <row r="2527" spans="1:21" x14ac:dyDescent="0.2">
      <c r="A2527" s="64" t="str">
        <f t="shared" si="40"/>
        <v>1w</v>
      </c>
      <c r="B2527" s="203">
        <f>_xll.qlCalendarAdvance(Calendar,B2526,A2527,"f",FALSE)</f>
        <v>56605</v>
      </c>
      <c r="C2527" s="237">
        <f>_xll.qlCalendarAdvance(Calendar,B2527,NDays&amp;"D")</f>
        <v>56607</v>
      </c>
      <c r="D2527" s="202">
        <v>2.3437344774415291E-2</v>
      </c>
      <c r="E2527" s="202">
        <v>2.337374873732978E-2</v>
      </c>
      <c r="U2527" s="204"/>
    </row>
    <row r="2528" spans="1:21" x14ac:dyDescent="0.2">
      <c r="A2528" s="64" t="str">
        <f t="shared" si="40"/>
        <v>1w</v>
      </c>
      <c r="B2528" s="203">
        <f>_xll.qlCalendarAdvance(Calendar,B2527,A2528,"f",FALSE)</f>
        <v>56612</v>
      </c>
      <c r="C2528" s="237">
        <f>_xll.qlCalendarAdvance(Calendar,B2528,NDays&amp;"D")</f>
        <v>56614</v>
      </c>
      <c r="D2528" s="202">
        <v>2.3431421319467252E-2</v>
      </c>
      <c r="E2528" s="202">
        <v>2.3367965529357271E-2</v>
      </c>
      <c r="U2528" s="204"/>
    </row>
    <row r="2529" spans="1:21" x14ac:dyDescent="0.2">
      <c r="A2529" s="64" t="str">
        <f t="shared" si="40"/>
        <v>1w</v>
      </c>
      <c r="B2529" s="203">
        <f>_xll.qlCalendarAdvance(Calendar,B2528,A2529,"f",FALSE)</f>
        <v>56619</v>
      </c>
      <c r="C2529" s="237">
        <f>_xll.qlCalendarAdvance(Calendar,B2529,NDays&amp;"D")</f>
        <v>56621</v>
      </c>
      <c r="D2529" s="202">
        <v>2.3425890964676562E-2</v>
      </c>
      <c r="E2529" s="202">
        <v>2.3361163493422765E-2</v>
      </c>
      <c r="U2529" s="204"/>
    </row>
    <row r="2530" spans="1:21" x14ac:dyDescent="0.2">
      <c r="A2530" s="64" t="str">
        <f t="shared" si="40"/>
        <v>1w</v>
      </c>
      <c r="B2530" s="203">
        <f>_xll.qlCalendarAdvance(Calendar,B2529,A2530,"f",FALSE)</f>
        <v>56626</v>
      </c>
      <c r="C2530" s="237">
        <f>_xll.qlCalendarAdvance(Calendar,B2530,NDays&amp;"D")</f>
        <v>56628</v>
      </c>
      <c r="D2530" s="202">
        <v>2.3420384040678643E-2</v>
      </c>
      <c r="E2530" s="202">
        <v>2.3355422741229148E-2</v>
      </c>
      <c r="U2530" s="204"/>
    </row>
    <row r="2531" spans="1:21" x14ac:dyDescent="0.2">
      <c r="A2531" s="64" t="str">
        <f t="shared" si="40"/>
        <v>1w</v>
      </c>
      <c r="B2531" s="203">
        <f>_xll.qlCalendarAdvance(Calendar,B2530,A2531,"f",FALSE)</f>
        <v>56633</v>
      </c>
      <c r="C2531" s="237">
        <f>_xll.qlCalendarAdvance(Calendar,B2531,NDays&amp;"D")</f>
        <v>56635</v>
      </c>
      <c r="D2531" s="202">
        <v>2.3414900547281393E-2</v>
      </c>
      <c r="E2531" s="202">
        <v>2.3349705133721699E-2</v>
      </c>
      <c r="U2531" s="204"/>
    </row>
    <row r="2532" spans="1:21" x14ac:dyDescent="0.2">
      <c r="A2532" s="64" t="str">
        <f t="shared" si="40"/>
        <v>1w</v>
      </c>
      <c r="B2532" s="203">
        <f>_xll.qlCalendarAdvance(Calendar,B2531,A2532,"f",FALSE)</f>
        <v>56640</v>
      </c>
      <c r="C2532" s="237">
        <f>_xll.qlCalendarAdvance(Calendar,B2532,NDays&amp;"D")</f>
        <v>56642</v>
      </c>
      <c r="D2532" s="202">
        <v>2.3409440484293133E-2</v>
      </c>
      <c r="E2532" s="202">
        <v>2.3344010670900417E-2</v>
      </c>
      <c r="U2532" s="204"/>
    </row>
    <row r="2533" spans="1:21" x14ac:dyDescent="0.2">
      <c r="A2533" s="64" t="str">
        <f t="shared" si="40"/>
        <v>1w</v>
      </c>
      <c r="B2533" s="203">
        <f>_xll.qlCalendarAdvance(Calendar,B2532,A2533,"f",FALSE)</f>
        <v>56647</v>
      </c>
      <c r="C2533" s="237">
        <f>_xll.qlCalendarAdvance(Calendar,B2533,NDays&amp;"D")</f>
        <v>56649</v>
      </c>
      <c r="D2533" s="202">
        <v>2.3404003851523084E-2</v>
      </c>
      <c r="E2533" s="202">
        <v>2.3338339352845239E-2</v>
      </c>
      <c r="U2533" s="204"/>
    </row>
    <row r="2534" spans="1:21" x14ac:dyDescent="0.2">
      <c r="A2534" s="64" t="str">
        <f t="shared" si="40"/>
        <v>1w</v>
      </c>
      <c r="B2534" s="203">
        <f>_xll.qlCalendarAdvance(Calendar,B2533,A2534,"f",FALSE)</f>
        <v>56654</v>
      </c>
      <c r="C2534" s="237">
        <f>_xll.qlCalendarAdvance(Calendar,B2534,NDays&amp;"D")</f>
        <v>56656</v>
      </c>
      <c r="D2534" s="202">
        <v>2.3398590648781338E-2</v>
      </c>
      <c r="E2534" s="202">
        <v>2.333269117923642E-2</v>
      </c>
      <c r="U2534" s="204"/>
    </row>
    <row r="2535" spans="1:21" x14ac:dyDescent="0.2">
      <c r="A2535" s="64" t="str">
        <f t="shared" si="40"/>
        <v>1w</v>
      </c>
      <c r="B2535" s="203">
        <f>_xll.qlCalendarAdvance(Calendar,B2534,A2535,"f",FALSE)</f>
        <v>56661</v>
      </c>
      <c r="C2535" s="237">
        <f>_xll.qlCalendarAdvance(Calendar,B2535,NDays&amp;"D")</f>
        <v>56663</v>
      </c>
      <c r="D2535" s="202">
        <v>2.339320087587932E-2</v>
      </c>
      <c r="E2535" s="202">
        <v>2.3327066150553577E-2</v>
      </c>
      <c r="U2535" s="204"/>
    </row>
    <row r="2536" spans="1:21" x14ac:dyDescent="0.2">
      <c r="A2536" s="64" t="str">
        <f t="shared" si="40"/>
        <v>1w</v>
      </c>
      <c r="B2536" s="203">
        <f>_xll.qlCalendarAdvance(Calendar,B2535,A2536,"f",FALSE)</f>
        <v>56668</v>
      </c>
      <c r="C2536" s="237">
        <f>_xll.qlCalendarAdvance(Calendar,B2536,NDays&amp;"D")</f>
        <v>56670</v>
      </c>
      <c r="D2536" s="202">
        <v>2.3387834532628448E-2</v>
      </c>
      <c r="E2536" s="202">
        <v>2.332146426639703E-2</v>
      </c>
      <c r="U2536" s="204"/>
    </row>
    <row r="2537" spans="1:21" x14ac:dyDescent="0.2">
      <c r="A2537" s="64" t="str">
        <f t="shared" si="40"/>
        <v>1w</v>
      </c>
      <c r="B2537" s="203">
        <f>_xll.qlCalendarAdvance(Calendar,B2536,A2537,"f",FALSE)</f>
        <v>56675</v>
      </c>
      <c r="C2537" s="237">
        <f>_xll.qlCalendarAdvance(Calendar,B2537,NDays&amp;"D")</f>
        <v>56677</v>
      </c>
      <c r="D2537" s="202">
        <v>2.3384407474724627E-2</v>
      </c>
      <c r="E2537" s="202">
        <v>2.3315885526766778E-2</v>
      </c>
      <c r="U2537" s="204"/>
    </row>
    <row r="2538" spans="1:21" x14ac:dyDescent="0.2">
      <c r="A2538" s="64" t="str">
        <f t="shared" si="40"/>
        <v>1w</v>
      </c>
      <c r="B2538" s="203">
        <f>_xll.qlCalendarAdvance(Calendar,B2537,A2538,"f",FALSE)</f>
        <v>56682</v>
      </c>
      <c r="C2538" s="237">
        <f>_xll.qlCalendarAdvance(Calendar,B2538,NDays&amp;"D")</f>
        <v>56684</v>
      </c>
      <c r="D2538" s="202">
        <v>2.3379094642963862E-2</v>
      </c>
      <c r="E2538" s="202">
        <v>2.3310329931902629E-2</v>
      </c>
      <c r="U2538" s="204"/>
    </row>
    <row r="2539" spans="1:21" x14ac:dyDescent="0.2">
      <c r="A2539" s="64" t="str">
        <f t="shared" si="40"/>
        <v>1w</v>
      </c>
      <c r="B2539" s="203">
        <f>_xll.qlCalendarAdvance(Calendar,B2538,A2539,"f",FALSE)</f>
        <v>56689</v>
      </c>
      <c r="C2539" s="237">
        <f>_xll.qlCalendarAdvance(Calendar,B2539,NDays&amp;"D")</f>
        <v>56691</v>
      </c>
      <c r="D2539" s="202">
        <v>2.3373805248178895E-2</v>
      </c>
      <c r="E2539" s="202">
        <v>2.330479748188452E-2</v>
      </c>
      <c r="U2539" s="204"/>
    </row>
    <row r="2540" spans="1:21" x14ac:dyDescent="0.2">
      <c r="A2540" s="64" t="str">
        <f t="shared" si="40"/>
        <v>1w</v>
      </c>
      <c r="B2540" s="203">
        <f>_xll.qlCalendarAdvance(Calendar,B2539,A2540,"f",FALSE)</f>
        <v>56696</v>
      </c>
      <c r="C2540" s="237">
        <f>_xll.qlCalendarAdvance(Calendar,B2540,NDays&amp;"D")</f>
        <v>56698</v>
      </c>
      <c r="D2540" s="202">
        <v>2.3368539290178059E-2</v>
      </c>
      <c r="E2540" s="202">
        <v>2.3299288176312771E-2</v>
      </c>
      <c r="U2540" s="204"/>
    </row>
    <row r="2541" spans="1:21" x14ac:dyDescent="0.2">
      <c r="A2541" s="64" t="str">
        <f t="shared" si="40"/>
        <v>1w</v>
      </c>
      <c r="B2541" s="203">
        <f>_xll.qlCalendarAdvance(Calendar,B2540,A2541,"f",FALSE)</f>
        <v>56703</v>
      </c>
      <c r="C2541" s="237">
        <f>_xll.qlCalendarAdvance(Calendar,B2541,NDays&amp;"D")</f>
        <v>56705</v>
      </c>
      <c r="D2541" s="202">
        <v>2.3362130826524257E-2</v>
      </c>
      <c r="E2541" s="202">
        <v>2.329380201542719E-2</v>
      </c>
      <c r="U2541" s="204"/>
    </row>
    <row r="2542" spans="1:21" x14ac:dyDescent="0.2">
      <c r="A2542" s="64" t="str">
        <f t="shared" si="40"/>
        <v>1w</v>
      </c>
      <c r="B2542" s="203">
        <f>_xll.qlCalendarAdvance(Calendar,B2541,A2542,"f",FALSE)</f>
        <v>56710</v>
      </c>
      <c r="C2542" s="237">
        <f>_xll.qlCalendarAdvance(Calendar,B2542,NDays&amp;"D")</f>
        <v>56712</v>
      </c>
      <c r="D2542" s="202">
        <v>2.3356907730365833E-2</v>
      </c>
      <c r="E2542" s="202">
        <v>2.3288338999307712E-2</v>
      </c>
      <c r="U2542" s="204"/>
    </row>
    <row r="2543" spans="1:21" x14ac:dyDescent="0.2">
      <c r="A2543" s="64" t="str">
        <f t="shared" si="40"/>
        <v>1w</v>
      </c>
      <c r="B2543" s="203">
        <f>_xll.qlCalendarAdvance(Calendar,B2542,A2543,"f",FALSE)</f>
        <v>56717</v>
      </c>
      <c r="C2543" s="237">
        <f>_xll.qlCalendarAdvance(Calendar,B2543,NDays&amp;"D")</f>
        <v>56719</v>
      </c>
      <c r="D2543" s="202">
        <v>2.3351708065708961E-2</v>
      </c>
      <c r="E2543" s="202">
        <v>2.3284361026028932E-2</v>
      </c>
      <c r="U2543" s="204"/>
    </row>
    <row r="2544" spans="1:21" x14ac:dyDescent="0.2">
      <c r="A2544" s="64" t="str">
        <f t="shared" si="40"/>
        <v>1w</v>
      </c>
      <c r="B2544" s="203">
        <f>_xll.qlCalendarAdvance(Calendar,B2543,A2544,"f",FALSE)</f>
        <v>56724</v>
      </c>
      <c r="C2544" s="237">
        <f>_xll.qlCalendarAdvance(Calendar,B2544,NDays&amp;"D")</f>
        <v>56726</v>
      </c>
      <c r="D2544" s="202">
        <v>2.3346531832371484E-2</v>
      </c>
      <c r="E2544" s="202">
        <v>2.327748240088745E-2</v>
      </c>
      <c r="U2544" s="204"/>
    </row>
    <row r="2545" spans="1:21" x14ac:dyDescent="0.2">
      <c r="A2545" s="64" t="str">
        <f t="shared" si="40"/>
        <v>1w</v>
      </c>
      <c r="B2545" s="203">
        <f>_xll.qlCalendarAdvance(Calendar,B2544,A2545,"f",FALSE)</f>
        <v>56731</v>
      </c>
      <c r="C2545" s="237">
        <f>_xll.qlCalendarAdvance(Calendar,B2545,NDays&amp;"D")</f>
        <v>56733</v>
      </c>
      <c r="D2545" s="202">
        <v>2.3341379030170823E-2</v>
      </c>
      <c r="E2545" s="202">
        <v>2.3272088818666603E-2</v>
      </c>
      <c r="U2545" s="204"/>
    </row>
    <row r="2546" spans="1:21" x14ac:dyDescent="0.2">
      <c r="A2546" s="64" t="str">
        <f t="shared" si="40"/>
        <v>1w</v>
      </c>
      <c r="B2546" s="203">
        <f>_xll.qlCalendarAdvance(Calendar,B2545,A2546,"f",FALSE)</f>
        <v>56738</v>
      </c>
      <c r="C2546" s="237">
        <f>_xll.qlCalendarAdvance(Calendar,B2546,NDays&amp;"D")</f>
        <v>56740</v>
      </c>
      <c r="D2546" s="202">
        <v>2.3337435704139264E-2</v>
      </c>
      <c r="E2546" s="202">
        <v>2.3266718381211859E-2</v>
      </c>
      <c r="U2546" s="204"/>
    </row>
    <row r="2547" spans="1:21" x14ac:dyDescent="0.2">
      <c r="A2547" s="64" t="str">
        <f t="shared" si="40"/>
        <v>1w</v>
      </c>
      <c r="B2547" s="203">
        <f>_xll.qlCalendarAdvance(Calendar,B2546,A2547,"f",FALSE)</f>
        <v>56745</v>
      </c>
      <c r="C2547" s="237">
        <f>_xll.qlCalendarAdvance(Calendar,B2547,NDays&amp;"D")</f>
        <v>56747</v>
      </c>
      <c r="D2547" s="202">
        <v>2.3332333798391069E-2</v>
      </c>
      <c r="E2547" s="202">
        <v>2.3261371088283411E-2</v>
      </c>
      <c r="U2547" s="204"/>
    </row>
    <row r="2548" spans="1:21" x14ac:dyDescent="0.2">
      <c r="A2548" s="64" t="str">
        <f t="shared" si="40"/>
        <v>1w</v>
      </c>
      <c r="B2548" s="203">
        <f>_xll.qlCalendarAdvance(Calendar,B2547,A2548,"f",FALSE)</f>
        <v>56752</v>
      </c>
      <c r="C2548" s="237">
        <f>_xll.qlCalendarAdvance(Calendar,B2548,NDays&amp;"D")</f>
        <v>56754</v>
      </c>
      <c r="D2548" s="202">
        <v>2.332725532794002E-2</v>
      </c>
      <c r="E2548" s="202">
        <v>2.3256046940041131E-2</v>
      </c>
      <c r="U2548" s="204"/>
    </row>
    <row r="2549" spans="1:21" x14ac:dyDescent="0.2">
      <c r="A2549" s="64" t="str">
        <f t="shared" si="40"/>
        <v>1w</v>
      </c>
      <c r="B2549" s="203">
        <f>_xll.qlCalendarAdvance(Calendar,B2548,A2549,"f",FALSE)</f>
        <v>56759</v>
      </c>
      <c r="C2549" s="237">
        <f>_xll.qlCalendarAdvance(Calendar,B2549,NDays&amp;"D")</f>
        <v>56761</v>
      </c>
      <c r="D2549" s="202">
        <v>2.332220029260389E-2</v>
      </c>
      <c r="E2549" s="202">
        <v>2.3250745936405082E-2</v>
      </c>
      <c r="U2549" s="204"/>
    </row>
    <row r="2550" spans="1:21" x14ac:dyDescent="0.2">
      <c r="A2550" s="64" t="str">
        <f t="shared" si="40"/>
        <v>1w</v>
      </c>
      <c r="B2550" s="203">
        <f>_xll.qlCalendarAdvance(Calendar,B2549,A2550,"f",FALSE)</f>
        <v>56766</v>
      </c>
      <c r="C2550" s="237">
        <f>_xll.qlCalendarAdvance(Calendar,B2550,NDays&amp;"D")</f>
        <v>56768</v>
      </c>
      <c r="D2550" s="202">
        <v>2.3315966479873291E-2</v>
      </c>
      <c r="E2550" s="202">
        <v>2.3245468077535136E-2</v>
      </c>
      <c r="U2550" s="204"/>
    </row>
    <row r="2551" spans="1:21" x14ac:dyDescent="0.2">
      <c r="A2551" s="64" t="str">
        <f t="shared" si="40"/>
        <v>1w</v>
      </c>
      <c r="B2551" s="203">
        <f>_xll.qlCalendarAdvance(Calendar,B2550,A2551,"f",FALSE)</f>
        <v>56773</v>
      </c>
      <c r="C2551" s="237">
        <f>_xll.qlCalendarAdvance(Calendar,B2551,NDays&amp;"D")</f>
        <v>56775</v>
      </c>
      <c r="D2551" s="202">
        <v>2.3310954260698943E-2</v>
      </c>
      <c r="E2551" s="202">
        <v>2.3240213363271423E-2</v>
      </c>
      <c r="U2551" s="204"/>
    </row>
    <row r="2552" spans="1:21" x14ac:dyDescent="0.2">
      <c r="A2552" s="64" t="str">
        <f t="shared" si="40"/>
        <v>1w</v>
      </c>
      <c r="B2552" s="203">
        <f>_xll.qlCalendarAdvance(Calendar,B2551,A2552,"f",FALSE)</f>
        <v>56780</v>
      </c>
      <c r="C2552" s="237">
        <f>_xll.qlCalendarAdvance(Calendar,B2552,NDays&amp;"D")</f>
        <v>56782</v>
      </c>
      <c r="D2552" s="202">
        <v>2.3305965471406016E-2</v>
      </c>
      <c r="E2552" s="202">
        <v>2.3234981793534004E-2</v>
      </c>
      <c r="U2552" s="204"/>
    </row>
    <row r="2553" spans="1:21" x14ac:dyDescent="0.2">
      <c r="A2553" s="64" t="str">
        <f t="shared" si="40"/>
        <v>1w</v>
      </c>
      <c r="B2553" s="203">
        <f>_xll.qlCalendarAdvance(Calendar,B2552,A2553,"f",FALSE)</f>
        <v>56787</v>
      </c>
      <c r="C2553" s="237">
        <f>_xll.qlCalendarAdvance(Calendar,B2553,NDays&amp;"D")</f>
        <v>56789</v>
      </c>
      <c r="D2553" s="202">
        <v>2.3301000111816732E-2</v>
      </c>
      <c r="E2553" s="202">
        <v>2.3229773368562689E-2</v>
      </c>
      <c r="U2553" s="204"/>
    </row>
    <row r="2554" spans="1:21" x14ac:dyDescent="0.2">
      <c r="A2554" s="64" t="str">
        <f t="shared" si="40"/>
        <v>1w</v>
      </c>
      <c r="B2554" s="203">
        <f>_xll.qlCalendarAdvance(Calendar,B2553,A2554,"f",FALSE)</f>
        <v>56794</v>
      </c>
      <c r="C2554" s="237">
        <f>_xll.qlCalendarAdvance(Calendar,B2554,NDays&amp;"D")</f>
        <v>56796</v>
      </c>
      <c r="D2554" s="202">
        <v>2.3297276636329155E-2</v>
      </c>
      <c r="E2554" s="202">
        <v>2.3224588088277542E-2</v>
      </c>
      <c r="U2554" s="204"/>
    </row>
    <row r="2555" spans="1:21" x14ac:dyDescent="0.2">
      <c r="A2555" s="64" t="str">
        <f t="shared" si="40"/>
        <v>1w</v>
      </c>
      <c r="B2555" s="203">
        <f>_xll.qlCalendarAdvance(Calendar,B2554,A2555,"f",FALSE)</f>
        <v>56801</v>
      </c>
      <c r="C2555" s="237">
        <f>_xll.qlCalendarAdvance(Calendar,B2555,NDays&amp;"D")</f>
        <v>56803</v>
      </c>
      <c r="D2555" s="202">
        <v>2.32923622079028E-2</v>
      </c>
      <c r="E2555" s="202">
        <v>2.3219425952518691E-2</v>
      </c>
      <c r="U2555" s="204"/>
    </row>
    <row r="2556" spans="1:21" x14ac:dyDescent="0.2">
      <c r="A2556" s="64" t="str">
        <f t="shared" si="40"/>
        <v>1w</v>
      </c>
      <c r="B2556" s="203">
        <f>_xll.qlCalendarAdvance(Calendar,B2555,A2556,"f",FALSE)</f>
        <v>56808</v>
      </c>
      <c r="C2556" s="237">
        <f>_xll.qlCalendarAdvance(Calendar,B2556,NDays&amp;"D")</f>
        <v>56810</v>
      </c>
      <c r="D2556" s="202">
        <v>2.3287471213340752E-2</v>
      </c>
      <c r="E2556" s="202">
        <v>2.3214286961446007E-2</v>
      </c>
      <c r="U2556" s="204"/>
    </row>
    <row r="2557" spans="1:21" x14ac:dyDescent="0.2">
      <c r="A2557" s="64" t="str">
        <f t="shared" si="40"/>
        <v>1w</v>
      </c>
      <c r="B2557" s="203">
        <f>_xll.qlCalendarAdvance(Calendar,B2556,A2557,"f",FALSE)</f>
        <v>56815</v>
      </c>
      <c r="C2557" s="237">
        <f>_xll.qlCalendarAdvance(Calendar,B2557,NDays&amp;"D")</f>
        <v>56817</v>
      </c>
      <c r="D2557" s="202">
        <v>2.3282603652465528E-2</v>
      </c>
      <c r="E2557" s="202">
        <v>2.320917111505949E-2</v>
      </c>
      <c r="U2557" s="204"/>
    </row>
    <row r="2558" spans="1:21" x14ac:dyDescent="0.2">
      <c r="A2558" s="64" t="str">
        <f t="shared" si="40"/>
        <v>1w</v>
      </c>
      <c r="B2558" s="203">
        <f>_xll.qlCalendarAdvance(Calendar,B2557,A2558,"f",FALSE)</f>
        <v>56822</v>
      </c>
      <c r="C2558" s="237">
        <f>_xll.qlCalendarAdvance(Calendar,B2558,NDays&amp;"D")</f>
        <v>56824</v>
      </c>
      <c r="D2558" s="202">
        <v>2.3277759525103497E-2</v>
      </c>
      <c r="E2558" s="202">
        <v>2.3204078413359142E-2</v>
      </c>
      <c r="U2558" s="204"/>
    </row>
    <row r="2559" spans="1:21" x14ac:dyDescent="0.2">
      <c r="A2559" s="64" t="str">
        <f t="shared" si="40"/>
        <v>1w</v>
      </c>
      <c r="B2559" s="203">
        <f>_xll.qlCalendarAdvance(Calendar,B2558,A2559,"f",FALSE)</f>
        <v>56829</v>
      </c>
      <c r="C2559" s="237">
        <f>_xll.qlCalendarAdvance(Calendar,B2559,NDays&amp;"D")</f>
        <v>56831</v>
      </c>
      <c r="D2559" s="202">
        <v>2.3272938831080173E-2</v>
      </c>
      <c r="E2559" s="202">
        <v>2.3199008856105152E-2</v>
      </c>
      <c r="U2559" s="204"/>
    </row>
    <row r="2560" spans="1:21" x14ac:dyDescent="0.2">
      <c r="A2560" s="64" t="str">
        <f t="shared" si="40"/>
        <v>1w</v>
      </c>
      <c r="B2560" s="203">
        <f>_xll.qlCalendarAdvance(Calendar,B2559,A2560,"f",FALSE)</f>
        <v>56836</v>
      </c>
      <c r="C2560" s="237">
        <f>_xll.qlCalendarAdvance(Calendar,B2560,NDays&amp;"D")</f>
        <v>56838</v>
      </c>
      <c r="D2560" s="202">
        <v>2.3268141570223659E-2</v>
      </c>
      <c r="E2560" s="202">
        <v>2.3193962443697203E-2</v>
      </c>
      <c r="U2560" s="204"/>
    </row>
    <row r="2561" spans="1:21" x14ac:dyDescent="0.2">
      <c r="A2561" s="64" t="str">
        <f t="shared" si="40"/>
        <v>1w</v>
      </c>
      <c r="B2561" s="203">
        <f>_xll.qlCalendarAdvance(Calendar,B2560,A2561,"f",FALSE)</f>
        <v>56843</v>
      </c>
      <c r="C2561" s="237">
        <f>_xll.qlCalendarAdvance(Calendar,B2561,NDays&amp;"D")</f>
        <v>56845</v>
      </c>
      <c r="D2561" s="202">
        <v>2.3263367742361183E-2</v>
      </c>
      <c r="E2561" s="202">
        <v>2.3188939175895484E-2</v>
      </c>
      <c r="U2561" s="204"/>
    </row>
    <row r="2562" spans="1:21" x14ac:dyDescent="0.2">
      <c r="A2562" s="64" t="str">
        <f t="shared" si="40"/>
        <v>1w</v>
      </c>
      <c r="B2562" s="203">
        <f>_xll.qlCalendarAdvance(Calendar,B2561,A2562,"f",FALSE)</f>
        <v>56850</v>
      </c>
      <c r="C2562" s="237">
        <f>_xll.qlCalendarAdvance(Calendar,B2562,NDays&amp;"D")</f>
        <v>56852</v>
      </c>
      <c r="D2562" s="202">
        <v>2.3258617347320841E-2</v>
      </c>
      <c r="E2562" s="202">
        <v>2.3183939052699998E-2</v>
      </c>
      <c r="U2562" s="204"/>
    </row>
    <row r="2563" spans="1:21" x14ac:dyDescent="0.2">
      <c r="A2563" s="64" t="str">
        <f t="shared" si="40"/>
        <v>1w</v>
      </c>
      <c r="B2563" s="203">
        <f>_xll.qlCalendarAdvance(Calendar,B2562,A2563,"f",FALSE)</f>
        <v>56857</v>
      </c>
      <c r="C2563" s="237">
        <f>_xll.qlCalendarAdvance(Calendar,B2563,NDays&amp;"D")</f>
        <v>56859</v>
      </c>
      <c r="D2563" s="202">
        <v>2.3252216985173595E-2</v>
      </c>
      <c r="E2563" s="202">
        <v>2.3178962074030807E-2</v>
      </c>
      <c r="U2563" s="204"/>
    </row>
    <row r="2564" spans="1:21" x14ac:dyDescent="0.2">
      <c r="A2564" s="64" t="str">
        <f t="shared" si="40"/>
        <v>1w</v>
      </c>
      <c r="B2564" s="203">
        <f>_xll.qlCalendarAdvance(Calendar,B2563,A2564,"f",FALSE)</f>
        <v>56864</v>
      </c>
      <c r="C2564" s="237">
        <f>_xll.qlCalendarAdvance(Calendar,B2564,NDays&amp;"D")</f>
        <v>56866</v>
      </c>
      <c r="D2564" s="202">
        <v>2.3247507969911471E-2</v>
      </c>
      <c r="E2564" s="202">
        <v>2.3174008240127719E-2</v>
      </c>
      <c r="U2564" s="204"/>
    </row>
    <row r="2565" spans="1:21" x14ac:dyDescent="0.2">
      <c r="A2565" s="64" t="str">
        <f t="shared" si="40"/>
        <v>1w</v>
      </c>
      <c r="B2565" s="203">
        <f>_xll.qlCalendarAdvance(Calendar,B2564,A2565,"f",FALSE)</f>
        <v>56871</v>
      </c>
      <c r="C2565" s="237">
        <f>_xll.qlCalendarAdvance(Calendar,B2565,NDays&amp;"D")</f>
        <v>56873</v>
      </c>
      <c r="D2565" s="202">
        <v>2.3242822380752162E-2</v>
      </c>
      <c r="E2565" s="202">
        <v>2.3169077550830863E-2</v>
      </c>
      <c r="U2565" s="204"/>
    </row>
    <row r="2566" spans="1:21" x14ac:dyDescent="0.2">
      <c r="A2566" s="64" t="str">
        <f t="shared" si="40"/>
        <v>1w</v>
      </c>
      <c r="B2566" s="203">
        <f>_xll.qlCalendarAdvance(Calendar,B2565,A2566,"f",FALSE)</f>
        <v>56878</v>
      </c>
      <c r="C2566" s="237">
        <f>_xll.qlCalendarAdvance(Calendar,B2566,NDays&amp;"D")</f>
        <v>56880</v>
      </c>
      <c r="D2566" s="202">
        <v>2.3238160217530529E-2</v>
      </c>
      <c r="E2566" s="202">
        <v>2.3164170006140239E-2</v>
      </c>
      <c r="U2566" s="204"/>
    </row>
    <row r="2567" spans="1:21" x14ac:dyDescent="0.2">
      <c r="A2567" s="64" t="str">
        <f t="shared" ref="A2567:A2630" si="41">A2566</f>
        <v>1w</v>
      </c>
      <c r="B2567" s="203">
        <f>_xll.qlCalendarAdvance(Calendar,B2566,A2567,"f",FALSE)</f>
        <v>56885</v>
      </c>
      <c r="C2567" s="237">
        <f>_xll.qlCalendarAdvance(Calendar,B2567,NDays&amp;"D")</f>
        <v>56887</v>
      </c>
      <c r="D2567" s="202">
        <v>2.3233521480084063E-2</v>
      </c>
      <c r="E2567" s="202">
        <v>2.3159285606135782E-2</v>
      </c>
      <c r="U2567" s="204"/>
    </row>
    <row r="2568" spans="1:21" x14ac:dyDescent="0.2">
      <c r="A2568" s="64" t="str">
        <f t="shared" si="41"/>
        <v>1w</v>
      </c>
      <c r="B2568" s="203">
        <f>_xll.qlCalendarAdvance(Calendar,B2567,A2568,"f",FALSE)</f>
        <v>56892</v>
      </c>
      <c r="C2568" s="237">
        <f>_xll.qlCalendarAdvance(Calendar,B2568,NDays&amp;"D")</f>
        <v>56894</v>
      </c>
      <c r="D2568" s="202">
        <v>2.3229331165281485E-2</v>
      </c>
      <c r="E2568" s="202">
        <v>2.3154424350817493E-2</v>
      </c>
      <c r="U2568" s="204"/>
    </row>
    <row r="2569" spans="1:21" x14ac:dyDescent="0.2">
      <c r="A2569" s="64" t="str">
        <f t="shared" si="41"/>
        <v>1w</v>
      </c>
      <c r="B2569" s="203">
        <f>_xll.qlCalendarAdvance(Calendar,B2568,A2569,"f",FALSE)</f>
        <v>56899</v>
      </c>
      <c r="C2569" s="237">
        <f>_xll.qlCalendarAdvance(Calendar,B2569,NDays&amp;"D")</f>
        <v>56901</v>
      </c>
      <c r="D2569" s="202">
        <v>2.3224740657686892E-2</v>
      </c>
      <c r="E2569" s="202">
        <v>2.3149586240025499E-2</v>
      </c>
      <c r="U2569" s="204"/>
    </row>
    <row r="2570" spans="1:21" x14ac:dyDescent="0.2">
      <c r="A2570" s="64" t="str">
        <f t="shared" si="41"/>
        <v>1w</v>
      </c>
      <c r="B2570" s="203">
        <f>_xll.qlCalendarAdvance(Calendar,B2569,A2570,"f",FALSE)</f>
        <v>56906</v>
      </c>
      <c r="C2570" s="237">
        <f>_xll.qlCalendarAdvance(Calendar,B2570,NDays&amp;"D")</f>
        <v>56908</v>
      </c>
      <c r="D2570" s="202">
        <v>2.3220173576929595E-2</v>
      </c>
      <c r="E2570" s="202">
        <v>2.3144771273919673E-2</v>
      </c>
      <c r="U2570" s="204"/>
    </row>
    <row r="2571" spans="1:21" x14ac:dyDescent="0.2">
      <c r="A2571" s="64" t="str">
        <f t="shared" si="41"/>
        <v>1w</v>
      </c>
      <c r="B2571" s="203">
        <f>_xll.qlCalendarAdvance(Calendar,B2570,A2571,"f",FALSE)</f>
        <v>56913</v>
      </c>
      <c r="C2571" s="237">
        <f>_xll.qlCalendarAdvance(Calendar,B2571,NDays&amp;"D")</f>
        <v>56915</v>
      </c>
      <c r="D2571" s="202">
        <v>2.3215629922848421E-2</v>
      </c>
      <c r="E2571" s="202">
        <v>2.3139979452500015E-2</v>
      </c>
      <c r="U2571" s="204"/>
    </row>
    <row r="2572" spans="1:21" x14ac:dyDescent="0.2">
      <c r="A2572" s="64" t="str">
        <f t="shared" si="41"/>
        <v>1w</v>
      </c>
      <c r="B2572" s="203">
        <f>_xll.qlCalendarAdvance(Calendar,B2571,A2572,"f",FALSE)</f>
        <v>56920</v>
      </c>
      <c r="C2572" s="237">
        <f>_xll.qlCalendarAdvance(Calendar,B2572,NDays&amp;"D")</f>
        <v>56922</v>
      </c>
      <c r="D2572" s="202">
        <v>2.3210679173800673E-2</v>
      </c>
      <c r="E2572" s="202">
        <v>2.3135210775606652E-2</v>
      </c>
      <c r="U2572" s="204"/>
    </row>
    <row r="2573" spans="1:21" x14ac:dyDescent="0.2">
      <c r="A2573" s="64" t="str">
        <f t="shared" si="41"/>
        <v>1w</v>
      </c>
      <c r="B2573" s="203">
        <f>_xll.qlCalendarAdvance(Calendar,B2572,A2573,"f",FALSE)</f>
        <v>56927</v>
      </c>
      <c r="C2573" s="237">
        <f>_xll.qlCalendarAdvance(Calendar,B2573,NDays&amp;"D")</f>
        <v>56929</v>
      </c>
      <c r="D2573" s="202">
        <v>2.3206180987610989E-2</v>
      </c>
      <c r="E2573" s="202">
        <v>2.313046524331952E-2</v>
      </c>
      <c r="U2573" s="204"/>
    </row>
    <row r="2574" spans="1:21" x14ac:dyDescent="0.2">
      <c r="A2574" s="64" t="str">
        <f t="shared" si="41"/>
        <v>1w</v>
      </c>
      <c r="B2574" s="203">
        <f>_xll.qlCalendarAdvance(Calendar,B2573,A2574,"f",FALSE)</f>
        <v>56934</v>
      </c>
      <c r="C2574" s="237">
        <f>_xll.qlCalendarAdvance(Calendar,B2574,NDays&amp;"D")</f>
        <v>56936</v>
      </c>
      <c r="D2574" s="202">
        <v>2.3201706226073416E-2</v>
      </c>
      <c r="E2574" s="202">
        <v>2.3125742855718556E-2</v>
      </c>
      <c r="U2574" s="204"/>
    </row>
    <row r="2575" spans="1:21" x14ac:dyDescent="0.2">
      <c r="A2575" s="64" t="str">
        <f t="shared" si="41"/>
        <v>1w</v>
      </c>
      <c r="B2575" s="203">
        <f>_xll.qlCalendarAdvance(Calendar,B2574,A2575,"f",FALSE)</f>
        <v>56941</v>
      </c>
      <c r="C2575" s="237">
        <f>_xll.qlCalendarAdvance(Calendar,B2575,NDays&amp;"D")</f>
        <v>56943</v>
      </c>
      <c r="D2575" s="202">
        <v>2.3197254889030714E-2</v>
      </c>
      <c r="E2575" s="202">
        <v>2.312104361280376E-2</v>
      </c>
      <c r="U2575" s="204"/>
    </row>
    <row r="2576" spans="1:21" x14ac:dyDescent="0.2">
      <c r="A2576" s="64" t="str">
        <f t="shared" si="41"/>
        <v>1w</v>
      </c>
      <c r="B2576" s="203">
        <f>_xll.qlCalendarAdvance(Calendar,B2575,A2576,"f",FALSE)</f>
        <v>56948</v>
      </c>
      <c r="C2576" s="237">
        <f>_xll.qlCalendarAdvance(Calendar,B2576,NDays&amp;"D")</f>
        <v>56950</v>
      </c>
      <c r="D2576" s="202">
        <v>2.3193263046996648E-2</v>
      </c>
      <c r="E2576" s="202">
        <v>2.3116367514495195E-2</v>
      </c>
      <c r="U2576" s="204"/>
    </row>
    <row r="2577" spans="1:21" x14ac:dyDescent="0.2">
      <c r="A2577" s="64" t="str">
        <f t="shared" si="41"/>
        <v>1w</v>
      </c>
      <c r="B2577" s="203">
        <f>_xll.qlCalendarAdvance(Calendar,B2576,A2577,"f",FALSE)</f>
        <v>56955</v>
      </c>
      <c r="C2577" s="237">
        <f>_xll.qlCalendarAdvance(Calendar,B2577,NDays&amp;"D")</f>
        <v>56957</v>
      </c>
      <c r="D2577" s="202">
        <v>2.3188859949631904E-2</v>
      </c>
      <c r="E2577" s="202">
        <v>2.3111714560712926E-2</v>
      </c>
      <c r="U2577" s="204"/>
    </row>
    <row r="2578" spans="1:21" x14ac:dyDescent="0.2">
      <c r="A2578" s="64" t="str">
        <f t="shared" si="41"/>
        <v>1w</v>
      </c>
      <c r="B2578" s="203">
        <f>_xll.qlCalendarAdvance(Calendar,B2577,A2578,"f",FALSE)</f>
        <v>56962</v>
      </c>
      <c r="C2578" s="237">
        <f>_xll.qlCalendarAdvance(Calendar,B2578,NDays&amp;"D")</f>
        <v>56964</v>
      </c>
      <c r="D2578" s="202">
        <v>2.3184480277837712E-2</v>
      </c>
      <c r="E2578" s="202">
        <v>2.3107084751616824E-2</v>
      </c>
      <c r="U2578" s="204"/>
    </row>
    <row r="2579" spans="1:21" x14ac:dyDescent="0.2">
      <c r="A2579" s="64" t="str">
        <f t="shared" si="41"/>
        <v>1w</v>
      </c>
      <c r="B2579" s="203">
        <f>_xll.qlCalendarAdvance(Calendar,B2578,A2579,"f",FALSE)</f>
        <v>56969</v>
      </c>
      <c r="C2579" s="237">
        <f>_xll.qlCalendarAdvance(Calendar,B2579,NDays&amp;"D")</f>
        <v>56971</v>
      </c>
      <c r="D2579" s="202">
        <v>2.318012403145988E-2</v>
      </c>
      <c r="E2579" s="202">
        <v>2.3102478087126954E-2</v>
      </c>
      <c r="U2579" s="204"/>
    </row>
    <row r="2580" spans="1:21" x14ac:dyDescent="0.2">
      <c r="A2580" s="64" t="str">
        <f t="shared" si="41"/>
        <v>1w</v>
      </c>
      <c r="B2580" s="203">
        <f>_xll.qlCalendarAdvance(Calendar,B2579,A2580,"f",FALSE)</f>
        <v>56976</v>
      </c>
      <c r="C2580" s="237">
        <f>_xll.qlCalendarAdvance(Calendar,B2580,NDays&amp;"D")</f>
        <v>56978</v>
      </c>
      <c r="D2580" s="202">
        <v>2.3175791210344653E-2</v>
      </c>
      <c r="E2580" s="202">
        <v>2.3097894567403188E-2</v>
      </c>
      <c r="U2580" s="204"/>
    </row>
    <row r="2581" spans="1:21" x14ac:dyDescent="0.2">
      <c r="A2581" s="64" t="str">
        <f t="shared" si="41"/>
        <v>1w</v>
      </c>
      <c r="B2581" s="203">
        <f>_xll.qlCalendarAdvance(Calendar,B2580,A2581,"f",FALSE)</f>
        <v>56983</v>
      </c>
      <c r="C2581" s="237">
        <f>_xll.qlCalendarAdvance(Calendar,B2581,NDays&amp;"D")</f>
        <v>56985</v>
      </c>
      <c r="D2581" s="202">
        <v>2.317103877247529E-2</v>
      </c>
      <c r="E2581" s="202">
        <v>2.3093334192045845E-2</v>
      </c>
      <c r="U2581" s="204"/>
    </row>
    <row r="2582" spans="1:21" x14ac:dyDescent="0.2">
      <c r="A2582" s="64" t="str">
        <f t="shared" si="41"/>
        <v>1w</v>
      </c>
      <c r="B2582" s="203">
        <f>_xll.qlCalendarAdvance(Calendar,B2581,A2582,"f",FALSE)</f>
        <v>56990</v>
      </c>
      <c r="C2582" s="237">
        <f>_xll.qlCalendarAdvance(Calendar,B2582,NDays&amp;"D")</f>
        <v>56992</v>
      </c>
      <c r="D2582" s="202">
        <v>2.3166751402566965E-2</v>
      </c>
      <c r="E2582" s="202">
        <v>2.3088796961454605E-2</v>
      </c>
      <c r="U2582" s="204"/>
    </row>
    <row r="2583" spans="1:21" x14ac:dyDescent="0.2">
      <c r="A2583" s="64" t="str">
        <f t="shared" si="41"/>
        <v>1w</v>
      </c>
      <c r="B2583" s="203">
        <f>_xll.qlCalendarAdvance(Calendar,B2582,A2583,"f",FALSE)</f>
        <v>56997</v>
      </c>
      <c r="C2583" s="237">
        <f>_xll.qlCalendarAdvance(Calendar,B2583,NDays&amp;"D")</f>
        <v>56999</v>
      </c>
      <c r="D2583" s="202">
        <v>2.3162487455927677E-2</v>
      </c>
      <c r="E2583" s="202">
        <v>2.3084282875469597E-2</v>
      </c>
      <c r="U2583" s="204"/>
    </row>
    <row r="2584" spans="1:21" x14ac:dyDescent="0.2">
      <c r="A2584" s="64" t="str">
        <f t="shared" si="41"/>
        <v>1w</v>
      </c>
      <c r="B2584" s="203">
        <f>_xll.qlCalendarAdvance(Calendar,B2583,A2584,"f",FALSE)</f>
        <v>57004</v>
      </c>
      <c r="C2584" s="237">
        <f>_xll.qlCalendarAdvance(Calendar,B2584,NDays&amp;"D")</f>
        <v>57006</v>
      </c>
      <c r="D2584" s="202">
        <v>2.315824693240634E-2</v>
      </c>
      <c r="E2584" s="202">
        <v>2.3079791934090821E-2</v>
      </c>
      <c r="U2584" s="204"/>
    </row>
    <row r="2585" spans="1:21" x14ac:dyDescent="0.2">
      <c r="A2585" s="64" t="str">
        <f t="shared" si="41"/>
        <v>1w</v>
      </c>
      <c r="B2585" s="203">
        <f>_xll.qlCalendarAdvance(Calendar,B2584,A2585,"f",FALSE)</f>
        <v>57011</v>
      </c>
      <c r="C2585" s="237">
        <f>_xll.qlCalendarAdvance(Calendar,B2585,NDays&amp;"D")</f>
        <v>57013</v>
      </c>
      <c r="D2585" s="202">
        <v>2.3154029831853624E-2</v>
      </c>
      <c r="E2585" s="202">
        <v>2.3075324137318276E-2</v>
      </c>
      <c r="U2585" s="204"/>
    </row>
    <row r="2586" spans="1:21" x14ac:dyDescent="0.2">
      <c r="A2586" s="64" t="str">
        <f t="shared" si="41"/>
        <v>1w</v>
      </c>
      <c r="B2586" s="203">
        <f>_xll.qlCalendarAdvance(Calendar,B2585,A2586,"f",FALSE)</f>
        <v>57018</v>
      </c>
      <c r="C2586" s="237">
        <f>_xll.qlCalendarAdvance(Calendar,B2586,NDays&amp;"D")</f>
        <v>57020</v>
      </c>
      <c r="D2586" s="202">
        <v>2.3149836154122829E-2</v>
      </c>
      <c r="E2586" s="202">
        <v>2.3070879485231899E-2</v>
      </c>
      <c r="U2586" s="204"/>
    </row>
    <row r="2587" spans="1:21" x14ac:dyDescent="0.2">
      <c r="A2587" s="64" t="str">
        <f t="shared" si="41"/>
        <v>1w</v>
      </c>
      <c r="B2587" s="203">
        <f>_xll.qlCalendarAdvance(Calendar,B2586,A2587,"f",FALSE)</f>
        <v>57025</v>
      </c>
      <c r="C2587" s="237">
        <f>_xll.qlCalendarAdvance(Calendar,B2587,NDays&amp;"D")</f>
        <v>57027</v>
      </c>
      <c r="D2587" s="202">
        <v>2.3145665899065946E-2</v>
      </c>
      <c r="E2587" s="202">
        <v>2.3066457977671817E-2</v>
      </c>
      <c r="U2587" s="204"/>
    </row>
    <row r="2588" spans="1:21" x14ac:dyDescent="0.2">
      <c r="A2588" s="64" t="str">
        <f t="shared" si="41"/>
        <v>1w</v>
      </c>
      <c r="B2588" s="203">
        <f>_xll.qlCalendarAdvance(Calendar,B2587,A2588,"f",FALSE)</f>
        <v>57032</v>
      </c>
      <c r="C2588" s="237">
        <f>_xll.qlCalendarAdvance(Calendar,B2588,NDays&amp;"D")</f>
        <v>57034</v>
      </c>
      <c r="D2588" s="202">
        <v>2.3141519066535839E-2</v>
      </c>
      <c r="E2588" s="202">
        <v>2.3062059614717967E-2</v>
      </c>
      <c r="U2588" s="204"/>
    </row>
    <row r="2589" spans="1:21" x14ac:dyDescent="0.2">
      <c r="A2589" s="64" t="str">
        <f t="shared" si="41"/>
        <v>1w</v>
      </c>
      <c r="B2589" s="203">
        <f>_xll.qlCalendarAdvance(Calendar,B2588,A2589,"f",FALSE)</f>
        <v>57039</v>
      </c>
      <c r="C2589" s="237">
        <f>_xll.qlCalendarAdvance(Calendar,B2589,NDays&amp;"D")</f>
        <v>57041</v>
      </c>
      <c r="D2589" s="202">
        <v>2.3139213685461416E-2</v>
      </c>
      <c r="E2589" s="202">
        <v>2.305768439653022E-2</v>
      </c>
      <c r="U2589" s="204"/>
    </row>
    <row r="2590" spans="1:21" x14ac:dyDescent="0.2">
      <c r="A2590" s="64" t="str">
        <f t="shared" si="41"/>
        <v>1w</v>
      </c>
      <c r="B2590" s="203">
        <f>_xll.qlCalendarAdvance(Calendar,B2589,A2590,"f",FALSE)</f>
        <v>57046</v>
      </c>
      <c r="C2590" s="237">
        <f>_xll.qlCalendarAdvance(Calendar,B2590,NDays&amp;"D")</f>
        <v>57048</v>
      </c>
      <c r="D2590" s="202">
        <v>2.3135119343335862E-2</v>
      </c>
      <c r="E2590" s="202">
        <v>2.3053332322868769E-2</v>
      </c>
      <c r="U2590" s="204"/>
    </row>
    <row r="2591" spans="1:21" x14ac:dyDescent="0.2">
      <c r="A2591" s="64" t="str">
        <f t="shared" si="41"/>
        <v>1w</v>
      </c>
      <c r="B2591" s="203">
        <f>_xll.qlCalendarAdvance(Calendar,B2590,A2591,"f",FALSE)</f>
        <v>57053</v>
      </c>
      <c r="C2591" s="237">
        <f>_xll.qlCalendarAdvance(Calendar,B2591,NDays&amp;"D")</f>
        <v>57055</v>
      </c>
      <c r="D2591" s="202">
        <v>2.3131048429431821E-2</v>
      </c>
      <c r="E2591" s="202">
        <v>2.304900339381355E-2</v>
      </c>
      <c r="U2591" s="204"/>
    </row>
    <row r="2592" spans="1:21" x14ac:dyDescent="0.2">
      <c r="A2592" s="64" t="str">
        <f t="shared" si="41"/>
        <v>1w</v>
      </c>
      <c r="B2592" s="203">
        <f>_xll.qlCalendarAdvance(Calendar,B2591,A2592,"f",FALSE)</f>
        <v>57060</v>
      </c>
      <c r="C2592" s="237">
        <f>_xll.qlCalendarAdvance(Calendar,B2592,NDays&amp;"D")</f>
        <v>57062</v>
      </c>
      <c r="D2592" s="202">
        <v>2.3127000943603607E-2</v>
      </c>
      <c r="E2592" s="202">
        <v>2.3044697609284626E-2</v>
      </c>
      <c r="U2592" s="204"/>
    </row>
    <row r="2593" spans="1:21" x14ac:dyDescent="0.2">
      <c r="A2593" s="64" t="str">
        <f t="shared" si="41"/>
        <v>1w</v>
      </c>
      <c r="B2593" s="203">
        <f>_xll.qlCalendarAdvance(Calendar,B2592,A2593,"f",FALSE)</f>
        <v>57067</v>
      </c>
      <c r="C2593" s="237">
        <f>_xll.qlCalendarAdvance(Calendar,B2593,NDays&amp;"D")</f>
        <v>57069</v>
      </c>
      <c r="D2593" s="202">
        <v>2.3121596166251566E-2</v>
      </c>
      <c r="E2593" s="202">
        <v>2.3042145184437146E-2</v>
      </c>
      <c r="U2593" s="204"/>
    </row>
    <row r="2594" spans="1:21" x14ac:dyDescent="0.2">
      <c r="A2594" s="64" t="str">
        <f t="shared" si="41"/>
        <v>1w</v>
      </c>
      <c r="B2594" s="203">
        <f>_xll.qlCalendarAdvance(Calendar,B2593,A2594,"f",FALSE)</f>
        <v>57074</v>
      </c>
      <c r="C2594" s="237">
        <f>_xll.qlCalendarAdvance(Calendar,B2594,NDays&amp;"D")</f>
        <v>57076</v>
      </c>
      <c r="D2594" s="202">
        <v>2.3117591283125235E-2</v>
      </c>
      <c r="E2594" s="202">
        <v>2.303615547428528E-2</v>
      </c>
      <c r="U2594" s="204"/>
    </row>
    <row r="2595" spans="1:21" x14ac:dyDescent="0.2">
      <c r="A2595" s="64" t="str">
        <f t="shared" si="41"/>
        <v>1w</v>
      </c>
      <c r="B2595" s="203">
        <f>_xll.qlCalendarAdvance(Calendar,B2594,A2595,"f",FALSE)</f>
        <v>57081</v>
      </c>
      <c r="C2595" s="237">
        <f>_xll.qlCalendarAdvance(Calendar,B2595,NDays&amp;"D")</f>
        <v>57083</v>
      </c>
      <c r="D2595" s="202">
        <v>2.311360982305475E-2</v>
      </c>
      <c r="E2595" s="202">
        <v>2.3031919123654987E-2</v>
      </c>
      <c r="U2595" s="204"/>
    </row>
    <row r="2596" spans="1:21" x14ac:dyDescent="0.2">
      <c r="A2596" s="64" t="str">
        <f t="shared" si="41"/>
        <v>1w</v>
      </c>
      <c r="B2596" s="203">
        <f>_xll.qlCalendarAdvance(Calendar,B2595,A2596,"f",FALSE)</f>
        <v>57088</v>
      </c>
      <c r="C2596" s="237">
        <f>_xll.qlCalendarAdvance(Calendar,B2596,NDays&amp;"D")</f>
        <v>57090</v>
      </c>
      <c r="D2596" s="202">
        <v>2.3109651785898144E-2</v>
      </c>
      <c r="E2596" s="202">
        <v>2.3027705917630925E-2</v>
      </c>
      <c r="U2596" s="204"/>
    </row>
    <row r="2597" spans="1:21" x14ac:dyDescent="0.2">
      <c r="A2597" s="64" t="str">
        <f t="shared" si="41"/>
        <v>1w</v>
      </c>
      <c r="B2597" s="203">
        <f>_xll.qlCalendarAdvance(Calendar,B2596,A2597,"f",FALSE)</f>
        <v>57095</v>
      </c>
      <c r="C2597" s="237">
        <f>_xll.qlCalendarAdvance(Calendar,B2597,NDays&amp;"D")</f>
        <v>57097</v>
      </c>
      <c r="D2597" s="202">
        <v>2.3105717171517388E-2</v>
      </c>
      <c r="E2597" s="202">
        <v>2.3023515856293031E-2</v>
      </c>
      <c r="U2597" s="204"/>
    </row>
    <row r="2598" spans="1:21" x14ac:dyDescent="0.2">
      <c r="A2598" s="64" t="str">
        <f t="shared" si="41"/>
        <v>1w</v>
      </c>
      <c r="B2598" s="203">
        <f>_xll.qlCalendarAdvance(Calendar,B2597,A2598,"f",FALSE)</f>
        <v>57102</v>
      </c>
      <c r="C2598" s="237">
        <f>_xll.qlCalendarAdvance(Calendar,B2598,NDays&amp;"D")</f>
        <v>57104</v>
      </c>
      <c r="D2598" s="202">
        <v>2.3103208010149621E-2</v>
      </c>
      <c r="E2598" s="202">
        <v>2.3019348939481432E-2</v>
      </c>
      <c r="U2598" s="204"/>
    </row>
    <row r="2599" spans="1:21" x14ac:dyDescent="0.2">
      <c r="A2599" s="64" t="str">
        <f t="shared" si="41"/>
        <v>1w</v>
      </c>
      <c r="B2599" s="203">
        <f>_xll.qlCalendarAdvance(Calendar,B2598,A2599,"f",FALSE)</f>
        <v>57109</v>
      </c>
      <c r="C2599" s="237">
        <f>_xll.qlCalendarAdvance(Calendar,B2599,NDays&amp;"D")</f>
        <v>57111</v>
      </c>
      <c r="D2599" s="202">
        <v>2.3099324516831728E-2</v>
      </c>
      <c r="E2599" s="202">
        <v>2.3015205167196129E-2</v>
      </c>
      <c r="U2599" s="204"/>
    </row>
    <row r="2600" spans="1:21" x14ac:dyDescent="0.2">
      <c r="A2600" s="64" t="str">
        <f t="shared" si="41"/>
        <v>1w</v>
      </c>
      <c r="B2600" s="203">
        <f>_xll.qlCalendarAdvance(Calendar,B2599,A2600,"f",FALSE)</f>
        <v>57116</v>
      </c>
      <c r="C2600" s="237">
        <f>_xll.qlCalendarAdvance(Calendar,B2600,NDays&amp;"D")</f>
        <v>57118</v>
      </c>
      <c r="D2600" s="202">
        <v>2.3095464450451644E-2</v>
      </c>
      <c r="E2600" s="202">
        <v>2.3011084539756865E-2</v>
      </c>
      <c r="U2600" s="204"/>
    </row>
    <row r="2601" spans="1:21" x14ac:dyDescent="0.2">
      <c r="A2601" s="64" t="str">
        <f t="shared" si="41"/>
        <v>1w</v>
      </c>
      <c r="B2601" s="203">
        <f>_xll.qlCalendarAdvance(Calendar,B2600,A2601,"f",FALSE)</f>
        <v>57123</v>
      </c>
      <c r="C2601" s="237">
        <f>_xll.qlCalendarAdvance(Calendar,B2601,NDays&amp;"D")</f>
        <v>57125</v>
      </c>
      <c r="D2601" s="202">
        <v>2.3091627810870558E-2</v>
      </c>
      <c r="E2601" s="202">
        <v>2.3006987056763961E-2</v>
      </c>
      <c r="U2601" s="204"/>
    </row>
    <row r="2602" spans="1:21" x14ac:dyDescent="0.2">
      <c r="A2602" s="64" t="str">
        <f t="shared" si="41"/>
        <v>1w</v>
      </c>
      <c r="B2602" s="203">
        <f>_xll.qlCalendarAdvance(Calendar,B2601,A2602,"f",FALSE)</f>
        <v>57130</v>
      </c>
      <c r="C2602" s="237">
        <f>_xll.qlCalendarAdvance(Calendar,B2602,NDays&amp;"D")</f>
        <v>57132</v>
      </c>
      <c r="D2602" s="202">
        <v>2.308639543639885E-2</v>
      </c>
      <c r="E2602" s="202">
        <v>2.3002912718297353E-2</v>
      </c>
      <c r="U2602" s="204"/>
    </row>
    <row r="2603" spans="1:21" x14ac:dyDescent="0.2">
      <c r="A2603" s="64" t="str">
        <f t="shared" si="41"/>
        <v>1w</v>
      </c>
      <c r="B2603" s="203">
        <f>_xll.qlCalendarAdvance(Calendar,B2602,A2603,"f",FALSE)</f>
        <v>57137</v>
      </c>
      <c r="C2603" s="237">
        <f>_xll.qlCalendarAdvance(Calendar,B2603,NDays&amp;"D")</f>
        <v>57139</v>
      </c>
      <c r="D2603" s="202">
        <v>2.3082601355779334E-2</v>
      </c>
      <c r="E2603" s="202">
        <v>2.2998861524596848E-2</v>
      </c>
      <c r="U2603" s="204"/>
    </row>
    <row r="2604" spans="1:21" x14ac:dyDescent="0.2">
      <c r="A2604" s="64" t="str">
        <f t="shared" si="41"/>
        <v>1w</v>
      </c>
      <c r="B2604" s="203">
        <f>_xll.qlCalendarAdvance(Calendar,B2603,A2604,"f",FALSE)</f>
        <v>57144</v>
      </c>
      <c r="C2604" s="237">
        <f>_xll.qlCalendarAdvance(Calendar,B2604,NDays&amp;"D")</f>
        <v>57146</v>
      </c>
      <c r="D2604" s="202">
        <v>2.3078830696979056E-2</v>
      </c>
      <c r="E2604" s="202">
        <v>2.2994833475502574E-2</v>
      </c>
      <c r="U2604" s="204"/>
    </row>
    <row r="2605" spans="1:21" x14ac:dyDescent="0.2">
      <c r="A2605" s="64" t="str">
        <f t="shared" si="41"/>
        <v>1w</v>
      </c>
      <c r="B2605" s="203">
        <f>_xll.qlCalendarAdvance(Calendar,B2604,A2605,"f",FALSE)</f>
        <v>57151</v>
      </c>
      <c r="C2605" s="237">
        <f>_xll.qlCalendarAdvance(Calendar,B2605,NDays&amp;"D")</f>
        <v>57153</v>
      </c>
      <c r="D2605" s="202">
        <v>2.3075083459865666E-2</v>
      </c>
      <c r="E2605" s="202">
        <v>2.2990828570934596E-2</v>
      </c>
      <c r="U2605" s="204"/>
    </row>
    <row r="2606" spans="1:21" x14ac:dyDescent="0.2">
      <c r="A2606" s="64" t="str">
        <f t="shared" si="41"/>
        <v>1w</v>
      </c>
      <c r="B2606" s="203">
        <f>_xll.qlCalendarAdvance(Calendar,B2605,A2606,"f",FALSE)</f>
        <v>57158</v>
      </c>
      <c r="C2606" s="237">
        <f>_xll.qlCalendarAdvance(Calendar,B2606,NDays&amp;"D")</f>
        <v>57160</v>
      </c>
      <c r="D2606" s="202">
        <v>2.3071359644306368E-2</v>
      </c>
      <c r="E2606" s="202">
        <v>2.2986846810892914E-2</v>
      </c>
      <c r="U2606" s="204"/>
    </row>
    <row r="2607" spans="1:21" x14ac:dyDescent="0.2">
      <c r="A2607" s="64" t="str">
        <f t="shared" si="41"/>
        <v>1w</v>
      </c>
      <c r="B2607" s="203">
        <f>_xll.qlCalendarAdvance(Calendar,B2606,A2607,"f",FALSE)</f>
        <v>57165</v>
      </c>
      <c r="C2607" s="237">
        <f>_xll.qlCalendarAdvance(Calendar,B2607,NDays&amp;"D")</f>
        <v>57167</v>
      </c>
      <c r="D2607" s="202">
        <v>2.3069099928510559E-2</v>
      </c>
      <c r="E2607" s="202">
        <v>2.2982888195537399E-2</v>
      </c>
      <c r="U2607" s="204"/>
    </row>
    <row r="2608" spans="1:21" x14ac:dyDescent="0.2">
      <c r="A2608" s="64" t="str">
        <f t="shared" si="41"/>
        <v>1w</v>
      </c>
      <c r="B2608" s="203">
        <f>_xll.qlCalendarAdvance(Calendar,B2607,A2608,"f",FALSE)</f>
        <v>57172</v>
      </c>
      <c r="C2608" s="237">
        <f>_xll.qlCalendarAdvance(Calendar,B2608,NDays&amp;"D")</f>
        <v>57174</v>
      </c>
      <c r="D2608" s="202">
        <v>2.3065427272716023E-2</v>
      </c>
      <c r="E2608" s="202">
        <v>2.2978952724947987E-2</v>
      </c>
      <c r="U2608" s="204"/>
    </row>
    <row r="2609" spans="1:21" x14ac:dyDescent="0.2">
      <c r="A2609" s="64" t="str">
        <f t="shared" si="41"/>
        <v>1w</v>
      </c>
      <c r="B2609" s="203">
        <f>_xll.qlCalendarAdvance(Calendar,B2608,A2609,"f",FALSE)</f>
        <v>57179</v>
      </c>
      <c r="C2609" s="237">
        <f>_xll.qlCalendarAdvance(Calendar,B2609,NDays&amp;"D")</f>
        <v>57181</v>
      </c>
      <c r="D2609" s="202">
        <v>2.306177804264177E-2</v>
      </c>
      <c r="E2609" s="202">
        <v>2.2975040398725E-2</v>
      </c>
      <c r="U2609" s="204"/>
    </row>
    <row r="2610" spans="1:21" x14ac:dyDescent="0.2">
      <c r="A2610" s="64" t="str">
        <f t="shared" si="41"/>
        <v>1w</v>
      </c>
      <c r="B2610" s="203">
        <f>_xll.qlCalendarAdvance(Calendar,B2609,A2610,"f",FALSE)</f>
        <v>57186</v>
      </c>
      <c r="C2610" s="237">
        <f>_xll.qlCalendarAdvance(Calendar,B2610,NDays&amp;"D")</f>
        <v>57188</v>
      </c>
      <c r="D2610" s="202">
        <v>2.3058152238157593E-2</v>
      </c>
      <c r="E2610" s="202">
        <v>2.2971151217028307E-2</v>
      </c>
      <c r="U2610" s="204"/>
    </row>
    <row r="2611" spans="1:21" x14ac:dyDescent="0.2">
      <c r="A2611" s="64" t="str">
        <f t="shared" si="41"/>
        <v>1w</v>
      </c>
      <c r="B2611" s="203">
        <f>_xll.qlCalendarAdvance(Calendar,B2610,A2611,"f",FALSE)</f>
        <v>57193</v>
      </c>
      <c r="C2611" s="237">
        <f>_xll.qlCalendarAdvance(Calendar,B2611,NDays&amp;"D")</f>
        <v>57195</v>
      </c>
      <c r="D2611" s="202">
        <v>2.3054549859134552E-2</v>
      </c>
      <c r="E2611" s="202">
        <v>2.2967285180177655E-2</v>
      </c>
      <c r="U2611" s="204"/>
    </row>
    <row r="2612" spans="1:21" x14ac:dyDescent="0.2">
      <c r="A2612" s="64" t="str">
        <f t="shared" si="41"/>
        <v>1w</v>
      </c>
      <c r="B2612" s="203">
        <f>_xll.qlCalendarAdvance(Calendar,B2611,A2612,"f",FALSE)</f>
        <v>57200</v>
      </c>
      <c r="C2612" s="237">
        <f>_xll.qlCalendarAdvance(Calendar,B2612,NDays&amp;"D")</f>
        <v>57202</v>
      </c>
      <c r="D2612" s="202">
        <v>2.3050970905442437E-2</v>
      </c>
      <c r="E2612" s="202">
        <v>2.2963442287773361E-2</v>
      </c>
      <c r="U2612" s="204"/>
    </row>
    <row r="2613" spans="1:21" x14ac:dyDescent="0.2">
      <c r="A2613" s="64" t="str">
        <f t="shared" si="41"/>
        <v>1w</v>
      </c>
      <c r="B2613" s="203">
        <f>_xll.qlCalendarAdvance(Calendar,B2612,A2613,"f",FALSE)</f>
        <v>57207</v>
      </c>
      <c r="C2613" s="237">
        <f>_xll.qlCalendarAdvance(Calendar,B2613,NDays&amp;"D")</f>
        <v>57209</v>
      </c>
      <c r="D2613" s="202">
        <v>2.3047415376952742E-2</v>
      </c>
      <c r="E2613" s="202">
        <v>2.29596225399753E-2</v>
      </c>
      <c r="U2613" s="204"/>
    </row>
    <row r="2614" spans="1:21" x14ac:dyDescent="0.2">
      <c r="A2614" s="64" t="str">
        <f t="shared" si="41"/>
        <v>1w</v>
      </c>
      <c r="B2614" s="203">
        <f>_xll.qlCalendarAdvance(Calendar,B2613,A2614,"f",FALSE)</f>
        <v>57214</v>
      </c>
      <c r="C2614" s="237">
        <f>_xll.qlCalendarAdvance(Calendar,B2614,NDays&amp;"D")</f>
        <v>57216</v>
      </c>
      <c r="D2614" s="202">
        <v>2.3043883273538689E-2</v>
      </c>
      <c r="E2614" s="202">
        <v>2.2955825936783469E-2</v>
      </c>
      <c r="U2614" s="204"/>
    </row>
    <row r="2615" spans="1:21" x14ac:dyDescent="0.2">
      <c r="A2615" s="64" t="str">
        <f t="shared" si="41"/>
        <v>1w</v>
      </c>
      <c r="B2615" s="203">
        <f>_xll.qlCalendarAdvance(Calendar,B2614,A2615,"f",FALSE)</f>
        <v>57221</v>
      </c>
      <c r="C2615" s="237">
        <f>_xll.qlCalendarAdvance(Calendar,B2615,NDays&amp;"D")</f>
        <v>57223</v>
      </c>
      <c r="D2615" s="202">
        <v>2.3037916489326033E-2</v>
      </c>
      <c r="E2615" s="202">
        <v>2.2952052478277807E-2</v>
      </c>
      <c r="U2615" s="204"/>
    </row>
    <row r="2616" spans="1:21" x14ac:dyDescent="0.2">
      <c r="A2616" s="64" t="str">
        <f t="shared" si="41"/>
        <v>1w</v>
      </c>
      <c r="B2616" s="203">
        <f>_xll.qlCalendarAdvance(Calendar,B2615,A2616,"f",FALSE)</f>
        <v>57228</v>
      </c>
      <c r="C2616" s="237">
        <f>_xll.qlCalendarAdvance(Calendar,B2616,NDays&amp;"D")</f>
        <v>57230</v>
      </c>
      <c r="D2616" s="202">
        <v>2.3034423980926866E-2</v>
      </c>
      <c r="E2616" s="202">
        <v>2.294830216429844E-2</v>
      </c>
      <c r="U2616" s="204"/>
    </row>
    <row r="2617" spans="1:21" x14ac:dyDescent="0.2">
      <c r="A2617" s="64" t="str">
        <f t="shared" si="41"/>
        <v>1w</v>
      </c>
      <c r="B2617" s="203">
        <f>_xll.qlCalendarAdvance(Calendar,B2616,A2617,"f",FALSE)</f>
        <v>57235</v>
      </c>
      <c r="C2617" s="237">
        <f>_xll.qlCalendarAdvance(Calendar,B2617,NDays&amp;"D")</f>
        <v>57237</v>
      </c>
      <c r="D2617" s="202">
        <v>2.3030954889653173E-2</v>
      </c>
      <c r="E2617" s="202">
        <v>2.2944574994845368E-2</v>
      </c>
      <c r="U2617" s="204"/>
    </row>
    <row r="2618" spans="1:21" x14ac:dyDescent="0.2">
      <c r="A2618" s="64" t="str">
        <f t="shared" si="41"/>
        <v>1w</v>
      </c>
      <c r="B2618" s="203">
        <f>_xll.qlCalendarAdvance(Calendar,B2617,A2618,"f",FALSE)</f>
        <v>57242</v>
      </c>
      <c r="C2618" s="237">
        <f>_xll.qlCalendarAdvance(Calendar,B2618,NDays&amp;"D")</f>
        <v>57244</v>
      </c>
      <c r="D2618" s="202">
        <v>2.3027509215383948E-2</v>
      </c>
      <c r="E2618" s="202">
        <v>2.29408709701584E-2</v>
      </c>
      <c r="U2618" s="204"/>
    </row>
    <row r="2619" spans="1:21" x14ac:dyDescent="0.2">
      <c r="A2619" s="64" t="str">
        <f t="shared" si="41"/>
        <v>1w</v>
      </c>
      <c r="B2619" s="203">
        <f>_xll.qlCalendarAdvance(Calendar,B2618,A2619,"f",FALSE)</f>
        <v>57249</v>
      </c>
      <c r="C2619" s="237">
        <f>_xll.qlCalendarAdvance(Calendar,B2619,NDays&amp;"D")</f>
        <v>57251</v>
      </c>
      <c r="D2619" s="202">
        <v>2.3024086957998628E-2</v>
      </c>
      <c r="E2619" s="202">
        <v>2.2937190089997728E-2</v>
      </c>
      <c r="U2619" s="204"/>
    </row>
    <row r="2620" spans="1:21" x14ac:dyDescent="0.2">
      <c r="A2620" s="64" t="str">
        <f t="shared" si="41"/>
        <v>1w</v>
      </c>
      <c r="B2620" s="203">
        <f>_xll.qlCalendarAdvance(Calendar,B2619,A2620,"f",FALSE)</f>
        <v>57256</v>
      </c>
      <c r="C2620" s="237">
        <f>_xll.qlCalendarAdvance(Calendar,B2620,NDays&amp;"D")</f>
        <v>57258</v>
      </c>
      <c r="D2620" s="202">
        <v>2.3021186687211689E-2</v>
      </c>
      <c r="E2620" s="202">
        <v>2.2933532354203479E-2</v>
      </c>
      <c r="U2620" s="204"/>
    </row>
    <row r="2621" spans="1:21" x14ac:dyDescent="0.2">
      <c r="A2621" s="64" t="str">
        <f t="shared" si="41"/>
        <v>1w</v>
      </c>
      <c r="B2621" s="203">
        <f>_xll.qlCalendarAdvance(Calendar,B2620,A2621,"f",FALSE)</f>
        <v>57263</v>
      </c>
      <c r="C2621" s="237">
        <f>_xll.qlCalendarAdvance(Calendar,B2621,NDays&amp;"D")</f>
        <v>57265</v>
      </c>
      <c r="D2621" s="202">
        <v>2.3017812721348511E-2</v>
      </c>
      <c r="E2621" s="202">
        <v>2.2929897763255269E-2</v>
      </c>
      <c r="U2621" s="204"/>
    </row>
    <row r="2622" spans="1:21" x14ac:dyDescent="0.2">
      <c r="A2622" s="64" t="str">
        <f t="shared" si="41"/>
        <v>1w</v>
      </c>
      <c r="B2622" s="203">
        <f>_xll.qlCalendarAdvance(Calendar,B2621,A2622,"f",FALSE)</f>
        <v>57270</v>
      </c>
      <c r="C2622" s="237">
        <f>_xll.qlCalendarAdvance(Calendar,B2622,NDays&amp;"D")</f>
        <v>57272</v>
      </c>
      <c r="D2622" s="202">
        <v>2.3014462173525145E-2</v>
      </c>
      <c r="E2622" s="202">
        <v>2.2926286316833355E-2</v>
      </c>
      <c r="U2622" s="204"/>
    </row>
    <row r="2623" spans="1:21" x14ac:dyDescent="0.2">
      <c r="A2623" s="64" t="str">
        <f t="shared" si="41"/>
        <v>1w</v>
      </c>
      <c r="B2623" s="203">
        <f>_xll.qlCalendarAdvance(Calendar,B2622,A2623,"f",FALSE)</f>
        <v>57277</v>
      </c>
      <c r="C2623" s="237">
        <f>_xll.qlCalendarAdvance(Calendar,B2623,NDays&amp;"D")</f>
        <v>57279</v>
      </c>
      <c r="D2623" s="202">
        <v>2.3011135043623451E-2</v>
      </c>
      <c r="E2623" s="202">
        <v>2.2922698015017673E-2</v>
      </c>
      <c r="U2623" s="204"/>
    </row>
    <row r="2624" spans="1:21" x14ac:dyDescent="0.2">
      <c r="A2624" s="64" t="str">
        <f t="shared" si="41"/>
        <v>1w</v>
      </c>
      <c r="B2624" s="203">
        <f>_xll.qlCalendarAdvance(Calendar,B2623,A2624,"f",FALSE)</f>
        <v>57284</v>
      </c>
      <c r="C2624" s="237">
        <f>_xll.qlCalendarAdvance(Calendar,B2624,NDays&amp;"D")</f>
        <v>57286</v>
      </c>
      <c r="D2624" s="202">
        <v>2.3007326920178719E-2</v>
      </c>
      <c r="E2624" s="202">
        <v>2.291913285764835E-2</v>
      </c>
      <c r="U2624" s="204"/>
    </row>
    <row r="2625" spans="1:21" x14ac:dyDescent="0.2">
      <c r="A2625" s="64" t="str">
        <f t="shared" si="41"/>
        <v>1w</v>
      </c>
      <c r="B2625" s="203">
        <f>_xll.qlCalendarAdvance(Calendar,B2624,A2625,"f",FALSE)</f>
        <v>57291</v>
      </c>
      <c r="C2625" s="237">
        <f>_xll.qlCalendarAdvance(Calendar,B2625,NDays&amp;"D")</f>
        <v>57293</v>
      </c>
      <c r="D2625" s="202">
        <v>2.3004045161617907E-2</v>
      </c>
      <c r="E2625" s="202">
        <v>2.2915590844965195E-2</v>
      </c>
      <c r="U2625" s="204"/>
    </row>
    <row r="2626" spans="1:21" x14ac:dyDescent="0.2">
      <c r="A2626" s="64" t="str">
        <f t="shared" si="41"/>
        <v>1w</v>
      </c>
      <c r="B2626" s="203">
        <f>_xll.qlCalendarAdvance(Calendar,B2625,A2626,"f",FALSE)</f>
        <v>57298</v>
      </c>
      <c r="C2626" s="237">
        <f>_xll.qlCalendarAdvance(Calendar,B2626,NDays&amp;"D")</f>
        <v>57300</v>
      </c>
      <c r="D2626" s="202">
        <v>2.3000786819121759E-2</v>
      </c>
      <c r="E2626" s="202">
        <v>2.2912071976968207E-2</v>
      </c>
      <c r="U2626" s="204"/>
    </row>
    <row r="2627" spans="1:21" x14ac:dyDescent="0.2">
      <c r="A2627" s="64" t="str">
        <f t="shared" si="41"/>
        <v>1w</v>
      </c>
      <c r="B2627" s="203">
        <f>_xll.qlCalendarAdvance(Calendar,B2626,A2627,"f",FALSE)</f>
        <v>57305</v>
      </c>
      <c r="C2627" s="237">
        <f>_xll.qlCalendarAdvance(Calendar,B2627,NDays&amp;"D")</f>
        <v>57307</v>
      </c>
      <c r="D2627" s="202">
        <v>2.2997551892576337E-2</v>
      </c>
      <c r="E2627" s="202">
        <v>2.2908576253417579E-2</v>
      </c>
      <c r="U2627" s="204"/>
    </row>
    <row r="2628" spans="1:21" x14ac:dyDescent="0.2">
      <c r="A2628" s="64" t="str">
        <f t="shared" si="41"/>
        <v>1w</v>
      </c>
      <c r="B2628" s="203">
        <f>_xll.qlCalendarAdvance(Calendar,B2627,A2628,"f",FALSE)</f>
        <v>57312</v>
      </c>
      <c r="C2628" s="237">
        <f>_xll.qlCalendarAdvance(Calendar,B2628,NDays&amp;"D")</f>
        <v>57314</v>
      </c>
      <c r="D2628" s="202">
        <v>2.2994850658883886E-2</v>
      </c>
      <c r="E2628" s="202">
        <v>2.2905103674473182E-2</v>
      </c>
      <c r="U2628" s="204"/>
    </row>
    <row r="2629" spans="1:21" x14ac:dyDescent="0.2">
      <c r="A2629" s="64" t="str">
        <f t="shared" si="41"/>
        <v>1w</v>
      </c>
      <c r="B2629" s="203">
        <f>_xll.qlCalendarAdvance(Calendar,B2628,A2629,"f",FALSE)</f>
        <v>57319</v>
      </c>
      <c r="C2629" s="237">
        <f>_xll.qlCalendarAdvance(Calendar,B2629,NDays&amp;"D")</f>
        <v>57321</v>
      </c>
      <c r="D2629" s="202">
        <v>2.2991664034089081E-2</v>
      </c>
      <c r="E2629" s="202">
        <v>2.2901654240214953E-2</v>
      </c>
      <c r="U2629" s="204"/>
    </row>
    <row r="2630" spans="1:21" x14ac:dyDescent="0.2">
      <c r="A2630" s="64" t="str">
        <f t="shared" si="41"/>
        <v>1w</v>
      </c>
      <c r="B2630" s="203">
        <f>_xll.qlCalendarAdvance(Calendar,B2629,A2630,"f",FALSE)</f>
        <v>57326</v>
      </c>
      <c r="C2630" s="237">
        <f>_xll.qlCalendarAdvance(Calendar,B2630,NDays&amp;"D")</f>
        <v>57328</v>
      </c>
      <c r="D2630" s="202">
        <v>2.298850082641658E-2</v>
      </c>
      <c r="E2630" s="202">
        <v>2.2898227950483019E-2</v>
      </c>
      <c r="U2630" s="204"/>
    </row>
    <row r="2631" spans="1:21" x14ac:dyDescent="0.2">
      <c r="A2631" s="64" t="str">
        <f t="shared" ref="A2631:A2694" si="42">A2630</f>
        <v>1w</v>
      </c>
      <c r="B2631" s="203">
        <f>_xll.qlCalendarAdvance(Calendar,B2630,A2631,"f",FALSE)</f>
        <v>57333</v>
      </c>
      <c r="C2631" s="237">
        <f>_xll.qlCalendarAdvance(Calendar,B2631,NDays&amp;"D")</f>
        <v>57335</v>
      </c>
      <c r="D2631" s="202">
        <v>2.2985361035753511E-2</v>
      </c>
      <c r="E2631" s="202">
        <v>2.2894824805197445E-2</v>
      </c>
      <c r="U2631" s="204"/>
    </row>
    <row r="2632" spans="1:21" x14ac:dyDescent="0.2">
      <c r="A2632" s="64" t="str">
        <f t="shared" si="42"/>
        <v>1w</v>
      </c>
      <c r="B2632" s="203">
        <f>_xll.qlCalendarAdvance(Calendar,B2631,A2632,"f",FALSE)</f>
        <v>57341</v>
      </c>
      <c r="C2632" s="237">
        <f>_xll.qlCalendarAdvance(Calendar,B2632,NDays&amp;"D")</f>
        <v>57343</v>
      </c>
      <c r="D2632" s="202">
        <v>2.2981801377317805E-2</v>
      </c>
      <c r="E2632" s="202">
        <v>2.2892426838632129E-2</v>
      </c>
      <c r="U2632" s="204"/>
    </row>
    <row r="2633" spans="1:21" x14ac:dyDescent="0.2">
      <c r="A2633" s="64" t="str">
        <f t="shared" si="42"/>
        <v>1w</v>
      </c>
      <c r="B2633" s="203">
        <f>_xll.qlCalendarAdvance(Calendar,B2632,A2633,"f",FALSE)</f>
        <v>57348</v>
      </c>
      <c r="C2633" s="237">
        <f>_xll.qlCalendarAdvance(Calendar,B2633,NDays&amp;"D")</f>
        <v>57350</v>
      </c>
      <c r="D2633" s="202">
        <v>2.2978193911576513E-2</v>
      </c>
      <c r="E2633" s="202">
        <v>2.2888588344276428E-2</v>
      </c>
      <c r="U2633" s="204"/>
    </row>
    <row r="2634" spans="1:21" x14ac:dyDescent="0.2">
      <c r="A2634" s="64" t="str">
        <f t="shared" si="42"/>
        <v>1w</v>
      </c>
      <c r="B2634" s="203">
        <f>_xll.qlCalendarAdvance(Calendar,B2633,A2634,"f",FALSE)</f>
        <v>57355</v>
      </c>
      <c r="C2634" s="237">
        <f>_xll.qlCalendarAdvance(Calendar,B2634,NDays&amp;"D")</f>
        <v>57357</v>
      </c>
      <c r="D2634" s="202">
        <v>2.2975126238590604E-2</v>
      </c>
      <c r="E2634" s="202">
        <v>2.2885260822604891E-2</v>
      </c>
      <c r="U2634" s="204"/>
    </row>
    <row r="2635" spans="1:21" x14ac:dyDescent="0.2">
      <c r="A2635" s="64" t="str">
        <f t="shared" si="42"/>
        <v>1w</v>
      </c>
      <c r="B2635" s="203">
        <f>_xll.qlCalendarAdvance(Calendar,B2634,A2635,"f",FALSE)</f>
        <v>57362</v>
      </c>
      <c r="C2635" s="237">
        <f>_xll.qlCalendarAdvance(Calendar,B2635,NDays&amp;"D")</f>
        <v>57364</v>
      </c>
      <c r="D2635" s="202">
        <v>2.2972081980659781E-2</v>
      </c>
      <c r="E2635" s="202">
        <v>2.2881956448470575E-2</v>
      </c>
      <c r="U2635" s="204"/>
    </row>
    <row r="2636" spans="1:21" x14ac:dyDescent="0.2">
      <c r="A2636" s="64" t="str">
        <f t="shared" si="42"/>
        <v>1w</v>
      </c>
      <c r="B2636" s="203">
        <f>_xll.qlCalendarAdvance(Calendar,B2635,A2636,"f",FALSE)</f>
        <v>57369</v>
      </c>
      <c r="C2636" s="237">
        <f>_xll.qlCalendarAdvance(Calendar,B2636,NDays&amp;"D")</f>
        <v>57371</v>
      </c>
      <c r="D2636" s="202">
        <v>2.2969061137678052E-2</v>
      </c>
      <c r="E2636" s="202">
        <v>2.287867522192677E-2</v>
      </c>
      <c r="U2636" s="204"/>
    </row>
    <row r="2637" spans="1:21" x14ac:dyDescent="0.2">
      <c r="A2637" s="64" t="str">
        <f t="shared" si="42"/>
        <v>1w</v>
      </c>
      <c r="B2637" s="203">
        <f>_xll.qlCalendarAdvance(Calendar,B2636,A2637,"f",FALSE)</f>
        <v>57376</v>
      </c>
      <c r="C2637" s="237">
        <f>_xll.qlCalendarAdvance(Calendar,B2637,NDays&amp;"D")</f>
        <v>57378</v>
      </c>
      <c r="D2637" s="202">
        <v>2.296606370953987E-2</v>
      </c>
      <c r="E2637" s="202">
        <v>2.287541714294683E-2</v>
      </c>
      <c r="U2637" s="204"/>
    </row>
    <row r="2638" spans="1:21" x14ac:dyDescent="0.2">
      <c r="A2638" s="64" t="str">
        <f t="shared" si="42"/>
        <v>1w</v>
      </c>
      <c r="B2638" s="203">
        <f>_xll.qlCalendarAdvance(Calendar,B2637,A2638,"f",FALSE)</f>
        <v>57383</v>
      </c>
      <c r="C2638" s="237">
        <f>_xll.qlCalendarAdvance(Calendar,B2638,NDays&amp;"D")</f>
        <v>57385</v>
      </c>
      <c r="D2638" s="202">
        <v>2.2963089696140124E-2</v>
      </c>
      <c r="E2638" s="202">
        <v>2.2872182211584047E-2</v>
      </c>
      <c r="U2638" s="204"/>
    </row>
    <row r="2639" spans="1:21" x14ac:dyDescent="0.2">
      <c r="A2639" s="64" t="str">
        <f t="shared" si="42"/>
        <v>1w</v>
      </c>
      <c r="B2639" s="203">
        <f>_xll.qlCalendarAdvance(Calendar,B2638,A2639,"f",FALSE)</f>
        <v>57390</v>
      </c>
      <c r="C2639" s="237">
        <f>_xll.qlCalendarAdvance(Calendar,B2639,NDays&amp;"D")</f>
        <v>57392</v>
      </c>
      <c r="D2639" s="202">
        <v>2.2960139097376795E-2</v>
      </c>
      <c r="E2639" s="202">
        <v>2.2868970427785129E-2</v>
      </c>
      <c r="U2639" s="204"/>
    </row>
    <row r="2640" spans="1:21" x14ac:dyDescent="0.2">
      <c r="A2640" s="64" t="str">
        <f t="shared" si="42"/>
        <v>1w</v>
      </c>
      <c r="B2640" s="203">
        <f>_xll.qlCalendarAdvance(Calendar,B2639,A2640,"f",FALSE)</f>
        <v>57397</v>
      </c>
      <c r="C2640" s="237">
        <f>_xll.qlCalendarAdvance(Calendar,B2640,NDays&amp;"D")</f>
        <v>57399</v>
      </c>
      <c r="D2640" s="202">
        <v>2.2957211913145214E-2</v>
      </c>
      <c r="E2640" s="202">
        <v>2.2865781791550077E-2</v>
      </c>
      <c r="U2640" s="204"/>
    </row>
    <row r="2641" spans="1:21" x14ac:dyDescent="0.2">
      <c r="A2641" s="64" t="str">
        <f t="shared" si="42"/>
        <v>1w</v>
      </c>
      <c r="B2641" s="203">
        <f>_xll.qlCalendarAdvance(Calendar,B2640,A2641,"f",FALSE)</f>
        <v>57404</v>
      </c>
      <c r="C2641" s="237">
        <f>_xll.qlCalendarAdvance(Calendar,B2641,NDays&amp;"D")</f>
        <v>57406</v>
      </c>
      <c r="D2641" s="202">
        <v>2.2956428010763332E-2</v>
      </c>
      <c r="E2641" s="202">
        <v>2.2862616302878891E-2</v>
      </c>
      <c r="U2641" s="204"/>
    </row>
    <row r="2642" spans="1:21" x14ac:dyDescent="0.2">
      <c r="A2642" s="64" t="str">
        <f t="shared" si="42"/>
        <v>1w</v>
      </c>
      <c r="B2642" s="203">
        <f>_xll.qlCalendarAdvance(Calendar,B2641,A2642,"f",FALSE)</f>
        <v>57411</v>
      </c>
      <c r="C2642" s="237">
        <f>_xll.qlCalendarAdvance(Calendar,B2642,NDays&amp;"D")</f>
        <v>57413</v>
      </c>
      <c r="D2642" s="202">
        <v>2.295355361629127E-2</v>
      </c>
      <c r="E2642" s="202">
        <v>2.2859473961798216E-2</v>
      </c>
      <c r="U2642" s="204"/>
    </row>
    <row r="2643" spans="1:21" x14ac:dyDescent="0.2">
      <c r="A2643" s="64" t="str">
        <f t="shared" si="42"/>
        <v>1w</v>
      </c>
      <c r="B2643" s="203">
        <f>_xll.qlCalendarAdvance(Calendar,B2642,A2643,"f",FALSE)</f>
        <v>57418</v>
      </c>
      <c r="C2643" s="237">
        <f>_xll.qlCalendarAdvance(Calendar,B2643,NDays&amp;"D")</f>
        <v>57420</v>
      </c>
      <c r="D2643" s="202">
        <v>2.2950702642047127E-2</v>
      </c>
      <c r="E2643" s="202">
        <v>2.2856354768281406E-2</v>
      </c>
      <c r="U2643" s="204"/>
    </row>
    <row r="2644" spans="1:21" x14ac:dyDescent="0.2">
      <c r="A2644" s="64" t="str">
        <f t="shared" si="42"/>
        <v>1w</v>
      </c>
      <c r="B2644" s="203">
        <f>_xll.qlCalendarAdvance(Calendar,B2643,A2644,"f",FALSE)</f>
        <v>57425</v>
      </c>
      <c r="C2644" s="237">
        <f>_xll.qlCalendarAdvance(Calendar,B2644,NDays&amp;"D")</f>
        <v>57427</v>
      </c>
      <c r="D2644" s="202">
        <v>2.2947875087927633E-2</v>
      </c>
      <c r="E2644" s="202">
        <v>2.2853258722355108E-2</v>
      </c>
      <c r="U2644" s="204"/>
    </row>
    <row r="2645" spans="1:21" x14ac:dyDescent="0.2">
      <c r="A2645" s="64" t="str">
        <f t="shared" si="42"/>
        <v>1w</v>
      </c>
      <c r="B2645" s="203">
        <f>_xll.qlCalendarAdvance(Calendar,B2644,A2645,"f",FALSE)</f>
        <v>57432</v>
      </c>
      <c r="C2645" s="237">
        <f>_xll.qlCalendarAdvance(Calendar,B2645,NDays&amp;"D")</f>
        <v>57434</v>
      </c>
      <c r="D2645" s="202">
        <v>2.2943462894729635E-2</v>
      </c>
      <c r="E2645" s="202">
        <v>2.2850185823966029E-2</v>
      </c>
      <c r="U2645" s="204"/>
    </row>
    <row r="2646" spans="1:21" x14ac:dyDescent="0.2">
      <c r="A2646" s="64" t="str">
        <f t="shared" si="42"/>
        <v>1w</v>
      </c>
      <c r="B2646" s="203">
        <f>_xll.qlCalendarAdvance(Calendar,B2645,A2646,"f",FALSE)</f>
        <v>57439</v>
      </c>
      <c r="C2646" s="237">
        <f>_xll.qlCalendarAdvance(Calendar,B2646,NDays&amp;"D")</f>
        <v>57441</v>
      </c>
      <c r="D2646" s="202">
        <v>2.2942290239661621E-2</v>
      </c>
      <c r="E2646" s="202">
        <v>2.2847136073167462E-2</v>
      </c>
      <c r="U2646" s="204"/>
    </row>
    <row r="2647" spans="1:21" x14ac:dyDescent="0.2">
      <c r="A2647" s="64" t="str">
        <f t="shared" si="42"/>
        <v>1w</v>
      </c>
      <c r="B2647" s="203">
        <f>_xll.qlCalendarAdvance(Calendar,B2646,A2647,"f",FALSE)</f>
        <v>57446</v>
      </c>
      <c r="C2647" s="237">
        <f>_xll.qlCalendarAdvance(Calendar,B2647,NDays&amp;"D")</f>
        <v>57448</v>
      </c>
      <c r="D2647" s="202">
        <v>2.2939532945316345E-2</v>
      </c>
      <c r="E2647" s="202">
        <v>2.284410946987947E-2</v>
      </c>
      <c r="U2647" s="204"/>
    </row>
    <row r="2648" spans="1:21" x14ac:dyDescent="0.2">
      <c r="A2648" s="64" t="str">
        <f t="shared" si="42"/>
        <v>1w</v>
      </c>
      <c r="B2648" s="203">
        <f>_xll.qlCalendarAdvance(Calendar,B2647,A2648,"f",FALSE)</f>
        <v>57453</v>
      </c>
      <c r="C2648" s="237">
        <f>_xll.qlCalendarAdvance(Calendar,B2648,NDays&amp;"D")</f>
        <v>57459</v>
      </c>
      <c r="D2648" s="202">
        <v>2.2934164463776472E-2</v>
      </c>
      <c r="E2648" s="202">
        <v>2.2838376851685993E-2</v>
      </c>
      <c r="U2648" s="204"/>
    </row>
    <row r="2649" spans="1:21" x14ac:dyDescent="0.2">
      <c r="A2649" s="64" t="str">
        <f t="shared" si="42"/>
        <v>1w</v>
      </c>
      <c r="B2649" s="203">
        <f>_xll.qlCalendarAdvance(Calendar,B2648,A2649,"f",FALSE)</f>
        <v>57460</v>
      </c>
      <c r="C2649" s="237">
        <f>_xll.qlCalendarAdvance(Calendar,B2649,NDays&amp;"D")</f>
        <v>57462</v>
      </c>
      <c r="D2649" s="202">
        <v>2.293408861570996E-2</v>
      </c>
      <c r="E2649" s="202">
        <v>2.2838125706101664E-2</v>
      </c>
      <c r="U2649" s="204"/>
    </row>
    <row r="2650" spans="1:21" x14ac:dyDescent="0.2">
      <c r="A2650" s="64" t="str">
        <f t="shared" si="42"/>
        <v>1w</v>
      </c>
      <c r="B2650" s="203">
        <f>_xll.qlCalendarAdvance(Calendar,B2649,A2650,"f",FALSE)</f>
        <v>57467</v>
      </c>
      <c r="C2650" s="237">
        <f>_xll.qlCalendarAdvance(Calendar,B2650,NDays&amp;"D")</f>
        <v>57469</v>
      </c>
      <c r="D2650" s="202">
        <v>2.2931401580253551E-2</v>
      </c>
      <c r="E2650" s="202">
        <v>2.2835168545478624E-2</v>
      </c>
      <c r="U2650" s="204"/>
    </row>
    <row r="2651" spans="1:21" x14ac:dyDescent="0.2">
      <c r="A2651" s="64" t="str">
        <f t="shared" si="42"/>
        <v>1w</v>
      </c>
      <c r="B2651" s="203">
        <f>_xll.qlCalendarAdvance(Calendar,B2650,A2651,"f",FALSE)</f>
        <v>57474</v>
      </c>
      <c r="C2651" s="237">
        <f>_xll.qlCalendarAdvance(Calendar,B2651,NDays&amp;"D")</f>
        <v>57476</v>
      </c>
      <c r="D2651" s="202">
        <v>2.2928737964234339E-2</v>
      </c>
      <c r="E2651" s="202">
        <v>2.2832234532472739E-2</v>
      </c>
      <c r="U2651" s="204"/>
    </row>
    <row r="2652" spans="1:21" x14ac:dyDescent="0.2">
      <c r="A2652" s="64" t="str">
        <f t="shared" si="42"/>
        <v>1w</v>
      </c>
      <c r="B2652" s="203">
        <f>_xll.qlCalendarAdvance(Calendar,B2651,A2652,"f",FALSE)</f>
        <v>57481</v>
      </c>
      <c r="C2652" s="237">
        <f>_xll.qlCalendarAdvance(Calendar,B2652,NDays&amp;"D")</f>
        <v>57483</v>
      </c>
      <c r="D2652" s="202">
        <v>2.2926097767555977E-2</v>
      </c>
      <c r="E2652" s="202">
        <v>2.2829323666950785E-2</v>
      </c>
      <c r="U2652" s="204"/>
    </row>
    <row r="2653" spans="1:21" x14ac:dyDescent="0.2">
      <c r="A2653" s="64" t="str">
        <f t="shared" si="42"/>
        <v>1w</v>
      </c>
      <c r="B2653" s="203">
        <f>_xll.qlCalendarAdvance(Calendar,B2652,A2653,"f",FALSE)</f>
        <v>57488</v>
      </c>
      <c r="C2653" s="237">
        <f>_xll.qlCalendarAdvance(Calendar,B2653,NDays&amp;"D")</f>
        <v>57490</v>
      </c>
      <c r="D2653" s="202">
        <v>2.2923480990126425E-2</v>
      </c>
      <c r="E2653" s="202">
        <v>2.2826435949072632E-2</v>
      </c>
      <c r="U2653" s="204"/>
    </row>
    <row r="2654" spans="1:21" x14ac:dyDescent="0.2">
      <c r="A2654" s="64" t="str">
        <f t="shared" si="42"/>
        <v>1w</v>
      </c>
      <c r="B2654" s="203">
        <f>_xll.qlCalendarAdvance(Calendar,B2653,A2654,"f",FALSE)</f>
        <v>57495</v>
      </c>
      <c r="C2654" s="237">
        <f>_xll.qlCalendarAdvance(Calendar,B2654,NDays&amp;"D")</f>
        <v>57497</v>
      </c>
      <c r="D2654" s="202">
        <v>2.2920887631850621E-2</v>
      </c>
      <c r="E2654" s="202">
        <v>2.2823571378705054E-2</v>
      </c>
      <c r="U2654" s="204"/>
    </row>
    <row r="2655" spans="1:21" x14ac:dyDescent="0.2">
      <c r="A2655" s="64" t="str">
        <f t="shared" si="42"/>
        <v>1w</v>
      </c>
      <c r="B2655" s="203">
        <f>_xll.qlCalendarAdvance(Calendar,B2654,A2655,"f",FALSE)</f>
        <v>57502</v>
      </c>
      <c r="C2655" s="237">
        <f>_xll.qlCalendarAdvance(Calendar,B2655,NDays&amp;"D")</f>
        <v>57504</v>
      </c>
      <c r="D2655" s="202">
        <v>2.2918317692636105E-2</v>
      </c>
      <c r="E2655" s="202">
        <v>2.2820729955901342E-2</v>
      </c>
      <c r="U2655" s="204"/>
    </row>
    <row r="2656" spans="1:21" x14ac:dyDescent="0.2">
      <c r="A2656" s="64" t="str">
        <f t="shared" si="42"/>
        <v>1w</v>
      </c>
      <c r="B2656" s="203">
        <f>_xll.qlCalendarAdvance(Calendar,B2655,A2656,"f",FALSE)</f>
        <v>57509</v>
      </c>
      <c r="C2656" s="237">
        <f>_xll.qlCalendarAdvance(Calendar,B2656,NDays&amp;"D")</f>
        <v>57511</v>
      </c>
      <c r="D2656" s="202">
        <v>2.2915771172392133E-2</v>
      </c>
      <c r="E2656" s="202">
        <v>2.2817911680608205E-2</v>
      </c>
      <c r="U2656" s="204"/>
    </row>
    <row r="2657" spans="1:21" x14ac:dyDescent="0.2">
      <c r="A2657" s="64" t="str">
        <f t="shared" si="42"/>
        <v>1w</v>
      </c>
      <c r="B2657" s="203">
        <f>_xll.qlCalendarAdvance(Calendar,B2656,A2657,"f",FALSE)</f>
        <v>57516</v>
      </c>
      <c r="C2657" s="237">
        <f>_xll.qlCalendarAdvance(Calendar,B2657,NDays&amp;"D")</f>
        <v>57518</v>
      </c>
      <c r="D2657" s="202">
        <v>2.2913248071027108E-2</v>
      </c>
      <c r="E2657" s="202">
        <v>2.2815116552905579E-2</v>
      </c>
      <c r="U2657" s="204"/>
    </row>
    <row r="2658" spans="1:21" x14ac:dyDescent="0.2">
      <c r="A2658" s="64" t="str">
        <f t="shared" si="42"/>
        <v>1w</v>
      </c>
      <c r="B2658" s="203">
        <f>_xll.qlCalendarAdvance(Calendar,B2657,A2658,"f",FALSE)</f>
        <v>57523</v>
      </c>
      <c r="C2658" s="237">
        <f>_xll.qlCalendarAdvance(Calendar,B2658,NDays&amp;"D")</f>
        <v>57525</v>
      </c>
      <c r="D2658" s="202">
        <v>2.2910748388451151E-2</v>
      </c>
      <c r="E2658" s="202">
        <v>2.2812344572686882E-2</v>
      </c>
      <c r="U2658" s="204"/>
    </row>
    <row r="2659" spans="1:21" x14ac:dyDescent="0.2">
      <c r="A2659" s="64" t="str">
        <f t="shared" si="42"/>
        <v>1w</v>
      </c>
      <c r="B2659" s="203">
        <f>_xll.qlCalendarAdvance(Calendar,B2658,A2659,"f",FALSE)</f>
        <v>57530</v>
      </c>
      <c r="C2659" s="237">
        <f>_xll.qlCalendarAdvance(Calendar,B2659,NDays&amp;"D")</f>
        <v>57532</v>
      </c>
      <c r="D2659" s="202">
        <v>2.2908272124574823E-2</v>
      </c>
      <c r="E2659" s="202">
        <v>2.2809595740058697E-2</v>
      </c>
      <c r="U2659" s="204"/>
    </row>
    <row r="2660" spans="1:21" x14ac:dyDescent="0.2">
      <c r="A2660" s="64" t="str">
        <f t="shared" si="42"/>
        <v>1w</v>
      </c>
      <c r="B2660" s="203">
        <f>_xll.qlCalendarAdvance(Calendar,B2659,A2660,"f",FALSE)</f>
        <v>57537</v>
      </c>
      <c r="C2660" s="237">
        <f>_xll.qlCalendarAdvance(Calendar,B2660,NDays&amp;"D")</f>
        <v>57539</v>
      </c>
      <c r="D2660" s="202">
        <v>2.2905819279309975E-2</v>
      </c>
      <c r="E2660" s="202">
        <v>2.2806870054967732E-2</v>
      </c>
      <c r="U2660" s="204"/>
    </row>
    <row r="2661" spans="1:21" x14ac:dyDescent="0.2">
      <c r="A2661" s="64" t="str">
        <f t="shared" si="42"/>
        <v>1w</v>
      </c>
      <c r="B2661" s="203">
        <f>_xll.qlCalendarAdvance(Calendar,B2660,A2661,"f",FALSE)</f>
        <v>57544</v>
      </c>
      <c r="C2661" s="237">
        <f>_xll.qlCalendarAdvance(Calendar,B2661,NDays&amp;"D")</f>
        <v>57546</v>
      </c>
      <c r="D2661" s="202">
        <v>2.2903389852569331E-2</v>
      </c>
      <c r="E2661" s="202">
        <v>2.2804167517413987E-2</v>
      </c>
      <c r="U2661" s="204"/>
    </row>
    <row r="2662" spans="1:21" x14ac:dyDescent="0.2">
      <c r="A2662" s="64" t="str">
        <f t="shared" si="42"/>
        <v>1w</v>
      </c>
      <c r="B2662" s="203">
        <f>_xll.qlCalendarAdvance(Calendar,B2661,A2662,"f",FALSE)</f>
        <v>57551</v>
      </c>
      <c r="C2662" s="237">
        <f>_xll.qlCalendarAdvance(Calendar,B2662,NDays&amp;"D")</f>
        <v>57553</v>
      </c>
      <c r="D2662" s="202">
        <v>2.2900983844266039E-2</v>
      </c>
      <c r="E2662" s="202">
        <v>2.2801488127370817E-2</v>
      </c>
      <c r="U2662" s="204"/>
    </row>
    <row r="2663" spans="1:21" x14ac:dyDescent="0.2">
      <c r="A2663" s="64" t="str">
        <f t="shared" si="42"/>
        <v>1w</v>
      </c>
      <c r="B2663" s="203">
        <f>_xll.qlCalendarAdvance(Calendar,B2662,A2663,"f",FALSE)</f>
        <v>57558</v>
      </c>
      <c r="C2663" s="237">
        <f>_xll.qlCalendarAdvance(Calendar,B2663,NDays&amp;"D")</f>
        <v>57560</v>
      </c>
      <c r="D2663" s="202">
        <v>2.2898601254313679E-2</v>
      </c>
      <c r="E2663" s="202">
        <v>2.2798831884891513E-2</v>
      </c>
      <c r="U2663" s="204"/>
    </row>
    <row r="2664" spans="1:21" x14ac:dyDescent="0.2">
      <c r="A2664" s="64" t="str">
        <f t="shared" si="42"/>
        <v>1w</v>
      </c>
      <c r="B2664" s="203">
        <f>_xll.qlCalendarAdvance(Calendar,B2663,A2664,"f",FALSE)</f>
        <v>57565</v>
      </c>
      <c r="C2664" s="237">
        <f>_xll.qlCalendarAdvance(Calendar,B2664,NDays&amp;"D")</f>
        <v>57567</v>
      </c>
      <c r="D2664" s="202">
        <v>2.2896242082628863E-2</v>
      </c>
      <c r="E2664" s="202">
        <v>2.2796198789976074E-2</v>
      </c>
      <c r="U2664" s="204"/>
    </row>
    <row r="2665" spans="1:21" x14ac:dyDescent="0.2">
      <c r="A2665" s="64" t="str">
        <f t="shared" si="42"/>
        <v>1w</v>
      </c>
      <c r="B2665" s="203">
        <f>_xll.qlCalendarAdvance(Calendar,B2664,A2665,"f",FALSE)</f>
        <v>57572</v>
      </c>
      <c r="C2665" s="237">
        <f>_xll.qlCalendarAdvance(Calendar,B2665,NDays&amp;"D")</f>
        <v>57574</v>
      </c>
      <c r="D2665" s="202">
        <v>2.28939063291256E-2</v>
      </c>
      <c r="E2665" s="202">
        <v>2.2793588842464629E-2</v>
      </c>
      <c r="U2665" s="204"/>
    </row>
    <row r="2666" spans="1:21" x14ac:dyDescent="0.2">
      <c r="A2666" s="64" t="str">
        <f t="shared" si="42"/>
        <v>1w</v>
      </c>
      <c r="B2666" s="203">
        <f>_xll.qlCalendarAdvance(Calendar,B2665,A2666,"f",FALSE)</f>
        <v>57579</v>
      </c>
      <c r="C2666" s="237">
        <f>_xll.qlCalendarAdvance(Calendar,B2666,NDays&amp;"D")</f>
        <v>57581</v>
      </c>
      <c r="D2666" s="202">
        <v>2.2891593993720934E-2</v>
      </c>
      <c r="E2666" s="202">
        <v>2.2791002042623631E-2</v>
      </c>
      <c r="U2666" s="204"/>
    </row>
    <row r="2667" spans="1:21" x14ac:dyDescent="0.2">
      <c r="A2667" s="64" t="str">
        <f t="shared" si="42"/>
        <v>1w</v>
      </c>
      <c r="B2667" s="203">
        <f>_xll.qlCalendarAdvance(Calendar,B2666,A2667,"f",FALSE)</f>
        <v>57586</v>
      </c>
      <c r="C2667" s="237">
        <f>_xll.qlCalendarAdvance(Calendar,B2667,NDays&amp;"D")</f>
        <v>57588</v>
      </c>
      <c r="D2667" s="202">
        <v>2.288702827808425E-2</v>
      </c>
      <c r="E2667" s="202">
        <v>2.2788438390239918E-2</v>
      </c>
      <c r="U2667" s="204"/>
    </row>
    <row r="2668" spans="1:21" x14ac:dyDescent="0.2">
      <c r="A2668" s="64" t="str">
        <f t="shared" si="42"/>
        <v>1w</v>
      </c>
      <c r="B2668" s="203">
        <f>_xll.qlCalendarAdvance(Calendar,B2667,A2668,"f",FALSE)</f>
        <v>57593</v>
      </c>
      <c r="C2668" s="237">
        <f>_xll.qlCalendarAdvance(Calendar,B2668,NDays&amp;"D")</f>
        <v>57595</v>
      </c>
      <c r="D2668" s="202">
        <v>2.2884756662252679E-2</v>
      </c>
      <c r="E2668" s="202">
        <v>2.278589788542007E-2</v>
      </c>
      <c r="U2668" s="204"/>
    </row>
    <row r="2669" spans="1:21" x14ac:dyDescent="0.2">
      <c r="A2669" s="64" t="str">
        <f t="shared" si="42"/>
        <v>1w</v>
      </c>
      <c r="B2669" s="203">
        <f>_xll.qlCalendarAdvance(Calendar,B2668,A2669,"f",FALSE)</f>
        <v>57600</v>
      </c>
      <c r="C2669" s="237">
        <f>_xll.qlCalendarAdvance(Calendar,B2669,NDays&amp;"D")</f>
        <v>57602</v>
      </c>
      <c r="D2669" s="202">
        <v>2.2882508458322032E-2</v>
      </c>
      <c r="E2669" s="202">
        <v>2.2783380528110797E-2</v>
      </c>
      <c r="U2669" s="204"/>
    </row>
    <row r="2670" spans="1:21" x14ac:dyDescent="0.2">
      <c r="A2670" s="64" t="str">
        <f t="shared" si="42"/>
        <v>1w</v>
      </c>
      <c r="B2670" s="203">
        <f>_xll.qlCalendarAdvance(Calendar,B2669,A2670,"f",FALSE)</f>
        <v>57607</v>
      </c>
      <c r="C2670" s="237">
        <f>_xll.qlCalendarAdvance(Calendar,B2670,NDays&amp;"D")</f>
        <v>57609</v>
      </c>
      <c r="D2670" s="202">
        <v>2.2880283666214144E-2</v>
      </c>
      <c r="E2670" s="202">
        <v>2.2780886318338744E-2</v>
      </c>
      <c r="U2670" s="204"/>
    </row>
    <row r="2671" spans="1:21" x14ac:dyDescent="0.2">
      <c r="A2671" s="64" t="str">
        <f t="shared" si="42"/>
        <v>1w</v>
      </c>
      <c r="B2671" s="203">
        <f>_xll.qlCalendarAdvance(Calendar,B2670,A2671,"f",FALSE)</f>
        <v>57614</v>
      </c>
      <c r="C2671" s="237">
        <f>_xll.qlCalendarAdvance(Calendar,B2671,NDays&amp;"D")</f>
        <v>57616</v>
      </c>
      <c r="D2671" s="202">
        <v>2.2878657354237466E-2</v>
      </c>
      <c r="E2671" s="202">
        <v>2.2778415256077267E-2</v>
      </c>
      <c r="U2671" s="204"/>
    </row>
    <row r="2672" spans="1:21" x14ac:dyDescent="0.2">
      <c r="A2672" s="64" t="str">
        <f t="shared" si="42"/>
        <v>1w</v>
      </c>
      <c r="B2672" s="203">
        <f>_xll.qlCalendarAdvance(Calendar,B2671,A2672,"f",FALSE)</f>
        <v>57621</v>
      </c>
      <c r="C2672" s="237">
        <f>_xll.qlCalendarAdvance(Calendar,B2672,NDays&amp;"D")</f>
        <v>57623</v>
      </c>
      <c r="D2672" s="202">
        <v>2.287648092028045E-2</v>
      </c>
      <c r="E2672" s="202">
        <v>2.2775967341299719E-2</v>
      </c>
      <c r="U2672" s="204"/>
    </row>
    <row r="2673" spans="1:21" x14ac:dyDescent="0.2">
      <c r="A2673" s="64" t="str">
        <f t="shared" si="42"/>
        <v>1w</v>
      </c>
      <c r="B2673" s="203">
        <f>_xll.qlCalendarAdvance(Calendar,B2672,A2673,"f",FALSE)</f>
        <v>57628</v>
      </c>
      <c r="C2673" s="237">
        <f>_xll.qlCalendarAdvance(Calendar,B2673,NDays&amp;"D")</f>
        <v>57630</v>
      </c>
      <c r="D2673" s="202">
        <v>2.2876642170873668E-2</v>
      </c>
      <c r="E2673" s="202">
        <v>2.2773542574112682E-2</v>
      </c>
      <c r="U2673" s="204"/>
    </row>
    <row r="2674" spans="1:21" x14ac:dyDescent="0.2">
      <c r="A2674" s="64" t="str">
        <f t="shared" si="42"/>
        <v>1w</v>
      </c>
      <c r="B2674" s="203">
        <f>_xll.qlCalendarAdvance(Calendar,B2673,A2674,"f",FALSE)</f>
        <v>57635</v>
      </c>
      <c r="C2674" s="237">
        <f>_xll.qlCalendarAdvance(Calendar,B2674,NDays&amp;"D")</f>
        <v>57637</v>
      </c>
      <c r="D2674" s="202">
        <v>2.2872198291527725E-2</v>
      </c>
      <c r="E2674" s="202">
        <v>2.277114095443622E-2</v>
      </c>
      <c r="U2674" s="204"/>
    </row>
    <row r="2675" spans="1:21" x14ac:dyDescent="0.2">
      <c r="A2675" s="64" t="str">
        <f t="shared" si="42"/>
        <v>1w</v>
      </c>
      <c r="B2675" s="203">
        <f>_xll.qlCalendarAdvance(Calendar,B2674,A2675,"f",FALSE)</f>
        <v>57642</v>
      </c>
      <c r="C2675" s="237">
        <f>_xll.qlCalendarAdvance(Calendar,B2675,NDays&amp;"D")</f>
        <v>57644</v>
      </c>
      <c r="D2675" s="202">
        <v>2.2870092096580485E-2</v>
      </c>
      <c r="E2675" s="202">
        <v>2.2768762482270333E-2</v>
      </c>
      <c r="U2675" s="204"/>
    </row>
    <row r="2676" spans="1:21" x14ac:dyDescent="0.2">
      <c r="A2676" s="64" t="str">
        <f t="shared" si="42"/>
        <v>1w</v>
      </c>
      <c r="B2676" s="203">
        <f>_xll.qlCalendarAdvance(Calendar,B2675,A2676,"f",FALSE)</f>
        <v>57649</v>
      </c>
      <c r="C2676" s="237">
        <f>_xll.qlCalendarAdvance(Calendar,B2676,NDays&amp;"D")</f>
        <v>57651</v>
      </c>
      <c r="D2676" s="202">
        <v>2.2867426557537866E-2</v>
      </c>
      <c r="E2676" s="202">
        <v>2.276640715756173E-2</v>
      </c>
      <c r="U2676" s="204"/>
    </row>
    <row r="2677" spans="1:21" x14ac:dyDescent="0.2">
      <c r="A2677" s="64" t="str">
        <f t="shared" si="42"/>
        <v>1w</v>
      </c>
      <c r="B2677" s="203">
        <f>_xll.qlCalendarAdvance(Calendar,B2676,A2677,"f",FALSE)</f>
        <v>57656</v>
      </c>
      <c r="C2677" s="237">
        <f>_xll.qlCalendarAdvance(Calendar,B2677,NDays&amp;"D")</f>
        <v>57658</v>
      </c>
      <c r="D2677" s="202">
        <v>2.2865365646056176E-2</v>
      </c>
      <c r="E2677" s="202">
        <v>2.2764074980443638E-2</v>
      </c>
      <c r="U2677" s="204"/>
    </row>
    <row r="2678" spans="1:21" x14ac:dyDescent="0.2">
      <c r="A2678" s="64" t="str">
        <f t="shared" si="42"/>
        <v>1w</v>
      </c>
      <c r="B2678" s="203">
        <f>_xll.qlCalendarAdvance(Calendar,B2677,A2678,"f",FALSE)</f>
        <v>57663</v>
      </c>
      <c r="C2678" s="237">
        <f>_xll.qlCalendarAdvance(Calendar,B2678,NDays&amp;"D")</f>
        <v>57665</v>
      </c>
      <c r="D2678" s="202">
        <v>2.2863328145797938E-2</v>
      </c>
      <c r="E2678" s="202">
        <v>2.2761765950809476E-2</v>
      </c>
      <c r="U2678" s="204"/>
    </row>
    <row r="2679" spans="1:21" x14ac:dyDescent="0.2">
      <c r="A2679" s="64" t="str">
        <f t="shared" si="42"/>
        <v>1w</v>
      </c>
      <c r="B2679" s="203">
        <f>_xll.qlCalendarAdvance(Calendar,B2678,A2679,"f",FALSE)</f>
        <v>57670</v>
      </c>
      <c r="C2679" s="237">
        <f>_xll.qlCalendarAdvance(Calendar,B2679,NDays&amp;"D")</f>
        <v>57672</v>
      </c>
      <c r="D2679" s="202">
        <v>2.2861314056692943E-2</v>
      </c>
      <c r="E2679" s="202">
        <v>2.2759480068685889E-2</v>
      </c>
      <c r="U2679" s="204"/>
    </row>
    <row r="2680" spans="1:21" x14ac:dyDescent="0.2">
      <c r="A2680" s="64" t="str">
        <f t="shared" si="42"/>
        <v>1w</v>
      </c>
      <c r="B2680" s="203">
        <f>_xll.qlCalendarAdvance(Calendar,B2679,A2680,"f",FALSE)</f>
        <v>57677</v>
      </c>
      <c r="C2680" s="237">
        <f>_xll.qlCalendarAdvance(Calendar,B2680,NDays&amp;"D")</f>
        <v>57679</v>
      </c>
      <c r="D2680" s="202">
        <v>2.2859912313205551E-2</v>
      </c>
      <c r="E2680" s="202">
        <v>2.2757217334099522E-2</v>
      </c>
      <c r="U2680" s="204"/>
    </row>
    <row r="2681" spans="1:21" x14ac:dyDescent="0.2">
      <c r="A2681" s="64" t="str">
        <f t="shared" si="42"/>
        <v>1w</v>
      </c>
      <c r="B2681" s="203">
        <f>_xll.qlCalendarAdvance(Calendar,B2680,A2681,"f",FALSE)</f>
        <v>57684</v>
      </c>
      <c r="C2681" s="237">
        <f>_xll.qlCalendarAdvance(Calendar,B2681,NDays&amp;"D")</f>
        <v>57686</v>
      </c>
      <c r="D2681" s="202">
        <v>2.2857946594304051E-2</v>
      </c>
      <c r="E2681" s="202">
        <v>2.2754977746997085E-2</v>
      </c>
      <c r="U2681" s="204"/>
    </row>
    <row r="2682" spans="1:21" x14ac:dyDescent="0.2">
      <c r="A2682" s="64" t="str">
        <f t="shared" si="42"/>
        <v>1w</v>
      </c>
      <c r="B2682" s="203">
        <f>_xll.qlCalendarAdvance(Calendar,B2681,A2682,"f",FALSE)</f>
        <v>57691</v>
      </c>
      <c r="C2682" s="237">
        <f>_xll.qlCalendarAdvance(Calendar,B2682,NDays&amp;"D")</f>
        <v>57693</v>
      </c>
      <c r="D2682" s="202">
        <v>2.2856004287828836E-2</v>
      </c>
      <c r="E2682" s="202">
        <v>2.2752761307405223E-2</v>
      </c>
      <c r="U2682" s="204"/>
    </row>
    <row r="2683" spans="1:21" x14ac:dyDescent="0.2">
      <c r="A2683" s="64" t="str">
        <f t="shared" si="42"/>
        <v>1w</v>
      </c>
      <c r="B2683" s="203">
        <f>_xll.qlCalendarAdvance(Calendar,B2682,A2683,"f",FALSE)</f>
        <v>57698</v>
      </c>
      <c r="C2683" s="237">
        <f>_xll.qlCalendarAdvance(Calendar,B2683,NDays&amp;"D")</f>
        <v>57700</v>
      </c>
      <c r="D2683" s="202">
        <v>2.2854085393714019E-2</v>
      </c>
      <c r="E2683" s="202">
        <v>2.2750568015323935E-2</v>
      </c>
      <c r="U2683" s="204"/>
    </row>
    <row r="2684" spans="1:21" x14ac:dyDescent="0.2">
      <c r="A2684" s="64" t="str">
        <f t="shared" si="42"/>
        <v>1w</v>
      </c>
      <c r="B2684" s="203">
        <f>_xll.qlCalendarAdvance(Calendar,B2683,A2684,"f",FALSE)</f>
        <v>57706</v>
      </c>
      <c r="C2684" s="237">
        <f>_xll.qlCalendarAdvance(Calendar,B2684,NDays&amp;"D")</f>
        <v>57710</v>
      </c>
      <c r="D2684" s="202">
        <v>2.2849597845448759E-2</v>
      </c>
      <c r="E2684" s="202">
        <v>2.2746909704030038E-2</v>
      </c>
      <c r="U2684" s="204"/>
    </row>
    <row r="2685" spans="1:21" x14ac:dyDescent="0.2">
      <c r="A2685" s="64" t="str">
        <f t="shared" si="42"/>
        <v>1w</v>
      </c>
      <c r="B2685" s="203">
        <f>_xll.qlCalendarAdvance(Calendar,B2684,A2685,"f",FALSE)</f>
        <v>57713</v>
      </c>
      <c r="C2685" s="237">
        <f>_xll.qlCalendarAdvance(Calendar,B2685,NDays&amp;"D")</f>
        <v>57717</v>
      </c>
      <c r="D2685" s="202">
        <v>2.2849522693744087E-2</v>
      </c>
      <c r="E2685" s="202">
        <v>2.2744204568594384E-2</v>
      </c>
      <c r="U2685" s="204"/>
    </row>
    <row r="2686" spans="1:21" x14ac:dyDescent="0.2">
      <c r="A2686" s="64" t="str">
        <f t="shared" si="42"/>
        <v>1w</v>
      </c>
      <c r="B2686" s="203">
        <f>_xll.qlCalendarAdvance(Calendar,B2685,A2686,"f",FALSE)</f>
        <v>57720</v>
      </c>
      <c r="C2686" s="237">
        <f>_xll.qlCalendarAdvance(Calendar,B2686,NDays&amp;"D")</f>
        <v>57724</v>
      </c>
      <c r="D2686" s="202">
        <v>2.2847684070070116E-2</v>
      </c>
      <c r="E2686" s="202">
        <v>2.2742087600153837E-2</v>
      </c>
      <c r="U2686" s="204"/>
    </row>
    <row r="2687" spans="1:21" x14ac:dyDescent="0.2">
      <c r="A2687" s="64" t="str">
        <f t="shared" si="42"/>
        <v>1w</v>
      </c>
      <c r="B2687" s="203">
        <f>_xll.qlCalendarAdvance(Calendar,B2686,A2687,"f",FALSE)</f>
        <v>57727</v>
      </c>
      <c r="C2687" s="237">
        <f>_xll.qlCalendarAdvance(Calendar,B2687,NDays&amp;"D")</f>
        <v>57731</v>
      </c>
      <c r="D2687" s="202">
        <v>2.2845868858463597E-2</v>
      </c>
      <c r="E2687" s="202">
        <v>2.273999377615965E-2</v>
      </c>
      <c r="U2687" s="204"/>
    </row>
    <row r="2688" spans="1:21" x14ac:dyDescent="0.2">
      <c r="A2688" s="64" t="str">
        <f t="shared" si="42"/>
        <v>1w</v>
      </c>
      <c r="B2688" s="203">
        <f>_xll.qlCalendarAdvance(Calendar,B2687,A2688,"f",FALSE)</f>
        <v>57734</v>
      </c>
      <c r="C2688" s="237">
        <f>_xll.qlCalendarAdvance(Calendar,B2688,NDays&amp;"D")</f>
        <v>57738</v>
      </c>
      <c r="D2688" s="202">
        <v>2.2844077058861278E-2</v>
      </c>
      <c r="E2688" s="202">
        <v>2.2737923096691759E-2</v>
      </c>
      <c r="U2688" s="204"/>
    </row>
    <row r="2689" spans="1:21" x14ac:dyDescent="0.2">
      <c r="A2689" s="64" t="str">
        <f t="shared" si="42"/>
        <v>1w</v>
      </c>
      <c r="B2689" s="203">
        <f>_xll.qlCalendarAdvance(Calendar,B2688,A2689,"f",FALSE)</f>
        <v>57741</v>
      </c>
      <c r="C2689" s="237">
        <f>_xll.qlCalendarAdvance(Calendar,B2689,NDays&amp;"D")</f>
        <v>57745</v>
      </c>
      <c r="D2689" s="202">
        <v>2.284230867119948E-2</v>
      </c>
      <c r="E2689" s="202">
        <v>2.2735875561989971E-2</v>
      </c>
      <c r="U2689" s="204"/>
    </row>
    <row r="2690" spans="1:21" x14ac:dyDescent="0.2">
      <c r="A2690" s="64" t="str">
        <f t="shared" si="42"/>
        <v>1w</v>
      </c>
      <c r="B2690" s="203">
        <f>_xll.qlCalendarAdvance(Calendar,B2689,A2690,"f",FALSE)</f>
        <v>57748</v>
      </c>
      <c r="C2690" s="237">
        <f>_xll.qlCalendarAdvance(Calendar,B2690,NDays&amp;"D")</f>
        <v>57752</v>
      </c>
      <c r="D2690" s="202">
        <v>2.2840563695417149E-2</v>
      </c>
      <c r="E2690" s="202">
        <v>2.2733851171574671E-2</v>
      </c>
      <c r="U2690" s="204"/>
    </row>
    <row r="2691" spans="1:21" x14ac:dyDescent="0.2">
      <c r="A2691" s="64" t="str">
        <f t="shared" si="42"/>
        <v>1w</v>
      </c>
      <c r="B2691" s="203">
        <f>_xll.qlCalendarAdvance(Calendar,B2690,A2691,"f",FALSE)</f>
        <v>57755</v>
      </c>
      <c r="C2691" s="237">
        <f>_xll.qlCalendarAdvance(Calendar,B2691,NDays&amp;"D")</f>
        <v>57759</v>
      </c>
      <c r="D2691" s="202">
        <v>2.2838842131451917E-2</v>
      </c>
      <c r="E2691" s="202">
        <v>2.2731849925765601E-2</v>
      </c>
      <c r="U2691" s="204"/>
    </row>
    <row r="2692" spans="1:21" x14ac:dyDescent="0.2">
      <c r="A2692" s="64" t="str">
        <f t="shared" si="42"/>
        <v>1w</v>
      </c>
      <c r="B2692" s="203">
        <f>_xll.qlCalendarAdvance(Calendar,B2691,A2692,"f",FALSE)</f>
        <v>57762</v>
      </c>
      <c r="C2692" s="237">
        <f>_xll.qlCalendarAdvance(Calendar,B2692,NDays&amp;"D")</f>
        <v>57766</v>
      </c>
      <c r="D2692" s="202">
        <v>2.2837143979244495E-2</v>
      </c>
      <c r="E2692" s="202">
        <v>2.27298718246427E-2</v>
      </c>
      <c r="U2692" s="204"/>
    </row>
    <row r="2693" spans="1:21" x14ac:dyDescent="0.2">
      <c r="A2693" s="64" t="str">
        <f t="shared" si="42"/>
        <v>1w</v>
      </c>
      <c r="B2693" s="203">
        <f>_xll.qlCalendarAdvance(Calendar,B2692,A2693,"f",FALSE)</f>
        <v>57769</v>
      </c>
      <c r="C2693" s="237">
        <f>_xll.qlCalendarAdvance(Calendar,B2693,NDays&amp;"D")</f>
        <v>57773</v>
      </c>
      <c r="D2693" s="202">
        <v>2.2836689459679437E-2</v>
      </c>
      <c r="E2693" s="202">
        <v>2.2727916867966158E-2</v>
      </c>
      <c r="U2693" s="204"/>
    </row>
    <row r="2694" spans="1:21" x14ac:dyDescent="0.2">
      <c r="A2694" s="64" t="str">
        <f t="shared" si="42"/>
        <v>1w</v>
      </c>
      <c r="B2694" s="203">
        <f>_xll.qlCalendarAdvance(Calendar,B2693,A2694,"f",FALSE)</f>
        <v>57776</v>
      </c>
      <c r="C2694" s="237">
        <f>_xll.qlCalendarAdvance(Calendar,B2694,NDays&amp;"D")</f>
        <v>57780</v>
      </c>
      <c r="D2694" s="202">
        <v>2.2835041267436317E-2</v>
      </c>
      <c r="E2694" s="202">
        <v>2.2725985055975784E-2</v>
      </c>
      <c r="U2694" s="204"/>
    </row>
    <row r="2695" spans="1:21" x14ac:dyDescent="0.2">
      <c r="A2695" s="64" t="str">
        <f t="shared" ref="A2695:A2758" si="43">A2694</f>
        <v>1w</v>
      </c>
      <c r="B2695" s="203">
        <f>_xll.qlCalendarAdvance(Calendar,B2694,A2695,"f",FALSE)</f>
        <v>57783</v>
      </c>
      <c r="C2695" s="237">
        <f>_xll.qlCalendarAdvance(Calendar,B2695,NDays&amp;"D")</f>
        <v>57787</v>
      </c>
      <c r="D2695" s="202">
        <v>2.2833416489732632E-2</v>
      </c>
      <c r="E2695" s="202">
        <v>2.2724076388271897E-2</v>
      </c>
      <c r="U2695" s="204"/>
    </row>
    <row r="2696" spans="1:21" x14ac:dyDescent="0.2">
      <c r="A2696" s="64" t="str">
        <f t="shared" si="43"/>
        <v>1w</v>
      </c>
      <c r="B2696" s="203">
        <f>_xll.qlCalendarAdvance(Calendar,B2695,A2696,"f",FALSE)</f>
        <v>57790</v>
      </c>
      <c r="C2696" s="237">
        <f>_xll.qlCalendarAdvance(Calendar,B2696,NDays&amp;"D")</f>
        <v>57794</v>
      </c>
      <c r="D2696" s="202">
        <v>2.2831815126512781E-2</v>
      </c>
      <c r="E2696" s="202">
        <v>2.2722190865334113E-2</v>
      </c>
      <c r="U2696" s="204"/>
    </row>
    <row r="2697" spans="1:21" x14ac:dyDescent="0.2">
      <c r="A2697" s="64" t="str">
        <f t="shared" si="43"/>
        <v>1w</v>
      </c>
      <c r="B2697" s="203">
        <f>_xll.qlCalendarAdvance(Calendar,B2696,A2697,"f",FALSE)</f>
        <v>57797</v>
      </c>
      <c r="C2697" s="237">
        <f>_xll.qlCalendarAdvance(Calendar,B2697,NDays&amp;"D")</f>
        <v>57801</v>
      </c>
      <c r="D2697" s="202">
        <v>2.282962069691076E-2</v>
      </c>
      <c r="E2697" s="202">
        <v>2.2720328487002561E-2</v>
      </c>
      <c r="U2697" s="204"/>
    </row>
    <row r="2698" spans="1:21" x14ac:dyDescent="0.2">
      <c r="A2698" s="64" t="str">
        <f t="shared" si="43"/>
        <v>1w</v>
      </c>
      <c r="B2698" s="203">
        <f>_xll.qlCalendarAdvance(Calendar,B2697,A2698,"f",FALSE)</f>
        <v>57804</v>
      </c>
      <c r="C2698" s="237">
        <f>_xll.qlCalendarAdvance(Calendar,B2698,NDays&amp;"D")</f>
        <v>57808</v>
      </c>
      <c r="D2698" s="202">
        <v>2.2828064588152407E-2</v>
      </c>
      <c r="E2698" s="202">
        <v>2.2718489253117369E-2</v>
      </c>
      <c r="U2698" s="204"/>
    </row>
    <row r="2699" spans="1:21" x14ac:dyDescent="0.2">
      <c r="A2699" s="64" t="str">
        <f t="shared" si="43"/>
        <v>1w</v>
      </c>
      <c r="B2699" s="203">
        <f>_xll.qlCalendarAdvance(Calendar,B2698,A2699,"f",FALSE)</f>
        <v>57811</v>
      </c>
      <c r="C2699" s="237">
        <f>_xll.qlCalendarAdvance(Calendar,B2699,NDays&amp;"D")</f>
        <v>57817</v>
      </c>
      <c r="D2699" s="202">
        <v>2.2826098279418647E-2</v>
      </c>
      <c r="E2699" s="202">
        <v>2.2716158532141151E-2</v>
      </c>
      <c r="U2699" s="204"/>
    </row>
    <row r="2700" spans="1:21" x14ac:dyDescent="0.2">
      <c r="A2700" s="64" t="str">
        <f t="shared" si="43"/>
        <v>1w</v>
      </c>
      <c r="B2700" s="203">
        <f>_xll.qlCalendarAdvance(Calendar,B2699,A2700,"f",FALSE)</f>
        <v>57818</v>
      </c>
      <c r="C2700" s="237">
        <f>_xll.qlCalendarAdvance(Calendar,B2700,NDays&amp;"D")</f>
        <v>57822</v>
      </c>
      <c r="D2700" s="202">
        <v>2.2825022609089442E-2</v>
      </c>
      <c r="E2700" s="202">
        <v>2.2714880219005806E-2</v>
      </c>
      <c r="U2700" s="204"/>
    </row>
    <row r="2701" spans="1:21" x14ac:dyDescent="0.2">
      <c r="A2701" s="64" t="str">
        <f t="shared" si="43"/>
        <v>1w</v>
      </c>
      <c r="B2701" s="203">
        <f>_xll.qlCalendarAdvance(Calendar,B2700,A2701,"f",FALSE)</f>
        <v>57825</v>
      </c>
      <c r="C2701" s="237">
        <f>_xll.qlCalendarAdvance(Calendar,B2701,NDays&amp;"D")</f>
        <v>57829</v>
      </c>
      <c r="D2701" s="202">
        <v>2.2823536738677815E-2</v>
      </c>
      <c r="E2701" s="202">
        <v>2.2713110418619564E-2</v>
      </c>
      <c r="U2701" s="204"/>
    </row>
    <row r="2702" spans="1:21" x14ac:dyDescent="0.2">
      <c r="A2702" s="64" t="str">
        <f t="shared" si="43"/>
        <v>1w</v>
      </c>
      <c r="B2702" s="203">
        <f>_xll.qlCalendarAdvance(Calendar,B2701,A2702,"f",FALSE)</f>
        <v>57832</v>
      </c>
      <c r="C2702" s="237">
        <f>_xll.qlCalendarAdvance(Calendar,B2702,NDays&amp;"D")</f>
        <v>57836</v>
      </c>
      <c r="D2702" s="202">
        <v>2.2822698648208344E-2</v>
      </c>
      <c r="E2702" s="202">
        <v>2.2711363762999426E-2</v>
      </c>
      <c r="U2702" s="204"/>
    </row>
    <row r="2703" spans="1:21" x14ac:dyDescent="0.2">
      <c r="A2703" s="64" t="str">
        <f t="shared" si="43"/>
        <v>1w</v>
      </c>
      <c r="B2703" s="203">
        <f>_xll.qlCalendarAdvance(Calendar,B2702,A2703,"f",FALSE)</f>
        <v>57839</v>
      </c>
      <c r="C2703" s="237">
        <f>_xll.qlCalendarAdvance(Calendar,B2703,NDays&amp;"D")</f>
        <v>57843</v>
      </c>
      <c r="D2703" s="202">
        <v>2.282126118482437E-2</v>
      </c>
      <c r="E2703" s="202">
        <v>2.2709640251825647E-2</v>
      </c>
      <c r="U2703" s="204"/>
    </row>
    <row r="2704" spans="1:21" x14ac:dyDescent="0.2">
      <c r="A2704" s="64" t="str">
        <f t="shared" si="43"/>
        <v>1w</v>
      </c>
      <c r="B2704" s="203">
        <f>_xll.qlCalendarAdvance(Calendar,B2703,A2704,"f",FALSE)</f>
        <v>57846</v>
      </c>
      <c r="C2704" s="237">
        <f>_xll.qlCalendarAdvance(Calendar,B2704,NDays&amp;"D")</f>
        <v>57850</v>
      </c>
      <c r="D2704" s="202">
        <v>2.2819847135491525E-2</v>
      </c>
      <c r="E2704" s="202">
        <v>2.2707939885338035E-2</v>
      </c>
      <c r="U2704" s="204"/>
    </row>
    <row r="2705" spans="1:21" x14ac:dyDescent="0.2">
      <c r="A2705" s="64" t="str">
        <f t="shared" si="43"/>
        <v>1w</v>
      </c>
      <c r="B2705" s="203">
        <f>_xll.qlCalendarAdvance(Calendar,B2704,A2705,"f",FALSE)</f>
        <v>57853</v>
      </c>
      <c r="C2705" s="237">
        <f>_xll.qlCalendarAdvance(Calendar,B2705,NDays&amp;"D")</f>
        <v>57857</v>
      </c>
      <c r="D2705" s="202">
        <v>2.2818456500159418E-2</v>
      </c>
      <c r="E2705" s="202">
        <v>2.2706262663136911E-2</v>
      </c>
      <c r="U2705" s="204"/>
    </row>
    <row r="2706" spans="1:21" x14ac:dyDescent="0.2">
      <c r="A2706" s="64" t="str">
        <f t="shared" si="43"/>
        <v>1w</v>
      </c>
      <c r="B2706" s="203">
        <f>_xll.qlCalendarAdvance(Calendar,B2705,A2706,"f",FALSE)</f>
        <v>57860</v>
      </c>
      <c r="C2706" s="237">
        <f>_xll.qlCalendarAdvance(Calendar,B2706,NDays&amp;"D")</f>
        <v>57864</v>
      </c>
      <c r="D2706" s="202">
        <v>2.2816458575743794E-2</v>
      </c>
      <c r="E2706" s="202">
        <v>2.2704608585701891E-2</v>
      </c>
      <c r="U2706" s="204"/>
    </row>
    <row r="2707" spans="1:21" x14ac:dyDescent="0.2">
      <c r="A2707" s="64" t="str">
        <f t="shared" si="43"/>
        <v>1w</v>
      </c>
      <c r="B2707" s="203">
        <f>_xll.qlCalendarAdvance(Calendar,B2706,A2707,"f",FALSE)</f>
        <v>57867</v>
      </c>
      <c r="C2707" s="237">
        <f>_xll.qlCalendarAdvance(Calendar,B2707,NDays&amp;"D")</f>
        <v>57871</v>
      </c>
      <c r="D2707" s="202">
        <v>2.2815113180631754E-2</v>
      </c>
      <c r="E2707" s="202">
        <v>2.2702977652793166E-2</v>
      </c>
      <c r="U2707" s="204"/>
    </row>
    <row r="2708" spans="1:21" x14ac:dyDescent="0.2">
      <c r="A2708" s="64" t="str">
        <f t="shared" si="43"/>
        <v>1w</v>
      </c>
      <c r="B2708" s="203">
        <f>_xll.qlCalendarAdvance(Calendar,B2707,A2708,"f",FALSE)</f>
        <v>57874</v>
      </c>
      <c r="C2708" s="237">
        <f>_xll.qlCalendarAdvance(Calendar,B2708,NDays&amp;"D")</f>
        <v>57878</v>
      </c>
      <c r="D2708" s="202">
        <v>2.2813791197899072E-2</v>
      </c>
      <c r="E2708" s="202">
        <v>2.27013698643308E-2</v>
      </c>
      <c r="U2708" s="204"/>
    </row>
    <row r="2709" spans="1:21" x14ac:dyDescent="0.2">
      <c r="A2709" s="64" t="str">
        <f t="shared" si="43"/>
        <v>1w</v>
      </c>
      <c r="B2709" s="203">
        <f>_xll.qlCalendarAdvance(Calendar,B2708,A2709,"f",FALSE)</f>
        <v>57881</v>
      </c>
      <c r="C2709" s="237">
        <f>_xll.qlCalendarAdvance(Calendar,B2709,NDays&amp;"D")</f>
        <v>57885</v>
      </c>
      <c r="D2709" s="202">
        <v>2.28124926274977E-2</v>
      </c>
      <c r="E2709" s="202">
        <v>2.269978522039473E-2</v>
      </c>
      <c r="U2709" s="204"/>
    </row>
    <row r="2710" spans="1:21" x14ac:dyDescent="0.2">
      <c r="A2710" s="64" t="str">
        <f t="shared" si="43"/>
        <v>1w</v>
      </c>
      <c r="B2710" s="203">
        <f>_xll.qlCalendarAdvance(Calendar,B2709,A2710,"f",FALSE)</f>
        <v>57888</v>
      </c>
      <c r="C2710" s="237">
        <f>_xll.qlCalendarAdvance(Calendar,B2710,NDays&amp;"D")</f>
        <v>57892</v>
      </c>
      <c r="D2710" s="202">
        <v>2.2812491773372544E-2</v>
      </c>
      <c r="E2710" s="202">
        <v>2.2698223721064892E-2</v>
      </c>
      <c r="U2710" s="204"/>
    </row>
    <row r="2711" spans="1:21" x14ac:dyDescent="0.2">
      <c r="A2711" s="64" t="str">
        <f t="shared" si="43"/>
        <v>1w</v>
      </c>
      <c r="B2711" s="203">
        <f>_xll.qlCalendarAdvance(Calendar,B2710,A2711,"f",FALSE)</f>
        <v>57895</v>
      </c>
      <c r="C2711" s="237">
        <f>_xll.qlCalendarAdvance(Calendar,B2711,NDays&amp;"D")</f>
        <v>57899</v>
      </c>
      <c r="D2711" s="202">
        <v>2.2810604379493137E-2</v>
      </c>
      <c r="E2711" s="202">
        <v>2.2696685366421221E-2</v>
      </c>
      <c r="U2711" s="204"/>
    </row>
    <row r="2712" spans="1:21" x14ac:dyDescent="0.2">
      <c r="A2712" s="64" t="str">
        <f t="shared" si="43"/>
        <v>1w</v>
      </c>
      <c r="B2712" s="203">
        <f>_xll.qlCalendarAdvance(Calendar,B2711,A2712,"f",FALSE)</f>
        <v>57902</v>
      </c>
      <c r="C2712" s="237">
        <f>_xll.qlCalendarAdvance(Calendar,B2712,NDays&amp;"D")</f>
        <v>57906</v>
      </c>
      <c r="D2712" s="202">
        <v>2.2809377640836393E-2</v>
      </c>
      <c r="E2712" s="202">
        <v>2.2695170156223909E-2</v>
      </c>
      <c r="U2712" s="204"/>
    </row>
    <row r="2713" spans="1:21" x14ac:dyDescent="0.2">
      <c r="A2713" s="64" t="str">
        <f t="shared" si="43"/>
        <v>1w</v>
      </c>
      <c r="B2713" s="203">
        <f>_xll.qlCalendarAdvance(Calendar,B2712,A2713,"f",FALSE)</f>
        <v>57909</v>
      </c>
      <c r="C2713" s="237">
        <f>_xll.qlCalendarAdvance(Calendar,B2713,NDays&amp;"D")</f>
        <v>57913</v>
      </c>
      <c r="D2713" s="202">
        <v>2.2808174315808512E-2</v>
      </c>
      <c r="E2713" s="202">
        <v>2.2693678090393021E-2</v>
      </c>
      <c r="U2713" s="204"/>
    </row>
    <row r="2714" spans="1:21" x14ac:dyDescent="0.2">
      <c r="A2714" s="64" t="str">
        <f t="shared" si="43"/>
        <v>1w</v>
      </c>
      <c r="B2714" s="203">
        <f>_xll.qlCalendarAdvance(Calendar,B2713,A2714,"f",FALSE)</f>
        <v>57916</v>
      </c>
      <c r="C2714" s="237">
        <f>_xll.qlCalendarAdvance(Calendar,B2714,NDays&amp;"D")</f>
        <v>57920</v>
      </c>
      <c r="D2714" s="202">
        <v>2.280699440436822E-2</v>
      </c>
      <c r="E2714" s="202">
        <v>2.2692209169248301E-2</v>
      </c>
      <c r="U2714" s="204"/>
    </row>
    <row r="2715" spans="1:21" x14ac:dyDescent="0.2">
      <c r="A2715" s="64" t="str">
        <f t="shared" si="43"/>
        <v>1w</v>
      </c>
      <c r="B2715" s="203">
        <f>_xll.qlCalendarAdvance(Calendar,B2714,A2715,"f",FALSE)</f>
        <v>57923</v>
      </c>
      <c r="C2715" s="237">
        <f>_xll.qlCalendarAdvance(Calendar,B2715,NDays&amp;"D")</f>
        <v>57927</v>
      </c>
      <c r="D2715" s="202">
        <v>2.2805837906473815E-2</v>
      </c>
      <c r="E2715" s="202">
        <v>2.2690763392709812E-2</v>
      </c>
      <c r="U2715" s="204"/>
    </row>
    <row r="2716" spans="1:21" x14ac:dyDescent="0.2">
      <c r="A2716" s="64" t="str">
        <f t="shared" si="43"/>
        <v>1w</v>
      </c>
      <c r="B2716" s="203">
        <f>_xll.qlCalendarAdvance(Calendar,B2715,A2716,"f",FALSE)</f>
        <v>57930</v>
      </c>
      <c r="C2716" s="237">
        <f>_xll.qlCalendarAdvance(Calendar,B2716,NDays&amp;"D")</f>
        <v>57934</v>
      </c>
      <c r="D2716" s="202">
        <v>2.2804704822082283E-2</v>
      </c>
      <c r="E2716" s="202">
        <v>2.2689340760537746E-2</v>
      </c>
      <c r="U2716" s="204"/>
    </row>
    <row r="2717" spans="1:21" x14ac:dyDescent="0.2">
      <c r="A2717" s="64" t="str">
        <f t="shared" si="43"/>
        <v>1w</v>
      </c>
      <c r="B2717" s="203">
        <f>_xll.qlCalendarAdvance(Calendar,B2716,A2717,"f",FALSE)</f>
        <v>57937</v>
      </c>
      <c r="C2717" s="237">
        <f>_xll.qlCalendarAdvance(Calendar,B2717,NDays&amp;"D")</f>
        <v>57941</v>
      </c>
      <c r="D2717" s="202">
        <v>2.280359515115583E-2</v>
      </c>
      <c r="E2717" s="202">
        <v>2.2687941272971912E-2</v>
      </c>
      <c r="U2717" s="204"/>
    </row>
    <row r="2718" spans="1:21" x14ac:dyDescent="0.2">
      <c r="A2718" s="64" t="str">
        <f t="shared" si="43"/>
        <v>1w</v>
      </c>
      <c r="B2718" s="203">
        <f>_xll.qlCalendarAdvance(Calendar,B2717,A2718,"f",FALSE)</f>
        <v>57944</v>
      </c>
      <c r="C2718" s="237">
        <f>_xll.qlCalendarAdvance(Calendar,B2718,NDays&amp;"D")</f>
        <v>57948</v>
      </c>
      <c r="D2718" s="202">
        <v>2.2802508893654056E-2</v>
      </c>
      <c r="E2718" s="202">
        <v>2.2686564930172182E-2</v>
      </c>
      <c r="U2718" s="204"/>
    </row>
    <row r="2719" spans="1:21" x14ac:dyDescent="0.2">
      <c r="A2719" s="64" t="str">
        <f t="shared" si="43"/>
        <v>1w</v>
      </c>
      <c r="B2719" s="203">
        <f>_xll.qlCalendarAdvance(Calendar,B2718,A2719,"f",FALSE)</f>
        <v>57951</v>
      </c>
      <c r="C2719" s="237">
        <f>_xll.qlCalendarAdvance(Calendar,B2719,NDays&amp;"D")</f>
        <v>57955</v>
      </c>
      <c r="D2719" s="202">
        <v>2.2800143315585809E-2</v>
      </c>
      <c r="E2719" s="202">
        <v>2.2685211731738875E-2</v>
      </c>
      <c r="U2719" s="204"/>
    </row>
    <row r="2720" spans="1:21" x14ac:dyDescent="0.2">
      <c r="A2720" s="64" t="str">
        <f t="shared" si="43"/>
        <v>1w</v>
      </c>
      <c r="B2720" s="203">
        <f>_xll.qlCalendarAdvance(Calendar,B2719,A2720,"f",FALSE)</f>
        <v>57958</v>
      </c>
      <c r="C2720" s="237">
        <f>_xll.qlCalendarAdvance(Calendar,B2720,NDays&amp;"D")</f>
        <v>57962</v>
      </c>
      <c r="D2720" s="202">
        <v>2.2799100671382747E-2</v>
      </c>
      <c r="E2720" s="202">
        <v>2.2683881677751927E-2</v>
      </c>
      <c r="U2720" s="204"/>
    </row>
    <row r="2721" spans="1:21" x14ac:dyDescent="0.2">
      <c r="A2721" s="64" t="str">
        <f t="shared" si="43"/>
        <v>1w</v>
      </c>
      <c r="B2721" s="203">
        <f>_xll.qlCalendarAdvance(Calendar,B2720,A2721,"f",FALSE)</f>
        <v>57965</v>
      </c>
      <c r="C2721" s="237">
        <f>_xll.qlCalendarAdvance(Calendar,B2721,NDays&amp;"D")</f>
        <v>57969</v>
      </c>
      <c r="D2721" s="202">
        <v>2.2798081437542122E-2</v>
      </c>
      <c r="E2721" s="202">
        <v>2.2682574768451147E-2</v>
      </c>
      <c r="U2721" s="204"/>
    </row>
    <row r="2722" spans="1:21" x14ac:dyDescent="0.2">
      <c r="A2722" s="64" t="str">
        <f t="shared" si="43"/>
        <v>1w</v>
      </c>
      <c r="B2722" s="203">
        <f>_xll.qlCalendarAdvance(Calendar,B2721,A2722,"f",FALSE)</f>
        <v>57972</v>
      </c>
      <c r="C2722" s="237">
        <f>_xll.qlCalendarAdvance(Calendar,B2722,NDays&amp;"D")</f>
        <v>57976</v>
      </c>
      <c r="D2722" s="202">
        <v>2.2797085614027924E-2</v>
      </c>
      <c r="E2722" s="202">
        <v>2.268129100351679E-2</v>
      </c>
      <c r="U2722" s="204"/>
    </row>
    <row r="2723" spans="1:21" x14ac:dyDescent="0.2">
      <c r="A2723" s="64" t="str">
        <f t="shared" si="43"/>
        <v>1w</v>
      </c>
      <c r="B2723" s="203">
        <f>_xll.qlCalendarAdvance(Calendar,B2722,A2723,"f",FALSE)</f>
        <v>57979</v>
      </c>
      <c r="C2723" s="237">
        <f>_xll.qlCalendarAdvance(Calendar,B2723,NDays&amp;"D")</f>
        <v>57983</v>
      </c>
      <c r="D2723" s="202">
        <v>2.2793484170562921E-2</v>
      </c>
      <c r="E2723" s="202">
        <v>2.2680030383348537E-2</v>
      </c>
      <c r="U2723" s="204"/>
    </row>
    <row r="2724" spans="1:21" x14ac:dyDescent="0.2">
      <c r="A2724" s="64" t="str">
        <f t="shared" si="43"/>
        <v>1w</v>
      </c>
      <c r="B2724" s="203">
        <f>_xll.qlCalendarAdvance(Calendar,B2723,A2724,"f",FALSE)</f>
        <v>57986</v>
      </c>
      <c r="C2724" s="237">
        <f>_xll.qlCalendarAdvance(Calendar,B2724,NDays&amp;"D")</f>
        <v>57990</v>
      </c>
      <c r="D2724" s="202">
        <v>2.2795164197841326E-2</v>
      </c>
      <c r="E2724" s="202">
        <v>2.2678792907626644E-2</v>
      </c>
      <c r="U2724" s="204"/>
    </row>
    <row r="2725" spans="1:21" x14ac:dyDescent="0.2">
      <c r="A2725" s="64" t="str">
        <f t="shared" si="43"/>
        <v>1w</v>
      </c>
      <c r="B2725" s="203">
        <f>_xll.qlCalendarAdvance(Calendar,B2724,A2725,"f",FALSE)</f>
        <v>57993</v>
      </c>
      <c r="C2725" s="237">
        <f>_xll.qlCalendarAdvance(Calendar,B2725,NDays&amp;"D")</f>
        <v>57997</v>
      </c>
      <c r="D2725" s="202">
        <v>2.2794238605100416E-2</v>
      </c>
      <c r="E2725" s="202">
        <v>2.2677578576510982E-2</v>
      </c>
      <c r="U2725" s="204"/>
    </row>
    <row r="2726" spans="1:21" x14ac:dyDescent="0.2">
      <c r="A2726" s="64" t="str">
        <f t="shared" si="43"/>
        <v>1w</v>
      </c>
      <c r="B2726" s="203">
        <f>_xll.qlCalendarAdvance(Calendar,B2725,A2726,"f",FALSE)</f>
        <v>58000</v>
      </c>
      <c r="C2726" s="237">
        <f>_xll.qlCalendarAdvance(Calendar,B2726,NDays&amp;"D")</f>
        <v>58004</v>
      </c>
      <c r="D2726" s="202">
        <v>2.2793336422551089E-2</v>
      </c>
      <c r="E2726" s="202">
        <v>2.2676387389841679E-2</v>
      </c>
      <c r="U2726" s="204"/>
    </row>
    <row r="2727" spans="1:21" x14ac:dyDescent="0.2">
      <c r="A2727" s="64" t="str">
        <f t="shared" si="43"/>
        <v>1w</v>
      </c>
      <c r="B2727" s="203">
        <f>_xll.qlCalendarAdvance(Calendar,B2726,A2727,"f",FALSE)</f>
        <v>58007</v>
      </c>
      <c r="C2727" s="237">
        <f>_xll.qlCalendarAdvance(Calendar,B2727,NDays&amp;"D")</f>
        <v>58011</v>
      </c>
      <c r="D2727" s="202">
        <v>2.2792457650160847E-2</v>
      </c>
      <c r="E2727" s="202">
        <v>2.2675219347618736E-2</v>
      </c>
      <c r="U2727" s="204"/>
    </row>
    <row r="2728" spans="1:21" x14ac:dyDescent="0.2">
      <c r="A2728" s="64" t="str">
        <f t="shared" si="43"/>
        <v>1w</v>
      </c>
      <c r="B2728" s="203">
        <f>_xll.qlCalendarAdvance(Calendar,B2727,A2728,"f",FALSE)</f>
        <v>58014</v>
      </c>
      <c r="C2728" s="237">
        <f>_xll.qlCalendarAdvance(Calendar,B2728,NDays&amp;"D")</f>
        <v>58018</v>
      </c>
      <c r="D2728" s="202">
        <v>2.2791602287901582E-2</v>
      </c>
      <c r="E2728" s="202">
        <v>2.267407445008196E-2</v>
      </c>
      <c r="U2728" s="204"/>
    </row>
    <row r="2729" spans="1:21" x14ac:dyDescent="0.2">
      <c r="A2729" s="64" t="str">
        <f t="shared" si="43"/>
        <v>1w</v>
      </c>
      <c r="B2729" s="203">
        <f>_xll.qlCalendarAdvance(Calendar,B2728,A2729,"f",FALSE)</f>
        <v>58021</v>
      </c>
      <c r="C2729" s="237">
        <f>_xll.qlCalendarAdvance(Calendar,B2729,NDays&amp;"D")</f>
        <v>58025</v>
      </c>
      <c r="D2729" s="202">
        <v>2.2790770335739917E-2</v>
      </c>
      <c r="E2729" s="202">
        <v>2.267295269707148E-2</v>
      </c>
      <c r="U2729" s="204"/>
    </row>
    <row r="2730" spans="1:21" x14ac:dyDescent="0.2">
      <c r="A2730" s="64" t="str">
        <f t="shared" si="43"/>
        <v>1w</v>
      </c>
      <c r="B2730" s="203">
        <f>_xll.qlCalendarAdvance(Calendar,B2729,A2730,"f",FALSE)</f>
        <v>58028</v>
      </c>
      <c r="C2730" s="237">
        <f>_xll.qlCalendarAdvance(Calendar,B2730,NDays&amp;"D")</f>
        <v>58032</v>
      </c>
      <c r="D2730" s="202">
        <v>2.2789961793649054E-2</v>
      </c>
      <c r="E2730" s="202">
        <v>2.2671854088667232E-2</v>
      </c>
      <c r="U2730" s="204"/>
    </row>
    <row r="2731" spans="1:21" x14ac:dyDescent="0.2">
      <c r="A2731" s="64" t="str">
        <f t="shared" si="43"/>
        <v>1w</v>
      </c>
      <c r="B2731" s="203">
        <f>_xll.qlCalendarAdvance(Calendar,B2730,A2731,"f",FALSE)</f>
        <v>58035</v>
      </c>
      <c r="C2731" s="237">
        <f>_xll.qlCalendarAdvance(Calendar,B2731,NDays&amp;"D")</f>
        <v>58039</v>
      </c>
      <c r="D2731" s="202">
        <v>2.278917666159869E-2</v>
      </c>
      <c r="E2731" s="202">
        <v>2.2670778624629406E-2</v>
      </c>
      <c r="U2731" s="204"/>
    </row>
    <row r="2732" spans="1:21" x14ac:dyDescent="0.2">
      <c r="A2732" s="64" t="str">
        <f t="shared" si="43"/>
        <v>1w</v>
      </c>
      <c r="B2732" s="203">
        <f>_xll.qlCalendarAdvance(Calendar,B2731,A2732,"f",FALSE)</f>
        <v>58042</v>
      </c>
      <c r="C2732" s="237">
        <f>_xll.qlCalendarAdvance(Calendar,B2732,NDays&amp;"D")</f>
        <v>58046</v>
      </c>
      <c r="D2732" s="202">
        <v>2.2788414939563791E-2</v>
      </c>
      <c r="E2732" s="202">
        <v>2.2669726305357685E-2</v>
      </c>
      <c r="U2732" s="204"/>
    </row>
    <row r="2733" spans="1:21" x14ac:dyDescent="0.2">
      <c r="A2733" s="64" t="str">
        <f t="shared" si="43"/>
        <v>1w</v>
      </c>
      <c r="B2733" s="203">
        <f>_xll.qlCalendarAdvance(Calendar,B2732,A2733,"f",FALSE)</f>
        <v>58049</v>
      </c>
      <c r="C2733" s="237">
        <f>_xll.qlCalendarAdvance(Calendar,B2733,NDays&amp;"D")</f>
        <v>58053</v>
      </c>
      <c r="D2733" s="202">
        <v>2.2787676627514492E-2</v>
      </c>
      <c r="E2733" s="202">
        <v>2.2668697130452387E-2</v>
      </c>
      <c r="U2733" s="204"/>
    </row>
    <row r="2734" spans="1:21" x14ac:dyDescent="0.2">
      <c r="A2734" s="64" t="str">
        <f t="shared" si="43"/>
        <v>1w</v>
      </c>
      <c r="B2734" s="203">
        <f>_xll.qlCalendarAdvance(Calendar,B2733,A2734,"f",FALSE)</f>
        <v>58056</v>
      </c>
      <c r="C2734" s="237">
        <f>_xll.qlCalendarAdvance(Calendar,B2734,NDays&amp;"D")</f>
        <v>58060</v>
      </c>
      <c r="D2734" s="202">
        <v>2.2786961725427074E-2</v>
      </c>
      <c r="E2734" s="202">
        <v>2.2667691099993448E-2</v>
      </c>
      <c r="U2734" s="204"/>
    </row>
    <row r="2735" spans="1:21" x14ac:dyDescent="0.2">
      <c r="A2735" s="64" t="str">
        <f t="shared" si="43"/>
        <v>1w</v>
      </c>
      <c r="B2735" s="203">
        <f>_xll.qlCalendarAdvance(Calendar,B2734,A2735,"f",FALSE)</f>
        <v>58063</v>
      </c>
      <c r="C2735" s="237">
        <f>_xll.qlCalendarAdvance(Calendar,B2735,NDays&amp;"D")</f>
        <v>58067</v>
      </c>
      <c r="D2735" s="202">
        <v>2.2786270233276062E-2</v>
      </c>
      <c r="E2735" s="202">
        <v>2.2666708214220677E-2</v>
      </c>
      <c r="U2735" s="204"/>
    </row>
    <row r="2736" spans="1:21" x14ac:dyDescent="0.2">
      <c r="A2736" s="64" t="str">
        <f t="shared" si="43"/>
        <v>1w</v>
      </c>
      <c r="B2736" s="203">
        <f>_xll.qlCalendarAdvance(Calendar,B2735,A2736,"f",FALSE)</f>
        <v>58071</v>
      </c>
      <c r="C2736" s="237">
        <f>_xll.qlCalendarAdvance(Calendar,B2736,NDays&amp;"D")</f>
        <v>58075</v>
      </c>
      <c r="D2736" s="202">
        <v>2.2784829783773015E-2</v>
      </c>
      <c r="E2736" s="202">
        <v>2.2666259394079624E-2</v>
      </c>
      <c r="U2736" s="204"/>
    </row>
    <row r="2737" spans="1:21" x14ac:dyDescent="0.2">
      <c r="A2737" s="64" t="str">
        <f t="shared" si="43"/>
        <v>1w</v>
      </c>
      <c r="B2737" s="203">
        <f>_xll.qlCalendarAdvance(Calendar,B2736,A2737,"f",FALSE)</f>
        <v>58078</v>
      </c>
      <c r="C2737" s="237">
        <f>_xll.qlCalendarAdvance(Calendar,B2737,NDays&amp;"D")</f>
        <v>58082</v>
      </c>
      <c r="D2737" s="202">
        <v>2.278418682402172E-2</v>
      </c>
      <c r="E2737" s="202">
        <v>2.2664679966091228E-2</v>
      </c>
      <c r="U2737" s="204"/>
    </row>
    <row r="2738" spans="1:21" x14ac:dyDescent="0.2">
      <c r="A2738" s="64" t="str">
        <f t="shared" si="43"/>
        <v>1w</v>
      </c>
      <c r="B2738" s="203">
        <f>_xll.qlCalendarAdvance(Calendar,B2737,A2738,"f",FALSE)</f>
        <v>58085</v>
      </c>
      <c r="C2738" s="237">
        <f>_xll.qlCalendarAdvance(Calendar,B2738,NDays&amp;"D")</f>
        <v>58089</v>
      </c>
      <c r="D2738" s="202">
        <v>2.2783567272660347E-2</v>
      </c>
      <c r="E2738" s="202">
        <v>2.2663769820372437E-2</v>
      </c>
      <c r="U2738" s="204"/>
    </row>
    <row r="2739" spans="1:21" x14ac:dyDescent="0.2">
      <c r="A2739" s="64" t="str">
        <f t="shared" si="43"/>
        <v>1w</v>
      </c>
      <c r="B2739" s="203">
        <f>_xll.qlCalendarAdvance(Calendar,B2738,A2739,"f",FALSE)</f>
        <v>58092</v>
      </c>
      <c r="C2739" s="237">
        <f>_xll.qlCalendarAdvance(Calendar,B2739,NDays&amp;"D")</f>
        <v>58096</v>
      </c>
      <c r="D2739" s="202">
        <v>2.2782971129667255E-2</v>
      </c>
      <c r="E2739" s="202">
        <v>2.2662882819020069E-2</v>
      </c>
      <c r="U2739" s="204"/>
    </row>
    <row r="2740" spans="1:21" x14ac:dyDescent="0.2">
      <c r="A2740" s="64" t="str">
        <f t="shared" si="43"/>
        <v>1w</v>
      </c>
      <c r="B2740" s="203">
        <f>_xll.qlCalendarAdvance(Calendar,B2739,A2740,"f",FALSE)</f>
        <v>58099</v>
      </c>
      <c r="C2740" s="237">
        <f>_xll.qlCalendarAdvance(Calendar,B2740,NDays&amp;"D")</f>
        <v>58103</v>
      </c>
      <c r="D2740" s="202">
        <v>2.2782398395021688E-2</v>
      </c>
      <c r="E2740" s="202">
        <v>2.2662018962353869E-2</v>
      </c>
      <c r="U2740" s="204"/>
    </row>
    <row r="2741" spans="1:21" x14ac:dyDescent="0.2">
      <c r="A2741" s="64" t="str">
        <f t="shared" si="43"/>
        <v>1w</v>
      </c>
      <c r="B2741" s="203">
        <f>_xll.qlCalendarAdvance(Calendar,B2740,A2741,"f",FALSE)</f>
        <v>58106</v>
      </c>
      <c r="C2741" s="237">
        <f>_xll.qlCalendarAdvance(Calendar,B2741,NDays&amp;"D")</f>
        <v>58110</v>
      </c>
      <c r="D2741" s="202">
        <v>2.2781849068703775E-2</v>
      </c>
      <c r="E2741" s="202">
        <v>2.2661178250213965E-2</v>
      </c>
      <c r="U2741" s="204"/>
    </row>
    <row r="2742" spans="1:21" x14ac:dyDescent="0.2">
      <c r="A2742" s="64" t="str">
        <f t="shared" si="43"/>
        <v>1w</v>
      </c>
      <c r="B2742" s="203">
        <f>_xll.qlCalendarAdvance(Calendar,B2741,A2742,"f",FALSE)</f>
        <v>58113</v>
      </c>
      <c r="C2742" s="237">
        <f>_xll.qlCalendarAdvance(Calendar,B2742,NDays&amp;"D")</f>
        <v>58117</v>
      </c>
      <c r="D2742" s="202">
        <v>2.2781323150694078E-2</v>
      </c>
      <c r="E2742" s="202">
        <v>2.266036068252042E-2</v>
      </c>
      <c r="U2742" s="204"/>
    </row>
    <row r="2743" spans="1:21" x14ac:dyDescent="0.2">
      <c r="A2743" s="64" t="str">
        <f t="shared" si="43"/>
        <v>1w</v>
      </c>
      <c r="B2743" s="203">
        <f>_xll.qlCalendarAdvance(Calendar,B2742,A2743,"f",FALSE)</f>
        <v>58120</v>
      </c>
      <c r="C2743" s="237">
        <f>_xll.qlCalendarAdvance(Calendar,B2743,NDays&amp;"D")</f>
        <v>58124</v>
      </c>
      <c r="D2743" s="202">
        <v>2.2780820640974499E-2</v>
      </c>
      <c r="E2743" s="202">
        <v>2.2659566259433106E-2</v>
      </c>
      <c r="U2743" s="204"/>
    </row>
    <row r="2744" spans="1:21" x14ac:dyDescent="0.2">
      <c r="A2744" s="64" t="str">
        <f t="shared" si="43"/>
        <v>1w</v>
      </c>
      <c r="B2744" s="203">
        <f>_xll.qlCalendarAdvance(Calendar,B2743,A2744,"f",FALSE)</f>
        <v>58127</v>
      </c>
      <c r="C2744" s="237">
        <f>_xll.qlCalendarAdvance(Calendar,B2744,NDays&amp;"D")</f>
        <v>58131</v>
      </c>
      <c r="D2744" s="202">
        <v>2.2780341539526922E-2</v>
      </c>
      <c r="E2744" s="202">
        <v>2.2658794980792152E-2</v>
      </c>
      <c r="U2744" s="204"/>
    </row>
    <row r="2745" spans="1:21" x14ac:dyDescent="0.2">
      <c r="A2745" s="64" t="str">
        <f t="shared" si="43"/>
        <v>1w</v>
      </c>
      <c r="B2745" s="203">
        <f>_xll.qlCalendarAdvance(Calendar,B2744,A2745,"f",FALSE)</f>
        <v>58134</v>
      </c>
      <c r="C2745" s="237">
        <f>_xll.qlCalendarAdvance(Calendar,B2745,NDays&amp;"D")</f>
        <v>58138</v>
      </c>
      <c r="D2745" s="202">
        <v>2.2781967133318724E-2</v>
      </c>
      <c r="E2745" s="202">
        <v>2.2658046846837365E-2</v>
      </c>
      <c r="U2745" s="204"/>
    </row>
    <row r="2746" spans="1:21" x14ac:dyDescent="0.2">
      <c r="A2746" s="64" t="str">
        <f t="shared" si="43"/>
        <v>1w</v>
      </c>
      <c r="B2746" s="203">
        <f>_xll.qlCalendarAdvance(Calendar,B2745,A2746,"f",FALSE)</f>
        <v>58141</v>
      </c>
      <c r="C2746" s="237">
        <f>_xll.qlCalendarAdvance(Calendar,B2746,NDays&amp;"D")</f>
        <v>58145</v>
      </c>
      <c r="D2746" s="202">
        <v>2.2781539783756466E-2</v>
      </c>
      <c r="E2746" s="202">
        <v>2.2657321857249002E-2</v>
      </c>
      <c r="U2746" s="204"/>
    </row>
    <row r="2747" spans="1:21" x14ac:dyDescent="0.2">
      <c r="A2747" s="64" t="str">
        <f t="shared" si="43"/>
        <v>1w</v>
      </c>
      <c r="B2747" s="203">
        <f>_xll.qlCalendarAdvance(Calendar,B2746,A2747,"f",FALSE)</f>
        <v>58148</v>
      </c>
      <c r="C2747" s="237">
        <f>_xll.qlCalendarAdvance(Calendar,B2747,NDays&amp;"D")</f>
        <v>58152</v>
      </c>
      <c r="D2747" s="202">
        <v>2.2781135846836033E-2</v>
      </c>
      <c r="E2747" s="202">
        <v>2.265662001226687E-2</v>
      </c>
      <c r="U2747" s="204"/>
    </row>
    <row r="2748" spans="1:21" x14ac:dyDescent="0.2">
      <c r="A2748" s="64" t="str">
        <f t="shared" si="43"/>
        <v>1w</v>
      </c>
      <c r="B2748" s="203">
        <f>_xll.qlCalendarAdvance(Calendar,B2747,A2748,"f",FALSE)</f>
        <v>58155</v>
      </c>
      <c r="C2748" s="237">
        <f>_xll.qlCalendarAdvance(Calendar,B2748,NDays&amp;"D")</f>
        <v>58159</v>
      </c>
      <c r="D2748" s="202">
        <v>2.2780755322543519E-2</v>
      </c>
      <c r="E2748" s="202">
        <v>2.265594131189097E-2</v>
      </c>
      <c r="U2748" s="204"/>
    </row>
    <row r="2749" spans="1:21" x14ac:dyDescent="0.2">
      <c r="A2749" s="64" t="str">
        <f t="shared" si="43"/>
        <v>1w</v>
      </c>
      <c r="B2749" s="203">
        <f>_xll.qlCalendarAdvance(Calendar,B2748,A2749,"f",FALSE)</f>
        <v>58166</v>
      </c>
      <c r="C2749" s="237">
        <f>_xll.qlCalendarAdvance(Calendar,B2749,NDays&amp;"D")</f>
        <v>58168</v>
      </c>
      <c r="D2749" s="202">
        <v>2.2779599468733074E-2</v>
      </c>
      <c r="E2749" s="202">
        <v>2.2655102705346764E-2</v>
      </c>
      <c r="U2749" s="204"/>
    </row>
    <row r="2750" spans="1:21" x14ac:dyDescent="0.2">
      <c r="A2750" s="64" t="str">
        <f t="shared" si="43"/>
        <v>1w</v>
      </c>
      <c r="B2750" s="203">
        <f>_xll.qlCalendarAdvance(Calendar,B2749,A2750,"f",FALSE)</f>
        <v>58173</v>
      </c>
      <c r="C2750" s="237">
        <f>_xll.qlCalendarAdvance(Calendar,B2750,NDays&amp;"D")</f>
        <v>58175</v>
      </c>
      <c r="D2750" s="202">
        <v>2.2779270807319799E-2</v>
      </c>
      <c r="E2750" s="202">
        <v>2.2654476906653898E-2</v>
      </c>
      <c r="U2750" s="204"/>
    </row>
    <row r="2751" spans="1:21" x14ac:dyDescent="0.2">
      <c r="A2751" s="64" t="str">
        <f t="shared" si="43"/>
        <v>1w</v>
      </c>
      <c r="B2751" s="203">
        <f>_xll.qlCalendarAdvance(Calendar,B2750,A2751,"f",FALSE)</f>
        <v>58180</v>
      </c>
      <c r="C2751" s="237">
        <f>_xll.qlCalendarAdvance(Calendar,B2751,NDays&amp;"D")</f>
        <v>58182</v>
      </c>
      <c r="D2751" s="202">
        <v>2.2778965557019568E-2</v>
      </c>
      <c r="E2751" s="202">
        <v>2.2653874252647199E-2</v>
      </c>
      <c r="U2751" s="204"/>
    </row>
    <row r="2752" spans="1:21" x14ac:dyDescent="0.2">
      <c r="A2752" s="64" t="str">
        <f t="shared" si="43"/>
        <v>1w</v>
      </c>
      <c r="B2752" s="203">
        <f>_xll.qlCalendarAdvance(Calendar,B2751,A2752,"f",FALSE)</f>
        <v>58187</v>
      </c>
      <c r="C2752" s="237">
        <f>_xll.qlCalendarAdvance(Calendar,B2752,NDays&amp;"D")</f>
        <v>58189</v>
      </c>
      <c r="D2752" s="202">
        <v>2.2778683717823652E-2</v>
      </c>
      <c r="E2752" s="202">
        <v>2.2653294743006924E-2</v>
      </c>
      <c r="U2752" s="204"/>
    </row>
    <row r="2753" spans="1:21" x14ac:dyDescent="0.2">
      <c r="A2753" s="64" t="str">
        <f t="shared" si="43"/>
        <v>1w</v>
      </c>
      <c r="B2753" s="203">
        <f>_xll.qlCalendarAdvance(Calendar,B2752,A2753,"f",FALSE)</f>
        <v>58194</v>
      </c>
      <c r="C2753" s="237">
        <f>_xll.qlCalendarAdvance(Calendar,B2753,NDays&amp;"D")</f>
        <v>58197</v>
      </c>
      <c r="D2753" s="202">
        <v>2.2779806195946932E-2</v>
      </c>
      <c r="E2753" s="202">
        <v>2.2654009242613071E-2</v>
      </c>
      <c r="U2753" s="204"/>
    </row>
    <row r="2754" spans="1:21" x14ac:dyDescent="0.2">
      <c r="A2754" s="64" t="str">
        <f t="shared" si="43"/>
        <v>1w</v>
      </c>
      <c r="B2754" s="203">
        <f>_xll.qlCalendarAdvance(Calendar,B2753,A2754,"f",FALSE)</f>
        <v>58201</v>
      </c>
      <c r="C2754" s="237">
        <f>_xll.qlCalendarAdvance(Calendar,B2754,NDays&amp;"D")</f>
        <v>58203</v>
      </c>
      <c r="D2754" s="202">
        <v>2.2780318688145999E-2</v>
      </c>
      <c r="E2754" s="202">
        <v>2.2652205157545069E-2</v>
      </c>
      <c r="U2754" s="204"/>
    </row>
    <row r="2755" spans="1:21" x14ac:dyDescent="0.2">
      <c r="A2755" s="64" t="str">
        <f t="shared" si="43"/>
        <v>1w</v>
      </c>
      <c r="B2755" s="203">
        <f>_xll.qlCalendarAdvance(Calendar,B2754,A2755,"f",FALSE)</f>
        <v>58208</v>
      </c>
      <c r="C2755" s="237">
        <f>_xll.qlCalendarAdvance(Calendar,B2755,NDays&amp;"D")</f>
        <v>58210</v>
      </c>
      <c r="D2755" s="202">
        <v>2.2780112059866353E-2</v>
      </c>
      <c r="E2755" s="202">
        <v>2.2651695081643552E-2</v>
      </c>
      <c r="U2755" s="204"/>
    </row>
    <row r="2756" spans="1:21" x14ac:dyDescent="0.2">
      <c r="A2756" s="64" t="str">
        <f t="shared" si="43"/>
        <v>1w</v>
      </c>
      <c r="B2756" s="203">
        <f>_xll.qlCalendarAdvance(Calendar,B2755,A2756,"f",FALSE)</f>
        <v>58215</v>
      </c>
      <c r="C2756" s="237">
        <f>_xll.qlCalendarAdvance(Calendar,B2756,NDays&amp;"D")</f>
        <v>58217</v>
      </c>
      <c r="D2756" s="202">
        <v>2.2779928847072171E-2</v>
      </c>
      <c r="E2756" s="202">
        <v>2.2651208150108459E-2</v>
      </c>
      <c r="U2756" s="204"/>
    </row>
    <row r="2757" spans="1:21" x14ac:dyDescent="0.2">
      <c r="A2757" s="64" t="str">
        <f t="shared" si="43"/>
        <v>1w</v>
      </c>
      <c r="B2757" s="203">
        <f>_xll.qlCalendarAdvance(Calendar,B2756,A2757,"f",FALSE)</f>
        <v>58222</v>
      </c>
      <c r="C2757" s="237">
        <f>_xll.qlCalendarAdvance(Calendar,B2757,NDays&amp;"D")</f>
        <v>58224</v>
      </c>
      <c r="D2757" s="202">
        <v>2.2777625688069791E-2</v>
      </c>
      <c r="E2757" s="202">
        <v>2.2650744363179598E-2</v>
      </c>
      <c r="U2757" s="204"/>
    </row>
    <row r="2758" spans="1:21" x14ac:dyDescent="0.2">
      <c r="A2758" s="64" t="str">
        <f t="shared" si="43"/>
        <v>1w</v>
      </c>
      <c r="B2758" s="203">
        <f>_xll.qlCalendarAdvance(Calendar,B2757,A2758,"f",FALSE)</f>
        <v>58229</v>
      </c>
      <c r="C2758" s="237">
        <f>_xll.qlCalendarAdvance(Calendar,B2758,NDays&amp;"D")</f>
        <v>58231</v>
      </c>
      <c r="D2758" s="202">
        <v>2.2777484315312353E-2</v>
      </c>
      <c r="E2758" s="202">
        <v>2.2650303720936904E-2</v>
      </c>
      <c r="U2758" s="204"/>
    </row>
    <row r="2759" spans="1:21" x14ac:dyDescent="0.2">
      <c r="A2759" s="64" t="str">
        <f t="shared" ref="A2759:A2822" si="44">A2758</f>
        <v>1w</v>
      </c>
      <c r="B2759" s="203">
        <f>_xll.qlCalendarAdvance(Calendar,B2758,A2759,"f",FALSE)</f>
        <v>58236</v>
      </c>
      <c r="C2759" s="237">
        <f>_xll.qlCalendarAdvance(Calendar,B2759,NDays&amp;"D")</f>
        <v>58238</v>
      </c>
      <c r="D2759" s="202">
        <v>2.277736635360594E-2</v>
      </c>
      <c r="E2759" s="202">
        <v>2.264988622314057E-2</v>
      </c>
      <c r="U2759" s="204"/>
    </row>
    <row r="2760" spans="1:21" x14ac:dyDescent="0.2">
      <c r="A2760" s="64" t="str">
        <f t="shared" si="44"/>
        <v>1w</v>
      </c>
      <c r="B2760" s="203">
        <f>_xll.qlCalendarAdvance(Calendar,B2759,A2760,"f",FALSE)</f>
        <v>58243</v>
      </c>
      <c r="C2760" s="237">
        <f>_xll.qlCalendarAdvance(Calendar,B2760,NDays&amp;"D")</f>
        <v>58245</v>
      </c>
      <c r="D2760" s="202">
        <v>2.277727180294618E-2</v>
      </c>
      <c r="E2760" s="202">
        <v>2.2649491869790594E-2</v>
      </c>
      <c r="U2760" s="204"/>
    </row>
    <row r="2761" spans="1:21" x14ac:dyDescent="0.2">
      <c r="A2761" s="64" t="str">
        <f t="shared" si="44"/>
        <v>1w</v>
      </c>
      <c r="B2761" s="203">
        <f>_xll.qlCalendarAdvance(Calendar,B2760,A2761,"f",FALSE)</f>
        <v>58250</v>
      </c>
      <c r="C2761" s="237">
        <f>_xll.qlCalendarAdvance(Calendar,B2761,NDays&amp;"D")</f>
        <v>58252</v>
      </c>
      <c r="D2761" s="202">
        <v>2.2779364015193267E-2</v>
      </c>
      <c r="E2761" s="202">
        <v>2.2649120661126787E-2</v>
      </c>
      <c r="U2761" s="204"/>
    </row>
    <row r="2762" spans="1:21" x14ac:dyDescent="0.2">
      <c r="A2762" s="64" t="str">
        <f t="shared" si="44"/>
        <v>1w</v>
      </c>
      <c r="B2762" s="203">
        <f>_xll.qlCalendarAdvance(Calendar,B2761,A2762,"f",FALSE)</f>
        <v>58257</v>
      </c>
      <c r="C2762" s="237">
        <f>_xll.qlCalendarAdvance(Calendar,B2762,NDays&amp;"D")</f>
        <v>58259</v>
      </c>
      <c r="D2762" s="202">
        <v>2.2779321295207437E-2</v>
      </c>
      <c r="E2762" s="202">
        <v>2.2648772596909339E-2</v>
      </c>
      <c r="U2762" s="204"/>
    </row>
    <row r="2763" spans="1:21" x14ac:dyDescent="0.2">
      <c r="A2763" s="64" t="str">
        <f t="shared" si="44"/>
        <v>1w</v>
      </c>
      <c r="B2763" s="203">
        <f>_xll.qlCalendarAdvance(Calendar,B2762,A2763,"f",FALSE)</f>
        <v>58264</v>
      </c>
      <c r="C2763" s="237">
        <f>_xll.qlCalendarAdvance(Calendar,B2763,NDays&amp;"D")</f>
        <v>58266</v>
      </c>
      <c r="D2763" s="202">
        <v>2.2779301990679568E-2</v>
      </c>
      <c r="E2763" s="202">
        <v>2.2648447677218186E-2</v>
      </c>
      <c r="U2763" s="204"/>
    </row>
    <row r="2764" spans="1:21" x14ac:dyDescent="0.2">
      <c r="A2764" s="64" t="str">
        <f t="shared" si="44"/>
        <v>1w</v>
      </c>
      <c r="B2764" s="203">
        <f>_xll.qlCalendarAdvance(Calendar,B2763,A2764,"f",FALSE)</f>
        <v>58271</v>
      </c>
      <c r="C2764" s="237">
        <f>_xll.qlCalendarAdvance(Calendar,B2764,NDays&amp;"D")</f>
        <v>58273</v>
      </c>
      <c r="D2764" s="202">
        <v>2.277930610160837E-2</v>
      </c>
      <c r="E2764" s="202">
        <v>2.2648145902213201E-2</v>
      </c>
      <c r="U2764" s="204"/>
    </row>
    <row r="2765" spans="1:21" x14ac:dyDescent="0.2">
      <c r="A2765" s="64" t="str">
        <f t="shared" si="44"/>
        <v>1w</v>
      </c>
      <c r="B2765" s="203">
        <f>_xll.qlCalendarAdvance(Calendar,B2764,A2765,"f",FALSE)</f>
        <v>58278</v>
      </c>
      <c r="C2765" s="237">
        <f>_xll.qlCalendarAdvance(Calendar,B2765,NDays&amp;"D")</f>
        <v>58280</v>
      </c>
      <c r="D2765" s="202">
        <v>2.2779333627994704E-2</v>
      </c>
      <c r="E2765" s="202">
        <v>2.2647867271494704E-2</v>
      </c>
      <c r="U2765" s="204"/>
    </row>
    <row r="2766" spans="1:21" x14ac:dyDescent="0.2">
      <c r="A2766" s="64" t="str">
        <f t="shared" si="44"/>
        <v>1w</v>
      </c>
      <c r="B2766" s="203">
        <f>_xll.qlCalendarAdvance(Calendar,B2765,A2766,"f",FALSE)</f>
        <v>58285</v>
      </c>
      <c r="C2766" s="237">
        <f>_xll.qlCalendarAdvance(Calendar,B2766,NDays&amp;"D")</f>
        <v>58287</v>
      </c>
      <c r="D2766" s="202">
        <v>2.2777196130840224E-2</v>
      </c>
      <c r="E2766" s="202">
        <v>2.2647611785462374E-2</v>
      </c>
      <c r="U2766" s="204"/>
    </row>
    <row r="2767" spans="1:21" x14ac:dyDescent="0.2">
      <c r="A2767" s="64" t="str">
        <f t="shared" si="44"/>
        <v>1w</v>
      </c>
      <c r="B2767" s="203">
        <f>_xll.qlCalendarAdvance(Calendar,B2766,A2767,"f",FALSE)</f>
        <v>58292</v>
      </c>
      <c r="C2767" s="237">
        <f>_xll.qlCalendarAdvance(Calendar,B2767,NDays&amp;"D")</f>
        <v>58294</v>
      </c>
      <c r="D2767" s="202">
        <v>2.2779458927142966E-2</v>
      </c>
      <c r="E2767" s="202">
        <v>2.2647379443956339E-2</v>
      </c>
      <c r="U2767" s="204"/>
    </row>
    <row r="2768" spans="1:21" x14ac:dyDescent="0.2">
      <c r="A2768" s="64" t="str">
        <f t="shared" si="44"/>
        <v>1w</v>
      </c>
      <c r="B2768" s="203">
        <f>_xll.qlCalendarAdvance(Calendar,B2767,A2768,"f",FALSE)</f>
        <v>58299</v>
      </c>
      <c r="C2768" s="237">
        <f>_xll.qlCalendarAdvance(Calendar,B2768,NDays&amp;"D")</f>
        <v>58301</v>
      </c>
      <c r="D2768" s="202">
        <v>2.2779556699909619E-2</v>
      </c>
      <c r="E2768" s="202">
        <v>2.2647170246816728E-2</v>
      </c>
      <c r="U2768" s="204"/>
    </row>
    <row r="2769" spans="1:21" x14ac:dyDescent="0.2">
      <c r="A2769" s="64" t="str">
        <f t="shared" si="44"/>
        <v>1w</v>
      </c>
      <c r="B2769" s="203">
        <f>_xll.qlCalendarAdvance(Calendar,B2768,A2769,"f",FALSE)</f>
        <v>58306</v>
      </c>
      <c r="C2769" s="237">
        <f>_xll.qlCalendarAdvance(Calendar,B2769,NDays&amp;"D")</f>
        <v>58308</v>
      </c>
      <c r="D2769" s="202">
        <v>2.2779677888143262E-2</v>
      </c>
      <c r="E2769" s="202">
        <v>2.2646984194523156E-2</v>
      </c>
      <c r="U2769" s="204"/>
    </row>
    <row r="2770" spans="1:21" x14ac:dyDescent="0.2">
      <c r="A2770" s="64" t="str">
        <f t="shared" si="44"/>
        <v>1w</v>
      </c>
      <c r="B2770" s="203">
        <f>_xll.qlCalendarAdvance(Calendar,B2769,A2770,"f",FALSE)</f>
        <v>58313</v>
      </c>
      <c r="C2770" s="237">
        <f>_xll.qlCalendarAdvance(Calendar,B2770,NDays&amp;"D")</f>
        <v>58315</v>
      </c>
      <c r="D2770" s="202">
        <v>2.2777613903593882E-2</v>
      </c>
      <c r="E2770" s="202">
        <v>2.2646821286596008E-2</v>
      </c>
      <c r="U2770" s="204"/>
    </row>
    <row r="2771" spans="1:21" x14ac:dyDescent="0.2">
      <c r="A2771" s="64" t="str">
        <f t="shared" si="44"/>
        <v>1w</v>
      </c>
      <c r="B2771" s="203">
        <f>_xll.qlCalendarAdvance(Calendar,B2770,A2771,"f",FALSE)</f>
        <v>58320</v>
      </c>
      <c r="C2771" s="237">
        <f>_xll.qlCalendarAdvance(Calendar,B2771,NDays&amp;"D")</f>
        <v>58322</v>
      </c>
      <c r="D2771" s="202">
        <v>2.2777039379338133E-2</v>
      </c>
      <c r="E2771" s="202">
        <v>2.264668152311522E-2</v>
      </c>
      <c r="U2771" s="204"/>
    </row>
    <row r="2772" spans="1:21" x14ac:dyDescent="0.2">
      <c r="A2772" s="64" t="str">
        <f t="shared" si="44"/>
        <v>1w</v>
      </c>
      <c r="B2772" s="203">
        <f>_xll.qlCalendarAdvance(Calendar,B2771,A2772,"f",FALSE)</f>
        <v>58327</v>
      </c>
      <c r="C2772" s="237">
        <f>_xll.qlCalendarAdvance(Calendar,B2772,NDays&amp;"D")</f>
        <v>58329</v>
      </c>
      <c r="D2772" s="202">
        <v>2.2777224077376534E-2</v>
      </c>
      <c r="E2772" s="202">
        <v>2.2646564904320599E-2</v>
      </c>
      <c r="U2772" s="204"/>
    </row>
    <row r="2773" spans="1:21" x14ac:dyDescent="0.2">
      <c r="A2773" s="64" t="str">
        <f t="shared" si="44"/>
        <v>1w</v>
      </c>
      <c r="B2773" s="203">
        <f>_xll.qlCalendarAdvance(Calendar,B2772,A2773,"f",FALSE)</f>
        <v>58334</v>
      </c>
      <c r="C2773" s="237">
        <f>_xll.qlCalendarAdvance(Calendar,B2773,NDays&amp;"D")</f>
        <v>58336</v>
      </c>
      <c r="D2773" s="202">
        <v>2.2777432185009203E-2</v>
      </c>
      <c r="E2773" s="202">
        <v>2.2646471429972337E-2</v>
      </c>
      <c r="U2773" s="204"/>
    </row>
    <row r="2774" spans="1:21" x14ac:dyDescent="0.2">
      <c r="A2774" s="64" t="str">
        <f t="shared" si="44"/>
        <v>1w</v>
      </c>
      <c r="B2774" s="203">
        <f>_xll.qlCalendarAdvance(Calendar,B2773,A2774,"f",FALSE)</f>
        <v>58341</v>
      </c>
      <c r="C2774" s="237">
        <f>_xll.qlCalendarAdvance(Calendar,B2774,NDays&amp;"D")</f>
        <v>58343</v>
      </c>
      <c r="D2774" s="202">
        <v>2.2777663702243597E-2</v>
      </c>
      <c r="E2774" s="202">
        <v>2.2646401100230307E-2</v>
      </c>
      <c r="U2774" s="204"/>
    </row>
    <row r="2775" spans="1:21" x14ac:dyDescent="0.2">
      <c r="A2775" s="64" t="str">
        <f t="shared" si="44"/>
        <v>1w</v>
      </c>
      <c r="B2775" s="203">
        <f>_xll.qlCalendarAdvance(Calendar,B2774,A2775,"f",FALSE)</f>
        <v>58348</v>
      </c>
      <c r="C2775" s="237">
        <f>_xll.qlCalendarAdvance(Calendar,B2775,NDays&amp;"D")</f>
        <v>58350</v>
      </c>
      <c r="D2775" s="202">
        <v>2.2778662868355927E-2</v>
      </c>
      <c r="E2775" s="202">
        <v>2.2646353914934636E-2</v>
      </c>
      <c r="U2775" s="204"/>
    </row>
    <row r="2776" spans="1:21" x14ac:dyDescent="0.2">
      <c r="A2776" s="64" t="str">
        <f t="shared" si="44"/>
        <v>1w</v>
      </c>
      <c r="B2776" s="203">
        <f>_xll.qlCalendarAdvance(Calendar,B2775,A2776,"f",FALSE)</f>
        <v>58355</v>
      </c>
      <c r="C2776" s="237">
        <f>_xll.qlCalendarAdvance(Calendar,B2776,NDays&amp;"D")</f>
        <v>58357</v>
      </c>
      <c r="D2776" s="202">
        <v>2.2778942894551821E-2</v>
      </c>
      <c r="E2776" s="202">
        <v>2.2646329874325133E-2</v>
      </c>
      <c r="U2776" s="204"/>
    </row>
    <row r="2777" spans="1:21" x14ac:dyDescent="0.2">
      <c r="A2777" s="64" t="str">
        <f t="shared" si="44"/>
        <v>1w</v>
      </c>
      <c r="B2777" s="203">
        <f>_xll.qlCalendarAdvance(Calendar,B2776,A2777,"f",FALSE)</f>
        <v>58362</v>
      </c>
      <c r="C2777" s="237">
        <f>_xll.qlCalendarAdvance(Calendar,B2777,NDays&amp;"D")</f>
        <v>58364</v>
      </c>
      <c r="D2777" s="202">
        <v>2.2782238744480585E-2</v>
      </c>
      <c r="E2777" s="202">
        <v>2.2646328978002117E-2</v>
      </c>
      <c r="U2777" s="204"/>
    </row>
    <row r="2778" spans="1:21" x14ac:dyDescent="0.2">
      <c r="A2778" s="64" t="str">
        <f t="shared" si="44"/>
        <v>1w</v>
      </c>
      <c r="B2778" s="203">
        <f>_xll.qlCalendarAdvance(Calendar,B2777,A2778,"f",FALSE)</f>
        <v>58369</v>
      </c>
      <c r="C2778" s="237">
        <f>_xll.qlCalendarAdvance(Calendar,B2778,NDays&amp;"D")</f>
        <v>58371</v>
      </c>
      <c r="D2778" s="202">
        <v>2.2779573180260908E-2</v>
      </c>
      <c r="E2778" s="202">
        <v>2.2646351226365269E-2</v>
      </c>
      <c r="U2778" s="204"/>
    </row>
    <row r="2779" spans="1:21" x14ac:dyDescent="0.2">
      <c r="A2779" s="64" t="str">
        <f t="shared" si="44"/>
        <v>1w</v>
      </c>
      <c r="B2779" s="203">
        <f>_xll.qlCalendarAdvance(Calendar,B2778,A2779,"f",FALSE)</f>
        <v>58376</v>
      </c>
      <c r="C2779" s="237">
        <f>_xll.qlCalendarAdvance(Calendar,B2779,NDays&amp;"D")</f>
        <v>58378</v>
      </c>
      <c r="D2779" s="202">
        <v>2.2779923439796821E-2</v>
      </c>
      <c r="E2779" s="202">
        <v>2.264639661917478E-2</v>
      </c>
      <c r="U2779" s="204"/>
    </row>
    <row r="2780" spans="1:21" x14ac:dyDescent="0.2">
      <c r="A2780" s="64" t="str">
        <f t="shared" si="44"/>
        <v>1w</v>
      </c>
      <c r="B2780" s="203">
        <f>_xll.qlCalendarAdvance(Calendar,B2779,A2780,"f",FALSE)</f>
        <v>58383</v>
      </c>
      <c r="C2780" s="237">
        <f>_xll.qlCalendarAdvance(Calendar,B2780,NDays&amp;"D")</f>
        <v>58385</v>
      </c>
      <c r="D2780" s="202">
        <v>2.2779544407796646E-2</v>
      </c>
      <c r="E2780" s="202">
        <v>2.2646465156830331E-2</v>
      </c>
      <c r="U2780" s="204"/>
    </row>
    <row r="2781" spans="1:21" x14ac:dyDescent="0.2">
      <c r="A2781" s="64" t="str">
        <f t="shared" si="44"/>
        <v>1w</v>
      </c>
      <c r="B2781" s="203">
        <f>_xll.qlCalendarAdvance(Calendar,B2780,A2781,"f",FALSE)</f>
        <v>58390</v>
      </c>
      <c r="C2781" s="237">
        <f>_xll.qlCalendarAdvance(Calendar,B2781,NDays&amp;"D")</f>
        <v>58392</v>
      </c>
      <c r="D2781" s="202">
        <v>2.2779939792516777E-2</v>
      </c>
      <c r="E2781" s="202">
        <v>2.2646556838772369E-2</v>
      </c>
      <c r="U2781" s="204"/>
    </row>
    <row r="2782" spans="1:21" x14ac:dyDescent="0.2">
      <c r="A2782" s="64" t="str">
        <f t="shared" si="44"/>
        <v>1w</v>
      </c>
      <c r="B2782" s="203">
        <f>_xll.qlCalendarAdvance(Calendar,B2781,A2782,"f",FALSE)</f>
        <v>58397</v>
      </c>
      <c r="C2782" s="237">
        <f>_xll.qlCalendarAdvance(Calendar,B2782,NDays&amp;"D")</f>
        <v>58399</v>
      </c>
      <c r="D2782" s="202">
        <v>2.2780358586926036E-2</v>
      </c>
      <c r="E2782" s="202">
        <v>2.2646671665160767E-2</v>
      </c>
      <c r="U2782" s="204"/>
    </row>
    <row r="2783" spans="1:21" x14ac:dyDescent="0.2">
      <c r="A2783" s="64" t="str">
        <f t="shared" si="44"/>
        <v>1w</v>
      </c>
      <c r="B2783" s="203">
        <f>_xll.qlCalendarAdvance(Calendar,B2782,A2783,"f",FALSE)</f>
        <v>58404</v>
      </c>
      <c r="C2783" s="237">
        <f>_xll.qlCalendarAdvance(Calendar,B2783,NDays&amp;"D")</f>
        <v>58406</v>
      </c>
      <c r="D2783" s="202">
        <v>2.2780800791039363E-2</v>
      </c>
      <c r="E2783" s="202">
        <v>2.2646809636155396E-2</v>
      </c>
      <c r="U2783" s="204"/>
    </row>
    <row r="2784" spans="1:21" x14ac:dyDescent="0.2">
      <c r="A2784" s="64" t="str">
        <f t="shared" si="44"/>
        <v>1w</v>
      </c>
      <c r="B2784" s="203">
        <f>_xll.qlCalendarAdvance(Calendar,B2783,A2784,"f",FALSE)</f>
        <v>58411</v>
      </c>
      <c r="C2784" s="237">
        <f>_xll.qlCalendarAdvance(Calendar,B2784,NDays&amp;"D")</f>
        <v>58413</v>
      </c>
      <c r="D2784" s="202">
        <v>2.2782025904808524E-2</v>
      </c>
      <c r="E2784" s="202">
        <v>2.2646970751836193E-2</v>
      </c>
      <c r="U2784" s="204"/>
    </row>
    <row r="2785" spans="1:21" x14ac:dyDescent="0.2">
      <c r="A2785" s="64" t="str">
        <f t="shared" si="44"/>
        <v>1w</v>
      </c>
      <c r="B2785" s="203">
        <f>_xll.qlCalendarAdvance(Calendar,B2784,A2785,"f",FALSE)</f>
        <v>58418</v>
      </c>
      <c r="C2785" s="237">
        <f>_xll.qlCalendarAdvance(Calendar,B2785,NDays&amp;"D")</f>
        <v>58420</v>
      </c>
      <c r="D2785" s="202">
        <v>2.2782516631380471E-2</v>
      </c>
      <c r="E2785" s="202">
        <v>2.2647155011963349E-2</v>
      </c>
      <c r="U2785" s="204"/>
    </row>
    <row r="2786" spans="1:21" x14ac:dyDescent="0.2">
      <c r="A2786" s="64" t="str">
        <f t="shared" si="44"/>
        <v>1w</v>
      </c>
      <c r="B2786" s="203">
        <f>_xll.qlCalendarAdvance(Calendar,B2785,A2786,"f",FALSE)</f>
        <v>58425</v>
      </c>
      <c r="C2786" s="237">
        <f>_xll.qlCalendarAdvance(Calendar,B2786,NDays&amp;"D")</f>
        <v>58427</v>
      </c>
      <c r="D2786" s="202">
        <v>2.2783030769180784E-2</v>
      </c>
      <c r="E2786" s="202">
        <v>2.2647362416536865E-2</v>
      </c>
      <c r="U2786" s="204"/>
    </row>
    <row r="2787" spans="1:21" x14ac:dyDescent="0.2">
      <c r="A2787" s="64" t="str">
        <f t="shared" si="44"/>
        <v>1w</v>
      </c>
      <c r="B2787" s="203">
        <f>_xll.qlCalendarAdvance(Calendar,B2786,A2787,"f",FALSE)</f>
        <v>58432</v>
      </c>
      <c r="C2787" s="237">
        <f>_xll.qlCalendarAdvance(Calendar,B2787,NDays&amp;"D")</f>
        <v>58438</v>
      </c>
      <c r="D2787" s="202">
        <v>2.2783886000292068E-2</v>
      </c>
      <c r="E2787" s="202">
        <v>2.2647735099541322E-2</v>
      </c>
      <c r="U2787" s="204"/>
    </row>
    <row r="2788" spans="1:21" x14ac:dyDescent="0.2">
      <c r="A2788" s="64" t="str">
        <f t="shared" si="44"/>
        <v>1w</v>
      </c>
      <c r="B2788" s="203">
        <f>_xll.qlCalendarAdvance(Calendar,B2787,A2788,"f",FALSE)</f>
        <v>58439</v>
      </c>
      <c r="C2788" s="237">
        <f>_xll.qlCalendarAdvance(Calendar,B2788,NDays&amp;"D")</f>
        <v>58442</v>
      </c>
      <c r="D2788" s="202">
        <v>2.2783444762020856E-2</v>
      </c>
      <c r="E2788" s="202">
        <v>2.264934838291488E-2</v>
      </c>
      <c r="U2788" s="204"/>
    </row>
    <row r="2789" spans="1:21" x14ac:dyDescent="0.2">
      <c r="A2789" s="64" t="str">
        <f t="shared" si="44"/>
        <v>1w</v>
      </c>
      <c r="B2789" s="203">
        <f>_xll.qlCalendarAdvance(Calendar,B2788,A2789,"f",FALSE)</f>
        <v>58446</v>
      </c>
      <c r="C2789" s="237">
        <f>_xll.qlCalendarAdvance(Calendar,B2789,NDays&amp;"D")</f>
        <v>58448</v>
      </c>
      <c r="D2789" s="202">
        <v>2.2783945620441969E-2</v>
      </c>
      <c r="E2789" s="202">
        <v>2.2648123497654993E-2</v>
      </c>
      <c r="U2789" s="204"/>
    </row>
    <row r="2790" spans="1:21" x14ac:dyDescent="0.2">
      <c r="A2790" s="64" t="str">
        <f t="shared" si="44"/>
        <v>1w</v>
      </c>
      <c r="B2790" s="203">
        <f>_xll.qlCalendarAdvance(Calendar,B2789,A2790,"f",FALSE)</f>
        <v>58453</v>
      </c>
      <c r="C2790" s="237">
        <f>_xll.qlCalendarAdvance(Calendar,B2790,NDays&amp;"D")</f>
        <v>58455</v>
      </c>
      <c r="D2790" s="202">
        <v>2.2784551692967323E-2</v>
      </c>
      <c r="E2790" s="202">
        <v>2.2648423480413626E-2</v>
      </c>
      <c r="U2790" s="204"/>
    </row>
    <row r="2791" spans="1:21" x14ac:dyDescent="0.2">
      <c r="A2791" s="64" t="str">
        <f t="shared" si="44"/>
        <v>1w</v>
      </c>
      <c r="B2791" s="203">
        <f>_xll.qlCalendarAdvance(Calendar,B2790,A2791,"f",FALSE)</f>
        <v>58460</v>
      </c>
      <c r="C2791" s="237">
        <f>_xll.qlCalendarAdvance(Calendar,B2791,NDays&amp;"D")</f>
        <v>58462</v>
      </c>
      <c r="D2791" s="202">
        <v>2.2785181175344314E-2</v>
      </c>
      <c r="E2791" s="202">
        <v>2.2648746607698556E-2</v>
      </c>
      <c r="U2791" s="204"/>
    </row>
    <row r="2792" spans="1:21" x14ac:dyDescent="0.2">
      <c r="A2792" s="64" t="str">
        <f t="shared" si="44"/>
        <v>1w</v>
      </c>
      <c r="B2792" s="203">
        <f>_xll.qlCalendarAdvance(Calendar,B2791,A2792,"f",FALSE)</f>
        <v>58467</v>
      </c>
      <c r="C2792" s="237">
        <f>_xll.qlCalendarAdvance(Calendar,B2792,NDays&amp;"D")</f>
        <v>58469</v>
      </c>
      <c r="D2792" s="202">
        <v>2.2785834067595347E-2</v>
      </c>
      <c r="E2792" s="202">
        <v>2.264909287950978E-2</v>
      </c>
      <c r="U2792" s="204"/>
    </row>
    <row r="2793" spans="1:21" x14ac:dyDescent="0.2">
      <c r="A2793" s="64" t="str">
        <f t="shared" si="44"/>
        <v>1w</v>
      </c>
      <c r="B2793" s="203">
        <f>_xll.qlCalendarAdvance(Calendar,B2792,A2793,"f",FALSE)</f>
        <v>58474</v>
      </c>
      <c r="C2793" s="237">
        <f>_xll.qlCalendarAdvance(Calendar,B2793,NDays&amp;"D")</f>
        <v>58476</v>
      </c>
      <c r="D2793" s="202">
        <v>2.2786510369741938E-2</v>
      </c>
      <c r="E2793" s="202">
        <v>2.2649462295927236E-2</v>
      </c>
      <c r="U2793" s="204"/>
    </row>
    <row r="2794" spans="1:21" x14ac:dyDescent="0.2">
      <c r="A2794" s="64" t="str">
        <f t="shared" si="44"/>
        <v>1w</v>
      </c>
      <c r="B2794" s="203">
        <f>_xll.qlCalendarAdvance(Calendar,B2793,A2794,"f",FALSE)</f>
        <v>58481</v>
      </c>
      <c r="C2794" s="237">
        <f>_xll.qlCalendarAdvance(Calendar,B2794,NDays&amp;"D")</f>
        <v>58483</v>
      </c>
      <c r="D2794" s="202">
        <v>2.2787210081810005E-2</v>
      </c>
      <c r="E2794" s="202">
        <v>2.2649854856870988E-2</v>
      </c>
      <c r="U2794" s="204"/>
    </row>
    <row r="2795" spans="1:21" x14ac:dyDescent="0.2">
      <c r="A2795" s="64" t="str">
        <f t="shared" si="44"/>
        <v>1w</v>
      </c>
      <c r="B2795" s="203">
        <f>_xll.qlCalendarAdvance(Calendar,B2794,A2795,"f",FALSE)</f>
        <v>58488</v>
      </c>
      <c r="C2795" s="237">
        <f>_xll.qlCalendarAdvance(Calendar,B2795,NDays&amp;"D")</f>
        <v>58490</v>
      </c>
      <c r="D2795" s="202">
        <v>2.2787933203822386E-2</v>
      </c>
      <c r="E2795" s="202">
        <v>2.2650270562341035E-2</v>
      </c>
      <c r="U2795" s="204"/>
    </row>
    <row r="2796" spans="1:21" x14ac:dyDescent="0.2">
      <c r="A2796" s="64" t="str">
        <f t="shared" si="44"/>
        <v>1w</v>
      </c>
      <c r="B2796" s="203">
        <f>_xll.qlCalendarAdvance(Calendar,B2795,A2796,"f",FALSE)</f>
        <v>58495</v>
      </c>
      <c r="C2796" s="237">
        <f>_xll.qlCalendarAdvance(Calendar,B2796,NDays&amp;"D")</f>
        <v>58497</v>
      </c>
      <c r="D2796" s="202">
        <v>2.278867973580543E-2</v>
      </c>
      <c r="E2796" s="202">
        <v>2.2650709412177505E-2</v>
      </c>
      <c r="U2796" s="204"/>
    </row>
    <row r="2797" spans="1:21" x14ac:dyDescent="0.2">
      <c r="A2797" s="64" t="str">
        <f t="shared" si="44"/>
        <v>1w</v>
      </c>
      <c r="B2797" s="203">
        <f>_xll.qlCalendarAdvance(Calendar,B2796,A2797,"f",FALSE)</f>
        <v>58502</v>
      </c>
      <c r="C2797" s="237">
        <f>_xll.qlCalendarAdvance(Calendar,B2797,NDays&amp;"D")</f>
        <v>58504</v>
      </c>
      <c r="D2797" s="202">
        <v>2.2792577878613499E-2</v>
      </c>
      <c r="E2797" s="202">
        <v>2.265117140678008E-2</v>
      </c>
      <c r="U2797" s="204"/>
    </row>
    <row r="2798" spans="1:21" x14ac:dyDescent="0.2">
      <c r="A2798" s="64" t="str">
        <f t="shared" si="44"/>
        <v>1w</v>
      </c>
      <c r="B2798" s="203">
        <f>_xll.qlCalendarAdvance(Calendar,B2797,A2798,"f",FALSE)</f>
        <v>58509</v>
      </c>
      <c r="C2798" s="237">
        <f>_xll.qlCalendarAdvance(Calendar,B2798,NDays&amp;"D")</f>
        <v>58511</v>
      </c>
      <c r="D2798" s="202">
        <v>2.2793378120667625E-2</v>
      </c>
      <c r="E2798" s="202">
        <v>2.2651656545908949E-2</v>
      </c>
      <c r="U2798" s="204"/>
    </row>
    <row r="2799" spans="1:21" x14ac:dyDescent="0.2">
      <c r="A2799" s="64" t="str">
        <f t="shared" si="44"/>
        <v>1w</v>
      </c>
      <c r="B2799" s="203">
        <f>_xll.qlCalendarAdvance(Calendar,B2798,A2799,"f",FALSE)</f>
        <v>58516</v>
      </c>
      <c r="C2799" s="237">
        <f>_xll.qlCalendarAdvance(Calendar,B2799,NDays&amp;"D")</f>
        <v>58518</v>
      </c>
      <c r="D2799" s="202">
        <v>2.2794201778683396E-2</v>
      </c>
      <c r="E2799" s="202">
        <v>2.2652164829484178E-2</v>
      </c>
      <c r="U2799" s="204"/>
    </row>
    <row r="2800" spans="1:21" x14ac:dyDescent="0.2">
      <c r="A2800" s="64" t="str">
        <f t="shared" si="44"/>
        <v>1w</v>
      </c>
      <c r="B2800" s="203">
        <f>_xll.qlCalendarAdvance(Calendar,B2799,A2800,"f",FALSE)</f>
        <v>58523</v>
      </c>
      <c r="C2800" s="237">
        <f>_xll.qlCalendarAdvance(Calendar,B2800,NDays&amp;"D")</f>
        <v>58525</v>
      </c>
      <c r="D2800" s="202">
        <v>2.2795048852690892E-2</v>
      </c>
      <c r="E2800" s="202">
        <v>2.2652696257585703E-2</v>
      </c>
      <c r="U2800" s="204"/>
    </row>
    <row r="2801" spans="1:21" x14ac:dyDescent="0.2">
      <c r="A2801" s="64" t="str">
        <f t="shared" si="44"/>
        <v>1w</v>
      </c>
      <c r="B2801" s="203">
        <f>_xll.qlCalendarAdvance(Calendar,B2800,A2801,"f",FALSE)</f>
        <v>58530</v>
      </c>
      <c r="C2801" s="237">
        <f>_xll.qlCalendarAdvance(Calendar,B2801,NDays&amp;"D")</f>
        <v>58532</v>
      </c>
      <c r="D2801" s="202">
        <v>2.2793552197918437E-2</v>
      </c>
      <c r="E2801" s="202">
        <v>2.2653250830373395E-2</v>
      </c>
      <c r="U2801" s="204"/>
    </row>
    <row r="2802" spans="1:21" x14ac:dyDescent="0.2">
      <c r="A2802" s="64" t="str">
        <f t="shared" si="44"/>
        <v>1w</v>
      </c>
      <c r="B2802" s="203">
        <f>_xll.qlCalendarAdvance(Calendar,B2801,A2802,"f",FALSE)</f>
        <v>58537</v>
      </c>
      <c r="C2802" s="237">
        <f>_xll.qlCalendarAdvance(Calendar,B2802,NDays&amp;"D")</f>
        <v>58539</v>
      </c>
      <c r="D2802" s="202">
        <v>2.2794440918404053E-2</v>
      </c>
      <c r="E2802" s="202">
        <v>2.265382854752751E-2</v>
      </c>
      <c r="U2802" s="204"/>
    </row>
    <row r="2803" spans="1:21" x14ac:dyDescent="0.2">
      <c r="A2803" s="64" t="str">
        <f t="shared" si="44"/>
        <v>1w</v>
      </c>
      <c r="B2803" s="203">
        <f>_xll.qlCalendarAdvance(Calendar,B2802,A2803,"f",FALSE)</f>
        <v>58544</v>
      </c>
      <c r="C2803" s="237">
        <f>_xll.qlCalendarAdvance(Calendar,B2803,NDays&amp;"D")</f>
        <v>58546</v>
      </c>
      <c r="D2803" s="202">
        <v>2.2795353050540871E-2</v>
      </c>
      <c r="E2803" s="202">
        <v>2.2657457271089143E-2</v>
      </c>
      <c r="U2803" s="204"/>
    </row>
    <row r="2804" spans="1:21" x14ac:dyDescent="0.2">
      <c r="A2804" s="64" t="str">
        <f t="shared" si="44"/>
        <v>1w</v>
      </c>
      <c r="B2804" s="203">
        <f>_xll.qlCalendarAdvance(Calendar,B2803,A2804,"f",FALSE)</f>
        <v>58551</v>
      </c>
      <c r="C2804" s="237">
        <f>_xll.qlCalendarAdvance(Calendar,B2804,NDays&amp;"D")</f>
        <v>58553</v>
      </c>
      <c r="D2804" s="202">
        <v>2.2796288594357273E-2</v>
      </c>
      <c r="E2804" s="202">
        <v>2.2655053415494564E-2</v>
      </c>
      <c r="U2804" s="204"/>
    </row>
    <row r="2805" spans="1:21" x14ac:dyDescent="0.2">
      <c r="A2805" s="64" t="str">
        <f t="shared" si="44"/>
        <v>1w</v>
      </c>
      <c r="B2805" s="203">
        <f>_xll.qlCalendarAdvance(Calendar,B2804,A2805,"f",FALSE)</f>
        <v>58558</v>
      </c>
      <c r="C2805" s="237">
        <f>_xll.qlCalendarAdvance(Calendar,B2805,NDays&amp;"D")</f>
        <v>58560</v>
      </c>
      <c r="D2805" s="202">
        <v>2.2797247549889526E-2</v>
      </c>
      <c r="E2805" s="202">
        <v>2.2655700566307502E-2</v>
      </c>
      <c r="U2805" s="204"/>
    </row>
    <row r="2806" spans="1:21" x14ac:dyDescent="0.2">
      <c r="A2806" s="64" t="str">
        <f t="shared" si="44"/>
        <v>1w</v>
      </c>
      <c r="B2806" s="203">
        <f>_xll.qlCalendarAdvance(Calendar,B2805,A2806,"f",FALSE)</f>
        <v>58565</v>
      </c>
      <c r="C2806" s="237">
        <f>_xll.qlCalendarAdvance(Calendar,B2806,NDays&amp;"D")</f>
        <v>58567</v>
      </c>
      <c r="D2806" s="202">
        <v>2.2800623034318568E-2</v>
      </c>
      <c r="E2806" s="202">
        <v>2.2656370861806607E-2</v>
      </c>
      <c r="U2806" s="204"/>
    </row>
    <row r="2807" spans="1:21" x14ac:dyDescent="0.2">
      <c r="A2807" s="64" t="str">
        <f t="shared" si="44"/>
        <v>1w</v>
      </c>
      <c r="B2807" s="203">
        <f>_xll.qlCalendarAdvance(Calendar,B2806,A2807,"f",FALSE)</f>
        <v>58572</v>
      </c>
      <c r="C2807" s="237">
        <f>_xll.qlCalendarAdvance(Calendar,B2807,NDays&amp;"D")</f>
        <v>58574</v>
      </c>
      <c r="D2807" s="202">
        <v>2.2801634021164634E-2</v>
      </c>
      <c r="E2807" s="202">
        <v>2.26570643015922E-2</v>
      </c>
      <c r="U2807" s="204"/>
    </row>
    <row r="2808" spans="1:21" x14ac:dyDescent="0.2">
      <c r="A2808" s="64" t="str">
        <f t="shared" si="44"/>
        <v>1w</v>
      </c>
      <c r="B2808" s="203">
        <f>_xll.qlCalendarAdvance(Calendar,B2807,A2808,"f",FALSE)</f>
        <v>58579</v>
      </c>
      <c r="C2808" s="237">
        <f>_xll.qlCalendarAdvance(Calendar,B2808,NDays&amp;"D")</f>
        <v>58581</v>
      </c>
      <c r="D2808" s="202">
        <v>2.2802668424268022E-2</v>
      </c>
      <c r="E2808" s="202">
        <v>2.2657780885904089E-2</v>
      </c>
      <c r="U2808" s="204"/>
    </row>
    <row r="2809" spans="1:21" x14ac:dyDescent="0.2">
      <c r="A2809" s="64" t="str">
        <f t="shared" si="44"/>
        <v>1w</v>
      </c>
      <c r="B2809" s="203">
        <f>_xll.qlCalendarAdvance(Calendar,B2808,A2809,"f",FALSE)</f>
        <v>58586</v>
      </c>
      <c r="C2809" s="237">
        <f>_xll.qlCalendarAdvance(Calendar,B2809,NDays&amp;"D")</f>
        <v>58588</v>
      </c>
      <c r="D2809" s="202">
        <v>2.2803726243668269E-2</v>
      </c>
      <c r="E2809" s="202">
        <v>2.2658520614982081E-2</v>
      </c>
      <c r="U2809" s="204"/>
    </row>
    <row r="2810" spans="1:21" x14ac:dyDescent="0.2">
      <c r="A2810" s="64" t="str">
        <f t="shared" si="44"/>
        <v>1w</v>
      </c>
      <c r="B2810" s="203">
        <f>_xll.qlCalendarAdvance(Calendar,B2809,A2810,"f",FALSE)</f>
        <v>58593</v>
      </c>
      <c r="C2810" s="237">
        <f>_xll.qlCalendarAdvance(Calendar,B2810,NDays&amp;"D")</f>
        <v>58595</v>
      </c>
      <c r="D2810" s="202">
        <v>2.2802393504481367E-2</v>
      </c>
      <c r="E2810" s="202">
        <v>2.2659283488506432E-2</v>
      </c>
      <c r="U2810" s="204"/>
    </row>
    <row r="2811" spans="1:21" x14ac:dyDescent="0.2">
      <c r="A2811" s="64" t="str">
        <f t="shared" si="44"/>
        <v>1w</v>
      </c>
      <c r="B2811" s="203">
        <f>_xll.qlCalendarAdvance(Calendar,B2810,A2811,"f",FALSE)</f>
        <v>58600</v>
      </c>
      <c r="C2811" s="237">
        <f>_xll.qlCalendarAdvance(Calendar,B2811,NDays&amp;"D")</f>
        <v>58602</v>
      </c>
      <c r="D2811" s="202">
        <v>2.2803492931039032E-2</v>
      </c>
      <c r="E2811" s="202">
        <v>2.2660069506397207E-2</v>
      </c>
      <c r="U2811" s="204"/>
    </row>
    <row r="2812" spans="1:21" x14ac:dyDescent="0.2">
      <c r="A2812" s="64" t="str">
        <f t="shared" si="44"/>
        <v>1w</v>
      </c>
      <c r="B2812" s="203">
        <f>_xll.qlCalendarAdvance(Calendar,B2811,A2812,"f",FALSE)</f>
        <v>58607</v>
      </c>
      <c r="C2812" s="237">
        <f>_xll.qlCalendarAdvance(Calendar,B2812,NDays&amp;"D")</f>
        <v>58609</v>
      </c>
      <c r="D2812" s="202">
        <v>2.2804615769567636E-2</v>
      </c>
      <c r="E2812" s="202">
        <v>2.2660878669054085E-2</v>
      </c>
      <c r="U2812" s="204"/>
    </row>
    <row r="2813" spans="1:21" x14ac:dyDescent="0.2">
      <c r="A2813" s="64" t="str">
        <f t="shared" si="44"/>
        <v>1w</v>
      </c>
      <c r="B2813" s="203">
        <f>_xll.qlCalendarAdvance(Calendar,B2812,A2813,"f",FALSE)</f>
        <v>58614</v>
      </c>
      <c r="C2813" s="237">
        <f>_xll.qlCalendarAdvance(Calendar,B2813,NDays&amp;"D")</f>
        <v>58616</v>
      </c>
      <c r="D2813" s="202">
        <v>2.2805762020103433E-2</v>
      </c>
      <c r="E2813" s="202">
        <v>2.2661710976157323E-2</v>
      </c>
      <c r="U2813" s="204"/>
    </row>
    <row r="2814" spans="1:21" x14ac:dyDescent="0.2">
      <c r="A2814" s="64" t="str">
        <f t="shared" si="44"/>
        <v>1w</v>
      </c>
      <c r="B2814" s="203">
        <f>_xll.qlCalendarAdvance(Calendar,B2813,A2814,"f",FALSE)</f>
        <v>58621</v>
      </c>
      <c r="C2814" s="237">
        <f>_xll.qlCalendarAdvance(Calendar,B2814,NDays&amp;"D")</f>
        <v>58623</v>
      </c>
      <c r="D2814" s="202">
        <v>2.2809366586452069E-2</v>
      </c>
      <c r="E2814" s="202">
        <v>2.2662566427866793E-2</v>
      </c>
      <c r="U2814" s="204"/>
    </row>
    <row r="2815" spans="1:21" x14ac:dyDescent="0.2">
      <c r="A2815" s="64" t="str">
        <f t="shared" si="44"/>
        <v>1w</v>
      </c>
      <c r="B2815" s="203">
        <f>_xll.qlCalendarAdvance(Calendar,B2814,A2815,"f",FALSE)</f>
        <v>58628</v>
      </c>
      <c r="C2815" s="237">
        <f>_xll.qlCalendarAdvance(Calendar,B2815,NDays&amp;"D")</f>
        <v>58630</v>
      </c>
      <c r="D2815" s="202">
        <v>2.2810564904448726E-2</v>
      </c>
      <c r="E2815" s="202">
        <v>2.2663445023942685E-2</v>
      </c>
      <c r="U2815" s="204"/>
    </row>
    <row r="2816" spans="1:21" x14ac:dyDescent="0.2">
      <c r="A2816" s="64" t="str">
        <f t="shared" si="44"/>
        <v>1w</v>
      </c>
      <c r="B2816" s="203">
        <f>_xll.qlCalendarAdvance(Calendar,B2815,A2816,"f",FALSE)</f>
        <v>58635</v>
      </c>
      <c r="C2816" s="237">
        <f>_xll.qlCalendarAdvance(Calendar,B2816,NDays&amp;"D")</f>
        <v>58637</v>
      </c>
      <c r="D2816" s="202">
        <v>2.2811786639025028E-2</v>
      </c>
      <c r="E2816" s="202">
        <v>2.2664346764784682E-2</v>
      </c>
      <c r="U2816" s="204"/>
    </row>
    <row r="2817" spans="1:21" x14ac:dyDescent="0.2">
      <c r="A2817" s="64" t="str">
        <f t="shared" si="44"/>
        <v>1w</v>
      </c>
      <c r="B2817" s="203">
        <f>_xll.qlCalendarAdvance(Calendar,B2816,A2817,"f",FALSE)</f>
        <v>58642</v>
      </c>
      <c r="C2817" s="237">
        <f>_xll.qlCalendarAdvance(Calendar,B2817,NDays&amp;"D")</f>
        <v>58644</v>
      </c>
      <c r="D2817" s="202">
        <v>2.2813031790223089E-2</v>
      </c>
      <c r="E2817" s="202">
        <v>2.2665271649993102E-2</v>
      </c>
      <c r="U2817" s="204"/>
    </row>
    <row r="2818" spans="1:21" x14ac:dyDescent="0.2">
      <c r="A2818" s="64" t="str">
        <f t="shared" si="44"/>
        <v>1w</v>
      </c>
      <c r="B2818" s="203">
        <f>_xll.qlCalendarAdvance(Calendar,B2817,A2818,"f",FALSE)</f>
        <v>58649</v>
      </c>
      <c r="C2818" s="237">
        <f>_xll.qlCalendarAdvance(Calendar,B2818,NDays&amp;"D")</f>
        <v>58651</v>
      </c>
      <c r="D2818" s="202">
        <v>2.2814300358088038E-2</v>
      </c>
      <c r="E2818" s="202">
        <v>2.2666219679727817E-2</v>
      </c>
      <c r="U2818" s="204"/>
    </row>
    <row r="2819" spans="1:21" x14ac:dyDescent="0.2">
      <c r="A2819" s="64" t="str">
        <f t="shared" si="44"/>
        <v>1w</v>
      </c>
      <c r="B2819" s="203">
        <f>_xll.qlCalendarAdvance(Calendar,B2818,A2819,"f",FALSE)</f>
        <v>58656</v>
      </c>
      <c r="C2819" s="237">
        <f>_xll.qlCalendarAdvance(Calendar,B2819,NDays&amp;"D")</f>
        <v>58658</v>
      </c>
      <c r="D2819" s="202">
        <v>2.2815592342666283E-2</v>
      </c>
      <c r="E2819" s="202">
        <v>2.2667190854068764E-2</v>
      </c>
      <c r="U2819" s="204"/>
    </row>
    <row r="2820" spans="1:21" x14ac:dyDescent="0.2">
      <c r="A2820" s="64" t="str">
        <f t="shared" si="44"/>
        <v>1w</v>
      </c>
      <c r="B2820" s="203">
        <f>_xll.qlCalendarAdvance(Calendar,B2819,A2820,"f",FALSE)</f>
        <v>58663</v>
      </c>
      <c r="C2820" s="237">
        <f>_xll.qlCalendarAdvance(Calendar,B2820,NDays&amp;"D")</f>
        <v>58665</v>
      </c>
      <c r="D2820" s="202">
        <v>2.2816907744002097E-2</v>
      </c>
      <c r="E2820" s="202">
        <v>2.2668185172936006E-2</v>
      </c>
      <c r="U2820" s="204"/>
    </row>
    <row r="2821" spans="1:21" x14ac:dyDescent="0.2">
      <c r="A2821" s="64" t="str">
        <f t="shared" si="44"/>
        <v>1w</v>
      </c>
      <c r="B2821" s="203">
        <f>_xll.qlCalendarAdvance(Calendar,B2820,A2821,"f",FALSE)</f>
        <v>58670</v>
      </c>
      <c r="C2821" s="237">
        <f>_xll.qlCalendarAdvance(Calendar,B2821,NDays&amp;"D")</f>
        <v>58672</v>
      </c>
      <c r="D2821" s="202">
        <v>2.2818246562144897E-2</v>
      </c>
      <c r="E2821" s="202">
        <v>2.266920263640948E-2</v>
      </c>
      <c r="U2821" s="204"/>
    </row>
    <row r="2822" spans="1:21" x14ac:dyDescent="0.2">
      <c r="A2822" s="64" t="str">
        <f t="shared" si="44"/>
        <v>1w</v>
      </c>
      <c r="B2822" s="203">
        <f>_xll.qlCalendarAdvance(Calendar,B2821,A2822,"f",FALSE)</f>
        <v>58677</v>
      </c>
      <c r="C2822" s="237">
        <f>_xll.qlCalendarAdvance(Calendar,B2822,NDays&amp;"D")</f>
        <v>58679</v>
      </c>
      <c r="D2822" s="202">
        <v>2.2819608797141101E-2</v>
      </c>
      <c r="E2822" s="202">
        <v>2.2670243244249377E-2</v>
      </c>
      <c r="U2822" s="204"/>
    </row>
    <row r="2823" spans="1:21" x14ac:dyDescent="0.2">
      <c r="A2823" s="64" t="str">
        <f t="shared" ref="A2823:A2886" si="45">A2822</f>
        <v>1w</v>
      </c>
      <c r="B2823" s="203">
        <f>_xll.qlCalendarAdvance(Calendar,B2822,A2823,"f",FALSE)</f>
        <v>58684</v>
      </c>
      <c r="C2823" s="237">
        <f>_xll.qlCalendarAdvance(Calendar,B2823,NDays&amp;"D")</f>
        <v>58686</v>
      </c>
      <c r="D2823" s="202">
        <v>2.2816858374496703E-2</v>
      </c>
      <c r="E2823" s="202">
        <v>2.2671306996935314E-2</v>
      </c>
      <c r="U2823" s="204"/>
    </row>
    <row r="2824" spans="1:21" x14ac:dyDescent="0.2">
      <c r="A2824" s="64" t="str">
        <f t="shared" si="45"/>
        <v>1w</v>
      </c>
      <c r="B2824" s="203">
        <f>_xll.qlCalendarAdvance(Calendar,B2823,A2824,"f",FALSE)</f>
        <v>58691</v>
      </c>
      <c r="C2824" s="237">
        <f>_xll.qlCalendarAdvance(Calendar,B2824,NDays&amp;"D")</f>
        <v>58693</v>
      </c>
      <c r="D2824" s="202">
        <v>2.2818258638817993E-2</v>
      </c>
      <c r="E2824" s="202">
        <v>2.2672393893987675E-2</v>
      </c>
      <c r="U2824" s="204"/>
    </row>
    <row r="2825" spans="1:21" x14ac:dyDescent="0.2">
      <c r="A2825" s="64" t="str">
        <f t="shared" si="45"/>
        <v>1w</v>
      </c>
      <c r="B2825" s="203">
        <f>_xll.qlCalendarAdvance(Calendar,B2824,A2825,"f",FALSE)</f>
        <v>58698</v>
      </c>
      <c r="C2825" s="237">
        <f>_xll.qlCalendarAdvance(Calendar,B2825,NDays&amp;"D")</f>
        <v>58700</v>
      </c>
      <c r="D2825" s="202">
        <v>2.2819682312717648E-2</v>
      </c>
      <c r="E2825" s="202">
        <v>2.2673503935406458E-2</v>
      </c>
      <c r="U2825" s="204"/>
    </row>
    <row r="2826" spans="1:21" x14ac:dyDescent="0.2">
      <c r="A2826" s="64" t="str">
        <f t="shared" si="45"/>
        <v>1w</v>
      </c>
      <c r="B2826" s="203">
        <f>_xll.qlCalendarAdvance(Calendar,B2825,A2826,"f",FALSE)</f>
        <v>58705</v>
      </c>
      <c r="C2826" s="237">
        <f>_xll.qlCalendarAdvance(Calendar,B2826,NDays&amp;"D")</f>
        <v>58707</v>
      </c>
      <c r="D2826" s="202">
        <v>2.2821129396246895E-2</v>
      </c>
      <c r="E2826" s="202">
        <v>2.267463712151141E-2</v>
      </c>
      <c r="U2826" s="204"/>
    </row>
    <row r="2827" spans="1:21" x14ac:dyDescent="0.2">
      <c r="A2827" s="64" t="str">
        <f t="shared" si="45"/>
        <v>1w</v>
      </c>
      <c r="B2827" s="203">
        <f>_xll.qlCalendarAdvance(Calendar,B2826,A2827,"f",FALSE)</f>
        <v>58712</v>
      </c>
      <c r="C2827" s="237">
        <f>_xll.qlCalendarAdvance(Calendar,B2827,NDays&amp;"D")</f>
        <v>58714</v>
      </c>
      <c r="D2827" s="202">
        <v>2.2823433749130213E-2</v>
      </c>
      <c r="E2827" s="202">
        <v>2.2675793452302528E-2</v>
      </c>
      <c r="U2827" s="204"/>
    </row>
    <row r="2828" spans="1:21" x14ac:dyDescent="0.2">
      <c r="A2828" s="64" t="str">
        <f t="shared" si="45"/>
        <v>1w</v>
      </c>
      <c r="B2828" s="203">
        <f>_xll.qlCalendarAdvance(Calendar,B2827,A2828,"f",FALSE)</f>
        <v>58719</v>
      </c>
      <c r="C2828" s="237">
        <f>_xll.qlCalendarAdvance(Calendar,B2828,NDays&amp;"D")</f>
        <v>58721</v>
      </c>
      <c r="D2828" s="202">
        <v>2.2824929418481219E-2</v>
      </c>
      <c r="E2828" s="202">
        <v>2.2676972927380135E-2</v>
      </c>
      <c r="U2828" s="204"/>
    </row>
    <row r="2829" spans="1:21" x14ac:dyDescent="0.2">
      <c r="A2829" s="64" t="str">
        <f t="shared" si="45"/>
        <v>1w</v>
      </c>
      <c r="B2829" s="203">
        <f>_xll.qlCalendarAdvance(Calendar,B2828,A2829,"f",FALSE)</f>
        <v>58726</v>
      </c>
      <c r="C2829" s="237">
        <f>_xll.qlCalendarAdvance(Calendar,B2829,NDays&amp;"D")</f>
        <v>58728</v>
      </c>
      <c r="D2829" s="202">
        <v>2.2826448499101194E-2</v>
      </c>
      <c r="E2829" s="202">
        <v>2.2678175547143908E-2</v>
      </c>
      <c r="U2829" s="204"/>
    </row>
    <row r="2830" spans="1:21" x14ac:dyDescent="0.2">
      <c r="A2830" s="64" t="str">
        <f t="shared" si="45"/>
        <v>1w</v>
      </c>
      <c r="B2830" s="203">
        <f>_xll.qlCalendarAdvance(Calendar,B2829,A2830,"f",FALSE)</f>
        <v>58733</v>
      </c>
      <c r="C2830" s="237">
        <f>_xll.qlCalendarAdvance(Calendar,B2830,NDays&amp;"D")</f>
        <v>58735</v>
      </c>
      <c r="D2830" s="202">
        <v>2.2827990991043722E-2</v>
      </c>
      <c r="E2830" s="202">
        <v>2.2679401311433978E-2</v>
      </c>
      <c r="U2830" s="204"/>
    </row>
    <row r="2831" spans="1:21" x14ac:dyDescent="0.2">
      <c r="A2831" s="64" t="str">
        <f t="shared" si="45"/>
        <v>1w</v>
      </c>
      <c r="B2831" s="203">
        <f>_xll.qlCalendarAdvance(Calendar,B2830,A2831,"f",FALSE)</f>
        <v>58740</v>
      </c>
      <c r="C2831" s="237">
        <f>_xll.qlCalendarAdvance(Calendar,B2831,NDays&amp;"D")</f>
        <v>58742</v>
      </c>
      <c r="D2831" s="202">
        <v>2.2829556894361502E-2</v>
      </c>
      <c r="E2831" s="202">
        <v>2.2680650220330278E-2</v>
      </c>
      <c r="U2831" s="204"/>
    </row>
    <row r="2832" spans="1:21" x14ac:dyDescent="0.2">
      <c r="A2832" s="64" t="str">
        <f t="shared" si="45"/>
        <v>1w</v>
      </c>
      <c r="B2832" s="203">
        <f>_xll.qlCalendarAdvance(Calendar,B2831,A2832,"f",FALSE)</f>
        <v>58747</v>
      </c>
      <c r="C2832" s="237">
        <f>_xll.qlCalendarAdvance(Calendar,B2832,NDays&amp;"D")</f>
        <v>58749</v>
      </c>
      <c r="D2832" s="202">
        <v>2.2830303502518901E-2</v>
      </c>
      <c r="E2832" s="202">
        <v>2.2681922273593003E-2</v>
      </c>
      <c r="U2832" s="204"/>
    </row>
    <row r="2833" spans="1:21" x14ac:dyDescent="0.2">
      <c r="A2833" s="64" t="str">
        <f t="shared" si="45"/>
        <v>1w</v>
      </c>
      <c r="B2833" s="203">
        <f>_xll.qlCalendarAdvance(Calendar,B2832,A2833,"f",FALSE)</f>
        <v>58754</v>
      </c>
      <c r="C2833" s="237">
        <f>_xll.qlCalendarAdvance(Calendar,B2833,NDays&amp;"D")</f>
        <v>58756</v>
      </c>
      <c r="D2833" s="202">
        <v>2.2831914454911818E-2</v>
      </c>
      <c r="E2833" s="202">
        <v>2.2683217471541894E-2</v>
      </c>
      <c r="U2833" s="204"/>
    </row>
    <row r="2834" spans="1:21" x14ac:dyDescent="0.2">
      <c r="A2834" s="64" t="str">
        <f t="shared" si="45"/>
        <v>1w</v>
      </c>
      <c r="B2834" s="203">
        <f>_xll.qlCalendarAdvance(Calendar,B2833,A2834,"f",FALSE)</f>
        <v>58761</v>
      </c>
      <c r="C2834" s="237">
        <f>_xll.qlCalendarAdvance(Calendar,B2834,NDays&amp;"D")</f>
        <v>58763</v>
      </c>
      <c r="D2834" s="202">
        <v>2.2833548817360071E-2</v>
      </c>
      <c r="E2834" s="202">
        <v>2.2684535814017082E-2</v>
      </c>
      <c r="U2834" s="204"/>
    </row>
    <row r="2835" spans="1:21" x14ac:dyDescent="0.2">
      <c r="A2835" s="64" t="str">
        <f t="shared" si="45"/>
        <v>1w</v>
      </c>
      <c r="B2835" s="203">
        <f>_xll.qlCalendarAdvance(Calendar,B2834,A2835,"f",FALSE)</f>
        <v>58768</v>
      </c>
      <c r="C2835" s="237">
        <f>_xll.qlCalendarAdvance(Calendar,B2835,NDays&amp;"D")</f>
        <v>58770</v>
      </c>
      <c r="D2835" s="202">
        <v>2.2835206589921948E-2</v>
      </c>
      <c r="E2835" s="202">
        <v>2.2685877300938628E-2</v>
      </c>
      <c r="U2835" s="204"/>
    </row>
    <row r="2836" spans="1:21" x14ac:dyDescent="0.2">
      <c r="A2836" s="64" t="str">
        <f t="shared" si="45"/>
        <v>1w</v>
      </c>
      <c r="B2836" s="203">
        <f>_xll.qlCalendarAdvance(Calendar,B2835,A2836,"f",FALSE)</f>
        <v>58775</v>
      </c>
      <c r="C2836" s="237">
        <f>_xll.qlCalendarAdvance(Calendar,B2836,NDays&amp;"D")</f>
        <v>58777</v>
      </c>
      <c r="D2836" s="202">
        <v>2.2837737583551742E-2</v>
      </c>
      <c r="E2836" s="202">
        <v>2.2687241932466407E-2</v>
      </c>
      <c r="U2836" s="204"/>
    </row>
    <row r="2837" spans="1:21" x14ac:dyDescent="0.2">
      <c r="A2837" s="64" t="str">
        <f t="shared" si="45"/>
        <v>1w</v>
      </c>
      <c r="B2837" s="203">
        <f>_xll.qlCalendarAdvance(Calendar,B2836,A2837,"f",FALSE)</f>
        <v>58782</v>
      </c>
      <c r="C2837" s="237">
        <f>_xll.qlCalendarAdvance(Calendar,B2837,NDays&amp;"D")</f>
        <v>58784</v>
      </c>
      <c r="D2837" s="202">
        <v>2.2839443956311756E-2</v>
      </c>
      <c r="E2837" s="202">
        <v>2.268862970852048E-2</v>
      </c>
      <c r="U2837" s="204"/>
    </row>
    <row r="2838" spans="1:21" x14ac:dyDescent="0.2">
      <c r="A2838" s="64" t="str">
        <f t="shared" si="45"/>
        <v>1w</v>
      </c>
      <c r="B2838" s="203">
        <f>_xll.qlCalendarAdvance(Calendar,B2837,A2838,"f",FALSE)</f>
        <v>58789</v>
      </c>
      <c r="C2838" s="237">
        <f>_xll.qlCalendarAdvance(Calendar,B2838,NDays&amp;"D")</f>
        <v>58791</v>
      </c>
      <c r="D2838" s="202">
        <v>2.284117374084934E-2</v>
      </c>
      <c r="E2838" s="202">
        <v>2.2690040629180785E-2</v>
      </c>
      <c r="U2838" s="204"/>
    </row>
    <row r="2839" spans="1:21" x14ac:dyDescent="0.2">
      <c r="A2839" s="64" t="str">
        <f t="shared" si="45"/>
        <v>1w</v>
      </c>
      <c r="B2839" s="203">
        <f>_xll.qlCalendarAdvance(Calendar,B2838,A2839,"f",FALSE)</f>
        <v>58796</v>
      </c>
      <c r="C2839" s="237">
        <f>_xll.qlCalendarAdvance(Calendar,B2839,NDays&amp;"D")</f>
        <v>58798</v>
      </c>
      <c r="D2839" s="202">
        <v>2.2842926937226865E-2</v>
      </c>
      <c r="E2839" s="202">
        <v>2.2691474694367386E-2</v>
      </c>
      <c r="U2839" s="204"/>
    </row>
    <row r="2840" spans="1:21" x14ac:dyDescent="0.2">
      <c r="A2840" s="64" t="str">
        <f t="shared" si="45"/>
        <v>1w</v>
      </c>
      <c r="B2840" s="203">
        <f>_xll.qlCalendarAdvance(Calendar,B2839,A2840,"f",FALSE)</f>
        <v>58803</v>
      </c>
      <c r="C2840" s="237">
        <f>_xll.qlCalendarAdvance(Calendar,B2840,NDays&amp;"D")</f>
        <v>58805</v>
      </c>
      <c r="D2840" s="202">
        <v>2.2844703545504063E-2</v>
      </c>
      <c r="E2840" s="202">
        <v>2.269293190392041E-2</v>
      </c>
      <c r="U2840" s="204"/>
    </row>
    <row r="2841" spans="1:21" x14ac:dyDescent="0.2">
      <c r="A2841" s="64" t="str">
        <f t="shared" si="45"/>
        <v>1w</v>
      </c>
      <c r="B2841" s="203">
        <f>_xll.qlCalendarAdvance(Calendar,B2840,A2841,"f",FALSE)</f>
        <v>58810</v>
      </c>
      <c r="C2841" s="237">
        <f>_xll.qlCalendarAdvance(Calendar,B2841,NDays&amp;"D")</f>
        <v>58812</v>
      </c>
      <c r="D2841" s="202">
        <v>2.2845644840965136E-2</v>
      </c>
      <c r="E2841" s="202">
        <v>2.2694412258159602E-2</v>
      </c>
      <c r="U2841" s="204"/>
    </row>
    <row r="2842" spans="1:21" x14ac:dyDescent="0.2">
      <c r="A2842" s="64" t="str">
        <f t="shared" si="45"/>
        <v>1w</v>
      </c>
      <c r="B2842" s="203">
        <f>_xll.qlCalendarAdvance(Calendar,B2841,A2842,"f",FALSE)</f>
        <v>58817</v>
      </c>
      <c r="C2842" s="237">
        <f>_xll.qlCalendarAdvance(Calendar,B2842,NDays&amp;"D")</f>
        <v>58819</v>
      </c>
      <c r="D2842" s="202">
        <v>2.2847466485984718E-2</v>
      </c>
      <c r="E2842" s="202">
        <v>2.2695915757164897E-2</v>
      </c>
      <c r="U2842" s="204"/>
    </row>
    <row r="2843" spans="1:21" x14ac:dyDescent="0.2">
      <c r="A2843" s="64" t="str">
        <f t="shared" si="45"/>
        <v>1w</v>
      </c>
      <c r="B2843" s="203">
        <f>_xll.qlCalendarAdvance(Calendar,B2842,A2843,"f",FALSE)</f>
        <v>58824</v>
      </c>
      <c r="C2843" s="237">
        <f>_xll.qlCalendarAdvance(Calendar,B2843,NDays&amp;"D")</f>
        <v>58826</v>
      </c>
      <c r="D2843" s="202">
        <v>2.2849311541602399E-2</v>
      </c>
      <c r="E2843" s="202">
        <v>2.2697442400376744E-2</v>
      </c>
      <c r="U2843" s="204"/>
    </row>
    <row r="2844" spans="1:21" x14ac:dyDescent="0.2">
      <c r="A2844" s="64" t="str">
        <f t="shared" si="45"/>
        <v>1w</v>
      </c>
      <c r="B2844" s="203">
        <f>_xll.qlCalendarAdvance(Calendar,B2843,A2844,"f",FALSE)</f>
        <v>58831</v>
      </c>
      <c r="C2844" s="237">
        <f>_xll.qlCalendarAdvance(Calendar,B2844,NDays&amp;"D")</f>
        <v>58833</v>
      </c>
      <c r="D2844" s="202">
        <v>2.2851180007884424E-2</v>
      </c>
      <c r="E2844" s="202">
        <v>2.2698992188274758E-2</v>
      </c>
      <c r="U2844" s="204"/>
    </row>
    <row r="2845" spans="1:21" x14ac:dyDescent="0.2">
      <c r="A2845" s="64" t="str">
        <f t="shared" si="45"/>
        <v>1w</v>
      </c>
      <c r="B2845" s="203">
        <f>_xll.qlCalendarAdvance(Calendar,B2844,A2845,"f",FALSE)</f>
        <v>58838</v>
      </c>
      <c r="C2845" s="237">
        <f>_xll.qlCalendarAdvance(Calendar,B2845,NDays&amp;"D")</f>
        <v>58840</v>
      </c>
      <c r="D2845" s="202">
        <v>2.2853071884894834E-2</v>
      </c>
      <c r="E2845" s="202">
        <v>2.2700565120779004E-2</v>
      </c>
      <c r="U2845" s="204"/>
    </row>
    <row r="2846" spans="1:21" x14ac:dyDescent="0.2">
      <c r="A2846" s="64" t="str">
        <f t="shared" si="45"/>
        <v>1w</v>
      </c>
      <c r="B2846" s="203">
        <f>_xll.qlCalendarAdvance(Calendar,B2845,A2846,"f",FALSE)</f>
        <v>58845</v>
      </c>
      <c r="C2846" s="237">
        <f>_xll.qlCalendarAdvance(Calendar,B2846,NDays&amp;"D")</f>
        <v>58847</v>
      </c>
      <c r="D2846" s="202">
        <v>2.2854987172698991E-2</v>
      </c>
      <c r="E2846" s="202">
        <v>2.2702161197649673E-2</v>
      </c>
      <c r="U2846" s="204"/>
    </row>
    <row r="2847" spans="1:21" x14ac:dyDescent="0.2">
      <c r="A2847" s="64" t="str">
        <f t="shared" si="45"/>
        <v>1w</v>
      </c>
      <c r="B2847" s="203">
        <f>_xll.qlCalendarAdvance(Calendar,B2846,A2847,"f",FALSE)</f>
        <v>58852</v>
      </c>
      <c r="C2847" s="237">
        <f>_xll.qlCalendarAdvance(Calendar,B2847,NDays&amp;"D")</f>
        <v>58854</v>
      </c>
      <c r="D2847" s="202">
        <v>2.2856925871365348E-2</v>
      </c>
      <c r="E2847" s="202">
        <v>2.2703780419046637E-2</v>
      </c>
      <c r="U2847" s="204"/>
    </row>
    <row r="2848" spans="1:21" x14ac:dyDescent="0.2">
      <c r="A2848" s="64" t="str">
        <f t="shared" si="45"/>
        <v>1w</v>
      </c>
      <c r="B2848" s="203">
        <f>_xll.qlCalendarAdvance(Calendar,B2847,A2848,"f",FALSE)</f>
        <v>58859</v>
      </c>
      <c r="C2848" s="237">
        <f>_xll.qlCalendarAdvance(Calendar,B2848,NDays&amp;"D")</f>
        <v>58861</v>
      </c>
      <c r="D2848" s="202">
        <v>2.2858887980961029E-2</v>
      </c>
      <c r="E2848" s="202">
        <v>2.2705422785209706E-2</v>
      </c>
      <c r="U2848" s="204"/>
    </row>
    <row r="2849" spans="1:21" x14ac:dyDescent="0.2">
      <c r="A2849" s="64" t="str">
        <f t="shared" si="45"/>
        <v>1w</v>
      </c>
      <c r="B2849" s="203">
        <f>_xll.qlCalendarAdvance(Calendar,B2848,A2849,"f",FALSE)</f>
        <v>58866</v>
      </c>
      <c r="C2849" s="237">
        <f>_xll.qlCalendarAdvance(Calendar,B2849,NDays&amp;"D")</f>
        <v>58868</v>
      </c>
      <c r="D2849" s="202">
        <v>2.2865240911399083E-2</v>
      </c>
      <c r="E2849" s="202">
        <v>2.2707088295819133E-2</v>
      </c>
      <c r="U2849" s="204"/>
    </row>
    <row r="2850" spans="1:21" x14ac:dyDescent="0.2">
      <c r="A2850" s="64" t="str">
        <f t="shared" si="45"/>
        <v>1w</v>
      </c>
      <c r="B2850" s="203">
        <f>_xll.qlCalendarAdvance(Calendar,B2849,A2850,"f",FALSE)</f>
        <v>58873</v>
      </c>
      <c r="C2850" s="237">
        <f>_xll.qlCalendarAdvance(Calendar,B2850,NDays&amp;"D")</f>
        <v>58875</v>
      </c>
      <c r="D2850" s="202">
        <v>2.2867258841219314E-2</v>
      </c>
      <c r="E2850" s="202">
        <v>2.2708776951034793E-2</v>
      </c>
      <c r="U2850" s="204"/>
    </row>
    <row r="2851" spans="1:21" x14ac:dyDescent="0.2">
      <c r="A2851" s="64" t="str">
        <f t="shared" si="45"/>
        <v>1w</v>
      </c>
      <c r="B2851" s="203">
        <f>_xll.qlCalendarAdvance(Calendar,B2850,A2851,"f",FALSE)</f>
        <v>58880</v>
      </c>
      <c r="C2851" s="237">
        <f>_xll.qlCalendarAdvance(Calendar,B2851,NDays&amp;"D")</f>
        <v>58882</v>
      </c>
      <c r="D2851" s="202">
        <v>2.2869300189651113E-2</v>
      </c>
      <c r="E2851" s="202">
        <v>2.2710488750696811E-2</v>
      </c>
      <c r="U2851" s="204"/>
    </row>
    <row r="2852" spans="1:21" x14ac:dyDescent="0.2">
      <c r="A2852" s="64" t="str">
        <f t="shared" si="45"/>
        <v>1w</v>
      </c>
      <c r="B2852" s="203">
        <f>_xll.qlCalendarAdvance(Calendar,B2851,A2852,"f",FALSE)</f>
        <v>58887</v>
      </c>
      <c r="C2852" s="237">
        <f>_xll.qlCalendarAdvance(Calendar,B2852,NDays&amp;"D")</f>
        <v>58889</v>
      </c>
      <c r="D2852" s="202">
        <v>2.2871364956769256E-2</v>
      </c>
      <c r="E2852" s="202">
        <v>2.2712223694885125E-2</v>
      </c>
      <c r="U2852" s="204"/>
    </row>
    <row r="2853" spans="1:21" x14ac:dyDescent="0.2">
      <c r="A2853" s="64" t="str">
        <f t="shared" si="45"/>
        <v>1w</v>
      </c>
      <c r="B2853" s="203">
        <f>_xll.qlCalendarAdvance(Calendar,B2852,A2853,"f",FALSE)</f>
        <v>58894</v>
      </c>
      <c r="C2853" s="237">
        <f>_xll.qlCalendarAdvance(Calendar,B2853,NDays&amp;"D")</f>
        <v>58896</v>
      </c>
      <c r="D2853" s="202">
        <v>2.2870810445400125E-2</v>
      </c>
      <c r="E2853" s="202">
        <v>2.2713981783759607E-2</v>
      </c>
      <c r="U2853" s="204"/>
    </row>
    <row r="2854" spans="1:21" x14ac:dyDescent="0.2">
      <c r="A2854" s="64" t="str">
        <f t="shared" si="45"/>
        <v>1w</v>
      </c>
      <c r="B2854" s="203">
        <f>_xll.qlCalendarAdvance(Calendar,B2853,A2854,"f",FALSE)</f>
        <v>58901</v>
      </c>
      <c r="C2854" s="237">
        <f>_xll.qlCalendarAdvance(Calendar,B2854,NDays&amp;"D")</f>
        <v>58903</v>
      </c>
      <c r="D2854" s="202">
        <v>2.2872916632600729E-2</v>
      </c>
      <c r="E2854" s="202">
        <v>2.2719143674210684E-2</v>
      </c>
      <c r="U2854" s="204"/>
    </row>
    <row r="2855" spans="1:21" x14ac:dyDescent="0.2">
      <c r="A2855" s="64" t="str">
        <f t="shared" si="45"/>
        <v>1w</v>
      </c>
      <c r="B2855" s="203">
        <f>_xll.qlCalendarAdvance(Calendar,B2854,A2855,"f",FALSE)</f>
        <v>58908</v>
      </c>
      <c r="C2855" s="237">
        <f>_xll.qlCalendarAdvance(Calendar,B2855,NDays&amp;"D")</f>
        <v>58910</v>
      </c>
      <c r="D2855" s="202">
        <v>2.2875046234221021E-2</v>
      </c>
      <c r="E2855" s="202">
        <v>2.2717567394927585E-2</v>
      </c>
      <c r="U2855" s="204"/>
    </row>
    <row r="2856" spans="1:21" x14ac:dyDescent="0.2">
      <c r="A2856" s="64" t="str">
        <f t="shared" si="45"/>
        <v>1w</v>
      </c>
      <c r="B2856" s="203">
        <f>_xll.qlCalendarAdvance(Calendar,B2855,A2856,"f",FALSE)</f>
        <v>58915</v>
      </c>
      <c r="C2856" s="237">
        <f>_xll.qlCalendarAdvance(Calendar,B2856,NDays&amp;"D")</f>
        <v>58917</v>
      </c>
      <c r="D2856" s="202">
        <v>2.2877199250335704E-2</v>
      </c>
      <c r="E2856" s="202">
        <v>2.2719394917460889E-2</v>
      </c>
      <c r="U2856" s="204"/>
    </row>
    <row r="2857" spans="1:21" x14ac:dyDescent="0.2">
      <c r="A2857" s="64" t="str">
        <f t="shared" si="45"/>
        <v>1w</v>
      </c>
      <c r="B2857" s="203">
        <f>_xll.qlCalendarAdvance(Calendar,B2856,A2857,"f",FALSE)</f>
        <v>58922</v>
      </c>
      <c r="C2857" s="237">
        <f>_xll.qlCalendarAdvance(Calendar,B2857,NDays&amp;"D")</f>
        <v>58924</v>
      </c>
      <c r="D2857" s="202">
        <v>2.2879375681020341E-2</v>
      </c>
      <c r="E2857" s="202">
        <v>2.2721245584520489E-2</v>
      </c>
      <c r="U2857" s="204"/>
    </row>
    <row r="2858" spans="1:21" x14ac:dyDescent="0.2">
      <c r="A2858" s="64" t="str">
        <f t="shared" si="45"/>
        <v>1w</v>
      </c>
      <c r="B2858" s="203">
        <f>_xll.qlCalendarAdvance(Calendar,B2857,A2858,"f",FALSE)</f>
        <v>58929</v>
      </c>
      <c r="C2858" s="237">
        <f>_xll.qlCalendarAdvance(Calendar,B2858,NDays&amp;"D")</f>
        <v>58931</v>
      </c>
      <c r="D2858" s="202">
        <v>2.2884245356077249E-2</v>
      </c>
      <c r="E2858" s="202">
        <v>2.2723119395946512E-2</v>
      </c>
      <c r="U2858" s="204"/>
    </row>
    <row r="2859" spans="1:21" x14ac:dyDescent="0.2">
      <c r="A2859" s="64" t="str">
        <f t="shared" si="45"/>
        <v>1w</v>
      </c>
      <c r="B2859" s="203">
        <f>_xll.qlCalendarAdvance(Calendar,B2858,A2859,"f",FALSE)</f>
        <v>58936</v>
      </c>
      <c r="C2859" s="237">
        <f>_xll.qlCalendarAdvance(Calendar,B2859,NDays&amp;"D")</f>
        <v>58938</v>
      </c>
      <c r="D2859" s="202">
        <v>2.2886474056115103E-2</v>
      </c>
      <c r="E2859" s="202">
        <v>2.2725016352058702E-2</v>
      </c>
      <c r="U2859" s="204"/>
    </row>
    <row r="2860" spans="1:21" x14ac:dyDescent="0.2">
      <c r="A2860" s="64" t="str">
        <f t="shared" si="45"/>
        <v>1w</v>
      </c>
      <c r="B2860" s="203">
        <f>_xll.qlCalendarAdvance(Calendar,B2859,A2860,"f",FALSE)</f>
        <v>58943</v>
      </c>
      <c r="C2860" s="237">
        <f>_xll.qlCalendarAdvance(Calendar,B2860,NDays&amp;"D")</f>
        <v>58945</v>
      </c>
      <c r="D2860" s="202">
        <v>2.2888726175453435E-2</v>
      </c>
      <c r="E2860" s="202">
        <v>2.2726936452697188E-2</v>
      </c>
      <c r="U2860" s="204"/>
    </row>
    <row r="2861" spans="1:21" x14ac:dyDescent="0.2">
      <c r="A2861" s="64" t="str">
        <f t="shared" si="45"/>
        <v>1w</v>
      </c>
      <c r="B2861" s="203">
        <f>_xll.qlCalendarAdvance(Calendar,B2860,A2861,"f",FALSE)</f>
        <v>58950</v>
      </c>
      <c r="C2861" s="237">
        <f>_xll.qlCalendarAdvance(Calendar,B2861,NDays&amp;"D")</f>
        <v>58952</v>
      </c>
      <c r="D2861" s="202">
        <v>2.2891001714174759E-2</v>
      </c>
      <c r="E2861" s="202">
        <v>2.272887969786197E-2</v>
      </c>
      <c r="U2861" s="204"/>
    </row>
    <row r="2862" spans="1:21" x14ac:dyDescent="0.2">
      <c r="A2862" s="64" t="str">
        <f t="shared" si="45"/>
        <v>1w</v>
      </c>
      <c r="B2862" s="203">
        <f>_xll.qlCalendarAdvance(Calendar,B2861,A2862,"f",FALSE)</f>
        <v>58957</v>
      </c>
      <c r="C2862" s="237">
        <f>_xll.qlCalendarAdvance(Calendar,B2862,NDays&amp;"D")</f>
        <v>58959</v>
      </c>
      <c r="D2862" s="202">
        <v>2.2890609055713298E-2</v>
      </c>
      <c r="E2862" s="202">
        <v>2.2730846087553047E-2</v>
      </c>
      <c r="U2862" s="204"/>
    </row>
    <row r="2863" spans="1:21" x14ac:dyDescent="0.2">
      <c r="A2863" s="64" t="str">
        <f t="shared" si="45"/>
        <v>1w</v>
      </c>
      <c r="B2863" s="203">
        <f>_xll.qlCalendarAdvance(Calendar,B2862,A2863,"f",FALSE)</f>
        <v>58964</v>
      </c>
      <c r="C2863" s="237">
        <f>_xll.qlCalendarAdvance(Calendar,B2863,NDays&amp;"D")</f>
        <v>58966</v>
      </c>
      <c r="D2863" s="202">
        <v>2.2892925975461813E-2</v>
      </c>
      <c r="E2863" s="202">
        <v>2.2732835621850356E-2</v>
      </c>
      <c r="U2863" s="204"/>
    </row>
    <row r="2864" spans="1:21" x14ac:dyDescent="0.2">
      <c r="A2864" s="64" t="str">
        <f t="shared" si="45"/>
        <v>1w</v>
      </c>
      <c r="B2864" s="203">
        <f>_xll.qlCalendarAdvance(Calendar,B2863,A2864,"f",FALSE)</f>
        <v>58971</v>
      </c>
      <c r="C2864" s="237">
        <f>_xll.qlCalendarAdvance(Calendar,B2864,NDays&amp;"D")</f>
        <v>58973</v>
      </c>
      <c r="D2864" s="202">
        <v>2.2895266310335033E-2</v>
      </c>
      <c r="E2864" s="202">
        <v>2.2734848300753896E-2</v>
      </c>
      <c r="U2864" s="204"/>
    </row>
    <row r="2865" spans="1:21" x14ac:dyDescent="0.2">
      <c r="A2865" s="64" t="str">
        <f t="shared" si="45"/>
        <v>1w</v>
      </c>
      <c r="B2865" s="203">
        <f>_xll.qlCalendarAdvance(Calendar,B2864,A2865,"f",FALSE)</f>
        <v>58978</v>
      </c>
      <c r="C2865" s="237">
        <f>_xll.qlCalendarAdvance(Calendar,B2865,NDays&amp;"D")</f>
        <v>58980</v>
      </c>
      <c r="D2865" s="202">
        <v>2.2897630060415074E-2</v>
      </c>
      <c r="E2865" s="202">
        <v>2.2736884124103796E-2</v>
      </c>
      <c r="U2865" s="204"/>
    </row>
    <row r="2866" spans="1:21" x14ac:dyDescent="0.2">
      <c r="A2866" s="64" t="str">
        <f t="shared" si="45"/>
        <v>1w</v>
      </c>
      <c r="B2866" s="203">
        <f>_xll.qlCalendarAdvance(Calendar,B2865,A2866,"f",FALSE)</f>
        <v>58985</v>
      </c>
      <c r="C2866" s="237">
        <f>_xll.qlCalendarAdvance(Calendar,B2866,NDays&amp;"D")</f>
        <v>58987</v>
      </c>
      <c r="D2866" s="202">
        <v>2.2900017225787991E-2</v>
      </c>
      <c r="E2866" s="202">
        <v>2.2738943092059927E-2</v>
      </c>
      <c r="U2866" s="204"/>
    </row>
    <row r="2867" spans="1:21" x14ac:dyDescent="0.2">
      <c r="A2867" s="64" t="str">
        <f t="shared" si="45"/>
        <v>1w</v>
      </c>
      <c r="B2867" s="203">
        <f>_xll.qlCalendarAdvance(Calendar,B2866,A2867,"f",FALSE)</f>
        <v>58992</v>
      </c>
      <c r="C2867" s="237">
        <f>_xll.qlCalendarAdvance(Calendar,B2867,NDays&amp;"D")</f>
        <v>58994</v>
      </c>
      <c r="D2867" s="202">
        <v>2.2905146758161625E-2</v>
      </c>
      <c r="E2867" s="202">
        <v>2.2741025204542353E-2</v>
      </c>
      <c r="U2867" s="204"/>
    </row>
    <row r="2868" spans="1:21" x14ac:dyDescent="0.2">
      <c r="A2868" s="64" t="str">
        <f t="shared" si="45"/>
        <v>1w</v>
      </c>
      <c r="B2868" s="203">
        <f>_xll.qlCalendarAdvance(Calendar,B2867,A2868,"f",FALSE)</f>
        <v>58999</v>
      </c>
      <c r="C2868" s="237">
        <f>_xll.qlCalendarAdvance(Calendar,B2868,NDays&amp;"D")</f>
        <v>59001</v>
      </c>
      <c r="D2868" s="202">
        <v>2.2907586234891922E-2</v>
      </c>
      <c r="E2868" s="202">
        <v>2.2743130461631011E-2</v>
      </c>
      <c r="U2868" s="204"/>
    </row>
    <row r="2869" spans="1:21" x14ac:dyDescent="0.2">
      <c r="A2869" s="64" t="str">
        <f t="shared" si="45"/>
        <v>1w</v>
      </c>
      <c r="B2869" s="203">
        <f>_xll.qlCalendarAdvance(Calendar,B2868,A2869,"f",FALSE)</f>
        <v>59006</v>
      </c>
      <c r="C2869" s="237">
        <f>_xll.qlCalendarAdvance(Calendar,B2869,NDays&amp;"D")</f>
        <v>59008</v>
      </c>
      <c r="D2869" s="202">
        <v>2.291004913168123E-2</v>
      </c>
      <c r="E2869" s="202">
        <v>2.2745258863166029E-2</v>
      </c>
      <c r="U2869" s="204"/>
    </row>
    <row r="2870" spans="1:21" x14ac:dyDescent="0.2">
      <c r="A2870" s="64" t="str">
        <f t="shared" si="45"/>
        <v>1w</v>
      </c>
      <c r="B2870" s="203">
        <f>_xll.qlCalendarAdvance(Calendar,B2869,A2870,"f",FALSE)</f>
        <v>59013</v>
      </c>
      <c r="C2870" s="237">
        <f>_xll.qlCalendarAdvance(Calendar,B2870,NDays&amp;"D")</f>
        <v>59015</v>
      </c>
      <c r="D2870" s="202">
        <v>2.2912535448618081E-2</v>
      </c>
      <c r="E2870" s="202">
        <v>2.2747410409387214E-2</v>
      </c>
      <c r="U2870" s="204"/>
    </row>
    <row r="2871" spans="1:21" x14ac:dyDescent="0.2">
      <c r="A2871" s="64" t="str">
        <f t="shared" si="45"/>
        <v>1w</v>
      </c>
      <c r="B2871" s="203">
        <f>_xll.qlCalendarAdvance(Calendar,B2870,A2871,"f",FALSE)</f>
        <v>59020</v>
      </c>
      <c r="C2871" s="237">
        <f>_xll.qlCalendarAdvance(Calendar,B2871,NDays&amp;"D")</f>
        <v>59022</v>
      </c>
      <c r="D2871" s="202">
        <v>2.2915045185791003E-2</v>
      </c>
      <c r="E2871" s="202">
        <v>2.2749585100054759E-2</v>
      </c>
      <c r="U2871" s="204"/>
    </row>
    <row r="2872" spans="1:21" x14ac:dyDescent="0.2">
      <c r="A2872" s="64" t="str">
        <f t="shared" si="45"/>
        <v>1w</v>
      </c>
      <c r="B2872" s="203">
        <f>_xll.qlCalendarAdvance(Calendar,B2871,A2872,"f",FALSE)</f>
        <v>59027</v>
      </c>
      <c r="C2872" s="237">
        <f>_xll.qlCalendarAdvance(Calendar,B2872,NDays&amp;"D")</f>
        <v>59029</v>
      </c>
      <c r="D2872" s="202">
        <v>2.2917578343290251E-2</v>
      </c>
      <c r="E2872" s="202">
        <v>2.2751782935248599E-2</v>
      </c>
      <c r="U2872" s="204"/>
    </row>
    <row r="2873" spans="1:21" x14ac:dyDescent="0.2">
      <c r="A2873" s="64" t="str">
        <f t="shared" si="45"/>
        <v>1w</v>
      </c>
      <c r="B2873" s="203">
        <f>_xll.qlCalendarAdvance(Calendar,B2872,A2873,"f",FALSE)</f>
        <v>59034</v>
      </c>
      <c r="C2873" s="237">
        <f>_xll.qlCalendarAdvance(Calendar,B2873,NDays&amp;"D")</f>
        <v>59036</v>
      </c>
      <c r="D2873" s="202">
        <v>2.2920134921207359E-2</v>
      </c>
      <c r="E2873" s="202">
        <v>2.2754003915048671E-2</v>
      </c>
      <c r="U2873" s="204"/>
    </row>
    <row r="2874" spans="1:21" x14ac:dyDescent="0.2">
      <c r="A2874" s="64" t="str">
        <f t="shared" si="45"/>
        <v>1w</v>
      </c>
      <c r="B2874" s="203">
        <f>_xll.qlCalendarAdvance(Calendar,B2873,A2874,"f",FALSE)</f>
        <v>59041</v>
      </c>
      <c r="C2874" s="237">
        <f>_xll.qlCalendarAdvance(Calendar,B2874,NDays&amp;"D")</f>
        <v>59043</v>
      </c>
      <c r="D2874" s="202">
        <v>2.2922714919633873E-2</v>
      </c>
      <c r="E2874" s="202">
        <v>2.275624803953491E-2</v>
      </c>
      <c r="U2874" s="204"/>
    </row>
    <row r="2875" spans="1:21" x14ac:dyDescent="0.2">
      <c r="A2875" s="64" t="str">
        <f t="shared" si="45"/>
        <v>1w</v>
      </c>
      <c r="B2875" s="203">
        <f>_xll.qlCalendarAdvance(Calendar,B2874,A2875,"f",FALSE)</f>
        <v>59048</v>
      </c>
      <c r="C2875" s="237">
        <f>_xll.qlCalendarAdvance(Calendar,B2875,NDays&amp;"D")</f>
        <v>59050</v>
      </c>
      <c r="D2875" s="202">
        <v>2.292071454093347E-2</v>
      </c>
      <c r="E2875" s="202">
        <v>2.2758515308547445E-2</v>
      </c>
      <c r="U2875" s="204"/>
    </row>
    <row r="2876" spans="1:21" x14ac:dyDescent="0.2">
      <c r="A2876" s="64" t="str">
        <f t="shared" si="45"/>
        <v>1w</v>
      </c>
      <c r="B2876" s="203">
        <f>_xll.qlCalendarAdvance(Calendar,B2875,A2876,"f",FALSE)</f>
        <v>59055</v>
      </c>
      <c r="C2876" s="237">
        <f>_xll.qlCalendarAdvance(Calendar,B2876,NDays&amp;"D")</f>
        <v>59057</v>
      </c>
      <c r="D2876" s="202">
        <v>2.2923332187339843E-2</v>
      </c>
      <c r="E2876" s="202">
        <v>2.2760805722006339E-2</v>
      </c>
      <c r="U2876" s="204"/>
    </row>
    <row r="2877" spans="1:21" x14ac:dyDescent="0.2">
      <c r="A2877" s="64" t="str">
        <f t="shared" si="45"/>
        <v>1w</v>
      </c>
      <c r="B2877" s="203">
        <f>_xll.qlCalendarAdvance(Calendar,B2876,A2877,"f",FALSE)</f>
        <v>59062</v>
      </c>
      <c r="C2877" s="237">
        <f>_xll.qlCalendarAdvance(Calendar,B2877,NDays&amp;"D")</f>
        <v>59064</v>
      </c>
      <c r="D2877" s="202">
        <v>2.2925973246993248E-2</v>
      </c>
      <c r="E2877" s="202">
        <v>2.2763119280071464E-2</v>
      </c>
      <c r="U2877" s="204"/>
    </row>
    <row r="2878" spans="1:21" x14ac:dyDescent="0.2">
      <c r="A2878" s="64" t="str">
        <f t="shared" si="45"/>
        <v>1w</v>
      </c>
      <c r="B2878" s="203">
        <f>_xll.qlCalendarAdvance(Calendar,B2877,A2878,"f",FALSE)</f>
        <v>59069</v>
      </c>
      <c r="C2878" s="237">
        <f>_xll.qlCalendarAdvance(Calendar,B2878,NDays&amp;"D")</f>
        <v>59071</v>
      </c>
      <c r="D2878" s="202">
        <v>2.2928637719985986E-2</v>
      </c>
      <c r="E2878" s="202">
        <v>2.2765455982662886E-2</v>
      </c>
      <c r="U2878" s="204"/>
    </row>
    <row r="2879" spans="1:21" x14ac:dyDescent="0.2">
      <c r="A2879" s="64" t="str">
        <f t="shared" si="45"/>
        <v>1w</v>
      </c>
      <c r="B2879" s="203">
        <f>_xll.qlCalendarAdvance(Calendar,B2878,A2879,"f",FALSE)</f>
        <v>59076</v>
      </c>
      <c r="C2879" s="237">
        <f>_xll.qlCalendarAdvance(Calendar,B2879,NDays&amp;"D")</f>
        <v>59078</v>
      </c>
      <c r="D2879" s="202">
        <v>2.2931325606411247E-2</v>
      </c>
      <c r="E2879" s="202">
        <v>2.2767815829780602E-2</v>
      </c>
      <c r="U2879" s="204"/>
    </row>
    <row r="2880" spans="1:21" x14ac:dyDescent="0.2">
      <c r="A2880" s="64" t="str">
        <f t="shared" si="45"/>
        <v>1w</v>
      </c>
      <c r="B2880" s="203">
        <f>_xll.qlCalendarAdvance(Calendar,B2879,A2880,"f",FALSE)</f>
        <v>59083</v>
      </c>
      <c r="C2880" s="237">
        <f>_xll.qlCalendarAdvance(Calendar,B2880,NDays&amp;"D")</f>
        <v>59085</v>
      </c>
      <c r="D2880" s="202">
        <v>2.2934966443009866E-2</v>
      </c>
      <c r="E2880" s="202">
        <v>2.2770198821424614E-2</v>
      </c>
      <c r="U2880" s="204"/>
    </row>
    <row r="2881" spans="1:21" x14ac:dyDescent="0.2">
      <c r="A2881" s="64" t="str">
        <f t="shared" si="45"/>
        <v>1w</v>
      </c>
      <c r="B2881" s="203">
        <f>_xll.qlCalendarAdvance(Calendar,B2880,A2881,"f",FALSE)</f>
        <v>59090</v>
      </c>
      <c r="C2881" s="237">
        <f>_xll.qlCalendarAdvance(Calendar,B2881,NDays&amp;"D")</f>
        <v>59092</v>
      </c>
      <c r="D2881" s="202">
        <v>2.2937703002340656E-2</v>
      </c>
      <c r="E2881" s="202">
        <v>2.2772604957754794E-2</v>
      </c>
      <c r="U2881" s="204"/>
    </row>
    <row r="2882" spans="1:21" x14ac:dyDescent="0.2">
      <c r="A2882" s="64" t="str">
        <f t="shared" si="45"/>
        <v>1w</v>
      </c>
      <c r="B2882" s="203">
        <f>_xll.qlCalendarAdvance(Calendar,B2881,A2882,"f",FALSE)</f>
        <v>59097</v>
      </c>
      <c r="C2882" s="237">
        <f>_xll.qlCalendarAdvance(Calendar,B2882,NDays&amp;"D")</f>
        <v>59099</v>
      </c>
      <c r="D2882" s="202">
        <v>2.2940462976899004E-2</v>
      </c>
      <c r="E2882" s="202">
        <v>2.2775034238611269E-2</v>
      </c>
      <c r="U2882" s="204"/>
    </row>
    <row r="2883" spans="1:21" x14ac:dyDescent="0.2">
      <c r="A2883" s="64" t="str">
        <f t="shared" si="45"/>
        <v>1w</v>
      </c>
      <c r="B2883" s="203">
        <f>_xll.qlCalendarAdvance(Calendar,B2882,A2883,"f",FALSE)</f>
        <v>59104</v>
      </c>
      <c r="C2883" s="237">
        <f>_xll.qlCalendarAdvance(Calendar,B2883,NDays&amp;"D")</f>
        <v>59106</v>
      </c>
      <c r="D2883" s="202">
        <v>2.2943246366780658E-2</v>
      </c>
      <c r="E2883" s="202">
        <v>2.2777486663914104E-2</v>
      </c>
      <c r="U2883" s="204"/>
    </row>
    <row r="2884" spans="1:21" x14ac:dyDescent="0.2">
      <c r="A2884" s="64" t="str">
        <f t="shared" si="45"/>
        <v>1w</v>
      </c>
      <c r="B2884" s="203">
        <f>_xll.qlCalendarAdvance(Calendar,B2883,A2884,"f",FALSE)</f>
        <v>59111</v>
      </c>
      <c r="C2884" s="237">
        <f>_xll.qlCalendarAdvance(Calendar,B2884,NDays&amp;"D")</f>
        <v>59113</v>
      </c>
      <c r="D2884" s="202">
        <v>2.29451162433367E-2</v>
      </c>
      <c r="E2884" s="202">
        <v>2.2779962233903106E-2</v>
      </c>
      <c r="U2884" s="204"/>
    </row>
    <row r="2885" spans="1:21" x14ac:dyDescent="0.2">
      <c r="A2885" s="64" t="str">
        <f t="shared" si="45"/>
        <v>1w</v>
      </c>
      <c r="B2885" s="203">
        <f>_xll.qlCalendarAdvance(Calendar,B2884,A2885,"f",FALSE)</f>
        <v>59118</v>
      </c>
      <c r="C2885" s="237">
        <f>_xll.qlCalendarAdvance(Calendar,B2885,NDays&amp;"D")</f>
        <v>59120</v>
      </c>
      <c r="D2885" s="202">
        <v>2.2947944612356354E-2</v>
      </c>
      <c r="E2885" s="202">
        <v>2.278246094849834E-2</v>
      </c>
      <c r="U2885" s="204"/>
    </row>
    <row r="2886" spans="1:21" x14ac:dyDescent="0.2">
      <c r="A2886" s="64" t="str">
        <f t="shared" si="45"/>
        <v>1w</v>
      </c>
      <c r="B2886" s="203">
        <f>_xll.qlCalendarAdvance(Calendar,B2885,A2886,"f",FALSE)</f>
        <v>59125</v>
      </c>
      <c r="C2886" s="237">
        <f>_xll.qlCalendarAdvance(Calendar,B2886,NDays&amp;"D")</f>
        <v>59127</v>
      </c>
      <c r="D2886" s="202">
        <v>2.2950796395482906E-2</v>
      </c>
      <c r="E2886" s="202">
        <v>2.2784982807619869E-2</v>
      </c>
      <c r="U2886" s="204"/>
    </row>
    <row r="2887" spans="1:21" x14ac:dyDescent="0.2">
      <c r="A2887" s="64" t="str">
        <f t="shared" ref="A2887:A2950" si="46">A2886</f>
        <v>1w</v>
      </c>
      <c r="B2887" s="203">
        <f>_xll.qlCalendarAdvance(Calendar,B2886,A2887,"f",FALSE)</f>
        <v>59132</v>
      </c>
      <c r="C2887" s="237">
        <f>_xll.qlCalendarAdvance(Calendar,B2887,NDays&amp;"D")</f>
        <v>59134</v>
      </c>
      <c r="D2887" s="202">
        <v>2.2953671592813953E-2</v>
      </c>
      <c r="E2887" s="202">
        <v>2.2787527811187758E-2</v>
      </c>
      <c r="U2887" s="204"/>
    </row>
    <row r="2888" spans="1:21" x14ac:dyDescent="0.2">
      <c r="A2888" s="64" t="str">
        <f t="shared" si="46"/>
        <v>1w</v>
      </c>
      <c r="B2888" s="203">
        <f>_xll.qlCalendarAdvance(Calendar,B2887,A2888,"f",FALSE)</f>
        <v>59139</v>
      </c>
      <c r="C2888" s="237">
        <f>_xll.qlCalendarAdvance(Calendar,B2888,NDays&amp;"D")</f>
        <v>59141</v>
      </c>
      <c r="D2888" s="202">
        <v>2.295751454950521E-2</v>
      </c>
      <c r="E2888" s="202">
        <v>2.2790095959361878E-2</v>
      </c>
      <c r="U2888" s="204"/>
    </row>
    <row r="2889" spans="1:21" x14ac:dyDescent="0.2">
      <c r="A2889" s="64" t="str">
        <f t="shared" si="46"/>
        <v>1w</v>
      </c>
      <c r="B2889" s="203">
        <f>_xll.qlCalendarAdvance(Calendar,B2888,A2889,"f",FALSE)</f>
        <v>59146</v>
      </c>
      <c r="C2889" s="237">
        <f>_xll.qlCalendarAdvance(Calendar,B2889,NDays&amp;"D")</f>
        <v>59148</v>
      </c>
      <c r="D2889" s="202">
        <v>2.2960438433414703E-2</v>
      </c>
      <c r="E2889" s="202">
        <v>2.2792687252302102E-2</v>
      </c>
      <c r="U2889" s="204"/>
    </row>
    <row r="2890" spans="1:21" x14ac:dyDescent="0.2">
      <c r="A2890" s="64" t="str">
        <f t="shared" si="46"/>
        <v>1w</v>
      </c>
      <c r="B2890" s="203">
        <f>_xll.qlCalendarAdvance(Calendar,B2889,A2890,"f",FALSE)</f>
        <v>59153</v>
      </c>
      <c r="C2890" s="237">
        <f>_xll.qlCalendarAdvance(Calendar,B2890,NDays&amp;"D")</f>
        <v>59155</v>
      </c>
      <c r="D2890" s="202">
        <v>2.2963385733348482E-2</v>
      </c>
      <c r="E2890" s="202">
        <v>2.2795301689448877E-2</v>
      </c>
      <c r="U2890" s="204"/>
    </row>
    <row r="2891" spans="1:21" x14ac:dyDescent="0.2">
      <c r="A2891" s="64" t="str">
        <f t="shared" si="46"/>
        <v>1w</v>
      </c>
      <c r="B2891" s="203">
        <f>_xll.qlCalendarAdvance(Calendar,B2890,A2891,"f",FALSE)</f>
        <v>59160</v>
      </c>
      <c r="C2891" s="237">
        <f>_xll.qlCalendarAdvance(Calendar,B2891,NDays&amp;"D")</f>
        <v>59162</v>
      </c>
      <c r="D2891" s="202">
        <v>2.2966356449411956E-2</v>
      </c>
      <c r="E2891" s="202">
        <v>2.279793927128182E-2</v>
      </c>
      <c r="U2891" s="204"/>
    </row>
    <row r="2892" spans="1:21" x14ac:dyDescent="0.2">
      <c r="A2892" s="64" t="str">
        <f t="shared" si="46"/>
        <v>1w</v>
      </c>
      <c r="B2892" s="203">
        <f>_xll.qlCalendarAdvance(Calendar,B2891,A2892,"f",FALSE)</f>
        <v>59167</v>
      </c>
      <c r="C2892" s="237">
        <f>_xll.qlCalendarAdvance(Calendar,B2892,NDays&amp;"D")</f>
        <v>59169</v>
      </c>
      <c r="D2892" s="202">
        <v>2.2969350581708778E-2</v>
      </c>
      <c r="E2892" s="202">
        <v>2.2800599997960802E-2</v>
      </c>
      <c r="U2892" s="204"/>
    </row>
    <row r="2893" spans="1:21" x14ac:dyDescent="0.2">
      <c r="A2893" s="64" t="str">
        <f t="shared" si="46"/>
        <v>1w</v>
      </c>
      <c r="B2893" s="203">
        <f>_xll.qlCalendarAdvance(Calendar,B2892,A2893,"f",FALSE)</f>
        <v>59174</v>
      </c>
      <c r="C2893" s="237">
        <f>_xll.qlCalendarAdvance(Calendar,B2893,NDays&amp;"D")</f>
        <v>59176</v>
      </c>
      <c r="D2893" s="202">
        <v>2.2971414480810793E-2</v>
      </c>
      <c r="E2893" s="202">
        <v>2.2803283868926272E-2</v>
      </c>
      <c r="U2893" s="204"/>
    </row>
    <row r="2894" spans="1:21" x14ac:dyDescent="0.2">
      <c r="A2894" s="64" t="str">
        <f t="shared" si="46"/>
        <v>1w</v>
      </c>
      <c r="B2894" s="203">
        <f>_xll.qlCalendarAdvance(Calendar,B2893,A2894,"f",FALSE)</f>
        <v>59181</v>
      </c>
      <c r="C2894" s="237">
        <f>_xll.qlCalendarAdvance(Calendar,B2894,NDays&amp;"D")</f>
        <v>59183</v>
      </c>
      <c r="D2894" s="202">
        <v>2.2974453580440427E-2</v>
      </c>
      <c r="E2894" s="202">
        <v>2.2805990884418037E-2</v>
      </c>
      <c r="U2894" s="204"/>
    </row>
    <row r="2895" spans="1:21" x14ac:dyDescent="0.2">
      <c r="A2895" s="64" t="str">
        <f t="shared" si="46"/>
        <v>1w</v>
      </c>
      <c r="B2895" s="203">
        <f>_xll.qlCalendarAdvance(Calendar,B2894,A2895,"f",FALSE)</f>
        <v>59188</v>
      </c>
      <c r="C2895" s="237">
        <f>_xll.qlCalendarAdvance(Calendar,B2895,NDays&amp;"D")</f>
        <v>59190</v>
      </c>
      <c r="D2895" s="202">
        <v>2.2977516095103068E-2</v>
      </c>
      <c r="E2895" s="202">
        <v>2.2808721044675906E-2</v>
      </c>
      <c r="U2895" s="204"/>
    </row>
    <row r="2896" spans="1:21" x14ac:dyDescent="0.2">
      <c r="A2896" s="64" t="str">
        <f t="shared" si="46"/>
        <v>1w</v>
      </c>
      <c r="B2896" s="203">
        <f>_xll.qlCalendarAdvance(Calendar,B2895,A2896,"f",FALSE)</f>
        <v>59195</v>
      </c>
      <c r="C2896" s="237">
        <f>_xll.qlCalendarAdvance(Calendar,B2896,NDays&amp;"D")</f>
        <v>59197</v>
      </c>
      <c r="D2896" s="202">
        <v>2.2980602024904265E-2</v>
      </c>
      <c r="E2896" s="202">
        <v>2.2811474349380134E-2</v>
      </c>
      <c r="U2896" s="204"/>
    </row>
    <row r="2897" spans="1:21" x14ac:dyDescent="0.2">
      <c r="A2897" s="64" t="str">
        <f t="shared" si="46"/>
        <v>1w</v>
      </c>
      <c r="B2897" s="203">
        <f>_xll.qlCalendarAdvance(Calendar,B2896,A2897,"f",FALSE)</f>
        <v>59202</v>
      </c>
      <c r="C2897" s="237">
        <f>_xll.qlCalendarAdvance(Calendar,B2897,NDays&amp;"D")</f>
        <v>59204</v>
      </c>
      <c r="D2897" s="202">
        <v>2.2983711369952219E-2</v>
      </c>
      <c r="E2897" s="202">
        <v>2.2814250798690594E-2</v>
      </c>
      <c r="U2897" s="204"/>
    </row>
    <row r="2898" spans="1:21" x14ac:dyDescent="0.2">
      <c r="A2898" s="64" t="str">
        <f t="shared" si="46"/>
        <v>1w</v>
      </c>
      <c r="B2898" s="203">
        <f>_xll.qlCalendarAdvance(Calendar,B2897,A2898,"f",FALSE)</f>
        <v>59209</v>
      </c>
      <c r="C2898" s="237">
        <f>_xll.qlCalendarAdvance(Calendar,B2898,NDays&amp;"D")</f>
        <v>59211</v>
      </c>
      <c r="D2898" s="202">
        <v>2.2986844130354692E-2</v>
      </c>
      <c r="E2898" s="202">
        <v>2.2817050392447413E-2</v>
      </c>
      <c r="U2898" s="204"/>
    </row>
    <row r="2899" spans="1:21" x14ac:dyDescent="0.2">
      <c r="A2899" s="64" t="str">
        <f t="shared" si="46"/>
        <v>1w</v>
      </c>
      <c r="B2899" s="203">
        <f>_xll.qlCalendarAdvance(Calendar,B2898,A2899,"f",FALSE)</f>
        <v>59216</v>
      </c>
      <c r="C2899" s="237">
        <f>_xll.qlCalendarAdvance(Calendar,B2899,NDays&amp;"D")</f>
        <v>59218</v>
      </c>
      <c r="D2899" s="202">
        <v>2.2990000306222089E-2</v>
      </c>
      <c r="E2899" s="202">
        <v>2.28198731308904E-2</v>
      </c>
      <c r="U2899" s="204"/>
    </row>
    <row r="2900" spans="1:21" x14ac:dyDescent="0.2">
      <c r="A2900" s="64" t="str">
        <f t="shared" si="46"/>
        <v>1w</v>
      </c>
      <c r="B2900" s="203">
        <f>_xll.qlCalendarAdvance(Calendar,B2899,A2900,"f",FALSE)</f>
        <v>59223</v>
      </c>
      <c r="C2900" s="237">
        <f>_xll.qlCalendarAdvance(Calendar,B2900,NDays&amp;"D")</f>
        <v>59225</v>
      </c>
      <c r="D2900" s="202">
        <v>2.2993179897663939E-2</v>
      </c>
      <c r="E2900" s="202">
        <v>2.2822719013859682E-2</v>
      </c>
      <c r="U2900" s="204"/>
    </row>
    <row r="2901" spans="1:21" x14ac:dyDescent="0.2">
      <c r="A2901" s="64" t="str">
        <f t="shared" si="46"/>
        <v>1w</v>
      </c>
      <c r="B2901" s="203">
        <f>_xll.qlCalendarAdvance(Calendar,B2900,A2901,"f",FALSE)</f>
        <v>59230</v>
      </c>
      <c r="C2901" s="237">
        <f>_xll.qlCalendarAdvance(Calendar,B2901,NDays&amp;"D")</f>
        <v>59232</v>
      </c>
      <c r="D2901" s="202">
        <v>2.3001228187727263E-2</v>
      </c>
      <c r="E2901" s="202">
        <v>2.282558804135526E-2</v>
      </c>
      <c r="U2901" s="204"/>
    </row>
    <row r="2902" spans="1:21" x14ac:dyDescent="0.2">
      <c r="A2902" s="64" t="str">
        <f t="shared" si="46"/>
        <v>1w</v>
      </c>
      <c r="B2902" s="203">
        <f>_xll.qlCalendarAdvance(Calendar,B2901,A2902,"f",FALSE)</f>
        <v>59237</v>
      </c>
      <c r="C2902" s="237">
        <f>_xll.qlCalendarAdvance(Calendar,B2902,NDays&amp;"D")</f>
        <v>59239</v>
      </c>
      <c r="D2902" s="202">
        <v>2.3004464001055942E-2</v>
      </c>
      <c r="E2902" s="202">
        <v>2.2828480213537006E-2</v>
      </c>
      <c r="U2902" s="204"/>
    </row>
    <row r="2903" spans="1:21" x14ac:dyDescent="0.2">
      <c r="A2903" s="64" t="str">
        <f t="shared" si="46"/>
        <v>1w</v>
      </c>
      <c r="B2903" s="203">
        <f>_xll.qlCalendarAdvance(Calendar,B2902,A2903,"f",FALSE)</f>
        <v>59244</v>
      </c>
      <c r="C2903" s="237">
        <f>_xll.qlCalendarAdvance(Calendar,B2903,NDays&amp;"D")</f>
        <v>59246</v>
      </c>
      <c r="D2903" s="202">
        <v>2.3007723237918276E-2</v>
      </c>
      <c r="E2903" s="202">
        <v>2.2831395530245047E-2</v>
      </c>
      <c r="U2903" s="204"/>
    </row>
    <row r="2904" spans="1:21" x14ac:dyDescent="0.2">
      <c r="A2904" s="64" t="str">
        <f t="shared" si="46"/>
        <v>1w</v>
      </c>
      <c r="B2904" s="203">
        <f>_xll.qlCalendarAdvance(Calendar,B2903,A2904,"f",FALSE)</f>
        <v>59251</v>
      </c>
      <c r="C2904" s="237">
        <f>_xll.qlCalendarAdvance(Calendar,B2904,NDays&amp;"D")</f>
        <v>59253</v>
      </c>
      <c r="D2904" s="202">
        <v>2.3011005898432014E-2</v>
      </c>
      <c r="E2904" s="202">
        <v>2.2838075377720202E-2</v>
      </c>
      <c r="U2904" s="204"/>
    </row>
    <row r="2905" spans="1:21" x14ac:dyDescent="0.2">
      <c r="A2905" s="64" t="str">
        <f t="shared" si="46"/>
        <v>1w</v>
      </c>
      <c r="B2905" s="203">
        <f>_xll.qlCalendarAdvance(Calendar,B2904,A2905,"f",FALSE)</f>
        <v>59258</v>
      </c>
      <c r="C2905" s="237">
        <f>_xll.qlCalendarAdvance(Calendar,B2905,NDays&amp;"D")</f>
        <v>59260</v>
      </c>
      <c r="D2905" s="202">
        <v>2.3011381584382703E-2</v>
      </c>
      <c r="E2905" s="202">
        <v>2.2837295597240015E-2</v>
      </c>
      <c r="U2905" s="204"/>
    </row>
    <row r="2906" spans="1:21" x14ac:dyDescent="0.2">
      <c r="A2906" s="64" t="str">
        <f t="shared" si="46"/>
        <v>1w</v>
      </c>
      <c r="B2906" s="203">
        <f>_xll.qlCalendarAdvance(Calendar,B2905,A2906,"f",FALSE)</f>
        <v>59265</v>
      </c>
      <c r="C2906" s="237">
        <f>_xll.qlCalendarAdvance(Calendar,B2906,NDays&amp;"D")</f>
        <v>59267</v>
      </c>
      <c r="D2906" s="202">
        <v>2.3014705439306896E-2</v>
      </c>
      <c r="E2906" s="202">
        <v>2.284028034776675E-2</v>
      </c>
      <c r="U2906" s="204"/>
    </row>
    <row r="2907" spans="1:21" x14ac:dyDescent="0.2">
      <c r="A2907" s="64" t="str">
        <f t="shared" si="46"/>
        <v>1w</v>
      </c>
      <c r="B2907" s="203">
        <f>_xll.qlCalendarAdvance(Calendar,B2906,A2907,"f",FALSE)</f>
        <v>59272</v>
      </c>
      <c r="C2907" s="237">
        <f>_xll.qlCalendarAdvance(Calendar,B2907,NDays&amp;"D")</f>
        <v>59274</v>
      </c>
      <c r="D2907" s="202">
        <v>2.3018052713654868E-2</v>
      </c>
      <c r="E2907" s="202">
        <v>2.2843288242739845E-2</v>
      </c>
      <c r="U2907" s="204"/>
    </row>
    <row r="2908" spans="1:21" x14ac:dyDescent="0.2">
      <c r="A2908" s="64" t="str">
        <f t="shared" si="46"/>
        <v>1w</v>
      </c>
      <c r="B2908" s="203">
        <f>_xll.qlCalendarAdvance(Calendar,B2907,A2908,"f",FALSE)</f>
        <v>59279</v>
      </c>
      <c r="C2908" s="237">
        <f>_xll.qlCalendarAdvance(Calendar,B2908,NDays&amp;"D")</f>
        <v>59281</v>
      </c>
      <c r="D2908" s="202">
        <v>2.3021423407543682E-2</v>
      </c>
      <c r="E2908" s="202">
        <v>2.2846319282239236E-2</v>
      </c>
      <c r="U2908" s="204"/>
    </row>
    <row r="2909" spans="1:21" x14ac:dyDescent="0.2">
      <c r="A2909" s="64" t="str">
        <f t="shared" si="46"/>
        <v>1w</v>
      </c>
      <c r="B2909" s="203">
        <f>_xll.qlCalendarAdvance(Calendar,B2908,A2909,"f",FALSE)</f>
        <v>59286</v>
      </c>
      <c r="C2909" s="237">
        <f>_xll.qlCalendarAdvance(Calendar,B2909,NDays&amp;"D")</f>
        <v>59288</v>
      </c>
      <c r="D2909" s="202">
        <v>2.3024817521094334E-2</v>
      </c>
      <c r="E2909" s="202">
        <v>2.2849373466344858E-2</v>
      </c>
      <c r="U2909" s="204"/>
    </row>
    <row r="2910" spans="1:21" x14ac:dyDescent="0.2">
      <c r="A2910" s="64" t="str">
        <f t="shared" si="46"/>
        <v>1w</v>
      </c>
      <c r="B2910" s="203">
        <f>_xll.qlCalendarAdvance(Calendar,B2909,A2910,"f",FALSE)</f>
        <v>59293</v>
      </c>
      <c r="C2910" s="237">
        <f>_xll.qlCalendarAdvance(Calendar,B2910,NDays&amp;"D")</f>
        <v>59295</v>
      </c>
      <c r="D2910" s="202">
        <v>2.3031193764844551E-2</v>
      </c>
      <c r="E2910" s="202">
        <v>2.2852450795216583E-2</v>
      </c>
      <c r="U2910" s="204"/>
    </row>
    <row r="2911" spans="1:21" x14ac:dyDescent="0.2">
      <c r="A2911" s="64" t="str">
        <f t="shared" si="46"/>
        <v>1w</v>
      </c>
      <c r="B2911" s="203">
        <f>_xll.qlCalendarAdvance(Calendar,B2910,A2911,"f",FALSE)</f>
        <v>59300</v>
      </c>
      <c r="C2911" s="237">
        <f>_xll.qlCalendarAdvance(Calendar,B2911,NDays&amp;"D")</f>
        <v>59302</v>
      </c>
      <c r="D2911" s="202">
        <v>2.3034640394261688E-2</v>
      </c>
      <c r="E2911" s="202">
        <v>2.2855551268454732E-2</v>
      </c>
      <c r="U2911" s="204"/>
    </row>
    <row r="2912" spans="1:21" x14ac:dyDescent="0.2">
      <c r="A2912" s="64" t="str">
        <f t="shared" si="46"/>
        <v>1w</v>
      </c>
      <c r="B2912" s="203">
        <f>_xll.qlCalendarAdvance(Calendar,B2911,A2912,"f",FALSE)</f>
        <v>59307</v>
      </c>
      <c r="C2912" s="237">
        <f>_xll.qlCalendarAdvance(Calendar,B2912,NDays&amp;"D")</f>
        <v>59309</v>
      </c>
      <c r="D2912" s="202">
        <v>2.3038110448295051E-2</v>
      </c>
      <c r="E2912" s="202">
        <v>2.2858674886299113E-2</v>
      </c>
      <c r="U2912" s="204"/>
    </row>
    <row r="2913" spans="1:21" x14ac:dyDescent="0.2">
      <c r="A2913" s="64" t="str">
        <f t="shared" si="46"/>
        <v>1w</v>
      </c>
      <c r="B2913" s="203">
        <f>_xll.qlCalendarAdvance(Calendar,B2912,A2913,"f",FALSE)</f>
        <v>59314</v>
      </c>
      <c r="C2913" s="237">
        <f>_xll.qlCalendarAdvance(Calendar,B2913,NDays&amp;"D")</f>
        <v>59316</v>
      </c>
      <c r="D2913" s="202">
        <v>2.304160392707056E-2</v>
      </c>
      <c r="E2913" s="202">
        <v>2.2861821648669789E-2</v>
      </c>
      <c r="U2913" s="204"/>
    </row>
    <row r="2914" spans="1:21" x14ac:dyDescent="0.2">
      <c r="A2914" s="64" t="str">
        <f t="shared" si="46"/>
        <v>1w</v>
      </c>
      <c r="B2914" s="203">
        <f>_xll.qlCalendarAdvance(Calendar,B2913,A2914,"f",FALSE)</f>
        <v>59321</v>
      </c>
      <c r="C2914" s="237">
        <f>_xll.qlCalendarAdvance(Calendar,B2914,NDays&amp;"D")</f>
        <v>59323</v>
      </c>
      <c r="D2914" s="202">
        <v>2.3042139387975957E-2</v>
      </c>
      <c r="E2914" s="202">
        <v>2.2864991555726633E-2</v>
      </c>
      <c r="U2914" s="204"/>
    </row>
    <row r="2915" spans="1:21" x14ac:dyDescent="0.2">
      <c r="A2915" s="64" t="str">
        <f t="shared" si="46"/>
        <v>1w</v>
      </c>
      <c r="B2915" s="203">
        <f>_xll.qlCalendarAdvance(Calendar,B2914,A2915,"f",FALSE)</f>
        <v>59328</v>
      </c>
      <c r="C2915" s="237">
        <f>_xll.qlCalendarAdvance(Calendar,B2915,NDays&amp;"D")</f>
        <v>59330</v>
      </c>
      <c r="D2915" s="202">
        <v>2.3045674022033752E-2</v>
      </c>
      <c r="E2915" s="202">
        <v>2.2868184607309772E-2</v>
      </c>
      <c r="U2915" s="204"/>
    </row>
    <row r="2916" spans="1:21" x14ac:dyDescent="0.2">
      <c r="A2916" s="64" t="str">
        <f t="shared" si="46"/>
        <v>1w</v>
      </c>
      <c r="B2916" s="203">
        <f>_xll.qlCalendarAdvance(Calendar,B2915,A2916,"f",FALSE)</f>
        <v>59335</v>
      </c>
      <c r="C2916" s="237">
        <f>_xll.qlCalendarAdvance(Calendar,B2916,NDays&amp;"D")</f>
        <v>59337</v>
      </c>
      <c r="D2916" s="202">
        <v>2.3049232076609093E-2</v>
      </c>
      <c r="E2916" s="202">
        <v>2.2871400803419206E-2</v>
      </c>
      <c r="U2916" s="204"/>
    </row>
    <row r="2917" spans="1:21" x14ac:dyDescent="0.2">
      <c r="A2917" s="64" t="str">
        <f t="shared" si="46"/>
        <v>1w</v>
      </c>
      <c r="B2917" s="203">
        <f>_xll.qlCalendarAdvance(Calendar,B2916,A2917,"f",FALSE)</f>
        <v>59342</v>
      </c>
      <c r="C2917" s="237">
        <f>_xll.qlCalendarAdvance(Calendar,B2917,NDays&amp;"D")</f>
        <v>59344</v>
      </c>
      <c r="D2917" s="202">
        <v>2.3052813551826035E-2</v>
      </c>
      <c r="E2917" s="202">
        <v>2.2874640144134872E-2</v>
      </c>
      <c r="U2917" s="204"/>
    </row>
    <row r="2918" spans="1:21" x14ac:dyDescent="0.2">
      <c r="A2918" s="64" t="str">
        <f t="shared" si="46"/>
        <v>1w</v>
      </c>
      <c r="B2918" s="203">
        <f>_xll.qlCalendarAdvance(Calendar,B2917,A2918,"f",FALSE)</f>
        <v>59349</v>
      </c>
      <c r="C2918" s="237">
        <f>_xll.qlCalendarAdvance(Calendar,B2918,NDays&amp;"D")</f>
        <v>59351</v>
      </c>
      <c r="D2918" s="202">
        <v>2.3056418447812126E-2</v>
      </c>
      <c r="E2918" s="202">
        <v>2.287790262945677E-2</v>
      </c>
      <c r="U2918" s="204"/>
    </row>
    <row r="2919" spans="1:21" x14ac:dyDescent="0.2">
      <c r="A2919" s="64" t="str">
        <f t="shared" si="46"/>
        <v>1w</v>
      </c>
      <c r="B2919" s="203">
        <f>_xll.qlCalendarAdvance(Calendar,B2918,A2919,"f",FALSE)</f>
        <v>59356</v>
      </c>
      <c r="C2919" s="237">
        <f>_xll.qlCalendarAdvance(Calendar,B2919,NDays&amp;"D")</f>
        <v>59358</v>
      </c>
      <c r="D2919" s="202">
        <v>2.3063056726367555E-2</v>
      </c>
      <c r="E2919" s="202">
        <v>2.2881188259384899E-2</v>
      </c>
      <c r="U2919" s="204"/>
    </row>
    <row r="2920" spans="1:21" x14ac:dyDescent="0.2">
      <c r="A2920" s="64" t="str">
        <f t="shared" si="46"/>
        <v>1w</v>
      </c>
      <c r="B2920" s="203">
        <f>_xll.qlCalendarAdvance(Calendar,B2919,A2920,"f",FALSE)</f>
        <v>59363</v>
      </c>
      <c r="C2920" s="237">
        <f>_xll.qlCalendarAdvance(Calendar,B2920,NDays&amp;"D")</f>
        <v>59365</v>
      </c>
      <c r="D2920" s="202">
        <v>2.3066714181888368E-2</v>
      </c>
      <c r="E2920" s="202">
        <v>2.2884497033839324E-2</v>
      </c>
      <c r="U2920" s="204"/>
    </row>
    <row r="2921" spans="1:21" x14ac:dyDescent="0.2">
      <c r="A2921" s="64" t="str">
        <f t="shared" si="46"/>
        <v>1w</v>
      </c>
      <c r="B2921" s="203">
        <f>_xll.qlCalendarAdvance(Calendar,B2920,A2921,"f",FALSE)</f>
        <v>59370</v>
      </c>
      <c r="C2921" s="237">
        <f>_xll.qlCalendarAdvance(Calendar,B2921,NDays&amp;"D")</f>
        <v>59372</v>
      </c>
      <c r="D2921" s="202">
        <v>2.3070395063177169E-2</v>
      </c>
      <c r="E2921" s="202">
        <v>2.2887828952820044E-2</v>
      </c>
      <c r="U2921" s="204"/>
    </row>
    <row r="2922" spans="1:21" x14ac:dyDescent="0.2">
      <c r="A2922" s="64" t="str">
        <f t="shared" si="46"/>
        <v>1w</v>
      </c>
      <c r="B2922" s="203">
        <f>_xll.qlCalendarAdvance(Calendar,B2921,A2922,"f",FALSE)</f>
        <v>59377</v>
      </c>
      <c r="C2922" s="237">
        <f>_xll.qlCalendarAdvance(Calendar,B2922,NDays&amp;"D")</f>
        <v>59379</v>
      </c>
      <c r="D2922" s="202">
        <v>2.3074099370365472E-2</v>
      </c>
      <c r="E2922" s="202">
        <v>2.2891184016566868E-2</v>
      </c>
      <c r="U2922" s="204"/>
    </row>
    <row r="2923" spans="1:21" x14ac:dyDescent="0.2">
      <c r="A2923" s="64" t="str">
        <f t="shared" si="46"/>
        <v>1w</v>
      </c>
      <c r="B2923" s="203">
        <f>_xll.qlCalendarAdvance(Calendar,B2922,A2923,"f",FALSE)</f>
        <v>59384</v>
      </c>
      <c r="C2923" s="237">
        <f>_xll.qlCalendarAdvance(Calendar,B2923,NDays&amp;"D")</f>
        <v>59386</v>
      </c>
      <c r="D2923" s="202">
        <v>2.3077827103586069E-2</v>
      </c>
      <c r="E2923" s="202">
        <v>2.2894562224760051E-2</v>
      </c>
      <c r="U2923" s="204"/>
    </row>
    <row r="2924" spans="1:21" x14ac:dyDescent="0.2">
      <c r="A2924" s="64" t="str">
        <f t="shared" si="46"/>
        <v>1w</v>
      </c>
      <c r="B2924" s="203">
        <f>_xll.qlCalendarAdvance(Calendar,B2923,A2924,"f",FALSE)</f>
        <v>59391</v>
      </c>
      <c r="C2924" s="237">
        <f>_xll.qlCalendarAdvance(Calendar,B2924,NDays&amp;"D")</f>
        <v>59393</v>
      </c>
      <c r="D2924" s="202">
        <v>2.3081578262973051E-2</v>
      </c>
      <c r="E2924" s="202">
        <v>2.2897963577559466E-2</v>
      </c>
      <c r="U2924" s="204"/>
    </row>
    <row r="2925" spans="1:21" x14ac:dyDescent="0.2">
      <c r="A2925" s="64" t="str">
        <f t="shared" si="46"/>
        <v>1w</v>
      </c>
      <c r="B2925" s="203">
        <f>_xll.qlCalendarAdvance(Calendar,B2924,A2925,"f",FALSE)</f>
        <v>59398</v>
      </c>
      <c r="C2925" s="237">
        <f>_xll.qlCalendarAdvance(Calendar,B2925,NDays&amp;"D")</f>
        <v>59400</v>
      </c>
      <c r="D2925" s="202">
        <v>2.3085352848660933E-2</v>
      </c>
      <c r="E2925" s="202">
        <v>2.2901388075045048E-2</v>
      </c>
      <c r="U2925" s="204"/>
    </row>
    <row r="2926" spans="1:21" x14ac:dyDescent="0.2">
      <c r="A2926" s="64" t="str">
        <f t="shared" si="46"/>
        <v>1w</v>
      </c>
      <c r="B2926" s="203">
        <f>_xll.qlCalendarAdvance(Calendar,B2925,A2926,"f",FALSE)</f>
        <v>59405</v>
      </c>
      <c r="C2926" s="237">
        <f>_xll.qlCalendarAdvance(Calendar,B2926,NDays&amp;"D")</f>
        <v>59407</v>
      </c>
      <c r="D2926" s="202">
        <v>2.3089150860784658E-2</v>
      </c>
      <c r="E2926" s="202">
        <v>2.2904835716897054E-2</v>
      </c>
      <c r="U2926" s="204"/>
    </row>
    <row r="2927" spans="1:21" x14ac:dyDescent="0.2">
      <c r="A2927" s="64" t="str">
        <f t="shared" si="46"/>
        <v>1w</v>
      </c>
      <c r="B2927" s="203">
        <f>_xll.qlCalendarAdvance(Calendar,B2926,A2927,"f",FALSE)</f>
        <v>59412</v>
      </c>
      <c r="C2927" s="237">
        <f>_xll.qlCalendarAdvance(Calendar,B2927,NDays&amp;"D")</f>
        <v>59414</v>
      </c>
      <c r="D2927" s="202">
        <v>2.3087880378822052E-2</v>
      </c>
      <c r="E2927" s="202">
        <v>2.2908306503435227E-2</v>
      </c>
      <c r="U2927" s="204"/>
    </row>
    <row r="2928" spans="1:21" x14ac:dyDescent="0.2">
      <c r="A2928" s="64" t="str">
        <f t="shared" si="46"/>
        <v>1w</v>
      </c>
      <c r="B2928" s="203">
        <f>_xll.qlCalendarAdvance(Calendar,B2927,A2928,"f",FALSE)</f>
        <v>59419</v>
      </c>
      <c r="C2928" s="237">
        <f>_xll.qlCalendarAdvance(Calendar,B2928,NDays&amp;"D")</f>
        <v>59421</v>
      </c>
      <c r="D2928" s="202">
        <v>2.3091715654406462E-2</v>
      </c>
      <c r="E2928" s="202">
        <v>2.2911800434579632E-2</v>
      </c>
      <c r="U2928" s="204"/>
    </row>
    <row r="2929" spans="1:21" x14ac:dyDescent="0.2">
      <c r="A2929" s="64" t="str">
        <f t="shared" si="46"/>
        <v>1w</v>
      </c>
      <c r="B2929" s="203">
        <f>_xll.qlCalendarAdvance(Calendar,B2928,A2929,"f",FALSE)</f>
        <v>59426</v>
      </c>
      <c r="C2929" s="237">
        <f>_xll.qlCalendarAdvance(Calendar,B2929,NDays&amp;"D")</f>
        <v>59428</v>
      </c>
      <c r="D2929" s="202">
        <v>2.3095574349117843E-2</v>
      </c>
      <c r="E2929" s="202">
        <v>2.2915317510330269E-2</v>
      </c>
      <c r="U2929" s="204"/>
    </row>
    <row r="2930" spans="1:21" x14ac:dyDescent="0.2">
      <c r="A2930" s="64" t="str">
        <f t="shared" si="46"/>
        <v>1w</v>
      </c>
      <c r="B2930" s="203">
        <f>_xll.qlCalendarAdvance(Calendar,B2929,A2930,"f",FALSE)</f>
        <v>59433</v>
      </c>
      <c r="C2930" s="237">
        <f>_xll.qlCalendarAdvance(Calendar,B2930,NDays&amp;"D")</f>
        <v>59435</v>
      </c>
      <c r="D2930" s="202">
        <v>2.3099456463088683E-2</v>
      </c>
      <c r="E2930" s="202">
        <v>2.2918857730527264E-2</v>
      </c>
      <c r="U2930" s="204"/>
    </row>
    <row r="2931" spans="1:21" x14ac:dyDescent="0.2">
      <c r="A2931" s="64" t="str">
        <f t="shared" si="46"/>
        <v>1w</v>
      </c>
      <c r="B2931" s="203">
        <f>_xll.qlCalendarAdvance(Calendar,B2930,A2931,"f",FALSE)</f>
        <v>59440</v>
      </c>
      <c r="C2931" s="237">
        <f>_xll.qlCalendarAdvance(Calendar,B2931,NDays&amp;"D")</f>
        <v>59442</v>
      </c>
      <c r="D2931" s="202">
        <v>2.3103361996455889E-2</v>
      </c>
      <c r="E2931" s="202">
        <v>2.29224210955703E-2</v>
      </c>
      <c r="U2931" s="204"/>
    </row>
    <row r="2932" spans="1:21" x14ac:dyDescent="0.2">
      <c r="A2932" s="64" t="str">
        <f t="shared" si="46"/>
        <v>1w</v>
      </c>
      <c r="B2932" s="203">
        <f>_xll.qlCalendarAdvance(Calendar,B2931,A2932,"f",FALSE)</f>
        <v>59447</v>
      </c>
      <c r="C2932" s="237">
        <f>_xll.qlCalendarAdvance(Calendar,B2932,NDays&amp;"D")</f>
        <v>59449</v>
      </c>
      <c r="D2932" s="202">
        <v>2.3108318483390709E-2</v>
      </c>
      <c r="E2932" s="202">
        <v>2.2926007604979759E-2</v>
      </c>
      <c r="U2932" s="204"/>
    </row>
    <row r="2933" spans="1:21" x14ac:dyDescent="0.2">
      <c r="A2933" s="64" t="str">
        <f t="shared" si="46"/>
        <v>1w</v>
      </c>
      <c r="B2933" s="203">
        <f>_xll.qlCalendarAdvance(Calendar,B2932,A2933,"f",FALSE)</f>
        <v>59454</v>
      </c>
      <c r="C2933" s="237">
        <f>_xll.qlCalendarAdvance(Calendar,B2933,NDays&amp;"D")</f>
        <v>59456</v>
      </c>
      <c r="D2933" s="202">
        <v>2.3112272781180578E-2</v>
      </c>
      <c r="E2933" s="202">
        <v>2.2929617259075386E-2</v>
      </c>
      <c r="U2933" s="204"/>
    </row>
    <row r="2934" spans="1:21" x14ac:dyDescent="0.2">
      <c r="A2934" s="64" t="str">
        <f t="shared" si="46"/>
        <v>1w</v>
      </c>
      <c r="B2934" s="203">
        <f>_xll.qlCalendarAdvance(Calendar,B2933,A2934,"f",FALSE)</f>
        <v>59461</v>
      </c>
      <c r="C2934" s="237">
        <f>_xll.qlCalendarAdvance(Calendar,B2934,NDays&amp;"D")</f>
        <v>59463</v>
      </c>
      <c r="D2934" s="202">
        <v>2.3116250500324537E-2</v>
      </c>
      <c r="E2934" s="202">
        <v>2.2933250057697308E-2</v>
      </c>
      <c r="U2934" s="204"/>
    </row>
    <row r="2935" spans="1:21" x14ac:dyDescent="0.2">
      <c r="A2935" s="64" t="str">
        <f t="shared" si="46"/>
        <v>1w</v>
      </c>
      <c r="B2935" s="203">
        <f>_xll.qlCalendarAdvance(Calendar,B2934,A2935,"f",FALSE)</f>
        <v>59468</v>
      </c>
      <c r="C2935" s="237">
        <f>_xll.qlCalendarAdvance(Calendar,B2935,NDays&amp;"D")</f>
        <v>59470</v>
      </c>
      <c r="D2935" s="202">
        <v>2.3120251640964443E-2</v>
      </c>
      <c r="E2935" s="202">
        <v>2.2936906001005397E-2</v>
      </c>
      <c r="U2935" s="204"/>
    </row>
    <row r="2936" spans="1:21" x14ac:dyDescent="0.2">
      <c r="A2936" s="64" t="str">
        <f t="shared" si="46"/>
        <v>1w</v>
      </c>
      <c r="B2936" s="203">
        <f>_xll.qlCalendarAdvance(Calendar,B2935,A2936,"f",FALSE)</f>
        <v>59475</v>
      </c>
      <c r="C2936" s="237">
        <f>_xll.qlCalendarAdvance(Calendar,B2936,NDays&amp;"D")</f>
        <v>59477</v>
      </c>
      <c r="D2936" s="202">
        <v>2.3123240959029175E-2</v>
      </c>
      <c r="E2936" s="202">
        <v>2.2940585088919718E-2</v>
      </c>
      <c r="U2936" s="204"/>
    </row>
    <row r="2937" spans="1:21" x14ac:dyDescent="0.2">
      <c r="A2937" s="64" t="str">
        <f t="shared" si="46"/>
        <v>1w</v>
      </c>
      <c r="B2937" s="203">
        <f>_xll.qlCalendarAdvance(Calendar,B2936,A2937,"f",FALSE)</f>
        <v>59482</v>
      </c>
      <c r="C2937" s="237">
        <f>_xll.qlCalendarAdvance(Calendar,B2937,NDays&amp;"D")</f>
        <v>59484</v>
      </c>
      <c r="D2937" s="202">
        <v>2.3127287011662882E-2</v>
      </c>
      <c r="E2937" s="202">
        <v>2.2944287321280399E-2</v>
      </c>
      <c r="U2937" s="204"/>
    </row>
    <row r="2938" spans="1:21" x14ac:dyDescent="0.2">
      <c r="A2938" s="64" t="str">
        <f t="shared" si="46"/>
        <v>1w</v>
      </c>
      <c r="B2938" s="203">
        <f>_xll.qlCalendarAdvance(Calendar,B2937,A2938,"f",FALSE)</f>
        <v>59489</v>
      </c>
      <c r="C2938" s="237">
        <f>_xll.qlCalendarAdvance(Calendar,B2938,NDays&amp;"D")</f>
        <v>59491</v>
      </c>
      <c r="D2938" s="202">
        <v>2.3131356484664113E-2</v>
      </c>
      <c r="E2938" s="202">
        <v>2.2948012698247311E-2</v>
      </c>
      <c r="U2938" s="204"/>
    </row>
    <row r="2939" spans="1:21" x14ac:dyDescent="0.2">
      <c r="A2939" s="64" t="str">
        <f t="shared" si="46"/>
        <v>1w</v>
      </c>
      <c r="B2939" s="203">
        <f>_xll.qlCalendarAdvance(Calendar,B2938,A2939,"f",FALSE)</f>
        <v>59496</v>
      </c>
      <c r="C2939" s="237">
        <f>_xll.qlCalendarAdvance(Calendar,B2939,NDays&amp;"D")</f>
        <v>59498</v>
      </c>
      <c r="D2939" s="202">
        <v>2.3135449378175073E-2</v>
      </c>
      <c r="E2939" s="202">
        <v>2.2951761219900391E-2</v>
      </c>
      <c r="U2939" s="204"/>
    </row>
    <row r="2940" spans="1:21" x14ac:dyDescent="0.2">
      <c r="A2940" s="64" t="str">
        <f t="shared" si="46"/>
        <v>1w</v>
      </c>
      <c r="B2940" s="203">
        <f>_xll.qlCalendarAdvance(Calendar,B2939,A2940,"f",FALSE)</f>
        <v>59503</v>
      </c>
      <c r="C2940" s="237">
        <f>_xll.qlCalendarAdvance(Calendar,B2940,NDays&amp;"D")</f>
        <v>59505</v>
      </c>
      <c r="D2940" s="202">
        <v>2.3140608671532496E-2</v>
      </c>
      <c r="E2940" s="202">
        <v>2.2955532886239638E-2</v>
      </c>
      <c r="U2940" s="204"/>
    </row>
    <row r="2941" spans="1:21" x14ac:dyDescent="0.2">
      <c r="A2941" s="64" t="str">
        <f t="shared" si="46"/>
        <v>1w</v>
      </c>
      <c r="B2941" s="203">
        <f>_xll.qlCalendarAdvance(Calendar,B2940,A2941,"f",FALSE)</f>
        <v>59510</v>
      </c>
      <c r="C2941" s="237">
        <f>_xll.qlCalendarAdvance(Calendar,B2941,NDays&amp;"D")</f>
        <v>59512</v>
      </c>
      <c r="D2941" s="202">
        <v>2.3144750344120241E-2</v>
      </c>
      <c r="E2941" s="202">
        <v>2.2959327696945309E-2</v>
      </c>
      <c r="U2941" s="204"/>
    </row>
    <row r="2942" spans="1:21" x14ac:dyDescent="0.2">
      <c r="A2942" s="64" t="str">
        <f t="shared" si="46"/>
        <v>1w</v>
      </c>
      <c r="B2942" s="203">
        <f>_xll.qlCalendarAdvance(Calendar,B2941,A2942,"f",FALSE)</f>
        <v>59517</v>
      </c>
      <c r="C2942" s="237">
        <f>_xll.qlCalendarAdvance(Calendar,B2942,NDays&amp;"D")</f>
        <v>59519</v>
      </c>
      <c r="D2942" s="202">
        <v>2.3148915439203579E-2</v>
      </c>
      <c r="E2942" s="202">
        <v>2.2963145652417083E-2</v>
      </c>
      <c r="U2942" s="204"/>
    </row>
    <row r="2943" spans="1:21" x14ac:dyDescent="0.2">
      <c r="A2943" s="64" t="str">
        <f t="shared" si="46"/>
        <v>1w</v>
      </c>
      <c r="B2943" s="203">
        <f>_xll.qlCalendarAdvance(Calendar,B2942,A2943,"f",FALSE)</f>
        <v>59524</v>
      </c>
      <c r="C2943" s="237">
        <f>_xll.qlCalendarAdvance(Calendar,B2943,NDays&amp;"D")</f>
        <v>59526</v>
      </c>
      <c r="D2943" s="202">
        <v>2.31531039569292E-2</v>
      </c>
      <c r="E2943" s="202">
        <v>2.2966986752335217E-2</v>
      </c>
      <c r="U2943" s="204"/>
    </row>
    <row r="2944" spans="1:21" x14ac:dyDescent="0.2">
      <c r="A2944" s="64" t="str">
        <f t="shared" si="46"/>
        <v>1w</v>
      </c>
      <c r="B2944" s="203">
        <f>_xll.qlCalendarAdvance(Calendar,B2943,A2944,"f",FALSE)</f>
        <v>59532</v>
      </c>
      <c r="C2944" s="237">
        <f>_xll.qlCalendarAdvance(Calendar,B2944,NDays&amp;"D")</f>
        <v>59534</v>
      </c>
      <c r="D2944" s="202">
        <v>2.3157919515303681E-2</v>
      </c>
      <c r="E2944" s="202">
        <v>2.2974435930749326E-2</v>
      </c>
      <c r="U2944" s="204"/>
    </row>
    <row r="2945" spans="1:21" x14ac:dyDescent="0.2">
      <c r="A2945" s="64" t="str">
        <f t="shared" si="46"/>
        <v>1w</v>
      </c>
      <c r="B2945" s="203">
        <f>_xll.qlCalendarAdvance(Calendar,B2944,A2945,"f",FALSE)</f>
        <v>59539</v>
      </c>
      <c r="C2945" s="237">
        <f>_xll.qlCalendarAdvance(Calendar,B2945,NDays&amp;"D")</f>
        <v>59541</v>
      </c>
      <c r="D2945" s="202">
        <v>2.3161105264184332E-2</v>
      </c>
      <c r="E2945" s="202">
        <v>2.2977319869230683E-2</v>
      </c>
      <c r="U2945" s="204"/>
    </row>
    <row r="2946" spans="1:21" x14ac:dyDescent="0.2">
      <c r="A2946" s="64" t="str">
        <f t="shared" si="46"/>
        <v>1w</v>
      </c>
      <c r="B2946" s="203">
        <f>_xll.qlCalendarAdvance(Calendar,B2945,A2946,"f",FALSE)</f>
        <v>59546</v>
      </c>
      <c r="C2946" s="237">
        <f>_xll.qlCalendarAdvance(Calendar,B2946,NDays&amp;"D")</f>
        <v>59548</v>
      </c>
      <c r="D2946" s="202">
        <v>2.316536545125198E-2</v>
      </c>
      <c r="E2946" s="202">
        <v>2.2981237515757869E-2</v>
      </c>
      <c r="U2946" s="204"/>
    </row>
    <row r="2947" spans="1:21" x14ac:dyDescent="0.2">
      <c r="A2947" s="64" t="str">
        <f t="shared" si="46"/>
        <v>1w</v>
      </c>
      <c r="B2947" s="203">
        <f>_xll.qlCalendarAdvance(Calendar,B2946,A2947,"f",FALSE)</f>
        <v>59553</v>
      </c>
      <c r="C2947" s="237">
        <f>_xll.qlCalendarAdvance(Calendar,B2947,NDays&amp;"D")</f>
        <v>59555</v>
      </c>
      <c r="D2947" s="202">
        <v>2.31696490600178E-2</v>
      </c>
      <c r="E2947" s="202">
        <v>2.2985178310035437E-2</v>
      </c>
      <c r="U2947" s="204"/>
    </row>
    <row r="2948" spans="1:21" x14ac:dyDescent="0.2">
      <c r="A2948" s="64" t="str">
        <f t="shared" si="46"/>
        <v>1w</v>
      </c>
      <c r="B2948" s="203">
        <f>_xll.qlCalendarAdvance(Calendar,B2947,A2948,"f",FALSE)</f>
        <v>59560</v>
      </c>
      <c r="C2948" s="237">
        <f>_xll.qlCalendarAdvance(Calendar,B2948,NDays&amp;"D")</f>
        <v>59562</v>
      </c>
      <c r="D2948" s="202">
        <v>2.3173956090629739E-2</v>
      </c>
      <c r="E2948" s="202">
        <v>2.2989142251876871E-2</v>
      </c>
      <c r="U2948" s="204"/>
    </row>
    <row r="2949" spans="1:21" x14ac:dyDescent="0.2">
      <c r="A2949" s="64" t="str">
        <f t="shared" si="46"/>
        <v>1w</v>
      </c>
      <c r="B2949" s="203">
        <f>_xll.qlCalendarAdvance(Calendar,B2948,A2949,"f",FALSE)</f>
        <v>59567</v>
      </c>
      <c r="C2949" s="237">
        <f>_xll.qlCalendarAdvance(Calendar,B2949,NDays&amp;"D")</f>
        <v>59569</v>
      </c>
      <c r="D2949" s="202">
        <v>2.3178286543237957E-2</v>
      </c>
      <c r="E2949" s="202">
        <v>2.2993129341415397E-2</v>
      </c>
      <c r="U2949" s="204"/>
    </row>
    <row r="2950" spans="1:21" x14ac:dyDescent="0.2">
      <c r="A2950" s="64" t="str">
        <f t="shared" si="46"/>
        <v>1w</v>
      </c>
      <c r="B2950" s="203">
        <f>_xll.qlCalendarAdvance(Calendar,B2949,A2950,"f",FALSE)</f>
        <v>59574</v>
      </c>
      <c r="C2950" s="237">
        <f>_xll.qlCalendarAdvance(Calendar,B2950,NDays&amp;"D")</f>
        <v>59576</v>
      </c>
      <c r="D2950" s="202">
        <v>2.3182640417993929E-2</v>
      </c>
      <c r="E2950" s="202">
        <v>2.2997139578597725E-2</v>
      </c>
      <c r="U2950" s="204"/>
    </row>
    <row r="2951" spans="1:21" x14ac:dyDescent="0.2">
      <c r="A2951" s="64" t="str">
        <f t="shared" ref="A2951:A3014" si="47">A2950</f>
        <v>1w</v>
      </c>
      <c r="B2951" s="203">
        <f>_xll.qlCalendarAdvance(Calendar,B2950,A2951,"f",FALSE)</f>
        <v>59581</v>
      </c>
      <c r="C2951" s="237">
        <f>_xll.qlCalendarAdvance(Calendar,B2951,NDays&amp;"D")</f>
        <v>59583</v>
      </c>
      <c r="D2951" s="202">
        <v>2.3187017715050464E-2</v>
      </c>
      <c r="E2951" s="202">
        <v>2.300117296339721E-2</v>
      </c>
      <c r="U2951" s="204"/>
    </row>
    <row r="2952" spans="1:21" x14ac:dyDescent="0.2">
      <c r="A2952" s="64" t="str">
        <f t="shared" si="47"/>
        <v>1w</v>
      </c>
      <c r="B2952" s="203">
        <f>_xll.qlCalendarAdvance(Calendar,B2951,A2952,"f",FALSE)</f>
        <v>59588</v>
      </c>
      <c r="C2952" s="237">
        <f>_xll.qlCalendarAdvance(Calendar,B2952,NDays&amp;"D")</f>
        <v>59590</v>
      </c>
      <c r="D2952" s="202">
        <v>2.3191418434559047E-2</v>
      </c>
      <c r="E2952" s="202">
        <v>2.3005229495840496E-2</v>
      </c>
      <c r="U2952" s="204"/>
    </row>
    <row r="2953" spans="1:21" x14ac:dyDescent="0.2">
      <c r="A2953" s="64" t="str">
        <f t="shared" si="47"/>
        <v>1w</v>
      </c>
      <c r="B2953" s="203">
        <f>_xll.qlCalendarAdvance(Calendar,B2952,A2953,"f",FALSE)</f>
        <v>59595</v>
      </c>
      <c r="C2953" s="237">
        <f>_xll.qlCalendarAdvance(Calendar,B2953,NDays&amp;"D")</f>
        <v>59597</v>
      </c>
      <c r="D2953" s="202">
        <v>2.3200118251051224E-2</v>
      </c>
      <c r="E2953" s="202">
        <v>2.3009309175954229E-2</v>
      </c>
      <c r="U2953" s="204"/>
    </row>
    <row r="2954" spans="1:21" x14ac:dyDescent="0.2">
      <c r="A2954" s="64" t="str">
        <f t="shared" si="47"/>
        <v>1w</v>
      </c>
      <c r="B2954" s="203">
        <f>_xll.qlCalendarAdvance(Calendar,B2953,A2954,"f",FALSE)</f>
        <v>59602</v>
      </c>
      <c r="C2954" s="237">
        <f>_xll.qlCalendarAdvance(Calendar,B2954,NDays&amp;"D")</f>
        <v>59604</v>
      </c>
      <c r="D2954" s="202">
        <v>2.3204573649916637E-2</v>
      </c>
      <c r="E2954" s="202">
        <v>2.3013412003765055E-2</v>
      </c>
      <c r="U2954" s="204"/>
    </row>
    <row r="2955" spans="1:21" x14ac:dyDescent="0.2">
      <c r="A2955" s="64" t="str">
        <f t="shared" si="47"/>
        <v>1w</v>
      </c>
      <c r="B2955" s="203">
        <f>_xll.qlCalendarAdvance(Calendar,B2954,A2955,"f",FALSE)</f>
        <v>59609</v>
      </c>
      <c r="C2955" s="237">
        <f>_xll.qlCalendarAdvance(Calendar,B2955,NDays&amp;"D")</f>
        <v>59611</v>
      </c>
      <c r="D2955" s="202">
        <v>2.3209052477966695E-2</v>
      </c>
      <c r="E2955" s="202">
        <v>2.3017537979193037E-2</v>
      </c>
      <c r="U2955" s="204"/>
    </row>
    <row r="2956" spans="1:21" x14ac:dyDescent="0.2">
      <c r="A2956" s="64" t="str">
        <f t="shared" si="47"/>
        <v>1w</v>
      </c>
      <c r="B2956" s="203">
        <f>_xll.qlCalendarAdvance(Calendar,B2955,A2956,"f",FALSE)</f>
        <v>59616</v>
      </c>
      <c r="C2956" s="237">
        <f>_xll.qlCalendarAdvance(Calendar,B2956,NDays&amp;"D")</f>
        <v>59618</v>
      </c>
      <c r="D2956" s="202">
        <v>2.3213554735360405E-2</v>
      </c>
      <c r="E2956" s="202">
        <v>2.3021687102318111E-2</v>
      </c>
      <c r="U2956" s="204"/>
    </row>
    <row r="2957" spans="1:21" x14ac:dyDescent="0.2">
      <c r="A2957" s="64" t="str">
        <f t="shared" si="47"/>
        <v>1w</v>
      </c>
      <c r="B2957" s="203">
        <f>_xll.qlCalendarAdvance(Calendar,B2956,A2957,"f",FALSE)</f>
        <v>59623</v>
      </c>
      <c r="C2957" s="237">
        <f>_xll.qlCalendarAdvance(Calendar,B2957,NDays&amp;"D")</f>
        <v>59625</v>
      </c>
      <c r="D2957" s="202">
        <v>2.3214849785751411E-2</v>
      </c>
      <c r="E2957" s="202">
        <v>2.3025859373086988E-2</v>
      </c>
      <c r="U2957" s="204"/>
    </row>
    <row r="2958" spans="1:21" x14ac:dyDescent="0.2">
      <c r="A2958" s="64" t="str">
        <f t="shared" si="47"/>
        <v>1w</v>
      </c>
      <c r="B2958" s="203">
        <f>_xll.qlCalendarAdvance(Calendar,B2957,A2958,"f",FALSE)</f>
        <v>59630</v>
      </c>
      <c r="C2958" s="237">
        <f>_xll.qlCalendarAdvance(Calendar,B2958,NDays&amp;"D")</f>
        <v>59632</v>
      </c>
      <c r="D2958" s="202">
        <v>2.3222629538823036E-2</v>
      </c>
      <c r="E2958" s="202">
        <v>2.303005479147302E-2</v>
      </c>
      <c r="U2958" s="204"/>
    </row>
    <row r="2959" spans="1:21" x14ac:dyDescent="0.2">
      <c r="A2959" s="64" t="str">
        <f t="shared" si="47"/>
        <v>1w</v>
      </c>
      <c r="B2959" s="203">
        <f>_xll.qlCalendarAdvance(Calendar,B2958,A2959,"f",FALSE)</f>
        <v>59637</v>
      </c>
      <c r="C2959" s="237">
        <f>_xll.qlCalendarAdvance(Calendar,B2959,NDays&amp;"D")</f>
        <v>59643</v>
      </c>
      <c r="D2959" s="202">
        <v>2.3227661384925533E-2</v>
      </c>
      <c r="E2959" s="202">
        <v>2.3034614340824433E-2</v>
      </c>
      <c r="U2959" s="204"/>
    </row>
    <row r="2960" spans="1:21" x14ac:dyDescent="0.2">
      <c r="A2960" s="64" t="str">
        <f t="shared" si="47"/>
        <v>1w</v>
      </c>
      <c r="B2960" s="203">
        <f>_xll.qlCalendarAdvance(Calendar,B2959,A2960,"f",FALSE)</f>
        <v>59644</v>
      </c>
      <c r="C2960" s="237">
        <f>_xll.qlCalendarAdvance(Calendar,B2960,NDays&amp;"D")</f>
        <v>59646</v>
      </c>
      <c r="D2960" s="202">
        <v>2.3231798061601215E-2</v>
      </c>
      <c r="E2960" s="202">
        <v>2.3038515071309718E-2</v>
      </c>
      <c r="U2960" s="204"/>
    </row>
    <row r="2961" spans="1:21" x14ac:dyDescent="0.2">
      <c r="A2961" s="64" t="str">
        <f t="shared" si="47"/>
        <v>1w</v>
      </c>
      <c r="B2961" s="203">
        <f>_xll.qlCalendarAdvance(Calendar,B2960,A2961,"f",FALSE)</f>
        <v>59651</v>
      </c>
      <c r="C2961" s="237">
        <f>_xll.qlCalendarAdvance(Calendar,B2961,NDays&amp;"D")</f>
        <v>59653</v>
      </c>
      <c r="D2961" s="202">
        <v>2.3236417468141961E-2</v>
      </c>
      <c r="E2961" s="202">
        <v>2.3042779932760382E-2</v>
      </c>
      <c r="U2961" s="204"/>
    </row>
    <row r="2962" spans="1:21" x14ac:dyDescent="0.2">
      <c r="A2962" s="64" t="str">
        <f t="shared" si="47"/>
        <v>1w</v>
      </c>
      <c r="B2962" s="203">
        <f>_xll.qlCalendarAdvance(Calendar,B2961,A2962,"f",FALSE)</f>
        <v>59658</v>
      </c>
      <c r="C2962" s="237">
        <f>_xll.qlCalendarAdvance(Calendar,B2962,NDays&amp;"D")</f>
        <v>59660</v>
      </c>
      <c r="D2962" s="202">
        <v>2.3241060305002875E-2</v>
      </c>
      <c r="E2962" s="202">
        <v>2.3047067941881494E-2</v>
      </c>
      <c r="U2962" s="204"/>
    </row>
    <row r="2963" spans="1:21" x14ac:dyDescent="0.2">
      <c r="A2963" s="64" t="str">
        <f t="shared" si="47"/>
        <v>1w</v>
      </c>
      <c r="B2963" s="203">
        <f>_xll.qlCalendarAdvance(Calendar,B2962,A2963,"f",FALSE)</f>
        <v>59665</v>
      </c>
      <c r="C2963" s="237">
        <f>_xll.qlCalendarAdvance(Calendar,B2963,NDays&amp;"D")</f>
        <v>59667</v>
      </c>
      <c r="D2963" s="202">
        <v>2.3245726572350744E-2</v>
      </c>
      <c r="E2963" s="202">
        <v>2.3051379098673053E-2</v>
      </c>
      <c r="U2963" s="204"/>
    </row>
    <row r="2964" spans="1:21" x14ac:dyDescent="0.2">
      <c r="A2964" s="64" t="str">
        <f t="shared" si="47"/>
        <v>1w</v>
      </c>
      <c r="B2964" s="203">
        <f>_xll.qlCalendarAdvance(Calendar,B2963,A2964,"f",FALSE)</f>
        <v>59672</v>
      </c>
      <c r="C2964" s="237">
        <f>_xll.qlCalendarAdvance(Calendar,B2964,NDays&amp;"D")</f>
        <v>59674</v>
      </c>
      <c r="D2964" s="202">
        <v>2.325041627035106E-2</v>
      </c>
      <c r="E2964" s="202">
        <v>2.3055713403135059E-2</v>
      </c>
      <c r="U2964" s="204"/>
    </row>
    <row r="2965" spans="1:21" x14ac:dyDescent="0.2">
      <c r="A2965" s="64" t="str">
        <f t="shared" si="47"/>
        <v>1w</v>
      </c>
      <c r="B2965" s="203">
        <f>_xll.qlCalendarAdvance(Calendar,B2964,A2965,"f",FALSE)</f>
        <v>59679</v>
      </c>
      <c r="C2965" s="237">
        <f>_xll.qlCalendarAdvance(Calendar,B2965,NDays&amp;"D")</f>
        <v>59681</v>
      </c>
      <c r="D2965" s="202">
        <v>2.3255129399171473E-2</v>
      </c>
      <c r="E2965" s="202">
        <v>2.3060070855320802E-2</v>
      </c>
      <c r="U2965" s="204"/>
    </row>
    <row r="2966" spans="1:21" x14ac:dyDescent="0.2">
      <c r="A2966" s="64" t="str">
        <f t="shared" si="47"/>
        <v>1w</v>
      </c>
      <c r="B2966" s="203">
        <f>_xll.qlCalendarAdvance(Calendar,B2965,A2966,"f",FALSE)</f>
        <v>59686</v>
      </c>
      <c r="C2966" s="237">
        <f>_xll.qlCalendarAdvance(Calendar,B2966,NDays&amp;"D")</f>
        <v>59688</v>
      </c>
      <c r="D2966" s="202">
        <v>2.3259865958979626E-2</v>
      </c>
      <c r="E2966" s="202">
        <v>2.3064451455123702E-2</v>
      </c>
      <c r="U2966" s="204"/>
    </row>
    <row r="2967" spans="1:21" x14ac:dyDescent="0.2">
      <c r="A2967" s="64" t="str">
        <f t="shared" si="47"/>
        <v>1w</v>
      </c>
      <c r="B2967" s="203">
        <f>_xll.qlCalendarAdvance(Calendar,B2966,A2967,"f",FALSE)</f>
        <v>59693</v>
      </c>
      <c r="C2967" s="237">
        <f>_xll.qlCalendarAdvance(Calendar,B2967,NDays&amp;"D")</f>
        <v>59695</v>
      </c>
      <c r="D2967" s="202">
        <v>2.3264625949945338E-2</v>
      </c>
      <c r="E2967" s="202">
        <v>2.3068855202676986E-2</v>
      </c>
      <c r="U2967" s="204"/>
    </row>
    <row r="2968" spans="1:21" x14ac:dyDescent="0.2">
      <c r="A2968" s="64" t="str">
        <f t="shared" si="47"/>
        <v>1w</v>
      </c>
      <c r="B2968" s="203">
        <f>_xll.qlCalendarAdvance(Calendar,B2967,A2968,"f",FALSE)</f>
        <v>59700</v>
      </c>
      <c r="C2968" s="237">
        <f>_xll.qlCalendarAdvance(Calendar,B2968,NDays&amp;"D")</f>
        <v>59702</v>
      </c>
      <c r="D2968" s="202">
        <v>2.3269409372237981E-2</v>
      </c>
      <c r="E2968" s="202">
        <v>2.307328209787407E-2</v>
      </c>
      <c r="U2968" s="204"/>
    </row>
    <row r="2969" spans="1:21" x14ac:dyDescent="0.2">
      <c r="A2969" s="64" t="str">
        <f t="shared" si="47"/>
        <v>1w</v>
      </c>
      <c r="B2969" s="203">
        <f>_xll.qlCalendarAdvance(Calendar,B2968,A2969,"f",FALSE)</f>
        <v>59707</v>
      </c>
      <c r="C2969" s="237">
        <f>_xll.qlCalendarAdvance(Calendar,B2969,NDays&amp;"D")</f>
        <v>59709</v>
      </c>
      <c r="D2969" s="202">
        <v>2.3274216226029095E-2</v>
      </c>
      <c r="E2969" s="202">
        <v>2.3077732140794893E-2</v>
      </c>
      <c r="U2969" s="204"/>
    </row>
    <row r="2970" spans="1:21" x14ac:dyDescent="0.2">
      <c r="A2970" s="64" t="str">
        <f t="shared" si="47"/>
        <v>1w</v>
      </c>
      <c r="B2970" s="203">
        <f>_xll.qlCalendarAdvance(Calendar,B2969,A2970,"f",FALSE)</f>
        <v>59714</v>
      </c>
      <c r="C2970" s="237">
        <f>_xll.qlCalendarAdvance(Calendar,B2970,NDays&amp;"D")</f>
        <v>59716</v>
      </c>
      <c r="D2970" s="202">
        <v>2.3279046511489786E-2</v>
      </c>
      <c r="E2970" s="202">
        <v>2.3082205331386163E-2</v>
      </c>
      <c r="U2970" s="204"/>
    </row>
    <row r="2971" spans="1:21" x14ac:dyDescent="0.2">
      <c r="A2971" s="64" t="str">
        <f t="shared" si="47"/>
        <v>1w</v>
      </c>
      <c r="B2971" s="203">
        <f>_xll.qlCalendarAdvance(Calendar,B2970,A2971,"f",FALSE)</f>
        <v>59721</v>
      </c>
      <c r="C2971" s="237">
        <f>_xll.qlCalendarAdvance(Calendar,B2971,NDays&amp;"D")</f>
        <v>59723</v>
      </c>
      <c r="D2971" s="202">
        <v>2.3283900228791163E-2</v>
      </c>
      <c r="E2971" s="202">
        <v>2.3086701669674525E-2</v>
      </c>
      <c r="U2971" s="204"/>
    </row>
    <row r="2972" spans="1:21" x14ac:dyDescent="0.2">
      <c r="A2972" s="64" t="str">
        <f t="shared" si="47"/>
        <v>1w</v>
      </c>
      <c r="B2972" s="203">
        <f>_xll.qlCalendarAdvance(Calendar,B2971,A2972,"f",FALSE)</f>
        <v>59728</v>
      </c>
      <c r="C2972" s="237">
        <f>_xll.qlCalendarAdvance(Calendar,B2972,NDays&amp;"D")</f>
        <v>59730</v>
      </c>
      <c r="D2972" s="202">
        <v>2.3288777378108218E-2</v>
      </c>
      <c r="E2972" s="202">
        <v>2.3091221155713271E-2</v>
      </c>
      <c r="U2972" s="204"/>
    </row>
    <row r="2973" spans="1:21" x14ac:dyDescent="0.2">
      <c r="A2973" s="64" t="str">
        <f t="shared" si="47"/>
        <v>1w</v>
      </c>
      <c r="B2973" s="203">
        <f>_xll.qlCalendarAdvance(Calendar,B2972,A2973,"f",FALSE)</f>
        <v>59735</v>
      </c>
      <c r="C2973" s="237">
        <f>_xll.qlCalendarAdvance(Calendar,B2973,NDays&amp;"D")</f>
        <v>59737</v>
      </c>
      <c r="D2973" s="202">
        <v>2.329367795961465E-2</v>
      </c>
      <c r="E2973" s="202">
        <v>2.3095763789422463E-2</v>
      </c>
      <c r="U2973" s="204"/>
    </row>
    <row r="2974" spans="1:21" x14ac:dyDescent="0.2">
      <c r="A2974" s="64" t="str">
        <f t="shared" si="47"/>
        <v>1w</v>
      </c>
      <c r="B2974" s="203">
        <f>_xll.qlCalendarAdvance(Calendar,B2973,A2974,"f",FALSE)</f>
        <v>59742</v>
      </c>
      <c r="C2974" s="237">
        <f>_xll.qlCalendarAdvance(Calendar,B2974,NDays&amp;"D")</f>
        <v>59744</v>
      </c>
      <c r="D2974" s="202">
        <v>2.329860197348373E-2</v>
      </c>
      <c r="E2974" s="202">
        <v>2.3100329570828748E-2</v>
      </c>
      <c r="U2974" s="204"/>
    </row>
    <row r="2975" spans="1:21" x14ac:dyDescent="0.2">
      <c r="A2975" s="64" t="str">
        <f t="shared" si="47"/>
        <v>1w</v>
      </c>
      <c r="B2975" s="203">
        <f>_xll.qlCalendarAdvance(Calendar,B2974,A2975,"f",FALSE)</f>
        <v>59749</v>
      </c>
      <c r="C2975" s="237">
        <f>_xll.qlCalendarAdvance(Calendar,B2975,NDays&amp;"D")</f>
        <v>59751</v>
      </c>
      <c r="D2975" s="202">
        <v>2.330354941989347E-2</v>
      </c>
      <c r="E2975" s="202">
        <v>2.310491849990548E-2</v>
      </c>
      <c r="U2975" s="204"/>
    </row>
    <row r="2976" spans="1:21" x14ac:dyDescent="0.2">
      <c r="A2976" s="64" t="str">
        <f t="shared" si="47"/>
        <v>1w</v>
      </c>
      <c r="B2976" s="203">
        <f>_xll.qlCalendarAdvance(Calendar,B2975,A2976,"f",FALSE)</f>
        <v>59756</v>
      </c>
      <c r="C2976" s="237">
        <f>_xll.qlCalendarAdvance(Calendar,B2976,NDays&amp;"D")</f>
        <v>59758</v>
      </c>
      <c r="D2976" s="202">
        <v>2.3308520299019305E-2</v>
      </c>
      <c r="E2976" s="202">
        <v>2.3109530576785886E-2</v>
      </c>
      <c r="U2976" s="204"/>
    </row>
    <row r="2977" spans="1:21" x14ac:dyDescent="0.2">
      <c r="A2977" s="64" t="str">
        <f t="shared" si="47"/>
        <v>1w</v>
      </c>
      <c r="B2977" s="203">
        <f>_xll.qlCalendarAdvance(Calendar,B2976,A2977,"f",FALSE)</f>
        <v>59763</v>
      </c>
      <c r="C2977" s="237">
        <f>_xll.qlCalendarAdvance(Calendar,B2977,NDays&amp;"D")</f>
        <v>59765</v>
      </c>
      <c r="D2977" s="202">
        <v>2.3313514611038387E-2</v>
      </c>
      <c r="E2977" s="202">
        <v>2.3114165801310094E-2</v>
      </c>
      <c r="U2977" s="204"/>
    </row>
    <row r="2978" spans="1:21" x14ac:dyDescent="0.2">
      <c r="A2978" s="64" t="str">
        <f t="shared" si="47"/>
        <v>1w</v>
      </c>
      <c r="B2978" s="203">
        <f>_xll.qlCalendarAdvance(Calendar,B2977,A2978,"f",FALSE)</f>
        <v>59770</v>
      </c>
      <c r="C2978" s="237">
        <f>_xll.qlCalendarAdvance(Calendar,B2978,NDays&amp;"D")</f>
        <v>59772</v>
      </c>
      <c r="D2978" s="202">
        <v>2.3318532356129601E-2</v>
      </c>
      <c r="E2978" s="202">
        <v>2.3118824173584684E-2</v>
      </c>
      <c r="U2978" s="204"/>
    </row>
    <row r="2979" spans="1:21" x14ac:dyDescent="0.2">
      <c r="A2979" s="64" t="str">
        <f t="shared" si="47"/>
        <v>1w</v>
      </c>
      <c r="B2979" s="203">
        <f>_xll.qlCalendarAdvance(Calendar,B2978,A2979,"f",FALSE)</f>
        <v>59777</v>
      </c>
      <c r="C2979" s="237">
        <f>_xll.qlCalendarAdvance(Calendar,B2979,NDays&amp;"D")</f>
        <v>59779</v>
      </c>
      <c r="D2979" s="202">
        <v>2.3320212121941217E-2</v>
      </c>
      <c r="E2979" s="202">
        <v>2.3123505693583013E-2</v>
      </c>
      <c r="U2979" s="204"/>
    </row>
    <row r="2980" spans="1:21" x14ac:dyDescent="0.2">
      <c r="A2980" s="64" t="str">
        <f t="shared" si="47"/>
        <v>1w</v>
      </c>
      <c r="B2980" s="203">
        <f>_xll.qlCalendarAdvance(Calendar,B2979,A2980,"f",FALSE)</f>
        <v>59784</v>
      </c>
      <c r="C2980" s="237">
        <f>_xll.qlCalendarAdvance(Calendar,B2980,NDays&amp;"D")</f>
        <v>59786</v>
      </c>
      <c r="D2980" s="202">
        <v>2.3325270734676069E-2</v>
      </c>
      <c r="E2980" s="202">
        <v>2.3128210361251789E-2</v>
      </c>
      <c r="U2980" s="204"/>
    </row>
    <row r="2981" spans="1:21" x14ac:dyDescent="0.2">
      <c r="A2981" s="64" t="str">
        <f t="shared" si="47"/>
        <v>1w</v>
      </c>
      <c r="B2981" s="203">
        <f>_xll.qlCalendarAdvance(Calendar,B2980,A2981,"f",FALSE)</f>
        <v>59791</v>
      </c>
      <c r="C2981" s="237">
        <f>_xll.qlCalendarAdvance(Calendar,B2981,NDays&amp;"D")</f>
        <v>59793</v>
      </c>
      <c r="D2981" s="202">
        <v>2.3330352776245178E-2</v>
      </c>
      <c r="E2981" s="202">
        <v>2.3132938176750883E-2</v>
      </c>
      <c r="U2981" s="204"/>
    </row>
    <row r="2982" spans="1:21" x14ac:dyDescent="0.2">
      <c r="A2982" s="64" t="str">
        <f t="shared" si="47"/>
        <v>1w</v>
      </c>
      <c r="B2982" s="203">
        <f>_xll.qlCalendarAdvance(Calendar,B2981,A2982,"f",FALSE)</f>
        <v>59798</v>
      </c>
      <c r="C2982" s="237">
        <f>_xll.qlCalendarAdvance(Calendar,B2982,NDays&amp;"D")</f>
        <v>59800</v>
      </c>
      <c r="D2982" s="202">
        <v>2.3335458246824228E-2</v>
      </c>
      <c r="E2982" s="202">
        <v>2.3137689139840489E-2</v>
      </c>
      <c r="U2982" s="204"/>
    </row>
    <row r="2983" spans="1:21" x14ac:dyDescent="0.2">
      <c r="A2983" s="64" t="str">
        <f t="shared" si="47"/>
        <v>1w</v>
      </c>
      <c r="B2983" s="203">
        <f>_xll.qlCalendarAdvance(Calendar,B2982,A2983,"f",FALSE)</f>
        <v>59805</v>
      </c>
      <c r="C2983" s="237">
        <f>_xll.qlCalendarAdvance(Calendar,B2983,NDays&amp;"D")</f>
        <v>59807</v>
      </c>
      <c r="D2983" s="202">
        <v>2.3343972583956658E-2</v>
      </c>
      <c r="E2983" s="202">
        <v>2.3142463250760414E-2</v>
      </c>
      <c r="U2983" s="204"/>
    </row>
    <row r="2984" spans="1:21" x14ac:dyDescent="0.2">
      <c r="A2984" s="64" t="str">
        <f t="shared" si="47"/>
        <v>1w</v>
      </c>
      <c r="B2984" s="203">
        <f>_xll.qlCalendarAdvance(Calendar,B2983,A2984,"f",FALSE)</f>
        <v>59812</v>
      </c>
      <c r="C2984" s="237">
        <f>_xll.qlCalendarAdvance(Calendar,B2984,NDays&amp;"D")</f>
        <v>59814</v>
      </c>
      <c r="D2984" s="202">
        <v>2.3350261897222377E-2</v>
      </c>
      <c r="E2984" s="202">
        <v>2.3147260509377432E-2</v>
      </c>
      <c r="U2984" s="204"/>
    </row>
    <row r="2985" spans="1:21" x14ac:dyDescent="0.2">
      <c r="A2985" s="64" t="str">
        <f t="shared" si="47"/>
        <v>1w</v>
      </c>
      <c r="B2985" s="203">
        <f>_xll.qlCalendarAdvance(Calendar,B2984,A2985,"f",FALSE)</f>
        <v>59819</v>
      </c>
      <c r="C2985" s="237">
        <f>_xll.qlCalendarAdvance(Calendar,B2985,NDays&amp;"D")</f>
        <v>59821</v>
      </c>
      <c r="D2985" s="202">
        <v>2.3354312712920745E-2</v>
      </c>
      <c r="E2985" s="202">
        <v>2.3152080915718187E-2</v>
      </c>
      <c r="U2985" s="204"/>
    </row>
    <row r="2986" spans="1:21" x14ac:dyDescent="0.2">
      <c r="A2986" s="64" t="str">
        <f t="shared" si="47"/>
        <v>1w</v>
      </c>
      <c r="B2986" s="203">
        <f>_xll.qlCalendarAdvance(Calendar,B2985,A2986,"f",FALSE)</f>
        <v>59826</v>
      </c>
      <c r="C2986" s="237">
        <f>_xll.qlCalendarAdvance(Calendar,B2986,NDays&amp;"D")</f>
        <v>59828</v>
      </c>
      <c r="D2986" s="202">
        <v>2.3359517929102284E-2</v>
      </c>
      <c r="E2986" s="202">
        <v>2.3156924469835971E-2</v>
      </c>
      <c r="U2986" s="204"/>
    </row>
    <row r="2987" spans="1:21" x14ac:dyDescent="0.2">
      <c r="A2987" s="64" t="str">
        <f t="shared" si="47"/>
        <v>1w</v>
      </c>
      <c r="B2987" s="203">
        <f>_xll.qlCalendarAdvance(Calendar,B2986,A2987,"f",FALSE)</f>
        <v>59833</v>
      </c>
      <c r="C2987" s="237">
        <f>_xll.qlCalendarAdvance(Calendar,B2987,NDays&amp;"D")</f>
        <v>59835</v>
      </c>
      <c r="D2987" s="202">
        <v>2.3364746579997455E-2</v>
      </c>
      <c r="E2987" s="202">
        <v>2.3161791171650847E-2</v>
      </c>
      <c r="U2987" s="204"/>
    </row>
    <row r="2988" spans="1:21" x14ac:dyDescent="0.2">
      <c r="A2988" s="64" t="str">
        <f t="shared" si="47"/>
        <v>1w</v>
      </c>
      <c r="B2988" s="203">
        <f>_xll.qlCalendarAdvance(Calendar,B2987,A2988,"f",FALSE)</f>
        <v>59840</v>
      </c>
      <c r="C2988" s="237">
        <f>_xll.qlCalendarAdvance(Calendar,B2988,NDays&amp;"D")</f>
        <v>59842</v>
      </c>
      <c r="D2988" s="202">
        <v>2.3366583089630622E-2</v>
      </c>
      <c r="E2988" s="202">
        <v>2.3166681021242752E-2</v>
      </c>
      <c r="U2988" s="204"/>
    </row>
    <row r="2989" spans="1:21" x14ac:dyDescent="0.2">
      <c r="A2989" s="64" t="str">
        <f t="shared" si="47"/>
        <v>1w</v>
      </c>
      <c r="B2989" s="203">
        <f>_xll.qlCalendarAdvance(Calendar,B2988,A2989,"f",FALSE)</f>
        <v>59847</v>
      </c>
      <c r="C2989" s="237">
        <f>_xll.qlCalendarAdvance(Calendar,B2989,NDays&amp;"D")</f>
        <v>59849</v>
      </c>
      <c r="D2989" s="202">
        <v>2.3371852568353443E-2</v>
      </c>
      <c r="E2989" s="202">
        <v>2.317159401858504E-2</v>
      </c>
      <c r="U2989" s="204"/>
    </row>
    <row r="2990" spans="1:21" x14ac:dyDescent="0.2">
      <c r="A2990" s="64" t="str">
        <f t="shared" si="47"/>
        <v>1w</v>
      </c>
      <c r="B2990" s="203">
        <f>_xll.qlCalendarAdvance(Calendar,B2989,A2990,"f",FALSE)</f>
        <v>59854</v>
      </c>
      <c r="C2990" s="237">
        <f>_xll.qlCalendarAdvance(Calendar,B2990,NDays&amp;"D")</f>
        <v>59856</v>
      </c>
      <c r="D2990" s="202">
        <v>2.3377145477543937E-2</v>
      </c>
      <c r="E2990" s="202">
        <v>2.3176530163651066E-2</v>
      </c>
      <c r="U2990" s="204"/>
    </row>
    <row r="2991" spans="1:21" x14ac:dyDescent="0.2">
      <c r="A2991" s="64" t="str">
        <f t="shared" si="47"/>
        <v>1w</v>
      </c>
      <c r="B2991" s="203">
        <f>_xll.qlCalendarAdvance(Calendar,B2990,A2991,"f",FALSE)</f>
        <v>59861</v>
      </c>
      <c r="C2991" s="237">
        <f>_xll.qlCalendarAdvance(Calendar,B2991,NDays&amp;"D")</f>
        <v>59863</v>
      </c>
      <c r="D2991" s="202">
        <v>2.3382461817388771E-2</v>
      </c>
      <c r="E2991" s="202">
        <v>2.318148945649412E-2</v>
      </c>
      <c r="U2991" s="204"/>
    </row>
    <row r="2992" spans="1:21" x14ac:dyDescent="0.2">
      <c r="A2992" s="64" t="str">
        <f t="shared" si="47"/>
        <v>1w</v>
      </c>
      <c r="B2992" s="203">
        <f>_xll.qlCalendarAdvance(Calendar,B2991,A2992,"f",FALSE)</f>
        <v>59868</v>
      </c>
      <c r="C2992" s="237">
        <f>_xll.qlCalendarAdvance(Calendar,B2992,NDays&amp;"D")</f>
        <v>59870</v>
      </c>
      <c r="D2992" s="202">
        <v>2.3387801587434243E-2</v>
      </c>
      <c r="E2992" s="202">
        <v>2.3186471897087557E-2</v>
      </c>
      <c r="U2992" s="204"/>
    </row>
    <row r="2993" spans="1:21" x14ac:dyDescent="0.2">
      <c r="A2993" s="64" t="str">
        <f t="shared" si="47"/>
        <v>1w</v>
      </c>
      <c r="B2993" s="203">
        <f>_xll.qlCalendarAdvance(Calendar,B2992,A2993,"f",FALSE)</f>
        <v>59875</v>
      </c>
      <c r="C2993" s="237">
        <f>_xll.qlCalendarAdvance(Calendar,B2993,NDays&amp;"D")</f>
        <v>59877</v>
      </c>
      <c r="D2993" s="202">
        <v>2.339660978651267E-2</v>
      </c>
      <c r="E2993" s="202">
        <v>2.3191477485404732E-2</v>
      </c>
      <c r="U2993" s="204"/>
    </row>
    <row r="2994" spans="1:21" x14ac:dyDescent="0.2">
      <c r="A2994" s="64" t="str">
        <f t="shared" si="47"/>
        <v>1w</v>
      </c>
      <c r="B2994" s="203">
        <f>_xll.qlCalendarAdvance(Calendar,B2993,A2994,"f",FALSE)</f>
        <v>59882</v>
      </c>
      <c r="C2994" s="237">
        <f>_xll.qlCalendarAdvance(Calendar,B2994,NDays&amp;"D")</f>
        <v>59884</v>
      </c>
      <c r="D2994" s="202">
        <v>2.34019996506655E-2</v>
      </c>
      <c r="E2994" s="202">
        <v>2.3196506221498936E-2</v>
      </c>
      <c r="U2994" s="204"/>
    </row>
    <row r="2995" spans="1:21" x14ac:dyDescent="0.2">
      <c r="A2995" s="64" t="str">
        <f t="shared" si="47"/>
        <v>1w</v>
      </c>
      <c r="B2995" s="203">
        <f>_xll.qlCalendarAdvance(Calendar,B2994,A2995,"f",FALSE)</f>
        <v>59889</v>
      </c>
      <c r="C2995" s="237">
        <f>_xll.qlCalendarAdvance(Calendar,B2995,NDays&amp;"D")</f>
        <v>59891</v>
      </c>
      <c r="D2995" s="202">
        <v>2.3407409617797074E-2</v>
      </c>
      <c r="E2995" s="202">
        <v>2.3201558105396813E-2</v>
      </c>
      <c r="U2995" s="204"/>
    </row>
    <row r="2996" spans="1:21" x14ac:dyDescent="0.2">
      <c r="A2996" s="64" t="str">
        <f t="shared" si="47"/>
        <v>1w</v>
      </c>
      <c r="B2996" s="203">
        <f>_xll.qlCalendarAdvance(Calendar,B2995,A2996,"f",FALSE)</f>
        <v>59897</v>
      </c>
      <c r="C2996" s="237">
        <f>_xll.qlCalendarAdvance(Calendar,B2996,NDays&amp;"D")</f>
        <v>59901</v>
      </c>
      <c r="D2996" s="202">
        <v>2.3411709821521239E-2</v>
      </c>
      <c r="E2996" s="202">
        <v>2.3207703123691026E-2</v>
      </c>
      <c r="U2996" s="204"/>
    </row>
    <row r="2997" spans="1:21" x14ac:dyDescent="0.2">
      <c r="A2997" s="64" t="str">
        <f t="shared" si="47"/>
        <v>1w</v>
      </c>
      <c r="B2997" s="203">
        <f>_xll.qlCalendarAdvance(Calendar,B2996,A2997,"f",FALSE)</f>
        <v>59904</v>
      </c>
      <c r="C2997" s="237">
        <f>_xll.qlCalendarAdvance(Calendar,B2997,NDays&amp;"D")</f>
        <v>59908</v>
      </c>
      <c r="D2997" s="202">
        <v>2.3417159795475567E-2</v>
      </c>
      <c r="E2997" s="202">
        <v>2.321169538225476E-2</v>
      </c>
      <c r="U2997" s="204"/>
    </row>
    <row r="2998" spans="1:21" x14ac:dyDescent="0.2">
      <c r="A2998" s="64" t="str">
        <f t="shared" si="47"/>
        <v>1w</v>
      </c>
      <c r="B2998" s="203">
        <f>_xll.qlCalendarAdvance(Calendar,B2997,A2998,"f",FALSE)</f>
        <v>59911</v>
      </c>
      <c r="C2998" s="237">
        <f>_xll.qlCalendarAdvance(Calendar,B2998,NDays&amp;"D")</f>
        <v>59915</v>
      </c>
      <c r="D2998" s="202">
        <v>2.3422625861702902E-2</v>
      </c>
      <c r="E2998" s="202">
        <v>2.3216822661735748E-2</v>
      </c>
      <c r="U2998" s="204"/>
    </row>
    <row r="2999" spans="1:21" x14ac:dyDescent="0.2">
      <c r="A2999" s="64" t="str">
        <f t="shared" si="47"/>
        <v>1w</v>
      </c>
      <c r="B2999" s="203">
        <f>_xll.qlCalendarAdvance(Calendar,B2998,A2999,"f",FALSE)</f>
        <v>59918</v>
      </c>
      <c r="C2999" s="237">
        <f>_xll.qlCalendarAdvance(Calendar,B2999,NDays&amp;"D")</f>
        <v>59922</v>
      </c>
      <c r="D2999" s="202">
        <v>2.3428106702951007E-2</v>
      </c>
      <c r="E2999" s="202">
        <v>2.3221973085902903E-2</v>
      </c>
      <c r="U2999" s="204"/>
    </row>
    <row r="3000" spans="1:21" x14ac:dyDescent="0.2">
      <c r="A3000" s="64" t="str">
        <f t="shared" si="47"/>
        <v>1w</v>
      </c>
      <c r="B3000" s="203">
        <f>_xll.qlCalendarAdvance(Calendar,B2999,A3000,"f",FALSE)</f>
        <v>59925</v>
      </c>
      <c r="C3000" s="237">
        <f>_xll.qlCalendarAdvance(Calendar,B3000,NDays&amp;"D")</f>
        <v>59929</v>
      </c>
      <c r="D3000" s="202">
        <v>2.3433601001954463E-2</v>
      </c>
      <c r="E3000" s="202">
        <v>2.3227146654916098E-2</v>
      </c>
      <c r="U3000" s="204"/>
    </row>
    <row r="3001" spans="1:21" x14ac:dyDescent="0.2">
      <c r="A3001" s="64" t="str">
        <f t="shared" si="47"/>
        <v>1w</v>
      </c>
      <c r="B3001" s="203">
        <f>_xll.qlCalendarAdvance(Calendar,B3000,A3001,"f",FALSE)</f>
        <v>59932</v>
      </c>
      <c r="C3001" s="237">
        <f>_xll.qlCalendarAdvance(Calendar,B3001,NDays&amp;"D")</f>
        <v>59936</v>
      </c>
      <c r="D3001" s="202">
        <v>2.3439107441430278E-2</v>
      </c>
      <c r="E3001" s="202">
        <v>2.3232343368295716E-2</v>
      </c>
      <c r="U3001" s="204"/>
    </row>
    <row r="3002" spans="1:21" x14ac:dyDescent="0.2">
      <c r="A3002" s="64" t="str">
        <f t="shared" si="47"/>
        <v>1w</v>
      </c>
      <c r="B3002" s="203">
        <f>_xll.qlCalendarAdvance(Calendar,B3001,A3002,"f",FALSE)</f>
        <v>59939</v>
      </c>
      <c r="C3002" s="237">
        <f>_xll.qlCalendarAdvance(Calendar,B3002,NDays&amp;"D")</f>
        <v>59943</v>
      </c>
      <c r="D3002" s="202">
        <v>2.3444624704084933E-2</v>
      </c>
      <c r="E3002" s="202">
        <v>2.3237563226441438E-2</v>
      </c>
      <c r="U3002" s="204"/>
    </row>
    <row r="3003" spans="1:21" x14ac:dyDescent="0.2">
      <c r="A3003" s="64" t="str">
        <f t="shared" si="47"/>
        <v>1w</v>
      </c>
      <c r="B3003" s="203">
        <f>_xll.qlCalendarAdvance(Calendar,B3002,A3003,"f",FALSE)</f>
        <v>59946</v>
      </c>
      <c r="C3003" s="237">
        <f>_xll.qlCalendarAdvance(Calendar,B3003,NDays&amp;"D")</f>
        <v>59950</v>
      </c>
      <c r="D3003" s="202">
        <v>2.3450151472607768E-2</v>
      </c>
      <c r="E3003" s="202">
        <v>2.3242806229193391E-2</v>
      </c>
      <c r="U3003" s="204"/>
    </row>
    <row r="3004" spans="1:21" x14ac:dyDescent="0.2">
      <c r="A3004" s="64" t="str">
        <f t="shared" si="47"/>
        <v>1w</v>
      </c>
      <c r="B3004" s="203">
        <f>_xll.qlCalendarAdvance(Calendar,B3003,A3004,"f",FALSE)</f>
        <v>59953</v>
      </c>
      <c r="C3004" s="237">
        <f>_xll.qlCalendarAdvance(Calendar,B3004,NDays&amp;"D")</f>
        <v>59957</v>
      </c>
      <c r="D3004" s="202">
        <v>2.3455686429676267E-2</v>
      </c>
      <c r="E3004" s="202">
        <v>2.3248072376711448E-2</v>
      </c>
      <c r="U3004" s="204"/>
    </row>
    <row r="3005" spans="1:21" x14ac:dyDescent="0.2">
      <c r="A3005" s="64" t="str">
        <f t="shared" si="47"/>
        <v>1w</v>
      </c>
      <c r="B3005" s="203">
        <f>_xll.qlCalendarAdvance(Calendar,B3004,A3005,"f",FALSE)</f>
        <v>59960</v>
      </c>
      <c r="C3005" s="237">
        <f>_xll.qlCalendarAdvance(Calendar,B3005,NDays&amp;"D")</f>
        <v>59964</v>
      </c>
      <c r="D3005" s="202">
        <v>2.3463546604459755E-2</v>
      </c>
      <c r="E3005" s="202">
        <v>2.3253361668835737E-2</v>
      </c>
      <c r="U3005" s="204"/>
    </row>
    <row r="3006" spans="1:21" x14ac:dyDescent="0.2">
      <c r="A3006" s="64" t="str">
        <f t="shared" si="47"/>
        <v>1w</v>
      </c>
      <c r="B3006" s="203">
        <f>_xll.qlCalendarAdvance(Calendar,B3005,A3006,"f",FALSE)</f>
        <v>59967</v>
      </c>
      <c r="C3006" s="237">
        <f>_xll.qlCalendarAdvance(Calendar,B3006,NDays&amp;"D")</f>
        <v>59971</v>
      </c>
      <c r="D3006" s="202">
        <v>2.3469094179188479E-2</v>
      </c>
      <c r="E3006" s="202">
        <v>2.3258674105566257E-2</v>
      </c>
      <c r="U3006" s="204"/>
    </row>
    <row r="3007" spans="1:21" x14ac:dyDescent="0.2">
      <c r="A3007" s="64" t="str">
        <f t="shared" si="47"/>
        <v>1w</v>
      </c>
      <c r="B3007" s="203">
        <f>_xll.qlCalendarAdvance(Calendar,B3006,A3007,"f",FALSE)</f>
        <v>59974</v>
      </c>
      <c r="C3007" s="237">
        <f>_xll.qlCalendarAdvance(Calendar,B3007,NDays&amp;"D")</f>
        <v>59978</v>
      </c>
      <c r="D3007" s="202">
        <v>2.3474645827444369E-2</v>
      </c>
      <c r="E3007" s="202">
        <v>2.3264009686903009E-2</v>
      </c>
      <c r="U3007" s="204"/>
    </row>
    <row r="3008" spans="1:21" x14ac:dyDescent="0.2">
      <c r="A3008" s="64" t="str">
        <f t="shared" si="47"/>
        <v>1w</v>
      </c>
      <c r="B3008" s="203">
        <f>_xll.qlCalendarAdvance(Calendar,B3007,A3008,"f",FALSE)</f>
        <v>59981</v>
      </c>
      <c r="C3008" s="237">
        <f>_xll.qlCalendarAdvance(Calendar,B3008,NDays&amp;"D")</f>
        <v>59985</v>
      </c>
      <c r="D3008" s="202">
        <v>2.3480200245995123E-2</v>
      </c>
      <c r="E3008" s="202">
        <v>2.3269368412845992E-2</v>
      </c>
      <c r="U3008" s="204"/>
    </row>
    <row r="3009" spans="1:21" x14ac:dyDescent="0.2">
      <c r="A3009" s="64" t="str">
        <f t="shared" si="47"/>
        <v>1w</v>
      </c>
      <c r="B3009" s="203">
        <f>_xll.qlCalendarAdvance(Calendar,B3008,A3009,"f",FALSE)</f>
        <v>59988</v>
      </c>
      <c r="C3009" s="237">
        <f>_xll.qlCalendarAdvance(Calendar,B3009,NDays&amp;"D")</f>
        <v>59992</v>
      </c>
      <c r="D3009" s="202">
        <v>2.3484597024432615E-2</v>
      </c>
      <c r="E3009" s="202">
        <v>2.3274750283635015E-2</v>
      </c>
      <c r="U3009" s="204"/>
    </row>
    <row r="3010" spans="1:21" x14ac:dyDescent="0.2">
      <c r="A3010" s="64" t="str">
        <f t="shared" si="47"/>
        <v>1w</v>
      </c>
      <c r="B3010" s="203">
        <f>_xll.qlCalendarAdvance(Calendar,B3009,A3010,"f",FALSE)</f>
        <v>59995</v>
      </c>
      <c r="C3010" s="237">
        <f>_xll.qlCalendarAdvance(Calendar,B3010,NDays&amp;"D")</f>
        <v>60001</v>
      </c>
      <c r="D3010" s="202">
        <v>2.3491740616475326E-2</v>
      </c>
      <c r="E3010" s="202">
        <v>2.3281703840245527E-2</v>
      </c>
      <c r="U3010" s="204"/>
    </row>
    <row r="3011" spans="1:21" x14ac:dyDescent="0.2">
      <c r="A3011" s="64" t="str">
        <f t="shared" si="47"/>
        <v>1w</v>
      </c>
      <c r="B3011" s="203">
        <f>_xll.qlCalendarAdvance(Calendar,B3010,A3011,"f",FALSE)</f>
        <v>60002</v>
      </c>
      <c r="C3011" s="237">
        <f>_xll.qlCalendarAdvance(Calendar,B3011,NDays&amp;"D")</f>
        <v>60006</v>
      </c>
      <c r="D3011" s="202">
        <v>2.3495708413442815E-2</v>
      </c>
      <c r="E3011" s="202">
        <v>2.3285583459111692E-2</v>
      </c>
      <c r="U3011" s="204"/>
    </row>
    <row r="3012" spans="1:21" x14ac:dyDescent="0.2">
      <c r="A3012" s="64" t="str">
        <f t="shared" si="47"/>
        <v>1w</v>
      </c>
      <c r="B3012" s="203">
        <f>_xll.qlCalendarAdvance(Calendar,B3011,A3012,"f",FALSE)</f>
        <v>60009</v>
      </c>
      <c r="C3012" s="237">
        <f>_xll.qlCalendarAdvance(Calendar,B3012,NDays&amp;"D")</f>
        <v>60013</v>
      </c>
      <c r="D3012" s="202">
        <v>2.3501261167724986E-2</v>
      </c>
      <c r="E3012" s="202">
        <v>2.3291034763799345E-2</v>
      </c>
      <c r="U3012" s="204"/>
    </row>
    <row r="3013" spans="1:21" x14ac:dyDescent="0.2">
      <c r="A3013" s="64" t="str">
        <f t="shared" si="47"/>
        <v>1w</v>
      </c>
      <c r="B3013" s="203">
        <f>_xll.qlCalendarAdvance(Calendar,B3012,A3013,"f",FALSE)</f>
        <v>60016</v>
      </c>
      <c r="C3013" s="237">
        <f>_xll.qlCalendarAdvance(Calendar,B3013,NDays&amp;"D")</f>
        <v>60020</v>
      </c>
      <c r="D3013" s="202">
        <v>2.3506810214740534E-2</v>
      </c>
      <c r="E3013" s="202">
        <v>2.3296509213093231E-2</v>
      </c>
      <c r="U3013" s="204"/>
    </row>
    <row r="3014" spans="1:21" x14ac:dyDescent="0.2">
      <c r="A3014" s="64" t="str">
        <f t="shared" si="47"/>
        <v>1w</v>
      </c>
      <c r="B3014" s="203">
        <f>_xll.qlCalendarAdvance(Calendar,B3013,A3014,"f",FALSE)</f>
        <v>60024</v>
      </c>
      <c r="C3014" s="237">
        <f>_xll.qlCalendarAdvance(Calendar,B3014,NDays&amp;"D")</f>
        <v>60028</v>
      </c>
      <c r="D3014" s="202">
        <v>2.3514303415525638E-2</v>
      </c>
      <c r="E3014" s="202">
        <v>2.3302794066930588E-2</v>
      </c>
      <c r="U3014" s="204"/>
    </row>
    <row r="3015" spans="1:21" x14ac:dyDescent="0.2">
      <c r="A3015" s="64" t="str">
        <f t="shared" ref="A3015:A3078" si="48">A3014</f>
        <v>1w</v>
      </c>
      <c r="B3015" s="203">
        <f>_xll.qlCalendarAdvance(Calendar,B3014,A3015,"f",FALSE)</f>
        <v>60031</v>
      </c>
      <c r="C3015" s="237">
        <f>_xll.qlCalendarAdvance(Calendar,B3015,NDays&amp;"D")</f>
        <v>60035</v>
      </c>
      <c r="D3015" s="202">
        <v>2.3519839720470125E-2</v>
      </c>
      <c r="E3015" s="202">
        <v>2.3308318111991966E-2</v>
      </c>
      <c r="U3015" s="204"/>
    </row>
    <row r="3016" spans="1:21" x14ac:dyDescent="0.2">
      <c r="A3016" s="64" t="str">
        <f t="shared" si="48"/>
        <v>1w</v>
      </c>
      <c r="B3016" s="203">
        <f>_xll.qlCalendarAdvance(Calendar,B3015,A3016,"f",FALSE)</f>
        <v>60038</v>
      </c>
      <c r="C3016" s="237">
        <f>_xll.qlCalendarAdvance(Calendar,B3016,NDays&amp;"D")</f>
        <v>60042</v>
      </c>
      <c r="D3016" s="202">
        <v>2.3525368183127792E-2</v>
      </c>
      <c r="E3016" s="202">
        <v>2.3313865301659575E-2</v>
      </c>
      <c r="U3016" s="204"/>
    </row>
    <row r="3017" spans="1:21" x14ac:dyDescent="0.2">
      <c r="A3017" s="64" t="str">
        <f t="shared" si="48"/>
        <v>1w</v>
      </c>
      <c r="B3017" s="203">
        <f>_xll.qlCalendarAdvance(Calendar,B3016,A3017,"f",FALSE)</f>
        <v>60045</v>
      </c>
      <c r="C3017" s="237">
        <f>_xll.qlCalendarAdvance(Calendar,B3017,NDays&amp;"D")</f>
        <v>60049</v>
      </c>
      <c r="D3017" s="202">
        <v>2.3530887500131662E-2</v>
      </c>
      <c r="E3017" s="202">
        <v>2.3319435636013353E-2</v>
      </c>
      <c r="U3017" s="204"/>
    </row>
    <row r="3018" spans="1:21" x14ac:dyDescent="0.2">
      <c r="A3018" s="64" t="str">
        <f t="shared" si="48"/>
        <v>1w</v>
      </c>
      <c r="B3018" s="203">
        <f>_xll.qlCalendarAdvance(Calendar,B3017,A3018,"f",FALSE)</f>
        <v>60052</v>
      </c>
      <c r="C3018" s="237">
        <f>_xll.qlCalendarAdvance(Calendar,B3018,NDays&amp;"D")</f>
        <v>60056</v>
      </c>
      <c r="D3018" s="202">
        <v>2.3535240408543632E-2</v>
      </c>
      <c r="E3018" s="202">
        <v>2.33250186367151E-2</v>
      </c>
      <c r="U3018" s="204"/>
    </row>
    <row r="3019" spans="1:21" x14ac:dyDescent="0.2">
      <c r="A3019" s="64" t="str">
        <f t="shared" si="48"/>
        <v>1w</v>
      </c>
      <c r="B3019" s="203">
        <f>_xll.qlCalendarAdvance(Calendar,B3018,A3019,"f",FALSE)</f>
        <v>60059</v>
      </c>
      <c r="C3019" s="237">
        <f>_xll.qlCalendarAdvance(Calendar,B3019,NDays&amp;"D")</f>
        <v>60063</v>
      </c>
      <c r="D3019" s="202">
        <v>2.3540738954833829E-2</v>
      </c>
      <c r="E3019" s="202">
        <v>2.3330591734778139E-2</v>
      </c>
      <c r="U3019" s="204"/>
    </row>
    <row r="3020" spans="1:21" x14ac:dyDescent="0.2">
      <c r="A3020" s="64" t="str">
        <f t="shared" si="48"/>
        <v>1w</v>
      </c>
      <c r="B3020" s="203">
        <f>_xll.qlCalendarAdvance(Calendar,B3019,A3020,"f",FALSE)</f>
        <v>60066</v>
      </c>
      <c r="C3020" s="237">
        <f>_xll.qlCalendarAdvance(Calendar,B3020,NDays&amp;"D")</f>
        <v>60070</v>
      </c>
      <c r="D3020" s="202">
        <v>2.3546226680168088E-2</v>
      </c>
      <c r="E3020" s="202">
        <v>2.3336154124287134E-2</v>
      </c>
      <c r="U3020" s="204"/>
    </row>
    <row r="3021" spans="1:21" x14ac:dyDescent="0.2">
      <c r="A3021" s="64" t="str">
        <f t="shared" si="48"/>
        <v>1w</v>
      </c>
      <c r="B3021" s="203">
        <f>_xll.qlCalendarAdvance(Calendar,B3020,A3021,"f",FALSE)</f>
        <v>60073</v>
      </c>
      <c r="C3021" s="237">
        <f>_xll.qlCalendarAdvance(Calendar,B3021,NDays&amp;"D")</f>
        <v>60077</v>
      </c>
      <c r="D3021" s="202">
        <v>2.3551703584455561E-2</v>
      </c>
      <c r="E3021" s="202">
        <v>2.334170580516215E-2</v>
      </c>
      <c r="U3021" s="204"/>
    </row>
    <row r="3022" spans="1:21" x14ac:dyDescent="0.2">
      <c r="A3022" s="64" t="str">
        <f t="shared" si="48"/>
        <v>1w</v>
      </c>
      <c r="B3022" s="203">
        <f>_xll.qlCalendarAdvance(Calendar,B3021,A3022,"f",FALSE)</f>
        <v>60080</v>
      </c>
      <c r="C3022" s="237">
        <f>_xll.qlCalendarAdvance(Calendar,B3022,NDays&amp;"D")</f>
        <v>60084</v>
      </c>
      <c r="D3022" s="202">
        <v>2.3559478422821242E-2</v>
      </c>
      <c r="E3022" s="202">
        <v>2.3347246777563058E-2</v>
      </c>
      <c r="U3022" s="204"/>
    </row>
    <row r="3023" spans="1:21" x14ac:dyDescent="0.2">
      <c r="A3023" s="64" t="str">
        <f t="shared" si="48"/>
        <v>1w</v>
      </c>
      <c r="B3023" s="203">
        <f>_xll.qlCalendarAdvance(Calendar,B3022,A3023,"f",FALSE)</f>
        <v>60087</v>
      </c>
      <c r="C3023" s="237">
        <f>_xll.qlCalendarAdvance(Calendar,B3023,NDays&amp;"D")</f>
        <v>60091</v>
      </c>
      <c r="D3023" s="202">
        <v>2.3563778884054233E-2</v>
      </c>
      <c r="E3023" s="202">
        <v>2.3352777041170114E-2</v>
      </c>
      <c r="U3023" s="204"/>
    </row>
    <row r="3024" spans="1:21" x14ac:dyDescent="0.2">
      <c r="A3024" s="64" t="str">
        <f t="shared" si="48"/>
        <v>1w</v>
      </c>
      <c r="B3024" s="203">
        <f>_xll.qlCalendarAdvance(Calendar,B3023,A3024,"f",FALSE)</f>
        <v>60094</v>
      </c>
      <c r="C3024" s="237">
        <f>_xll.qlCalendarAdvance(Calendar,B3024,NDays&amp;"D")</f>
        <v>60098</v>
      </c>
      <c r="D3024" s="202">
        <v>2.3569222905941437E-2</v>
      </c>
      <c r="E3024" s="202">
        <v>2.3358296596303063E-2</v>
      </c>
      <c r="U3024" s="204"/>
    </row>
    <row r="3025" spans="1:21" x14ac:dyDescent="0.2">
      <c r="A3025" s="64" t="str">
        <f t="shared" si="48"/>
        <v>1w</v>
      </c>
      <c r="B3025" s="203">
        <f>_xll.qlCalendarAdvance(Calendar,B3024,A3025,"f",FALSE)</f>
        <v>60101</v>
      </c>
      <c r="C3025" s="237">
        <f>_xll.qlCalendarAdvance(Calendar,B3025,NDays&amp;"D")</f>
        <v>60105</v>
      </c>
      <c r="D3025" s="202">
        <v>2.3574656105797977E-2</v>
      </c>
      <c r="E3025" s="202">
        <v>2.3363805442961905E-2</v>
      </c>
      <c r="U3025" s="204"/>
    </row>
    <row r="3026" spans="1:21" x14ac:dyDescent="0.2">
      <c r="A3026" s="64" t="str">
        <f t="shared" si="48"/>
        <v>1w</v>
      </c>
      <c r="B3026" s="203">
        <f>_xll.qlCalendarAdvance(Calendar,B3025,A3026,"f",FALSE)</f>
        <v>60108</v>
      </c>
      <c r="C3026" s="237">
        <f>_xll.qlCalendarAdvance(Calendar,B3026,NDays&amp;"D")</f>
        <v>60112</v>
      </c>
      <c r="D3026" s="202">
        <v>2.3580078483532187E-2</v>
      </c>
      <c r="E3026" s="202">
        <v>2.3369303580986767E-2</v>
      </c>
      <c r="U3026" s="204"/>
    </row>
    <row r="3027" spans="1:21" x14ac:dyDescent="0.2">
      <c r="A3027" s="64" t="str">
        <f t="shared" si="48"/>
        <v>1w</v>
      </c>
      <c r="B3027" s="203">
        <f>_xll.qlCalendarAdvance(Calendar,B3026,A3027,"f",FALSE)</f>
        <v>60115</v>
      </c>
      <c r="C3027" s="237">
        <f>_xll.qlCalendarAdvance(Calendar,B3027,NDays&amp;"D")</f>
        <v>60119</v>
      </c>
      <c r="D3027" s="202">
        <v>2.3585490039055881E-2</v>
      </c>
      <c r="E3027" s="202">
        <v>2.3374791010377649E-2</v>
      </c>
      <c r="U3027" s="204"/>
    </row>
    <row r="3028" spans="1:21" x14ac:dyDescent="0.2">
      <c r="A3028" s="64" t="str">
        <f t="shared" si="48"/>
        <v>1w</v>
      </c>
      <c r="B3028" s="203">
        <f>_xll.qlCalendarAdvance(Calendar,B3027,A3028,"f",FALSE)</f>
        <v>60122</v>
      </c>
      <c r="C3028" s="237">
        <f>_xll.qlCalendarAdvance(Calendar,B3028,NDays&amp;"D")</f>
        <v>60126</v>
      </c>
      <c r="D3028" s="202">
        <v>2.359089077228043E-2</v>
      </c>
      <c r="E3028" s="202">
        <v>2.3380267731054616E-2</v>
      </c>
      <c r="U3028" s="204"/>
    </row>
    <row r="3029" spans="1:21" x14ac:dyDescent="0.2">
      <c r="A3029" s="64" t="str">
        <f t="shared" si="48"/>
        <v>1w</v>
      </c>
      <c r="B3029" s="203">
        <f>_xll.qlCalendarAdvance(Calendar,B3028,A3029,"f",FALSE)</f>
        <v>60129</v>
      </c>
      <c r="C3029" s="237">
        <f>_xll.qlCalendarAdvance(Calendar,B3029,NDays&amp;"D")</f>
        <v>60133</v>
      </c>
      <c r="D3029" s="202">
        <v>2.3596280683117647E-2</v>
      </c>
      <c r="E3029" s="202">
        <v>2.3385733743417347E-2</v>
      </c>
      <c r="U3029" s="204"/>
    </row>
    <row r="3030" spans="1:21" x14ac:dyDescent="0.2">
      <c r="A3030" s="64" t="str">
        <f t="shared" si="48"/>
        <v>1w</v>
      </c>
      <c r="B3030" s="203">
        <f>_xll.qlCalendarAdvance(Calendar,B3029,A3030,"f",FALSE)</f>
        <v>60136</v>
      </c>
      <c r="C3030" s="237">
        <f>_xll.qlCalendarAdvance(Calendar,B3030,NDays&amp;"D")</f>
        <v>60140</v>
      </c>
      <c r="D3030" s="202">
        <v>2.3601659771478035E-2</v>
      </c>
      <c r="E3030" s="202">
        <v>2.3391189046986227E-2</v>
      </c>
      <c r="U3030" s="204"/>
    </row>
    <row r="3031" spans="1:21" x14ac:dyDescent="0.2">
      <c r="A3031" s="64" t="str">
        <f t="shared" si="48"/>
        <v>1w</v>
      </c>
      <c r="B3031" s="203">
        <f>_xll.qlCalendarAdvance(Calendar,B3030,A3031,"f",FALSE)</f>
        <v>60143</v>
      </c>
      <c r="C3031" s="237">
        <f>_xll.qlCalendarAdvance(Calendar,B3031,NDays&amp;"D")</f>
        <v>60147</v>
      </c>
      <c r="D3031" s="202">
        <v>2.3603576304235332E-2</v>
      </c>
      <c r="E3031" s="202">
        <v>2.3396633642001063E-2</v>
      </c>
      <c r="U3031" s="204"/>
    </row>
    <row r="3032" spans="1:21" x14ac:dyDescent="0.2">
      <c r="A3032" s="64" t="str">
        <f t="shared" si="48"/>
        <v>1w</v>
      </c>
      <c r="B3032" s="203">
        <f>_xll.qlCalendarAdvance(Calendar,B3031,A3032,"f",FALSE)</f>
        <v>60150</v>
      </c>
      <c r="C3032" s="237">
        <f>_xll.qlCalendarAdvance(Calendar,B3032,NDays&amp;"D")</f>
        <v>60154</v>
      </c>
      <c r="D3032" s="202">
        <v>2.3608935018497493E-2</v>
      </c>
      <c r="E3032" s="202">
        <v>2.3402067528541792E-2</v>
      </c>
      <c r="U3032" s="204"/>
    </row>
    <row r="3033" spans="1:21" x14ac:dyDescent="0.2">
      <c r="A3033" s="64" t="str">
        <f t="shared" si="48"/>
        <v>1w</v>
      </c>
      <c r="B3033" s="203">
        <f>_xll.qlCalendarAdvance(Calendar,B3032,A3033,"f",FALSE)</f>
        <v>60157</v>
      </c>
      <c r="C3033" s="237">
        <f>_xll.qlCalendarAdvance(Calendar,B3033,NDays&amp;"D")</f>
        <v>60161</v>
      </c>
      <c r="D3033" s="202">
        <v>2.3614282911919297E-2</v>
      </c>
      <c r="E3033" s="202">
        <v>2.3407490706368606E-2</v>
      </c>
      <c r="U3033" s="204"/>
    </row>
    <row r="3034" spans="1:21" x14ac:dyDescent="0.2">
      <c r="A3034" s="64" t="str">
        <f t="shared" si="48"/>
        <v>1w</v>
      </c>
      <c r="B3034" s="203">
        <f>_xll.qlCalendarAdvance(Calendar,B3033,A3034,"f",FALSE)</f>
        <v>60164</v>
      </c>
      <c r="C3034" s="237">
        <f>_xll.qlCalendarAdvance(Calendar,B3034,NDays&amp;"D")</f>
        <v>60168</v>
      </c>
      <c r="D3034" s="202">
        <v>2.3619619984412862E-2</v>
      </c>
      <c r="E3034" s="202">
        <v>2.3412903175641375E-2</v>
      </c>
      <c r="U3034" s="204"/>
    </row>
    <row r="3035" spans="1:21" x14ac:dyDescent="0.2">
      <c r="A3035" s="64" t="str">
        <f t="shared" si="48"/>
        <v>1w</v>
      </c>
      <c r="B3035" s="203">
        <f>_xll.qlCalendarAdvance(Calendar,B3034,A3035,"f",FALSE)</f>
        <v>60171</v>
      </c>
      <c r="C3035" s="237">
        <f>_xll.qlCalendarAdvance(Calendar,B3035,NDays&amp;"D")</f>
        <v>60175</v>
      </c>
      <c r="D3035" s="202">
        <v>2.3626095105824765E-2</v>
      </c>
      <c r="E3035" s="202">
        <v>2.3418304936280165E-2</v>
      </c>
      <c r="U3035" s="204"/>
    </row>
    <row r="3036" spans="1:21" x14ac:dyDescent="0.2">
      <c r="A3036" s="64" t="str">
        <f t="shared" si="48"/>
        <v>1w</v>
      </c>
      <c r="B3036" s="203">
        <f>_xll.qlCalendarAdvance(Calendar,B3035,A3036,"f",FALSE)</f>
        <v>60178</v>
      </c>
      <c r="C3036" s="237">
        <f>_xll.qlCalendarAdvance(Calendar,B3036,NDays&amp;"D")</f>
        <v>60182</v>
      </c>
      <c r="D3036" s="202">
        <v>2.3631410110031188E-2</v>
      </c>
      <c r="E3036" s="202">
        <v>2.3423695988444848E-2</v>
      </c>
      <c r="U3036" s="204"/>
    </row>
    <row r="3037" spans="1:21" x14ac:dyDescent="0.2">
      <c r="A3037" s="64" t="str">
        <f t="shared" si="48"/>
        <v>1w</v>
      </c>
      <c r="B3037" s="203">
        <f>_xll.qlCalendarAdvance(Calendar,B3036,A3037,"f",FALSE)</f>
        <v>60185</v>
      </c>
      <c r="C3037" s="237">
        <f>_xll.qlCalendarAdvance(Calendar,B3037,NDays&amp;"D")</f>
        <v>60189</v>
      </c>
      <c r="D3037" s="202">
        <v>2.3636714292416809E-2</v>
      </c>
      <c r="E3037" s="202">
        <v>2.3429076331815679E-2</v>
      </c>
      <c r="U3037" s="204"/>
    </row>
    <row r="3038" spans="1:21" x14ac:dyDescent="0.2">
      <c r="A3038" s="64" t="str">
        <f t="shared" si="48"/>
        <v>1w</v>
      </c>
      <c r="B3038" s="203">
        <f>_xll.qlCalendarAdvance(Calendar,B3037,A3038,"f",FALSE)</f>
        <v>60192</v>
      </c>
      <c r="C3038" s="237">
        <f>_xll.qlCalendarAdvance(Calendar,B3038,NDays&amp;"D")</f>
        <v>60196</v>
      </c>
      <c r="D3038" s="202">
        <v>2.364200765289598E-2</v>
      </c>
      <c r="E3038" s="202">
        <v>2.3434445966712403E-2</v>
      </c>
      <c r="U3038" s="204"/>
    </row>
    <row r="3039" spans="1:21" x14ac:dyDescent="0.2">
      <c r="A3039" s="64" t="str">
        <f t="shared" si="48"/>
        <v>1w</v>
      </c>
      <c r="B3039" s="203">
        <f>_xll.qlCalendarAdvance(Calendar,B3038,A3039,"f",FALSE)</f>
        <v>60199</v>
      </c>
      <c r="C3039" s="237">
        <f>_xll.qlCalendarAdvance(Calendar,B3039,NDays&amp;"D")</f>
        <v>60203</v>
      </c>
      <c r="D3039" s="202">
        <v>2.3647290191382619E-2</v>
      </c>
      <c r="E3039" s="202">
        <v>2.3439804893055083E-2</v>
      </c>
      <c r="U3039" s="204"/>
    </row>
    <row r="3040" spans="1:21" x14ac:dyDescent="0.2">
      <c r="A3040" s="64" t="str">
        <f t="shared" si="48"/>
        <v>1w</v>
      </c>
      <c r="B3040" s="203">
        <f>_xll.qlCalendarAdvance(Calendar,B3039,A3040,"f",FALSE)</f>
        <v>60206</v>
      </c>
      <c r="C3040" s="237">
        <f>_xll.qlCalendarAdvance(Calendar,B3040,NDays&amp;"D")</f>
        <v>60210</v>
      </c>
      <c r="D3040" s="202">
        <v>2.3651415175081462E-2</v>
      </c>
      <c r="E3040" s="202">
        <v>2.3445153110763783E-2</v>
      </c>
      <c r="U3040" s="204"/>
    </row>
    <row r="3041" spans="1:21" x14ac:dyDescent="0.2">
      <c r="A3041" s="64" t="str">
        <f t="shared" si="48"/>
        <v>1w</v>
      </c>
      <c r="B3041" s="203">
        <f>_xll.qlCalendarAdvance(Calendar,B3040,A3041,"f",FALSE)</f>
        <v>60213</v>
      </c>
      <c r="C3041" s="237">
        <f>_xll.qlCalendarAdvance(Calendar,B3041,NDays&amp;"D")</f>
        <v>60217</v>
      </c>
      <c r="D3041" s="202">
        <v>2.3656676498678808E-2</v>
      </c>
      <c r="E3041" s="202">
        <v>2.345049061991844E-2</v>
      </c>
      <c r="U3041" s="204"/>
    </row>
    <row r="3042" spans="1:21" x14ac:dyDescent="0.2">
      <c r="A3042" s="64" t="str">
        <f t="shared" si="48"/>
        <v>1w</v>
      </c>
      <c r="B3042" s="203">
        <f>_xll.qlCalendarAdvance(Calendar,B3041,A3042,"f",FALSE)</f>
        <v>60220</v>
      </c>
      <c r="C3042" s="237">
        <f>_xll.qlCalendarAdvance(Calendar,B3042,NDays&amp;"D")</f>
        <v>60224</v>
      </c>
      <c r="D3042" s="202">
        <v>2.3661927000663378E-2</v>
      </c>
      <c r="E3042" s="202">
        <v>2.3455817420279246E-2</v>
      </c>
      <c r="U3042" s="204"/>
    </row>
    <row r="3043" spans="1:21" x14ac:dyDescent="0.2">
      <c r="A3043" s="64" t="str">
        <f t="shared" si="48"/>
        <v>1w</v>
      </c>
      <c r="B3043" s="203">
        <f>_xll.qlCalendarAdvance(Calendar,B3042,A3043,"f",FALSE)</f>
        <v>60227</v>
      </c>
      <c r="C3043" s="237">
        <f>_xll.qlCalendarAdvance(Calendar,B3043,NDays&amp;"D")</f>
        <v>60231</v>
      </c>
      <c r="D3043" s="202">
        <v>2.3667166680952586E-2</v>
      </c>
      <c r="E3043" s="202">
        <v>2.3461133512405752E-2</v>
      </c>
      <c r="U3043" s="204"/>
    </row>
    <row r="3044" spans="1:21" x14ac:dyDescent="0.2">
      <c r="A3044" s="64" t="str">
        <f t="shared" si="48"/>
        <v>1w</v>
      </c>
      <c r="B3044" s="203">
        <f>_xll.qlCalendarAdvance(Calendar,B3043,A3044,"f",FALSE)</f>
        <v>60234</v>
      </c>
      <c r="C3044" s="237">
        <f>_xll.qlCalendarAdvance(Calendar,B3044,NDays&amp;"D")</f>
        <v>60238</v>
      </c>
      <c r="D3044" s="202">
        <v>2.3673540550934614E-2</v>
      </c>
      <c r="E3044" s="202">
        <v>2.3466438895738406E-2</v>
      </c>
      <c r="U3044" s="204"/>
    </row>
    <row r="3045" spans="1:21" x14ac:dyDescent="0.2">
      <c r="A3045" s="64" t="str">
        <f t="shared" si="48"/>
        <v>1w</v>
      </c>
      <c r="B3045" s="203">
        <f>_xll.qlCalendarAdvance(Calendar,B3044,A3045,"f",FALSE)</f>
        <v>60241</v>
      </c>
      <c r="C3045" s="237">
        <f>_xll.qlCalendarAdvance(Calendar,B3045,NDays&amp;"D")</f>
        <v>60245</v>
      </c>
      <c r="D3045" s="202">
        <v>2.3678758155671886E-2</v>
      </c>
      <c r="E3045" s="202">
        <v>2.3471733570437081E-2</v>
      </c>
      <c r="U3045" s="204"/>
    </row>
    <row r="3046" spans="1:21" x14ac:dyDescent="0.2">
      <c r="A3046" s="64" t="str">
        <f t="shared" si="48"/>
        <v>1w</v>
      </c>
      <c r="B3046" s="203">
        <f>_xll.qlCalendarAdvance(Calendar,B3045,A3046,"f",FALSE)</f>
        <v>60248</v>
      </c>
      <c r="C3046" s="237">
        <f>_xll.qlCalendarAdvance(Calendar,B3046,NDays&amp;"D")</f>
        <v>60252</v>
      </c>
      <c r="D3046" s="202">
        <v>2.3683964937819303E-2</v>
      </c>
      <c r="E3046" s="202">
        <v>2.3477017536501776E-2</v>
      </c>
      <c r="U3046" s="204"/>
    </row>
    <row r="3047" spans="1:21" x14ac:dyDescent="0.2">
      <c r="A3047" s="64" t="str">
        <f t="shared" si="48"/>
        <v>1w</v>
      </c>
      <c r="B3047" s="203">
        <f>_xll.qlCalendarAdvance(Calendar,B3046,A3047,"f",FALSE)</f>
        <v>60255</v>
      </c>
      <c r="C3047" s="237">
        <f>_xll.qlCalendarAdvance(Calendar,B3047,NDays&amp;"D")</f>
        <v>60259</v>
      </c>
      <c r="D3047" s="202">
        <v>2.3689160897293851E-2</v>
      </c>
      <c r="E3047" s="202">
        <v>2.3482290794092364E-2</v>
      </c>
      <c r="U3047" s="204"/>
    </row>
    <row r="3048" spans="1:21" x14ac:dyDescent="0.2">
      <c r="A3048" s="64" t="str">
        <f t="shared" si="48"/>
        <v>1w</v>
      </c>
      <c r="B3048" s="203">
        <f>_xll.qlCalendarAdvance(Calendar,B3047,A3048,"f",FALSE)</f>
        <v>60265</v>
      </c>
      <c r="C3048" s="237">
        <f>_xll.qlCalendarAdvance(Calendar,B3048,NDays&amp;"D")</f>
        <v>60267</v>
      </c>
      <c r="D3048" s="202">
        <v>2.3693942666336863E-2</v>
      </c>
      <c r="E3048" s="202">
        <v>2.3489445886610838E-2</v>
      </c>
      <c r="U3048" s="204"/>
    </row>
    <row r="3049" spans="1:21" x14ac:dyDescent="0.2">
      <c r="A3049" s="64" t="str">
        <f t="shared" si="48"/>
        <v>1w</v>
      </c>
      <c r="B3049" s="203">
        <f>_xll.qlCalendarAdvance(Calendar,B3048,A3049,"f",FALSE)</f>
        <v>60272</v>
      </c>
      <c r="C3049" s="237">
        <f>_xll.qlCalendarAdvance(Calendar,B3049,NDays&amp;"D")</f>
        <v>60274</v>
      </c>
      <c r="D3049" s="202">
        <v>2.3699115868638758E-2</v>
      </c>
      <c r="E3049" s="202">
        <v>2.3493554572082687E-2</v>
      </c>
      <c r="U3049" s="204"/>
    </row>
    <row r="3050" spans="1:21" x14ac:dyDescent="0.2">
      <c r="A3050" s="64" t="str">
        <f t="shared" si="48"/>
        <v>1w</v>
      </c>
      <c r="B3050" s="203">
        <f>_xll.qlCalendarAdvance(Calendar,B3049,A3050,"f",FALSE)</f>
        <v>60279</v>
      </c>
      <c r="C3050" s="237">
        <f>_xll.qlCalendarAdvance(Calendar,B3050,NDays&amp;"D")</f>
        <v>60281</v>
      </c>
      <c r="D3050" s="202">
        <v>2.3704278248643778E-2</v>
      </c>
      <c r="E3050" s="202">
        <v>2.3498794174034998E-2</v>
      </c>
      <c r="U3050" s="204"/>
    </row>
    <row r="3051" spans="1:21" x14ac:dyDescent="0.2">
      <c r="A3051" s="64" t="str">
        <f t="shared" si="48"/>
        <v>1w</v>
      </c>
      <c r="B3051" s="203">
        <f>_xll.qlCalendarAdvance(Calendar,B3050,A3051,"f",FALSE)</f>
        <v>60286</v>
      </c>
      <c r="C3051" s="237">
        <f>_xll.qlCalendarAdvance(Calendar,B3051,NDays&amp;"D")</f>
        <v>60288</v>
      </c>
      <c r="D3051" s="202">
        <v>2.3709429806267137E-2</v>
      </c>
      <c r="E3051" s="202">
        <v>2.350402306735333E-2</v>
      </c>
      <c r="U3051" s="204"/>
    </row>
    <row r="3052" spans="1:21" x14ac:dyDescent="0.2">
      <c r="A3052" s="64" t="str">
        <f t="shared" si="48"/>
        <v>1w</v>
      </c>
      <c r="B3052" s="203">
        <f>_xll.qlCalendarAdvance(Calendar,B3051,A3052,"f",FALSE)</f>
        <v>60293</v>
      </c>
      <c r="C3052" s="237">
        <f>_xll.qlCalendarAdvance(Calendar,B3052,NDays&amp;"D")</f>
        <v>60295</v>
      </c>
      <c r="D3052" s="202">
        <v>2.3714570541428007E-2</v>
      </c>
      <c r="E3052" s="202">
        <v>2.3509241252117619E-2</v>
      </c>
      <c r="U3052" s="204"/>
    </row>
    <row r="3053" spans="1:21" x14ac:dyDescent="0.2">
      <c r="A3053" s="64" t="str">
        <f t="shared" si="48"/>
        <v>1w</v>
      </c>
      <c r="B3053" s="203">
        <f>_xll.qlCalendarAdvance(Calendar,B3052,A3053,"f",FALSE)</f>
        <v>60300</v>
      </c>
      <c r="C3053" s="237">
        <f>_xll.qlCalendarAdvance(Calendar,B3053,NDays&amp;"D")</f>
        <v>60302</v>
      </c>
      <c r="D3053" s="202">
        <v>2.3719700454041603E-2</v>
      </c>
      <c r="E3053" s="202">
        <v>2.3514448728247928E-2</v>
      </c>
      <c r="U3053" s="204"/>
    </row>
    <row r="3054" spans="1:21" x14ac:dyDescent="0.2">
      <c r="A3054" s="64" t="str">
        <f t="shared" si="48"/>
        <v>1w</v>
      </c>
      <c r="B3054" s="203">
        <f>_xll.qlCalendarAdvance(Calendar,B3053,A3054,"f",FALSE)</f>
        <v>60307</v>
      </c>
      <c r="C3054" s="237">
        <f>_xll.qlCalendarAdvance(Calendar,B3054,NDays&amp;"D")</f>
        <v>60309</v>
      </c>
      <c r="D3054" s="202">
        <v>2.3724819544025333E-2</v>
      </c>
      <c r="E3054" s="202">
        <v>2.3519645495744257E-2</v>
      </c>
      <c r="U3054" s="204"/>
    </row>
    <row r="3055" spans="1:21" x14ac:dyDescent="0.2">
      <c r="A3055" s="64" t="str">
        <f t="shared" si="48"/>
        <v>1w</v>
      </c>
      <c r="B3055" s="203">
        <f>_xll.qlCalendarAdvance(Calendar,B3054,A3055,"f",FALSE)</f>
        <v>60314</v>
      </c>
      <c r="C3055" s="237">
        <f>_xll.qlCalendarAdvance(Calendar,B3055,NDays&amp;"D")</f>
        <v>60316</v>
      </c>
      <c r="D3055" s="202">
        <v>2.3729927811297496E-2</v>
      </c>
      <c r="E3055" s="202">
        <v>2.3524831554686543E-2</v>
      </c>
      <c r="U3055" s="204"/>
    </row>
    <row r="3056" spans="1:21" x14ac:dyDescent="0.2">
      <c r="A3056" s="64" t="str">
        <f t="shared" si="48"/>
        <v>1w</v>
      </c>
      <c r="B3056" s="203">
        <f>_xll.qlCalendarAdvance(Calendar,B3055,A3056,"f",FALSE)</f>
        <v>60321</v>
      </c>
      <c r="C3056" s="237">
        <f>_xll.qlCalendarAdvance(Calendar,B3056,NDays&amp;"D")</f>
        <v>60323</v>
      </c>
      <c r="D3056" s="202">
        <v>2.3735025255775068E-2</v>
      </c>
      <c r="E3056" s="202">
        <v>2.3530006905074785E-2</v>
      </c>
      <c r="U3056" s="204"/>
    </row>
    <row r="3057" spans="1:21" x14ac:dyDescent="0.2">
      <c r="A3057" s="64" t="str">
        <f t="shared" si="48"/>
        <v>1w</v>
      </c>
      <c r="B3057" s="203">
        <f>_xll.qlCalendarAdvance(Calendar,B3056,A3057,"f",FALSE)</f>
        <v>60328</v>
      </c>
      <c r="C3057" s="237">
        <f>_xll.qlCalendarAdvance(Calendar,B3057,NDays&amp;"D")</f>
        <v>60330</v>
      </c>
      <c r="D3057" s="202">
        <v>2.3743529751843247E-2</v>
      </c>
      <c r="E3057" s="202">
        <v>2.3535171546829048E-2</v>
      </c>
      <c r="U3057" s="204"/>
    </row>
    <row r="3058" spans="1:21" x14ac:dyDescent="0.2">
      <c r="A3058" s="64" t="str">
        <f t="shared" si="48"/>
        <v>1w</v>
      </c>
      <c r="B3058" s="203">
        <f>_xll.qlCalendarAdvance(Calendar,B3057,A3058,"f",FALSE)</f>
        <v>60335</v>
      </c>
      <c r="C3058" s="237">
        <f>_xll.qlCalendarAdvance(Calendar,B3058,NDays&amp;"D")</f>
        <v>60337</v>
      </c>
      <c r="D3058" s="202">
        <v>2.3748604229256735E-2</v>
      </c>
      <c r="E3058" s="202">
        <v>2.3540325479949331E-2</v>
      </c>
      <c r="U3058" s="204"/>
    </row>
    <row r="3059" spans="1:21" x14ac:dyDescent="0.2">
      <c r="A3059" s="64" t="str">
        <f t="shared" si="48"/>
        <v>1w</v>
      </c>
      <c r="B3059" s="203">
        <f>_xll.qlCalendarAdvance(Calendar,B3058,A3059,"f",FALSE)</f>
        <v>60342</v>
      </c>
      <c r="C3059" s="237">
        <f>_xll.qlCalendarAdvance(Calendar,B3059,NDays&amp;"D")</f>
        <v>60344</v>
      </c>
      <c r="D3059" s="202">
        <v>2.3753667881695389E-2</v>
      </c>
      <c r="E3059" s="202">
        <v>2.3545468704515571E-2</v>
      </c>
      <c r="U3059" s="204"/>
    </row>
    <row r="3060" spans="1:21" x14ac:dyDescent="0.2">
      <c r="A3060" s="64" t="str">
        <f t="shared" si="48"/>
        <v>1w</v>
      </c>
      <c r="B3060" s="203">
        <f>_xll.qlCalendarAdvance(Calendar,B3059,A3060,"f",FALSE)</f>
        <v>60349</v>
      </c>
      <c r="C3060" s="237">
        <f>_xll.qlCalendarAdvance(Calendar,B3060,NDays&amp;"D")</f>
        <v>60351</v>
      </c>
      <c r="D3060" s="202">
        <v>2.3758720709073634E-2</v>
      </c>
      <c r="E3060" s="202">
        <v>2.3550601220367895E-2</v>
      </c>
      <c r="U3060" s="204"/>
    </row>
    <row r="3061" spans="1:21" x14ac:dyDescent="0.2">
      <c r="A3061" s="64" t="str">
        <f t="shared" si="48"/>
        <v>1w</v>
      </c>
      <c r="B3061" s="203">
        <f>_xll.qlCalendarAdvance(Calendar,B3060,A3061,"f",FALSE)</f>
        <v>60357</v>
      </c>
      <c r="C3061" s="237">
        <f>_xll.qlCalendarAdvance(Calendar,B3061,NDays&amp;"D")</f>
        <v>60359</v>
      </c>
      <c r="D3061" s="202">
        <v>2.3763344643613939E-2</v>
      </c>
      <c r="E3061" s="202">
        <v>2.3556453840276603E-2</v>
      </c>
      <c r="U3061" s="204"/>
    </row>
    <row r="3062" spans="1:21" x14ac:dyDescent="0.2">
      <c r="A3062" s="64" t="str">
        <f t="shared" si="48"/>
        <v>1w</v>
      </c>
      <c r="B3062" s="203">
        <f>_xll.qlCalendarAdvance(Calendar,B3061,A3062,"f",FALSE)</f>
        <v>60364</v>
      </c>
      <c r="C3062" s="237">
        <f>_xll.qlCalendarAdvance(Calendar,B3062,NDays&amp;"D")</f>
        <v>60366</v>
      </c>
      <c r="D3062" s="202">
        <v>2.3768374717312704E-2</v>
      </c>
      <c r="E3062" s="202">
        <v>2.3561563409204567E-2</v>
      </c>
      <c r="U3062" s="204"/>
    </row>
    <row r="3063" spans="1:21" x14ac:dyDescent="0.2">
      <c r="A3063" s="64" t="str">
        <f t="shared" si="48"/>
        <v>1w</v>
      </c>
      <c r="B3063" s="203">
        <f>_xll.qlCalendarAdvance(Calendar,B3062,A3063,"f",FALSE)</f>
        <v>60371</v>
      </c>
      <c r="C3063" s="237">
        <f>_xll.qlCalendarAdvance(Calendar,B3063,NDays&amp;"D")</f>
        <v>60373</v>
      </c>
      <c r="D3063" s="202">
        <v>2.3773393966338291E-2</v>
      </c>
      <c r="E3063" s="202">
        <v>2.3566662269418615E-2</v>
      </c>
      <c r="U3063" s="204"/>
    </row>
    <row r="3064" spans="1:21" x14ac:dyDescent="0.2">
      <c r="A3064" s="64" t="str">
        <f t="shared" si="48"/>
        <v>1w</v>
      </c>
      <c r="B3064" s="203">
        <f>_xll.qlCalendarAdvance(Calendar,B3063,A3064,"f",FALSE)</f>
        <v>60378</v>
      </c>
      <c r="C3064" s="237">
        <f>_xll.qlCalendarAdvance(Calendar,B3064,NDays&amp;"D")</f>
        <v>60380</v>
      </c>
      <c r="D3064" s="202">
        <v>2.3778402390611197E-2</v>
      </c>
      <c r="E3064" s="202">
        <v>2.3571750421238491E-2</v>
      </c>
      <c r="U3064" s="204"/>
    </row>
    <row r="3065" spans="1:21" x14ac:dyDescent="0.2">
      <c r="A3065" s="64" t="str">
        <f t="shared" si="48"/>
        <v>1w</v>
      </c>
      <c r="B3065" s="203">
        <f>_xll.qlCalendarAdvance(Calendar,B3064,A3065,"f",FALSE)</f>
        <v>60385</v>
      </c>
      <c r="C3065" s="237">
        <f>_xll.qlCalendarAdvance(Calendar,B3065,NDays&amp;"D")</f>
        <v>60387</v>
      </c>
      <c r="D3065" s="202">
        <v>2.3783399990047121E-2</v>
      </c>
      <c r="E3065" s="202">
        <v>2.3580230784350231E-2</v>
      </c>
      <c r="U3065" s="204"/>
    </row>
    <row r="3066" spans="1:21" x14ac:dyDescent="0.2">
      <c r="A3066" s="64" t="str">
        <f t="shared" si="48"/>
        <v>1w</v>
      </c>
      <c r="B3066" s="203">
        <f>_xll.qlCalendarAdvance(Calendar,B3065,A3066,"f",FALSE)</f>
        <v>60392</v>
      </c>
      <c r="C3066" s="237">
        <f>_xll.qlCalendarAdvance(Calendar,B3066,NDays&amp;"D")</f>
        <v>60394</v>
      </c>
      <c r="D3066" s="202">
        <v>2.3791792528755771E-2</v>
      </c>
      <c r="E3066" s="202">
        <v>2.3581894598656561E-2</v>
      </c>
      <c r="U3066" s="204"/>
    </row>
    <row r="3067" spans="1:21" x14ac:dyDescent="0.2">
      <c r="A3067" s="64" t="str">
        <f t="shared" si="48"/>
        <v>1w</v>
      </c>
      <c r="B3067" s="203">
        <f>_xll.qlCalendarAdvance(Calendar,B3066,A3067,"f",FALSE)</f>
        <v>60399</v>
      </c>
      <c r="C3067" s="237">
        <f>_xll.qlCalendarAdvance(Calendar,B3067,NDays&amp;"D")</f>
        <v>60401</v>
      </c>
      <c r="D3067" s="202">
        <v>2.3796767138880459E-2</v>
      </c>
      <c r="E3067" s="202">
        <v>2.3586950624654435E-2</v>
      </c>
      <c r="U3067" s="204"/>
    </row>
    <row r="3068" spans="1:21" x14ac:dyDescent="0.2">
      <c r="A3068" s="64" t="str">
        <f t="shared" si="48"/>
        <v>1w</v>
      </c>
      <c r="B3068" s="203">
        <f>_xll.qlCalendarAdvance(Calendar,B3067,A3068,"f",FALSE)</f>
        <v>60406</v>
      </c>
      <c r="C3068" s="237">
        <f>_xll.qlCalendarAdvance(Calendar,B3068,NDays&amp;"D")</f>
        <v>60408</v>
      </c>
      <c r="D3068" s="202">
        <v>2.3801730921975985E-2</v>
      </c>
      <c r="E3068" s="202">
        <v>2.3591995941938393E-2</v>
      </c>
      <c r="U3068" s="204"/>
    </row>
    <row r="3069" spans="1:21" x14ac:dyDescent="0.2">
      <c r="A3069" s="64" t="str">
        <f t="shared" si="48"/>
        <v>1w</v>
      </c>
      <c r="B3069" s="203">
        <f>_xll.qlCalendarAdvance(Calendar,B3068,A3069,"f",FALSE)</f>
        <v>60413</v>
      </c>
      <c r="C3069" s="237">
        <f>_xll.qlCalendarAdvance(Calendar,B3069,NDays&amp;"D")</f>
        <v>60415</v>
      </c>
      <c r="D3069" s="202">
        <v>2.380668387796241E-2</v>
      </c>
      <c r="E3069" s="202">
        <v>2.3597030550748244E-2</v>
      </c>
      <c r="U3069" s="204"/>
    </row>
    <row r="3070" spans="1:21" x14ac:dyDescent="0.2">
      <c r="A3070" s="64" t="str">
        <f t="shared" si="48"/>
        <v>1w</v>
      </c>
      <c r="B3070" s="203">
        <f>_xll.qlCalendarAdvance(Calendar,B3069,A3070,"f",FALSE)</f>
        <v>60420</v>
      </c>
      <c r="C3070" s="237">
        <f>_xll.qlCalendarAdvance(Calendar,B3070,NDays&amp;"D")</f>
        <v>60422</v>
      </c>
      <c r="D3070" s="202">
        <v>2.3808225611837545E-2</v>
      </c>
      <c r="E3070" s="202">
        <v>2.3602054450684307E-2</v>
      </c>
      <c r="U3070" s="204"/>
    </row>
    <row r="3071" spans="1:21" x14ac:dyDescent="0.2">
      <c r="A3071" s="64" t="str">
        <f t="shared" si="48"/>
        <v>1w</v>
      </c>
      <c r="B3071" s="203">
        <f>_xll.qlCalendarAdvance(Calendar,B3070,A3071,"f",FALSE)</f>
        <v>60427</v>
      </c>
      <c r="C3071" s="237">
        <f>_xll.qlCalendarAdvance(Calendar,B3071,NDays&amp;"D")</f>
        <v>60429</v>
      </c>
      <c r="D3071" s="202">
        <v>2.3813158260550638E-2</v>
      </c>
      <c r="E3071" s="202">
        <v>2.3607067642066326E-2</v>
      </c>
      <c r="U3071" s="204"/>
    </row>
    <row r="3072" spans="1:21" x14ac:dyDescent="0.2">
      <c r="A3072" s="64" t="str">
        <f t="shared" si="48"/>
        <v>1w</v>
      </c>
      <c r="B3072" s="203">
        <f>_xll.qlCalendarAdvance(Calendar,B3071,A3072,"f",FALSE)</f>
        <v>60434</v>
      </c>
      <c r="C3072" s="237">
        <f>_xll.qlCalendarAdvance(Calendar,B3072,NDays&amp;"D")</f>
        <v>60436</v>
      </c>
      <c r="D3072" s="202">
        <v>2.3818080083860643E-2</v>
      </c>
      <c r="E3072" s="202">
        <v>2.3612070125054174E-2</v>
      </c>
      <c r="U3072" s="204"/>
    </row>
    <row r="3073" spans="1:21" x14ac:dyDescent="0.2">
      <c r="A3073" s="64" t="str">
        <f t="shared" si="48"/>
        <v>1w</v>
      </c>
      <c r="B3073" s="203">
        <f>_xll.qlCalendarAdvance(Calendar,B3072,A3073,"f",FALSE)</f>
        <v>60441</v>
      </c>
      <c r="C3073" s="237">
        <f>_xll.qlCalendarAdvance(Calendar,B3073,NDays&amp;"D")</f>
        <v>60443</v>
      </c>
      <c r="D3073" s="202">
        <v>2.3826387429159056E-2</v>
      </c>
      <c r="E3073" s="202">
        <v>2.3617061899248171E-2</v>
      </c>
      <c r="U3073" s="204"/>
    </row>
    <row r="3074" spans="1:21" x14ac:dyDescent="0.2">
      <c r="A3074" s="64" t="str">
        <f t="shared" si="48"/>
        <v>1w</v>
      </c>
      <c r="B3074" s="203">
        <f>_xll.qlCalendarAdvance(Calendar,B3073,A3074,"f",FALSE)</f>
        <v>60448</v>
      </c>
      <c r="C3074" s="237">
        <f>_xll.qlCalendarAdvance(Calendar,B3074,NDays&amp;"D")</f>
        <v>60450</v>
      </c>
      <c r="D3074" s="202">
        <v>2.3831286248363111E-2</v>
      </c>
      <c r="E3074" s="202">
        <v>2.3622042964808188E-2</v>
      </c>
      <c r="U3074" s="204"/>
    </row>
    <row r="3075" spans="1:21" x14ac:dyDescent="0.2">
      <c r="A3075" s="64" t="str">
        <f t="shared" si="48"/>
        <v>1w</v>
      </c>
      <c r="B3075" s="203">
        <f>_xll.qlCalendarAdvance(Calendar,B3074,A3075,"f",FALSE)</f>
        <v>60455</v>
      </c>
      <c r="C3075" s="237">
        <f>_xll.qlCalendarAdvance(Calendar,B3075,NDays&amp;"D")</f>
        <v>60457</v>
      </c>
      <c r="D3075" s="202">
        <v>2.3836174239966843E-2</v>
      </c>
      <c r="E3075" s="202">
        <v>2.3627013321894097E-2</v>
      </c>
      <c r="U3075" s="204"/>
    </row>
    <row r="3076" spans="1:21" x14ac:dyDescent="0.2">
      <c r="A3076" s="64" t="str">
        <f t="shared" si="48"/>
        <v>1w</v>
      </c>
      <c r="B3076" s="203">
        <f>_xll.qlCalendarAdvance(Calendar,B3075,A3076,"f",FALSE)</f>
        <v>60462</v>
      </c>
      <c r="C3076" s="237">
        <f>_xll.qlCalendarAdvance(Calendar,B3076,NDays&amp;"D")</f>
        <v>60464</v>
      </c>
      <c r="D3076" s="202">
        <v>2.3841051403888598E-2</v>
      </c>
      <c r="E3076" s="202">
        <v>2.3631972970266091E-2</v>
      </c>
      <c r="U3076" s="204"/>
    </row>
    <row r="3077" spans="1:21" x14ac:dyDescent="0.2">
      <c r="A3077" s="64" t="str">
        <f t="shared" si="48"/>
        <v>1w</v>
      </c>
      <c r="B3077" s="203">
        <f>_xll.qlCalendarAdvance(Calendar,B3076,A3077,"f",FALSE)</f>
        <v>60469</v>
      </c>
      <c r="C3077" s="237">
        <f>_xll.qlCalendarAdvance(Calendar,B3077,NDays&amp;"D")</f>
        <v>60471</v>
      </c>
      <c r="D3077" s="202">
        <v>2.3845917740046723E-2</v>
      </c>
      <c r="E3077" s="202">
        <v>2.3636921910004105E-2</v>
      </c>
      <c r="U3077" s="204"/>
    </row>
    <row r="3078" spans="1:21" x14ac:dyDescent="0.2">
      <c r="A3078" s="64" t="str">
        <f t="shared" si="48"/>
        <v>1w</v>
      </c>
      <c r="B3078" s="203">
        <f>_xll.qlCalendarAdvance(Calendar,B3077,A3078,"f",FALSE)</f>
        <v>60476</v>
      </c>
      <c r="C3078" s="237">
        <f>_xll.qlCalendarAdvance(Calendar,B3078,NDays&amp;"D")</f>
        <v>60478</v>
      </c>
      <c r="D3078" s="202">
        <v>2.3847383685760625E-2</v>
      </c>
      <c r="E3078" s="202">
        <v>2.3641860141188076E-2</v>
      </c>
      <c r="U3078" s="204"/>
    </row>
    <row r="3079" spans="1:21" x14ac:dyDescent="0.2">
      <c r="A3079" s="64" t="str">
        <f t="shared" ref="A3079:A3142" si="49">A3078</f>
        <v>1w</v>
      </c>
      <c r="B3079" s="203">
        <f>_xll.qlCalendarAdvance(Calendar,B3078,A3079,"f",FALSE)</f>
        <v>60483</v>
      </c>
      <c r="C3079" s="237">
        <f>_xll.qlCalendarAdvance(Calendar,B3079,NDays&amp;"D")</f>
        <v>60485</v>
      </c>
      <c r="D3079" s="202">
        <v>2.3855617928753622E-2</v>
      </c>
      <c r="E3079" s="202">
        <v>2.3646787663738067E-2</v>
      </c>
      <c r="U3079" s="204"/>
    </row>
    <row r="3080" spans="1:21" x14ac:dyDescent="0.2">
      <c r="A3080" s="64" t="str">
        <f t="shared" si="49"/>
        <v>1w</v>
      </c>
      <c r="B3080" s="203">
        <f>_xll.qlCalendarAdvance(Calendar,B3079,A3080,"f",FALSE)</f>
        <v>60490</v>
      </c>
      <c r="C3080" s="237">
        <f>_xll.qlCalendarAdvance(Calendar,B3080,NDays&amp;"D")</f>
        <v>60492</v>
      </c>
      <c r="D3080" s="202">
        <v>2.3860451781140372E-2</v>
      </c>
      <c r="E3080" s="202">
        <v>2.3651704477734015E-2</v>
      </c>
      <c r="U3080" s="204"/>
    </row>
    <row r="3081" spans="1:21" x14ac:dyDescent="0.2">
      <c r="A3081" s="64" t="str">
        <f t="shared" si="49"/>
        <v>1w</v>
      </c>
      <c r="B3081" s="203">
        <f>_xll.qlCalendarAdvance(Calendar,B3080,A3081,"f",FALSE)</f>
        <v>60497</v>
      </c>
      <c r="C3081" s="237">
        <f>_xll.qlCalendarAdvance(Calendar,B3081,NDays&amp;"D")</f>
        <v>60499</v>
      </c>
      <c r="D3081" s="202">
        <v>2.3865274805442031E-2</v>
      </c>
      <c r="E3081" s="202">
        <v>2.3656610583016047E-2</v>
      </c>
      <c r="U3081" s="204"/>
    </row>
    <row r="3082" spans="1:21" x14ac:dyDescent="0.2">
      <c r="A3082" s="64" t="str">
        <f t="shared" si="49"/>
        <v>1w</v>
      </c>
      <c r="B3082" s="203">
        <f>_xll.qlCalendarAdvance(Calendar,B3081,A3082,"f",FALSE)</f>
        <v>60504</v>
      </c>
      <c r="C3082" s="237">
        <f>_xll.qlCalendarAdvance(Calendar,B3082,NDays&amp;"D")</f>
        <v>60506</v>
      </c>
      <c r="D3082" s="202">
        <v>2.38667029021844E-2</v>
      </c>
      <c r="E3082" s="202">
        <v>2.3661505979903907E-2</v>
      </c>
      <c r="U3082" s="204"/>
    </row>
    <row r="3083" spans="1:21" x14ac:dyDescent="0.2">
      <c r="A3083" s="64" t="str">
        <f t="shared" si="49"/>
        <v>1w</v>
      </c>
      <c r="B3083" s="203">
        <f>_xll.qlCalendarAdvance(Calendar,B3082,A3083,"f",FALSE)</f>
        <v>60511</v>
      </c>
      <c r="C3083" s="237">
        <f>_xll.qlCalendarAdvance(Calendar,B3083,NDays&amp;"D")</f>
        <v>60513</v>
      </c>
      <c r="D3083" s="202">
        <v>2.3869250516969462E-2</v>
      </c>
      <c r="E3083" s="202">
        <v>2.3666390667838044E-2</v>
      </c>
      <c r="U3083" s="204"/>
    </row>
    <row r="3084" spans="1:21" x14ac:dyDescent="0.2">
      <c r="A3084" s="64" t="str">
        <f t="shared" si="49"/>
        <v>1w</v>
      </c>
      <c r="B3084" s="203">
        <f>_xll.qlCalendarAdvance(Calendar,B3083,A3084,"f",FALSE)</f>
        <v>60518</v>
      </c>
      <c r="C3084" s="237">
        <f>_xll.qlCalendarAdvance(Calendar,B3084,NDays&amp;"D")</f>
        <v>60520</v>
      </c>
      <c r="D3084" s="202">
        <v>2.3874043343982961E-2</v>
      </c>
      <c r="E3084" s="202">
        <v>2.3671264647457946E-2</v>
      </c>
      <c r="U3084" s="204"/>
    </row>
    <row r="3085" spans="1:21" x14ac:dyDescent="0.2">
      <c r="A3085" s="64" t="str">
        <f t="shared" si="49"/>
        <v>1w</v>
      </c>
      <c r="B3085" s="203">
        <f>_xll.qlCalendarAdvance(Calendar,B3084,A3085,"f",FALSE)</f>
        <v>60525</v>
      </c>
      <c r="C3085" s="237">
        <f>_xll.qlCalendarAdvance(Calendar,B3085,NDays&amp;"D")</f>
        <v>60527</v>
      </c>
      <c r="D3085" s="202">
        <v>2.3878825345874446E-2</v>
      </c>
      <c r="E3085" s="202">
        <v>2.3676127918363932E-2</v>
      </c>
      <c r="U3085" s="204"/>
    </row>
    <row r="3086" spans="1:21" x14ac:dyDescent="0.2">
      <c r="A3086" s="64" t="str">
        <f t="shared" si="49"/>
        <v>1w</v>
      </c>
      <c r="B3086" s="203">
        <f>_xll.qlCalendarAdvance(Calendar,B3085,A3086,"f",FALSE)</f>
        <v>60532</v>
      </c>
      <c r="C3086" s="237">
        <f>_xll.qlCalendarAdvance(Calendar,B3086,NDays&amp;"D")</f>
        <v>60534</v>
      </c>
      <c r="D3086" s="202">
        <v>2.3883596522567069E-2</v>
      </c>
      <c r="E3086" s="202">
        <v>2.3680980480556002E-2</v>
      </c>
      <c r="U3086" s="204"/>
    </row>
    <row r="3087" spans="1:21" x14ac:dyDescent="0.2">
      <c r="A3087" s="64" t="str">
        <f t="shared" si="49"/>
        <v>1w</v>
      </c>
      <c r="B3087" s="203">
        <f>_xll.qlCalendarAdvance(Calendar,B3086,A3087,"f",FALSE)</f>
        <v>60539</v>
      </c>
      <c r="C3087" s="237">
        <f>_xll.qlCalendarAdvance(Calendar,B3087,NDays&amp;"D")</f>
        <v>60541</v>
      </c>
      <c r="D3087" s="202">
        <v>2.3889482599714591E-2</v>
      </c>
      <c r="E3087" s="202">
        <v>2.3685822334273965E-2</v>
      </c>
      <c r="U3087" s="204"/>
    </row>
    <row r="3088" spans="1:21" x14ac:dyDescent="0.2">
      <c r="A3088" s="64" t="str">
        <f t="shared" si="49"/>
        <v>1w</v>
      </c>
      <c r="B3088" s="203">
        <f>_xll.qlCalendarAdvance(Calendar,B3087,A3088,"f",FALSE)</f>
        <v>60546</v>
      </c>
      <c r="C3088" s="237">
        <f>_xll.qlCalendarAdvance(Calendar,B3088,NDays&amp;"D")</f>
        <v>60548</v>
      </c>
      <c r="D3088" s="202">
        <v>2.3894231665808376E-2</v>
      </c>
      <c r="E3088" s="202">
        <v>2.3690653479278012E-2</v>
      </c>
      <c r="U3088" s="204"/>
    </row>
    <row r="3089" spans="1:21" x14ac:dyDescent="0.2">
      <c r="A3089" s="64" t="str">
        <f t="shared" si="49"/>
        <v>1w</v>
      </c>
      <c r="B3089" s="203">
        <f>_xll.qlCalendarAdvance(Calendar,B3088,A3089,"f",FALSE)</f>
        <v>60553</v>
      </c>
      <c r="C3089" s="237">
        <f>_xll.qlCalendarAdvance(Calendar,B3089,NDays&amp;"D")</f>
        <v>60555</v>
      </c>
      <c r="D3089" s="202">
        <v>2.3898969905814443E-2</v>
      </c>
      <c r="E3089" s="202">
        <v>2.3695473915568144E-2</v>
      </c>
      <c r="U3089" s="204"/>
    </row>
    <row r="3090" spans="1:21" x14ac:dyDescent="0.2">
      <c r="A3090" s="64" t="str">
        <f t="shared" si="49"/>
        <v>1w</v>
      </c>
      <c r="B3090" s="203">
        <f>_xll.qlCalendarAdvance(Calendar,B3089,A3090,"f",FALSE)</f>
        <v>60560</v>
      </c>
      <c r="C3090" s="237">
        <f>_xll.qlCalendarAdvance(Calendar,B3090,NDays&amp;"D")</f>
        <v>60562</v>
      </c>
      <c r="D3090" s="202">
        <v>2.3903697319657247E-2</v>
      </c>
      <c r="E3090" s="202">
        <v>2.3700283643623976E-2</v>
      </c>
      <c r="U3090" s="204"/>
    </row>
    <row r="3091" spans="1:21" x14ac:dyDescent="0.2">
      <c r="A3091" s="64" t="str">
        <f t="shared" si="49"/>
        <v>1w</v>
      </c>
      <c r="B3091" s="203">
        <f>_xll.qlCalendarAdvance(Calendar,B3090,A3091,"f",FALSE)</f>
        <v>60567</v>
      </c>
      <c r="C3091" s="237">
        <f>_xll.qlCalendarAdvance(Calendar,B3091,NDays&amp;"D")</f>
        <v>60569</v>
      </c>
      <c r="D3091" s="202">
        <v>2.3908413907258608E-2</v>
      </c>
      <c r="E3091" s="202">
        <v>2.3705082662726085E-2</v>
      </c>
      <c r="U3091" s="204"/>
    </row>
    <row r="3092" spans="1:21" x14ac:dyDescent="0.2">
      <c r="A3092" s="64" t="str">
        <f t="shared" si="49"/>
        <v>1w</v>
      </c>
      <c r="B3092" s="203">
        <f>_xll.qlCalendarAdvance(Calendar,B3091,A3092,"f",FALSE)</f>
        <v>60574</v>
      </c>
      <c r="C3092" s="237">
        <f>_xll.qlCalendarAdvance(Calendar,B3092,NDays&amp;"D")</f>
        <v>60576</v>
      </c>
      <c r="D3092" s="202">
        <v>2.3911996249251881E-2</v>
      </c>
      <c r="E3092" s="202">
        <v>2.3709870973194214E-2</v>
      </c>
      <c r="U3092" s="204"/>
    </row>
    <row r="3093" spans="1:21" x14ac:dyDescent="0.2">
      <c r="A3093" s="64" t="str">
        <f t="shared" si="49"/>
        <v>1w</v>
      </c>
      <c r="B3093" s="203">
        <f>_xll.qlCalendarAdvance(Calendar,B3092,A3093,"f",FALSE)</f>
        <v>60581</v>
      </c>
      <c r="C3093" s="237">
        <f>_xll.qlCalendarAdvance(Calendar,B3093,NDays&amp;"D")</f>
        <v>60583</v>
      </c>
      <c r="D3093" s="202">
        <v>2.3916691647407472E-2</v>
      </c>
      <c r="E3093" s="202">
        <v>2.3714648575188235E-2</v>
      </c>
      <c r="U3093" s="204"/>
    </row>
    <row r="3094" spans="1:21" x14ac:dyDescent="0.2">
      <c r="A3094" s="64" t="str">
        <f t="shared" si="49"/>
        <v>1w</v>
      </c>
      <c r="B3094" s="203">
        <f>_xll.qlCalendarAdvance(Calendar,B3093,A3094,"f",FALSE)</f>
        <v>60588</v>
      </c>
      <c r="C3094" s="237">
        <f>_xll.qlCalendarAdvance(Calendar,B3094,NDays&amp;"D")</f>
        <v>60590</v>
      </c>
      <c r="D3094" s="202">
        <v>2.3921376219752537E-2</v>
      </c>
      <c r="E3094" s="202">
        <v>2.3719415468468341E-2</v>
      </c>
      <c r="U3094" s="204"/>
    </row>
    <row r="3095" spans="1:21" x14ac:dyDescent="0.2">
      <c r="A3095" s="64" t="str">
        <f t="shared" si="49"/>
        <v>1w</v>
      </c>
      <c r="B3095" s="203">
        <f>_xll.qlCalendarAdvance(Calendar,B3094,A3095,"f",FALSE)</f>
        <v>60595</v>
      </c>
      <c r="C3095" s="237">
        <f>_xll.qlCalendarAdvance(Calendar,B3095,NDays&amp;"D")</f>
        <v>60597</v>
      </c>
      <c r="D3095" s="202">
        <v>2.3926049966211997E-2</v>
      </c>
      <c r="E3095" s="202">
        <v>2.372417165327434E-2</v>
      </c>
      <c r="U3095" s="204"/>
    </row>
    <row r="3096" spans="1:21" x14ac:dyDescent="0.2">
      <c r="A3096" s="64" t="str">
        <f t="shared" si="49"/>
        <v>1w</v>
      </c>
      <c r="B3096" s="203">
        <f>_xll.qlCalendarAdvance(Calendar,B3095,A3096,"f",FALSE)</f>
        <v>60602</v>
      </c>
      <c r="C3096" s="237">
        <f>_xll.qlCalendarAdvance(Calendar,B3096,NDays&amp;"D")</f>
        <v>60604</v>
      </c>
      <c r="D3096" s="202">
        <v>2.3931834448980869E-2</v>
      </c>
      <c r="E3096" s="202">
        <v>2.3728917129286486E-2</v>
      </c>
      <c r="U3096" s="204"/>
    </row>
    <row r="3097" spans="1:21" x14ac:dyDescent="0.2">
      <c r="A3097" s="64" t="str">
        <f t="shared" si="49"/>
        <v>1w</v>
      </c>
      <c r="B3097" s="203">
        <f>_xll.qlCalendarAdvance(Calendar,B3096,A3097,"f",FALSE)</f>
        <v>60609</v>
      </c>
      <c r="C3097" s="237">
        <f>_xll.qlCalendarAdvance(Calendar,B3097,NDays&amp;"D")</f>
        <v>60611</v>
      </c>
      <c r="D3097" s="202">
        <v>2.3936486077535298E-2</v>
      </c>
      <c r="E3097" s="202">
        <v>2.3733651896824526E-2</v>
      </c>
      <c r="U3097" s="204"/>
    </row>
    <row r="3098" spans="1:21" x14ac:dyDescent="0.2">
      <c r="A3098" s="64" t="str">
        <f t="shared" si="49"/>
        <v>1w</v>
      </c>
      <c r="B3098" s="203">
        <f>_xll.qlCalendarAdvance(Calendar,B3097,A3098,"f",FALSE)</f>
        <v>60616</v>
      </c>
      <c r="C3098" s="237">
        <f>_xll.qlCalendarAdvance(Calendar,B3098,NDays&amp;"D")</f>
        <v>60618</v>
      </c>
      <c r="D3098" s="202">
        <v>2.3941126879318601E-2</v>
      </c>
      <c r="E3098" s="202">
        <v>2.3738375955728586E-2</v>
      </c>
      <c r="U3098" s="204"/>
    </row>
    <row r="3099" spans="1:21" x14ac:dyDescent="0.2">
      <c r="A3099" s="64" t="str">
        <f t="shared" si="49"/>
        <v>1w</v>
      </c>
      <c r="B3099" s="203">
        <f>_xll.qlCalendarAdvance(Calendar,B3098,A3099,"f",FALSE)</f>
        <v>60623</v>
      </c>
      <c r="C3099" s="237">
        <f>_xll.qlCalendarAdvance(Calendar,B3099,NDays&amp;"D")</f>
        <v>60625</v>
      </c>
      <c r="D3099" s="202">
        <v>2.3945756854250839E-2</v>
      </c>
      <c r="E3099" s="202">
        <v>2.3746446975421165E-2</v>
      </c>
      <c r="U3099" s="204"/>
    </row>
    <row r="3100" spans="1:21" x14ac:dyDescent="0.2">
      <c r="A3100" s="64" t="str">
        <f t="shared" si="49"/>
        <v>1w</v>
      </c>
      <c r="B3100" s="203">
        <f>_xll.qlCalendarAdvance(Calendar,B3099,A3100,"f",FALSE)</f>
        <v>60630</v>
      </c>
      <c r="C3100" s="237">
        <f>_xll.qlCalendarAdvance(Calendar,B3100,NDays&amp;"D")</f>
        <v>60632</v>
      </c>
      <c r="D3100" s="202">
        <v>2.3949256307591361E-2</v>
      </c>
      <c r="E3100" s="202">
        <v>2.3751148252508791E-2</v>
      </c>
      <c r="U3100" s="204"/>
    </row>
    <row r="3101" spans="1:21" x14ac:dyDescent="0.2">
      <c r="A3101" s="64" t="str">
        <f t="shared" si="49"/>
        <v>1w</v>
      </c>
      <c r="B3101" s="203">
        <f>_xll.qlCalendarAdvance(Calendar,B3100,A3101,"f",FALSE)</f>
        <v>60637</v>
      </c>
      <c r="C3101" s="237">
        <f>_xll.qlCalendarAdvance(Calendar,B3101,NDays&amp;"D")</f>
        <v>60639</v>
      </c>
      <c r="D3101" s="202">
        <v>2.3953865097159244E-2</v>
      </c>
      <c r="E3101" s="202">
        <v>2.3752483880556952E-2</v>
      </c>
      <c r="U3101" s="204"/>
    </row>
    <row r="3102" spans="1:21" x14ac:dyDescent="0.2">
      <c r="A3102" s="64" t="str">
        <f t="shared" si="49"/>
        <v>1w</v>
      </c>
      <c r="B3102" s="203">
        <f>_xll.qlCalendarAdvance(Calendar,B3101,A3102,"f",FALSE)</f>
        <v>60644</v>
      </c>
      <c r="C3102" s="237">
        <f>_xll.qlCalendarAdvance(Calendar,B3102,NDays&amp;"D")</f>
        <v>60646</v>
      </c>
      <c r="D3102" s="202">
        <v>2.3958463060315981E-2</v>
      </c>
      <c r="E3102" s="202">
        <v>2.3757165104925093E-2</v>
      </c>
      <c r="U3102" s="204"/>
    </row>
    <row r="3103" spans="1:21" x14ac:dyDescent="0.2">
      <c r="A3103" s="64" t="str">
        <f t="shared" si="49"/>
        <v>1w</v>
      </c>
      <c r="B3103" s="203">
        <f>_xll.qlCalendarAdvance(Calendar,B3102,A3103,"f",FALSE)</f>
        <v>60651</v>
      </c>
      <c r="C3103" s="237">
        <f>_xll.qlCalendarAdvance(Calendar,B3103,NDays&amp;"D")</f>
        <v>60653</v>
      </c>
      <c r="D3103" s="202">
        <v>2.3963050196987815E-2</v>
      </c>
      <c r="E3103" s="202">
        <v>2.3761835620579319E-2</v>
      </c>
      <c r="U3103" s="204"/>
    </row>
    <row r="3104" spans="1:21" x14ac:dyDescent="0.2">
      <c r="A3104" s="64" t="str">
        <f t="shared" si="49"/>
        <v>1w</v>
      </c>
      <c r="B3104" s="203">
        <f>_xll.qlCalendarAdvance(Calendar,B3103,A3104,"f",FALSE)</f>
        <v>60658</v>
      </c>
      <c r="C3104" s="237">
        <f>_xll.qlCalendarAdvance(Calendar,B3104,NDays&amp;"D")</f>
        <v>60660</v>
      </c>
      <c r="D3104" s="202">
        <v>2.3967626507102758E-2</v>
      </c>
      <c r="E3104" s="202">
        <v>2.3766495427759438E-2</v>
      </c>
      <c r="U3104" s="204"/>
    </row>
    <row r="3105" spans="1:21" x14ac:dyDescent="0.2">
      <c r="A3105" s="64" t="str">
        <f t="shared" si="49"/>
        <v>1w</v>
      </c>
      <c r="B3105" s="203">
        <f>_xll.qlCalendarAdvance(Calendar,B3104,A3105,"f",FALSE)</f>
        <v>60665</v>
      </c>
      <c r="C3105" s="237">
        <f>_xll.qlCalendarAdvance(Calendar,B3105,NDays&amp;"D")</f>
        <v>60667</v>
      </c>
      <c r="D3105" s="202">
        <v>2.3972191990583969E-2</v>
      </c>
      <c r="E3105" s="202">
        <v>2.3771144526145704E-2</v>
      </c>
      <c r="U3105" s="204"/>
    </row>
    <row r="3106" spans="1:21" x14ac:dyDescent="0.2">
      <c r="A3106" s="64" t="str">
        <f t="shared" si="49"/>
        <v>1w</v>
      </c>
      <c r="B3106" s="203">
        <f>_xll.qlCalendarAdvance(Calendar,B3105,A3106,"f",FALSE)</f>
        <v>60672</v>
      </c>
      <c r="C3106" s="237">
        <f>_xll.qlCalendarAdvance(Calendar,B3106,NDays&amp;"D")</f>
        <v>60674</v>
      </c>
      <c r="D3106" s="202">
        <v>2.3976746647360346E-2</v>
      </c>
      <c r="E3106" s="202">
        <v>2.3775782916057864E-2</v>
      </c>
      <c r="U3106" s="204"/>
    </row>
    <row r="3107" spans="1:21" x14ac:dyDescent="0.2">
      <c r="A3107" s="64" t="str">
        <f t="shared" si="49"/>
        <v>1w</v>
      </c>
      <c r="B3107" s="203">
        <f>_xll.qlCalendarAdvance(Calendar,B3106,A3107,"f",FALSE)</f>
        <v>60679</v>
      </c>
      <c r="C3107" s="237">
        <f>_xll.qlCalendarAdvance(Calendar,B3107,NDays&amp;"D")</f>
        <v>60681</v>
      </c>
      <c r="D3107" s="202">
        <v>2.398129047735548E-2</v>
      </c>
      <c r="E3107" s="202">
        <v>2.3780410597336044E-2</v>
      </c>
      <c r="U3107" s="204"/>
    </row>
    <row r="3108" spans="1:21" x14ac:dyDescent="0.2">
      <c r="A3108" s="64" t="str">
        <f t="shared" si="49"/>
        <v>1w</v>
      </c>
      <c r="B3108" s="203">
        <f>_xll.qlCalendarAdvance(Calendar,B3107,A3108,"f",FALSE)</f>
        <v>60686</v>
      </c>
      <c r="C3108" s="237">
        <f>_xll.qlCalendarAdvance(Calendar,B3108,NDays&amp;"D")</f>
        <v>60688</v>
      </c>
      <c r="D3108" s="202">
        <v>2.3985823480499158E-2</v>
      </c>
      <c r="E3108" s="202">
        <v>2.3785027569980244E-2</v>
      </c>
      <c r="U3108" s="204"/>
    </row>
    <row r="3109" spans="1:21" x14ac:dyDescent="0.2">
      <c r="A3109" s="64" t="str">
        <f t="shared" si="49"/>
        <v>1w</v>
      </c>
      <c r="B3109" s="203">
        <f>_xll.qlCalendarAdvance(Calendar,B3108,A3109,"f",FALSE)</f>
        <v>60693</v>
      </c>
      <c r="C3109" s="237">
        <f>_xll.qlCalendarAdvance(Calendar,B3109,NDays&amp;"D")</f>
        <v>60695</v>
      </c>
      <c r="D3109" s="202">
        <v>2.3995922963554281E-2</v>
      </c>
      <c r="E3109" s="202">
        <v>2.3789633834070401E-2</v>
      </c>
      <c r="U3109" s="204"/>
    </row>
    <row r="3110" spans="1:21" x14ac:dyDescent="0.2">
      <c r="A3110" s="64" t="str">
        <f t="shared" si="49"/>
        <v>1w</v>
      </c>
      <c r="B3110" s="203">
        <f>_xll.qlCalendarAdvance(Calendar,B3109,A3110,"f",FALSE)</f>
        <v>60700</v>
      </c>
      <c r="C3110" s="237">
        <f>_xll.qlCalendarAdvance(Calendar,B3110,NDays&amp;"D")</f>
        <v>60702</v>
      </c>
      <c r="D3110" s="202">
        <v>2.4000431939320374E-2</v>
      </c>
      <c r="E3110" s="202">
        <v>2.3794229389366706E-2</v>
      </c>
      <c r="U3110" s="204"/>
    </row>
    <row r="3111" spans="1:21" x14ac:dyDescent="0.2">
      <c r="A3111" s="64" t="str">
        <f t="shared" si="49"/>
        <v>1w</v>
      </c>
      <c r="B3111" s="203">
        <f>_xll.qlCalendarAdvance(Calendar,B3110,A3111,"f",FALSE)</f>
        <v>60707</v>
      </c>
      <c r="C3111" s="237">
        <f>_xll.qlCalendarAdvance(Calendar,B3111,NDays&amp;"D")</f>
        <v>60709</v>
      </c>
      <c r="D3111" s="202">
        <v>2.4004930084679358E-2</v>
      </c>
      <c r="E3111" s="202">
        <v>2.3798814236029031E-2</v>
      </c>
      <c r="U3111" s="204"/>
    </row>
    <row r="3112" spans="1:21" x14ac:dyDescent="0.2">
      <c r="A3112" s="64" t="str">
        <f t="shared" si="49"/>
        <v>1w</v>
      </c>
      <c r="B3112" s="203">
        <f>_xll.qlCalendarAdvance(Calendar,B3111,A3112,"f",FALSE)</f>
        <v>60714</v>
      </c>
      <c r="C3112" s="237">
        <f>_xll.qlCalendarAdvance(Calendar,B3112,NDays&amp;"D")</f>
        <v>60716</v>
      </c>
      <c r="D3112" s="202">
        <v>2.4009417399557312E-2</v>
      </c>
      <c r="E3112" s="202">
        <v>2.3803388374297185E-2</v>
      </c>
      <c r="U3112" s="204"/>
    </row>
    <row r="3113" spans="1:21" x14ac:dyDescent="0.2">
      <c r="A3113" s="64" t="str">
        <f t="shared" si="49"/>
        <v>1w</v>
      </c>
      <c r="B3113" s="203">
        <f>_xll.qlCalendarAdvance(Calendar,B3112,A3113,"f",FALSE)</f>
        <v>60721</v>
      </c>
      <c r="C3113" s="237">
        <f>_xll.qlCalendarAdvance(Calendar,B3113,NDays&amp;"D")</f>
        <v>60723</v>
      </c>
      <c r="D3113" s="202">
        <v>2.4010553197559084E-2</v>
      </c>
      <c r="E3113" s="202">
        <v>2.3807951803691552E-2</v>
      </c>
      <c r="U3113" s="204"/>
    </row>
    <row r="3114" spans="1:21" x14ac:dyDescent="0.2">
      <c r="A3114" s="64" t="str">
        <f t="shared" si="49"/>
        <v>1w</v>
      </c>
      <c r="B3114" s="203">
        <f>_xll.qlCalendarAdvance(Calendar,B3113,A3114,"f",FALSE)</f>
        <v>60728</v>
      </c>
      <c r="C3114" s="237">
        <f>_xll.qlCalendarAdvance(Calendar,B3114,NDays&amp;"D")</f>
        <v>60730</v>
      </c>
      <c r="D3114" s="202">
        <v>2.401502028355855E-2</v>
      </c>
      <c r="E3114" s="202">
        <v>2.3816953865043899E-2</v>
      </c>
      <c r="U3114" s="204"/>
    </row>
    <row r="3115" spans="1:21" x14ac:dyDescent="0.2">
      <c r="A3115" s="64" t="str">
        <f t="shared" si="49"/>
        <v>1w</v>
      </c>
      <c r="B3115" s="203">
        <f>_xll.qlCalendarAdvance(Calendar,B3114,A3115,"f",FALSE)</f>
        <v>60735</v>
      </c>
      <c r="C3115" s="237">
        <f>_xll.qlCalendarAdvance(Calendar,B3115,NDays&amp;"D")</f>
        <v>60737</v>
      </c>
      <c r="D3115" s="202">
        <v>2.401947654085964E-2</v>
      </c>
      <c r="E3115" s="202">
        <v>2.3817046536818154E-2</v>
      </c>
      <c r="U3115" s="204"/>
    </row>
    <row r="3116" spans="1:21" x14ac:dyDescent="0.2">
      <c r="A3116" s="64" t="str">
        <f t="shared" si="49"/>
        <v>1w</v>
      </c>
      <c r="B3116" s="203">
        <f>_xll.qlCalendarAdvance(Calendar,B3115,A3116,"f",FALSE)</f>
        <v>60742</v>
      </c>
      <c r="C3116" s="237">
        <f>_xll.qlCalendarAdvance(Calendar,B3116,NDays&amp;"D")</f>
        <v>60744</v>
      </c>
      <c r="D3116" s="202">
        <v>2.4023921969389406E-2</v>
      </c>
      <c r="E3116" s="202">
        <v>2.3821577840470454E-2</v>
      </c>
      <c r="U3116" s="204"/>
    </row>
    <row r="3117" spans="1:21" x14ac:dyDescent="0.2">
      <c r="A3117" s="64" t="str">
        <f t="shared" si="49"/>
        <v>1w</v>
      </c>
      <c r="B3117" s="203">
        <f>_xll.qlCalendarAdvance(Calendar,B3116,A3117,"f",FALSE)</f>
        <v>60749</v>
      </c>
      <c r="C3117" s="237">
        <f>_xll.qlCalendarAdvance(Calendar,B3117,NDays&amp;"D")</f>
        <v>60751</v>
      </c>
      <c r="D3117" s="202">
        <v>2.4028356569074469E-2</v>
      </c>
      <c r="E3117" s="202">
        <v>2.3826098435408838E-2</v>
      </c>
      <c r="U3117" s="204"/>
    </row>
    <row r="3118" spans="1:21" x14ac:dyDescent="0.2">
      <c r="A3118" s="64" t="str">
        <f t="shared" si="49"/>
        <v>1w</v>
      </c>
      <c r="B3118" s="203">
        <f>_xll.qlCalendarAdvance(Calendar,B3117,A3118,"f",FALSE)</f>
        <v>60756</v>
      </c>
      <c r="C3118" s="237">
        <f>_xll.qlCalendarAdvance(Calendar,B3118,NDays&amp;"D")</f>
        <v>60758</v>
      </c>
      <c r="D3118" s="202">
        <v>2.4036113844545296E-2</v>
      </c>
      <c r="E3118" s="202">
        <v>2.3830608321793179E-2</v>
      </c>
      <c r="U3118" s="204"/>
    </row>
    <row r="3119" spans="1:21" x14ac:dyDescent="0.2">
      <c r="A3119" s="64" t="str">
        <f t="shared" si="49"/>
        <v>1w</v>
      </c>
      <c r="B3119" s="203">
        <f>_xll.qlCalendarAdvance(Calendar,B3118,A3119,"f",FALSE)</f>
        <v>60763</v>
      </c>
      <c r="C3119" s="237">
        <f>_xll.qlCalendarAdvance(Calendar,B3119,NDays&amp;"D")</f>
        <v>60765</v>
      </c>
      <c r="D3119" s="202">
        <v>2.404052534397471E-2</v>
      </c>
      <c r="E3119" s="202">
        <v>2.383510749954354E-2</v>
      </c>
      <c r="U3119" s="204"/>
    </row>
    <row r="3120" spans="1:21" x14ac:dyDescent="0.2">
      <c r="A3120" s="64" t="str">
        <f t="shared" si="49"/>
        <v>1w</v>
      </c>
      <c r="B3120" s="203">
        <f>_xll.qlCalendarAdvance(Calendar,B3119,A3120,"f",FALSE)</f>
        <v>60770</v>
      </c>
      <c r="C3120" s="237">
        <f>_xll.qlCalendarAdvance(Calendar,B3120,NDays&amp;"D")</f>
        <v>60772</v>
      </c>
      <c r="D3120" s="202">
        <v>2.4044926012332171E-2</v>
      </c>
      <c r="E3120" s="202">
        <v>2.3839595968659921E-2</v>
      </c>
      <c r="U3120" s="204"/>
    </row>
    <row r="3121" spans="1:21" x14ac:dyDescent="0.2">
      <c r="A3121" s="64" t="str">
        <f t="shared" si="49"/>
        <v>1w</v>
      </c>
      <c r="B3121" s="203">
        <f>_xll.qlCalendarAdvance(Calendar,B3120,A3121,"f",FALSE)</f>
        <v>60777</v>
      </c>
      <c r="C3121" s="237">
        <f>_xll.qlCalendarAdvance(Calendar,B3121,NDays&amp;"D")</f>
        <v>60779</v>
      </c>
      <c r="D3121" s="202">
        <v>2.404931584954376E-2</v>
      </c>
      <c r="E3121" s="202">
        <v>2.3844073729062387E-2</v>
      </c>
      <c r="U3121" s="204"/>
    </row>
    <row r="3122" spans="1:21" x14ac:dyDescent="0.2">
      <c r="A3122" s="64" t="str">
        <f t="shared" si="49"/>
        <v>1w</v>
      </c>
      <c r="B3122" s="203">
        <f>_xll.qlCalendarAdvance(Calendar,B3121,A3122,"f",FALSE)</f>
        <v>60784</v>
      </c>
      <c r="C3122" s="237">
        <f>_xll.qlCalendarAdvance(Calendar,B3122,NDays&amp;"D")</f>
        <v>60786</v>
      </c>
      <c r="D3122" s="202">
        <v>2.4050367132317094E-2</v>
      </c>
      <c r="E3122" s="202">
        <v>2.384854078091081E-2</v>
      </c>
      <c r="U3122" s="204"/>
    </row>
    <row r="3123" spans="1:21" x14ac:dyDescent="0.2">
      <c r="A3123" s="64" t="str">
        <f t="shared" si="49"/>
        <v>1w</v>
      </c>
      <c r="B3123" s="203">
        <f>_xll.qlCalendarAdvance(Calendar,B3122,A3123,"f",FALSE)</f>
        <v>60791</v>
      </c>
      <c r="C3123" s="237">
        <f>_xll.qlCalendarAdvance(Calendar,B3123,NDays&amp;"D")</f>
        <v>60793</v>
      </c>
      <c r="D3123" s="202">
        <v>2.4054736757425619E-2</v>
      </c>
      <c r="E3123" s="202">
        <v>2.3852997124205189E-2</v>
      </c>
      <c r="U3123" s="204"/>
    </row>
    <row r="3124" spans="1:21" x14ac:dyDescent="0.2">
      <c r="A3124" s="64" t="str">
        <f t="shared" si="49"/>
        <v>1w</v>
      </c>
      <c r="B3124" s="203">
        <f>_xll.qlCalendarAdvance(Calendar,B3123,A3124,"f",FALSE)</f>
        <v>60798</v>
      </c>
      <c r="C3124" s="237">
        <f>_xll.qlCalendarAdvance(Calendar,B3124,NDays&amp;"D")</f>
        <v>60800</v>
      </c>
      <c r="D3124" s="202">
        <v>2.4059095553185791E-2</v>
      </c>
      <c r="E3124" s="202">
        <v>2.3857442758545844E-2</v>
      </c>
      <c r="U3124" s="204"/>
    </row>
    <row r="3125" spans="1:21" x14ac:dyDescent="0.2">
      <c r="A3125" s="64" t="str">
        <f t="shared" si="49"/>
        <v>1w</v>
      </c>
      <c r="B3125" s="203">
        <f>_xll.qlCalendarAdvance(Calendar,B3124,A3125,"f",FALSE)</f>
        <v>60805</v>
      </c>
      <c r="C3125" s="237">
        <f>_xll.qlCalendarAdvance(Calendar,B3125,NDays&amp;"D")</f>
        <v>60807</v>
      </c>
      <c r="D3125" s="202">
        <v>2.4063443519530353E-2</v>
      </c>
      <c r="E3125" s="202">
        <v>2.38618776846522E-2</v>
      </c>
      <c r="U3125" s="204"/>
    </row>
    <row r="3126" spans="1:21" x14ac:dyDescent="0.2">
      <c r="A3126" s="64" t="str">
        <f t="shared" si="49"/>
        <v>1w</v>
      </c>
      <c r="B3126" s="203">
        <f>_xll.qlCalendarAdvance(Calendar,B3125,A3126,"f",FALSE)</f>
        <v>60812</v>
      </c>
      <c r="C3126" s="237">
        <f>_xll.qlCalendarAdvance(Calendar,B3126,NDays&amp;"D")</f>
        <v>60814</v>
      </c>
      <c r="D3126" s="202">
        <v>2.4071102565879288E-2</v>
      </c>
      <c r="E3126" s="202">
        <v>2.3866301901964704E-2</v>
      </c>
      <c r="U3126" s="204"/>
    </row>
    <row r="3127" spans="1:21" x14ac:dyDescent="0.2">
      <c r="A3127" s="64" t="str">
        <f t="shared" si="49"/>
        <v>1w</v>
      </c>
      <c r="B3127" s="203">
        <f>_xll.qlCalendarAdvance(Calendar,B3126,A3127,"f",FALSE)</f>
        <v>60819</v>
      </c>
      <c r="C3127" s="237">
        <f>_xll.qlCalendarAdvance(Calendar,B3127,NDays&amp;"D")</f>
        <v>60821</v>
      </c>
      <c r="D3127" s="202">
        <v>2.4075427414695136E-2</v>
      </c>
      <c r="E3127" s="202">
        <v>2.3870715410563292E-2</v>
      </c>
      <c r="U3127" s="204"/>
    </row>
    <row r="3128" spans="1:21" x14ac:dyDescent="0.2">
      <c r="A3128" s="64" t="str">
        <f t="shared" si="49"/>
        <v>1w</v>
      </c>
      <c r="B3128" s="203">
        <f>_xll.qlCalendarAdvance(Calendar,B3127,A3128,"f",FALSE)</f>
        <v>60826</v>
      </c>
      <c r="C3128" s="237">
        <f>_xll.qlCalendarAdvance(Calendar,B3128,NDays&amp;"D")</f>
        <v>60828</v>
      </c>
      <c r="D3128" s="202">
        <v>2.4079741431859279E-2</v>
      </c>
      <c r="E3128" s="202">
        <v>2.3875118210687774E-2</v>
      </c>
      <c r="U3128" s="204"/>
    </row>
    <row r="3129" spans="1:21" x14ac:dyDescent="0.2">
      <c r="A3129" s="64" t="str">
        <f t="shared" si="49"/>
        <v>1w</v>
      </c>
      <c r="B3129" s="203">
        <f>_xll.qlCalendarAdvance(Calendar,B3128,A3129,"f",FALSE)</f>
        <v>60833</v>
      </c>
      <c r="C3129" s="237">
        <f>_xll.qlCalendarAdvance(Calendar,B3129,NDays&amp;"D")</f>
        <v>60835</v>
      </c>
      <c r="D3129" s="202">
        <v>2.4084044617301237E-2</v>
      </c>
      <c r="E3129" s="202">
        <v>2.3879510302178275E-2</v>
      </c>
      <c r="U3129" s="204"/>
    </row>
    <row r="3130" spans="1:21" x14ac:dyDescent="0.2">
      <c r="A3130" s="64" t="str">
        <f t="shared" si="49"/>
        <v>1w</v>
      </c>
      <c r="B3130" s="203">
        <f>_xll.qlCalendarAdvance(Calendar,B3129,A3130,"f",FALSE)</f>
        <v>60840</v>
      </c>
      <c r="C3130" s="237">
        <f>_xll.qlCalendarAdvance(Calendar,B3130,NDays&amp;"D")</f>
        <v>60842</v>
      </c>
      <c r="D3130" s="202">
        <v>2.4088336970947519E-2</v>
      </c>
      <c r="E3130" s="202">
        <v>2.3883891684954861E-2</v>
      </c>
      <c r="U3130" s="204"/>
    </row>
    <row r="3131" spans="1:21" x14ac:dyDescent="0.2">
      <c r="A3131" s="64" t="str">
        <f t="shared" si="49"/>
        <v>1w</v>
      </c>
      <c r="B3131" s="203">
        <f>_xll.qlCalendarAdvance(Calendar,B3130,A3131,"f",FALSE)</f>
        <v>60847</v>
      </c>
      <c r="C3131" s="237">
        <f>_xll.qlCalendarAdvance(Calendar,B3131,NDays&amp;"D")</f>
        <v>60849</v>
      </c>
      <c r="D3131" s="202">
        <v>2.4092618492728504E-2</v>
      </c>
      <c r="E3131" s="202">
        <v>2.3888262359017531E-2</v>
      </c>
      <c r="U3131" s="204"/>
    </row>
    <row r="3132" spans="1:21" x14ac:dyDescent="0.2">
      <c r="A3132" s="64" t="str">
        <f t="shared" si="49"/>
        <v>1w</v>
      </c>
      <c r="B3132" s="203">
        <f>_xll.qlCalendarAdvance(Calendar,B3131,A3132,"f",FALSE)</f>
        <v>60854</v>
      </c>
      <c r="C3132" s="237">
        <f>_xll.qlCalendarAdvance(Calendar,B3132,NDays&amp;"D")</f>
        <v>60856</v>
      </c>
      <c r="D3132" s="202">
        <v>2.4096889182572419E-2</v>
      </c>
      <c r="E3132" s="202">
        <v>2.3892622324526158E-2</v>
      </c>
      <c r="U3132" s="204"/>
    </row>
    <row r="3133" spans="1:21" x14ac:dyDescent="0.2">
      <c r="A3133" s="64" t="str">
        <f t="shared" si="49"/>
        <v>1w</v>
      </c>
      <c r="B3133" s="203">
        <f>_xll.qlCalendarAdvance(Calendar,B3132,A3133,"f",FALSE)</f>
        <v>60861</v>
      </c>
      <c r="C3133" s="237">
        <f>_xll.qlCalendarAdvance(Calendar,B3133,NDays&amp;"D")</f>
        <v>60863</v>
      </c>
      <c r="D3133" s="202">
        <v>2.4101149040409216E-2</v>
      </c>
      <c r="E3133" s="202">
        <v>2.3896971581400805E-2</v>
      </c>
      <c r="U3133" s="204"/>
    </row>
    <row r="3134" spans="1:21" x14ac:dyDescent="0.2">
      <c r="A3134" s="64" t="str">
        <f t="shared" si="49"/>
        <v>1w</v>
      </c>
      <c r="B3134" s="203">
        <f>_xll.qlCalendarAdvance(Calendar,B3133,A3134,"f",FALSE)</f>
        <v>60868</v>
      </c>
      <c r="C3134" s="237">
        <f>_xll.qlCalendarAdvance(Calendar,B3134,NDays&amp;"D")</f>
        <v>60870</v>
      </c>
      <c r="D3134" s="202">
        <v>2.4105398066167984E-2</v>
      </c>
      <c r="E3134" s="202">
        <v>2.3901310129721409E-2</v>
      </c>
      <c r="U3134" s="204"/>
    </row>
    <row r="3135" spans="1:21" x14ac:dyDescent="0.2">
      <c r="A3135" s="64" t="str">
        <f t="shared" si="49"/>
        <v>1w</v>
      </c>
      <c r="B3135" s="203">
        <f>_xll.qlCalendarAdvance(Calendar,B3134,A3135,"f",FALSE)</f>
        <v>60875</v>
      </c>
      <c r="C3135" s="237">
        <f>_xll.qlCalendarAdvance(Calendar,B3135,NDays&amp;"D")</f>
        <v>60877</v>
      </c>
      <c r="D3135" s="202">
        <v>2.410412175163525E-2</v>
      </c>
      <c r="E3135" s="202">
        <v>2.3905637969248161E-2</v>
      </c>
      <c r="U3135" s="204"/>
    </row>
    <row r="3136" spans="1:21" x14ac:dyDescent="0.2">
      <c r="A3136" s="64" t="str">
        <f t="shared" si="49"/>
        <v>1w</v>
      </c>
      <c r="B3136" s="203">
        <f>_xll.qlCalendarAdvance(Calendar,B3135,A3136,"f",FALSE)</f>
        <v>60882</v>
      </c>
      <c r="C3136" s="237">
        <f>_xll.qlCalendarAdvance(Calendar,B3136,NDays&amp;"D")</f>
        <v>60884</v>
      </c>
      <c r="D3136" s="202">
        <v>2.4108351573816598E-2</v>
      </c>
      <c r="E3136" s="202">
        <v>2.390995510022087E-2</v>
      </c>
      <c r="U3136" s="204"/>
    </row>
    <row r="3137" spans="1:21" x14ac:dyDescent="0.2">
      <c r="A3137" s="64" t="str">
        <f t="shared" si="49"/>
        <v>1w</v>
      </c>
      <c r="B3137" s="203">
        <f>_xll.qlCalendarAdvance(Calendar,B3136,A3137,"f",FALSE)</f>
        <v>60889</v>
      </c>
      <c r="C3137" s="237">
        <f>_xll.qlCalendarAdvance(Calendar,B3137,NDays&amp;"D")</f>
        <v>60891</v>
      </c>
      <c r="D3137" s="202">
        <v>2.4112570567094652E-2</v>
      </c>
      <c r="E3137" s="202">
        <v>2.3914261522639535E-2</v>
      </c>
      <c r="U3137" s="204"/>
    </row>
    <row r="3138" spans="1:21" x14ac:dyDescent="0.2">
      <c r="A3138" s="64" t="str">
        <f t="shared" si="49"/>
        <v>1w</v>
      </c>
      <c r="B3138" s="203">
        <f>_xll.qlCalendarAdvance(Calendar,B3137,A3138,"f",FALSE)</f>
        <v>60896</v>
      </c>
      <c r="C3138" s="237">
        <f>_xll.qlCalendarAdvance(Calendar,B3138,NDays&amp;"D")</f>
        <v>60898</v>
      </c>
      <c r="D3138" s="202">
        <v>2.4116778731398746E-2</v>
      </c>
      <c r="E3138" s="202">
        <v>2.3918557236264348E-2</v>
      </c>
      <c r="U3138" s="204"/>
    </row>
    <row r="3139" spans="1:21" x14ac:dyDescent="0.2">
      <c r="A3139" s="64" t="str">
        <f t="shared" si="49"/>
        <v>1w</v>
      </c>
      <c r="B3139" s="203">
        <f>_xll.qlCalendarAdvance(Calendar,B3138,A3139,"f",FALSE)</f>
        <v>60903</v>
      </c>
      <c r="C3139" s="237">
        <f>_xll.qlCalendarAdvance(Calendar,B3139,NDays&amp;"D")</f>
        <v>60905</v>
      </c>
      <c r="D3139" s="202">
        <v>2.4122076992576246E-2</v>
      </c>
      <c r="E3139" s="202">
        <v>2.3922842241335118E-2</v>
      </c>
      <c r="U3139" s="204"/>
    </row>
    <row r="3140" spans="1:21" x14ac:dyDescent="0.2">
      <c r="A3140" s="64" t="str">
        <f t="shared" si="49"/>
        <v>1w</v>
      </c>
      <c r="B3140" s="203">
        <f>_xll.qlCalendarAdvance(Calendar,B3139,A3140,"f",FALSE)</f>
        <v>60910</v>
      </c>
      <c r="C3140" s="237">
        <f>_xll.qlCalendarAdvance(Calendar,B3140,NDays&amp;"D")</f>
        <v>60912</v>
      </c>
      <c r="D3140" s="202">
        <v>2.4126263004019655E-2</v>
      </c>
      <c r="E3140" s="202">
        <v>2.3927116537771909E-2</v>
      </c>
      <c r="U3140" s="204"/>
    </row>
    <row r="3141" spans="1:21" x14ac:dyDescent="0.2">
      <c r="A3141" s="64" t="str">
        <f t="shared" si="49"/>
        <v>1w</v>
      </c>
      <c r="B3141" s="203">
        <f>_xll.qlCalendarAdvance(Calendar,B3140,A3141,"f",FALSE)</f>
        <v>60917</v>
      </c>
      <c r="C3141" s="237">
        <f>_xll.qlCalendarAdvance(Calendar,B3141,NDays&amp;"D")</f>
        <v>60919</v>
      </c>
      <c r="D3141" s="202">
        <v>2.4130438185609126E-2</v>
      </c>
      <c r="E3141" s="202">
        <v>2.3931380125574719E-2</v>
      </c>
      <c r="U3141" s="204"/>
    </row>
    <row r="3142" spans="1:21" x14ac:dyDescent="0.2">
      <c r="A3142" s="64" t="str">
        <f t="shared" si="49"/>
        <v>1w</v>
      </c>
      <c r="B3142" s="203">
        <f>_xll.qlCalendarAdvance(Calendar,B3141,A3142,"f",FALSE)</f>
        <v>60924</v>
      </c>
      <c r="C3142" s="237">
        <f>_xll.qlCalendarAdvance(Calendar,B3142,NDays&amp;"D")</f>
        <v>60926</v>
      </c>
      <c r="D3142" s="202">
        <v>2.4134602537275705E-2</v>
      </c>
      <c r="E3142" s="202">
        <v>2.3935633004663615E-2</v>
      </c>
      <c r="U3142" s="204"/>
    </row>
    <row r="3143" spans="1:21" x14ac:dyDescent="0.2">
      <c r="A3143" s="64" t="str">
        <f t="shared" ref="A3143:A3206" si="50">A3142</f>
        <v>1w</v>
      </c>
      <c r="B3143" s="203">
        <f>_xll.qlCalendarAdvance(Calendar,B3142,A3143,"f",FALSE)</f>
        <v>60931</v>
      </c>
      <c r="C3143" s="237">
        <f>_xll.qlCalendarAdvance(Calendar,B3143,NDays&amp;"D")</f>
        <v>60933</v>
      </c>
      <c r="D3143" s="202">
        <v>2.4138756058953072E-2</v>
      </c>
      <c r="E3143" s="202">
        <v>2.393987517511853E-2</v>
      </c>
      <c r="U3143" s="204"/>
    </row>
    <row r="3144" spans="1:21" x14ac:dyDescent="0.2">
      <c r="A3144" s="64" t="str">
        <f t="shared" si="50"/>
        <v>1w</v>
      </c>
      <c r="B3144" s="203">
        <f>_xll.qlCalendarAdvance(Calendar,B3143,A3144,"f",FALSE)</f>
        <v>60938</v>
      </c>
      <c r="C3144" s="237">
        <f>_xll.qlCalendarAdvance(Calendar,B3144,NDays&amp;"D")</f>
        <v>60940</v>
      </c>
      <c r="D3144" s="202">
        <v>2.4141800305006064E-2</v>
      </c>
      <c r="E3144" s="202">
        <v>2.3944106637099338E-2</v>
      </c>
      <c r="U3144" s="204"/>
    </row>
    <row r="3145" spans="1:21" x14ac:dyDescent="0.2">
      <c r="A3145" s="64" t="str">
        <f t="shared" si="50"/>
        <v>1w</v>
      </c>
      <c r="B3145" s="203">
        <f>_xll.qlCalendarAdvance(Calendar,B3144,A3145,"f",FALSE)</f>
        <v>60945</v>
      </c>
      <c r="C3145" s="237">
        <f>_xll.qlCalendarAdvance(Calendar,B3145,NDays&amp;"D")</f>
        <v>60947</v>
      </c>
      <c r="D3145" s="202">
        <v>2.4145932664609737E-2</v>
      </c>
      <c r="E3145" s="202">
        <v>2.3948327390366231E-2</v>
      </c>
      <c r="U3145" s="204"/>
    </row>
    <row r="3146" spans="1:21" x14ac:dyDescent="0.2">
      <c r="A3146" s="64" t="str">
        <f t="shared" si="50"/>
        <v>1w</v>
      </c>
      <c r="B3146" s="203">
        <f>_xll.qlCalendarAdvance(Calendar,B3145,A3146,"f",FALSE)</f>
        <v>60952</v>
      </c>
      <c r="C3146" s="237">
        <f>_xll.qlCalendarAdvance(Calendar,B3146,NDays&amp;"D")</f>
        <v>60954</v>
      </c>
      <c r="D3146" s="202">
        <v>2.4150054194699774E-2</v>
      </c>
      <c r="E3146" s="202">
        <v>2.3952537434839272E-2</v>
      </c>
      <c r="U3146" s="204"/>
    </row>
    <row r="3147" spans="1:21" x14ac:dyDescent="0.2">
      <c r="A3147" s="64" t="str">
        <f t="shared" si="50"/>
        <v>1w</v>
      </c>
      <c r="B3147" s="203">
        <f>_xll.qlCalendarAdvance(Calendar,B3146,A3147,"f",FALSE)</f>
        <v>60959</v>
      </c>
      <c r="C3147" s="237">
        <f>_xll.qlCalendarAdvance(Calendar,B3147,NDays&amp;"D")</f>
        <v>60961</v>
      </c>
      <c r="D3147" s="202">
        <v>2.4154164895213898E-2</v>
      </c>
      <c r="E3147" s="202">
        <v>2.3956736770918141E-2</v>
      </c>
      <c r="U3147" s="204"/>
    </row>
    <row r="3148" spans="1:21" x14ac:dyDescent="0.2">
      <c r="A3148" s="64" t="str">
        <f t="shared" si="50"/>
        <v>1w</v>
      </c>
      <c r="B3148" s="203">
        <f>_xll.qlCalendarAdvance(Calendar,B3147,A3148,"f",FALSE)</f>
        <v>60966</v>
      </c>
      <c r="C3148" s="237">
        <f>_xll.qlCalendarAdvance(Calendar,B3148,NDays&amp;"D")</f>
        <v>60968</v>
      </c>
      <c r="D3148" s="202">
        <v>2.4159361215140958E-2</v>
      </c>
      <c r="E3148" s="202">
        <v>2.3960925398203159E-2</v>
      </c>
      <c r="U3148" s="204"/>
    </row>
    <row r="3149" spans="1:21" x14ac:dyDescent="0.2">
      <c r="A3149" s="64" t="str">
        <f t="shared" si="50"/>
        <v>1w</v>
      </c>
      <c r="B3149" s="203">
        <f>_xll.qlCalendarAdvance(Calendar,B3148,A3149,"f",FALSE)</f>
        <v>60973</v>
      </c>
      <c r="C3149" s="237">
        <f>_xll.qlCalendarAdvance(Calendar,B3149,NDays&amp;"D")</f>
        <v>60975</v>
      </c>
      <c r="D3149" s="202">
        <v>2.4163449755470547E-2</v>
      </c>
      <c r="E3149" s="202">
        <v>2.3965103316854197E-2</v>
      </c>
      <c r="U3149" s="204"/>
    </row>
    <row r="3150" spans="1:21" x14ac:dyDescent="0.2">
      <c r="A3150" s="64" t="str">
        <f t="shared" si="50"/>
        <v>1w</v>
      </c>
      <c r="B3150" s="203">
        <f>_xll.qlCalendarAdvance(Calendar,B3149,A3150,"f",FALSE)</f>
        <v>60980</v>
      </c>
      <c r="C3150" s="237">
        <f>_xll.qlCalendarAdvance(Calendar,B3150,NDays&amp;"D")</f>
        <v>60982</v>
      </c>
      <c r="D3150" s="202">
        <v>2.416752746534185E-2</v>
      </c>
      <c r="E3150" s="202">
        <v>2.3969270526871256E-2</v>
      </c>
      <c r="U3150" s="204"/>
    </row>
    <row r="3151" spans="1:21" x14ac:dyDescent="0.2">
      <c r="A3151" s="64" t="str">
        <f t="shared" si="50"/>
        <v>1w</v>
      </c>
      <c r="B3151" s="203">
        <f>_xll.qlCalendarAdvance(Calendar,B3150,A3151,"f",FALSE)</f>
        <v>60987</v>
      </c>
      <c r="C3151" s="237">
        <f>_xll.qlCalendarAdvance(Calendar,B3151,NDays&amp;"D")</f>
        <v>60989</v>
      </c>
      <c r="D3151" s="202">
        <v>2.4171594344688983E-2</v>
      </c>
      <c r="E3151" s="202">
        <v>2.3973427028254335E-2</v>
      </c>
      <c r="U3151" s="204"/>
    </row>
    <row r="3152" spans="1:21" x14ac:dyDescent="0.2">
      <c r="A3152" s="64" t="str">
        <f t="shared" si="50"/>
        <v>1w</v>
      </c>
      <c r="B3152" s="203">
        <f>_xll.qlCalendarAdvance(Calendar,B3151,A3152,"f",FALSE)</f>
        <v>60994</v>
      </c>
      <c r="C3152" s="237">
        <f>_xll.qlCalendarAdvance(Calendar,B3152,NDays&amp;"D")</f>
        <v>60996</v>
      </c>
      <c r="D3152" s="202">
        <v>2.4175650393445627E-2</v>
      </c>
      <c r="E3152" s="202">
        <v>2.3977572821083371E-2</v>
      </c>
      <c r="U3152" s="204"/>
    </row>
    <row r="3153" spans="1:21" x14ac:dyDescent="0.2">
      <c r="A3153" s="64" t="str">
        <f t="shared" si="50"/>
        <v>1w</v>
      </c>
      <c r="B3153" s="203">
        <f>_xll.qlCalendarAdvance(Calendar,B3152,A3153,"f",FALSE)</f>
        <v>61001</v>
      </c>
      <c r="C3153" s="237">
        <f>_xll.qlCalendarAdvance(Calendar,B3153,NDays&amp;"D")</f>
        <v>61003</v>
      </c>
      <c r="D3153" s="202">
        <v>2.4178601673451518E-2</v>
      </c>
      <c r="E3153" s="202">
        <v>2.3981707905038618E-2</v>
      </c>
      <c r="U3153" s="204"/>
    </row>
    <row r="3154" spans="1:21" x14ac:dyDescent="0.2">
      <c r="A3154" s="64" t="str">
        <f t="shared" si="50"/>
        <v>1w</v>
      </c>
      <c r="B3154" s="203">
        <f>_xll.qlCalendarAdvance(Calendar,B3153,A3154,"f",FALSE)</f>
        <v>61008</v>
      </c>
      <c r="C3154" s="237">
        <f>_xll.qlCalendarAdvance(Calendar,B3154,NDays&amp;"D")</f>
        <v>61010</v>
      </c>
      <c r="D3154" s="202">
        <v>2.418263656507013E-2</v>
      </c>
      <c r="E3154" s="202">
        <v>2.3985832280519759E-2</v>
      </c>
      <c r="U3154" s="204"/>
    </row>
    <row r="3155" spans="1:21" x14ac:dyDescent="0.2">
      <c r="A3155" s="64" t="str">
        <f t="shared" si="50"/>
        <v>1w</v>
      </c>
      <c r="B3155" s="203">
        <f>_xll.qlCalendarAdvance(Calendar,B3154,A3155,"f",FALSE)</f>
        <v>61015</v>
      </c>
      <c r="C3155" s="237">
        <f>_xll.qlCalendarAdvance(Calendar,B3155,NDays&amp;"D")</f>
        <v>61017</v>
      </c>
      <c r="D3155" s="202">
        <v>2.4186660626585959E-2</v>
      </c>
      <c r="E3155" s="202">
        <v>2.3989945947446856E-2</v>
      </c>
      <c r="U3155" s="204"/>
    </row>
    <row r="3156" spans="1:21" x14ac:dyDescent="0.2">
      <c r="A3156" s="64" t="str">
        <f t="shared" si="50"/>
        <v>1w</v>
      </c>
      <c r="B3156" s="203">
        <f>_xll.qlCalendarAdvance(Calendar,B3155,A3156,"f",FALSE)</f>
        <v>61022</v>
      </c>
      <c r="C3156" s="237">
        <f>_xll.qlCalendarAdvance(Calendar,B3156,NDays&amp;"D")</f>
        <v>61024</v>
      </c>
      <c r="D3156" s="202">
        <v>2.4190673857931437E-2</v>
      </c>
      <c r="E3156" s="202">
        <v>2.3994048905580101E-2</v>
      </c>
      <c r="U3156" s="204"/>
    </row>
    <row r="3157" spans="1:21" x14ac:dyDescent="0.2">
      <c r="A3157" s="64" t="str">
        <f t="shared" si="50"/>
        <v>1w</v>
      </c>
      <c r="B3157" s="203">
        <f>_xll.qlCalendarAdvance(Calendar,B3156,A3157,"f",FALSE)</f>
        <v>61029</v>
      </c>
      <c r="C3157" s="237">
        <f>_xll.qlCalendarAdvance(Calendar,B3157,NDays&amp;"D")</f>
        <v>61031</v>
      </c>
      <c r="D3157" s="202">
        <v>2.4194676259042966E-2</v>
      </c>
      <c r="E3157" s="202">
        <v>2.3998141155079367E-2</v>
      </c>
      <c r="U3157" s="204"/>
    </row>
    <row r="3158" spans="1:21" x14ac:dyDescent="0.2">
      <c r="A3158" s="64" t="str">
        <f t="shared" si="50"/>
        <v>1w</v>
      </c>
      <c r="B3158" s="203">
        <f>_xll.qlCalendarAdvance(Calendar,B3157,A3158,"f",FALSE)</f>
        <v>61036</v>
      </c>
      <c r="C3158" s="237">
        <f>_xll.qlCalendarAdvance(Calendar,B3158,NDays&amp;"D")</f>
        <v>61038</v>
      </c>
      <c r="D3158" s="202">
        <v>2.4198667829856954E-2</v>
      </c>
      <c r="E3158" s="202">
        <v>2.4002222696024589E-2</v>
      </c>
      <c r="U3158" s="204"/>
    </row>
    <row r="3159" spans="1:21" x14ac:dyDescent="0.2">
      <c r="A3159" s="64" t="str">
        <f t="shared" si="50"/>
        <v>1w</v>
      </c>
      <c r="B3159" s="203">
        <f>_xll.qlCalendarAdvance(Calendar,B3158,A3159,"f",FALSE)</f>
        <v>61043</v>
      </c>
      <c r="C3159" s="237">
        <f>_xll.qlCalendarAdvance(Calendar,B3159,NDays&amp;"D")</f>
        <v>61045</v>
      </c>
      <c r="D3159" s="202">
        <v>2.4202648570307152E-2</v>
      </c>
      <c r="E3159" s="202">
        <v>2.4006293528175959E-2</v>
      </c>
      <c r="U3159" s="204"/>
    </row>
    <row r="3160" spans="1:21" x14ac:dyDescent="0.2">
      <c r="A3160" s="64" t="str">
        <f t="shared" si="50"/>
        <v>1w</v>
      </c>
      <c r="B3160" s="203">
        <f>_xll.qlCalendarAdvance(Calendar,B3159,A3160,"f",FALSE)</f>
        <v>61050</v>
      </c>
      <c r="C3160" s="237">
        <f>_xll.qlCalendarAdvance(Calendar,B3160,NDays&amp;"D")</f>
        <v>61052</v>
      </c>
      <c r="D3160" s="202">
        <v>2.420661848033041E-2</v>
      </c>
      <c r="E3160" s="202">
        <v>2.4010353651773286E-2</v>
      </c>
      <c r="U3160" s="204"/>
    </row>
    <row r="3161" spans="1:21" x14ac:dyDescent="0.2">
      <c r="A3161" s="64" t="str">
        <f t="shared" si="50"/>
        <v>1w</v>
      </c>
      <c r="B3161" s="203">
        <f>_xll.qlCalendarAdvance(Calendar,B3160,A3161,"f",FALSE)</f>
        <v>61057</v>
      </c>
      <c r="C3161" s="237">
        <f>_xll.qlCalendarAdvance(Calendar,B3161,NDays&amp;"D")</f>
        <v>61059</v>
      </c>
      <c r="D3161" s="202">
        <v>2.4216026982683742E-2</v>
      </c>
      <c r="E3161" s="202">
        <v>2.4014403066736634E-2</v>
      </c>
      <c r="U3161" s="204"/>
    </row>
    <row r="3162" spans="1:21" x14ac:dyDescent="0.2">
      <c r="A3162" s="64" t="str">
        <f t="shared" si="50"/>
        <v>1w</v>
      </c>
      <c r="B3162" s="203">
        <f>_xll.qlCalendarAdvance(Calendar,B3161,A3162,"f",FALSE)</f>
        <v>61064</v>
      </c>
      <c r="C3162" s="237">
        <f>_xll.qlCalendarAdvance(Calendar,B3162,NDays&amp;"D")</f>
        <v>61066</v>
      </c>
      <c r="D3162" s="202">
        <v>2.4219972682281762E-2</v>
      </c>
      <c r="E3162" s="202">
        <v>2.4018441773066002E-2</v>
      </c>
      <c r="U3162" s="204"/>
    </row>
    <row r="3163" spans="1:21" x14ac:dyDescent="0.2">
      <c r="A3163" s="64" t="str">
        <f t="shared" si="50"/>
        <v>1w</v>
      </c>
      <c r="B3163" s="203">
        <f>_xll.qlCalendarAdvance(Calendar,B3162,A3163,"f",FALSE)</f>
        <v>61071</v>
      </c>
      <c r="C3163" s="237">
        <f>_xll.qlCalendarAdvance(Calendar,B3163,NDays&amp;"D")</f>
        <v>61073</v>
      </c>
      <c r="D3163" s="202">
        <v>2.4223907547829562E-2</v>
      </c>
      <c r="E3163" s="202">
        <v>2.402246977076139E-2</v>
      </c>
      <c r="U3163" s="204"/>
    </row>
    <row r="3164" spans="1:21" x14ac:dyDescent="0.2">
      <c r="A3164" s="64" t="str">
        <f t="shared" si="50"/>
        <v>1w</v>
      </c>
      <c r="B3164" s="203">
        <f>_xll.qlCalendarAdvance(Calendar,B3163,A3164,"f",FALSE)</f>
        <v>61078</v>
      </c>
      <c r="C3164" s="237">
        <f>_xll.qlCalendarAdvance(Calendar,B3164,NDays&amp;"D")</f>
        <v>61080</v>
      </c>
      <c r="D3164" s="202">
        <v>2.4227831579260967E-2</v>
      </c>
      <c r="E3164" s="202">
        <v>2.4026487059662927E-2</v>
      </c>
      <c r="U3164" s="204"/>
    </row>
    <row r="3165" spans="1:21" x14ac:dyDescent="0.2">
      <c r="A3165" s="64" t="str">
        <f t="shared" si="50"/>
        <v>1w</v>
      </c>
      <c r="B3165" s="203">
        <f>_xll.qlCalendarAdvance(Calendar,B3164,A3165,"f",FALSE)</f>
        <v>61085</v>
      </c>
      <c r="C3165" s="237">
        <f>_xll.qlCalendarAdvance(Calendar,B3165,NDays&amp;"D")</f>
        <v>61087</v>
      </c>
      <c r="D3165" s="202">
        <v>2.4228481255348887E-2</v>
      </c>
      <c r="E3165" s="202">
        <v>2.4034844848012327E-2</v>
      </c>
      <c r="U3165" s="204"/>
    </row>
    <row r="3166" spans="1:21" x14ac:dyDescent="0.2">
      <c r="A3166" s="64" t="str">
        <f t="shared" si="50"/>
        <v>1w</v>
      </c>
      <c r="B3166" s="203">
        <f>_xll.qlCalendarAdvance(Calendar,B3165,A3166,"f",FALSE)</f>
        <v>61092</v>
      </c>
      <c r="C3166" s="237">
        <f>_xll.qlCalendarAdvance(Calendar,B3166,NDays&amp;"D")</f>
        <v>61094</v>
      </c>
      <c r="D3166" s="202">
        <v>2.4232385156465145E-2</v>
      </c>
      <c r="E3166" s="202">
        <v>2.4034489511883805E-2</v>
      </c>
      <c r="U3166" s="204"/>
    </row>
    <row r="3167" spans="1:21" x14ac:dyDescent="0.2">
      <c r="A3167" s="64" t="str">
        <f t="shared" si="50"/>
        <v>1w</v>
      </c>
      <c r="B3167" s="203">
        <f>_xll.qlCalendarAdvance(Calendar,B3166,A3167,"f",FALSE)</f>
        <v>61099</v>
      </c>
      <c r="C3167" s="237">
        <f>_xll.qlCalendarAdvance(Calendar,B3167,NDays&amp;"D")</f>
        <v>61101</v>
      </c>
      <c r="D3167" s="202">
        <v>2.4236278225333512E-2</v>
      </c>
      <c r="E3167" s="202">
        <v>2.4038474674963339E-2</v>
      </c>
      <c r="U3167" s="204"/>
    </row>
    <row r="3168" spans="1:21" x14ac:dyDescent="0.2">
      <c r="A3168" s="64" t="str">
        <f t="shared" si="50"/>
        <v>1w</v>
      </c>
      <c r="B3168" s="203">
        <f>_xll.qlCalendarAdvance(Calendar,B3167,A3168,"f",FALSE)</f>
        <v>61106</v>
      </c>
      <c r="C3168" s="237">
        <f>_xll.qlCalendarAdvance(Calendar,B3168,NDays&amp;"D")</f>
        <v>61108</v>
      </c>
      <c r="D3168" s="202">
        <v>2.4240160461892406E-2</v>
      </c>
      <c r="E3168" s="202">
        <v>2.4042449129328958E-2</v>
      </c>
      <c r="U3168" s="204"/>
    </row>
    <row r="3169" spans="1:21" x14ac:dyDescent="0.2">
      <c r="A3169" s="64" t="str">
        <f t="shared" si="50"/>
        <v>1w</v>
      </c>
      <c r="B3169" s="203">
        <f>_xll.qlCalendarAdvance(Calendar,B3168,A3169,"f",FALSE)</f>
        <v>61113</v>
      </c>
      <c r="C3169" s="237">
        <f>_xll.qlCalendarAdvance(Calendar,B3169,NDays&amp;"D")</f>
        <v>61115</v>
      </c>
      <c r="D3169" s="202">
        <v>2.4244031866076741E-2</v>
      </c>
      <c r="E3169" s="202">
        <v>2.4046412875220469E-2</v>
      </c>
      <c r="U3169" s="204"/>
    </row>
    <row r="3170" spans="1:21" x14ac:dyDescent="0.2">
      <c r="A3170" s="64" t="str">
        <f t="shared" si="50"/>
        <v>1w</v>
      </c>
      <c r="B3170" s="203">
        <f>_xll.qlCalendarAdvance(Calendar,B3169,A3170,"f",FALSE)</f>
        <v>61120</v>
      </c>
      <c r="C3170" s="237">
        <f>_xll.qlCalendarAdvance(Calendar,B3170,NDays&amp;"D")</f>
        <v>61122</v>
      </c>
      <c r="D3170" s="202">
        <v>2.4251148247801425E-2</v>
      </c>
      <c r="E3170" s="202">
        <v>2.4050365912398064E-2</v>
      </c>
      <c r="U3170" s="204"/>
    </row>
    <row r="3171" spans="1:21" x14ac:dyDescent="0.2">
      <c r="A3171" s="64" t="str">
        <f t="shared" si="50"/>
        <v>1w</v>
      </c>
      <c r="B3171" s="203">
        <f>_xll.qlCalendarAdvance(Calendar,B3170,A3171,"f",FALSE)</f>
        <v>61127</v>
      </c>
      <c r="C3171" s="237">
        <f>_xll.qlCalendarAdvance(Calendar,B3171,NDays&amp;"D")</f>
        <v>61129</v>
      </c>
      <c r="D3171" s="202">
        <v>2.4254996438613452E-2</v>
      </c>
      <c r="E3171" s="202">
        <v>2.4054308240781808E-2</v>
      </c>
      <c r="U3171" s="204"/>
    </row>
    <row r="3172" spans="1:21" x14ac:dyDescent="0.2">
      <c r="A3172" s="64" t="str">
        <f t="shared" si="50"/>
        <v>1w</v>
      </c>
      <c r="B3172" s="203">
        <f>_xll.qlCalendarAdvance(Calendar,B3171,A3172,"f",FALSE)</f>
        <v>61134</v>
      </c>
      <c r="C3172" s="237">
        <f>_xll.qlCalendarAdvance(Calendar,B3172,NDays&amp;"D")</f>
        <v>61136</v>
      </c>
      <c r="D3172" s="202">
        <v>2.4258833794794651E-2</v>
      </c>
      <c r="E3172" s="202">
        <v>2.4058239860531572E-2</v>
      </c>
      <c r="U3172" s="204"/>
    </row>
    <row r="3173" spans="1:21" x14ac:dyDescent="0.2">
      <c r="A3173" s="64" t="str">
        <f t="shared" si="50"/>
        <v>1w</v>
      </c>
      <c r="B3173" s="203">
        <f>_xll.qlCalendarAdvance(Calendar,B3172,A3173,"f",FALSE)</f>
        <v>61141</v>
      </c>
      <c r="C3173" s="237">
        <f>_xll.qlCalendarAdvance(Calendar,B3173,NDays&amp;"D")</f>
        <v>61143</v>
      </c>
      <c r="D3173" s="202">
        <v>2.426266031628185E-2</v>
      </c>
      <c r="E3173" s="202">
        <v>2.4062160771887164E-2</v>
      </c>
      <c r="U3173" s="204"/>
    </row>
    <row r="3174" spans="1:21" x14ac:dyDescent="0.2">
      <c r="A3174" s="64" t="str">
        <f t="shared" si="50"/>
        <v>1w</v>
      </c>
      <c r="B3174" s="203">
        <f>_xll.qlCalendarAdvance(Calendar,B3173,A3174,"f",FALSE)</f>
        <v>61148</v>
      </c>
      <c r="C3174" s="237">
        <f>_xll.qlCalendarAdvance(Calendar,B3174,NDays&amp;"D")</f>
        <v>61150</v>
      </c>
      <c r="D3174" s="202">
        <v>2.4263226399181114E-2</v>
      </c>
      <c r="E3174" s="202">
        <v>2.4066070974289033E-2</v>
      </c>
      <c r="U3174" s="204"/>
    </row>
    <row r="3175" spans="1:21" x14ac:dyDescent="0.2">
      <c r="A3175" s="64" t="str">
        <f t="shared" si="50"/>
        <v>1w</v>
      </c>
      <c r="B3175" s="203">
        <f>_xll.qlCalendarAdvance(Calendar,B3174,A3175,"f",FALSE)</f>
        <v>61155</v>
      </c>
      <c r="C3175" s="237">
        <f>_xll.qlCalendarAdvance(Calendar,B3175,NDays&amp;"D")</f>
        <v>61157</v>
      </c>
      <c r="D3175" s="202">
        <v>2.4267032807800234E-2</v>
      </c>
      <c r="E3175" s="202">
        <v>2.4069970468216795E-2</v>
      </c>
      <c r="U3175" s="204"/>
    </row>
    <row r="3176" spans="1:21" x14ac:dyDescent="0.2">
      <c r="A3176" s="64" t="str">
        <f t="shared" si="50"/>
        <v>1w</v>
      </c>
      <c r="B3176" s="203">
        <f>_xll.qlCalendarAdvance(Calendar,B3175,A3176,"f",FALSE)</f>
        <v>61162</v>
      </c>
      <c r="C3176" s="237">
        <f>_xll.qlCalendarAdvance(Calendar,B3176,NDays&amp;"D")</f>
        <v>61164</v>
      </c>
      <c r="D3176" s="202">
        <v>2.4270828383606672E-2</v>
      </c>
      <c r="E3176" s="202">
        <v>2.4073859253430641E-2</v>
      </c>
      <c r="U3176" s="204"/>
    </row>
    <row r="3177" spans="1:21" x14ac:dyDescent="0.2">
      <c r="A3177" s="64" t="str">
        <f t="shared" si="50"/>
        <v>1w</v>
      </c>
      <c r="B3177" s="203">
        <f>_xll.qlCalendarAdvance(Calendar,B3176,A3177,"f",FALSE)</f>
        <v>61169</v>
      </c>
      <c r="C3177" s="237">
        <f>_xll.qlCalendarAdvance(Calendar,B3177,NDays&amp;"D")</f>
        <v>61171</v>
      </c>
      <c r="D3177" s="202">
        <v>2.4274613126537968E-2</v>
      </c>
      <c r="E3177" s="202">
        <v>2.4077737330010507E-2</v>
      </c>
      <c r="U3177" s="204"/>
    </row>
    <row r="3178" spans="1:21" x14ac:dyDescent="0.2">
      <c r="A3178" s="64" t="str">
        <f t="shared" si="50"/>
        <v>1w</v>
      </c>
      <c r="B3178" s="203">
        <f>_xll.qlCalendarAdvance(Calendar,B3177,A3178,"f",FALSE)</f>
        <v>61176</v>
      </c>
      <c r="C3178" s="237">
        <f>_xll.qlCalendarAdvance(Calendar,B3178,NDays&amp;"D")</f>
        <v>61178</v>
      </c>
      <c r="D3178" s="202">
        <v>2.4278387036533407E-2</v>
      </c>
      <c r="E3178" s="202">
        <v>2.408160469803633E-2</v>
      </c>
      <c r="U3178" s="204"/>
    </row>
    <row r="3179" spans="1:21" x14ac:dyDescent="0.2">
      <c r="A3179" s="64" t="str">
        <f t="shared" si="50"/>
        <v>1w</v>
      </c>
      <c r="B3179" s="203">
        <f>_xll.qlCalendarAdvance(Calendar,B3178,A3179,"f",FALSE)</f>
        <v>61183</v>
      </c>
      <c r="C3179" s="237">
        <f>_xll.qlCalendarAdvance(Calendar,B3179,NDays&amp;"D")</f>
        <v>61185</v>
      </c>
      <c r="D3179" s="202">
        <v>2.4285391913065672E-2</v>
      </c>
      <c r="E3179" s="202">
        <v>2.4085461357268301E-2</v>
      </c>
      <c r="U3179" s="204"/>
    </row>
    <row r="3180" spans="1:21" x14ac:dyDescent="0.2">
      <c r="A3180" s="64" t="str">
        <f t="shared" si="50"/>
        <v>1w</v>
      </c>
      <c r="B3180" s="203">
        <f>_xll.qlCalendarAdvance(Calendar,B3179,A3180,"f",FALSE)</f>
        <v>61190</v>
      </c>
      <c r="C3180" s="237">
        <f>_xll.qlCalendarAdvance(Calendar,B3180,NDays&amp;"D")</f>
        <v>61192</v>
      </c>
      <c r="D3180" s="202">
        <v>2.4289142589921219E-2</v>
      </c>
      <c r="E3180" s="202">
        <v>2.4089307307866292E-2</v>
      </c>
      <c r="U3180" s="204"/>
    </row>
    <row r="3181" spans="1:21" x14ac:dyDescent="0.2">
      <c r="A3181" s="64" t="str">
        <f t="shared" si="50"/>
        <v>1w</v>
      </c>
      <c r="B3181" s="203">
        <f>_xll.qlCalendarAdvance(Calendar,B3180,A3181,"f",FALSE)</f>
        <v>61197</v>
      </c>
      <c r="C3181" s="237">
        <f>_xll.qlCalendarAdvance(Calendar,B3181,NDays&amp;"D")</f>
        <v>61199</v>
      </c>
      <c r="D3181" s="202">
        <v>2.4292882431578223E-2</v>
      </c>
      <c r="E3181" s="202">
        <v>2.4093142549830304E-2</v>
      </c>
      <c r="U3181" s="204"/>
    </row>
    <row r="3182" spans="1:21" x14ac:dyDescent="0.2">
      <c r="A3182" s="64" t="str">
        <f t="shared" si="50"/>
        <v>1w</v>
      </c>
      <c r="B3182" s="203">
        <f>_xll.qlCalendarAdvance(Calendar,B3181,A3182,"f",FALSE)</f>
        <v>61204</v>
      </c>
      <c r="C3182" s="237">
        <f>_xll.qlCalendarAdvance(Calendar,B3182,NDays&amp;"D")</f>
        <v>61206</v>
      </c>
      <c r="D3182" s="202">
        <v>2.4296611437975225E-2</v>
      </c>
      <c r="E3182" s="202">
        <v>2.4096967083160337E-2</v>
      </c>
      <c r="U3182" s="204"/>
    </row>
    <row r="3183" spans="1:21" x14ac:dyDescent="0.2">
      <c r="A3183" s="64" t="str">
        <f t="shared" si="50"/>
        <v>1w</v>
      </c>
      <c r="B3183" s="203">
        <f>_xll.qlCalendarAdvance(Calendar,B3182,A3183,"f",FALSE)</f>
        <v>61211</v>
      </c>
      <c r="C3183" s="237">
        <f>_xll.qlCalendarAdvance(Calendar,B3183,NDays&amp;"D")</f>
        <v>61213</v>
      </c>
      <c r="D3183" s="202">
        <v>2.4300329609051201E-2</v>
      </c>
      <c r="E3183" s="202">
        <v>2.4100780907776453E-2</v>
      </c>
      <c r="U3183" s="204"/>
    </row>
    <row r="3184" spans="1:21" x14ac:dyDescent="0.2">
      <c r="A3184" s="64" t="str">
        <f t="shared" si="50"/>
        <v>1w</v>
      </c>
      <c r="B3184" s="203">
        <f>_xll.qlCalendarAdvance(Calendar,B3183,A3184,"f",FALSE)</f>
        <v>61218</v>
      </c>
      <c r="C3184" s="237">
        <f>_xll.qlCalendarAdvance(Calendar,B3184,NDays&amp;"D")</f>
        <v>61220</v>
      </c>
      <c r="D3184" s="202">
        <v>2.430403694474426E-2</v>
      </c>
      <c r="E3184" s="202">
        <v>2.4104584023998399E-2</v>
      </c>
      <c r="U3184" s="204"/>
    </row>
    <row r="3185" spans="1:21" x14ac:dyDescent="0.2">
      <c r="A3185" s="64" t="str">
        <f t="shared" si="50"/>
        <v>1w</v>
      </c>
      <c r="B3185" s="203">
        <f>_xll.qlCalendarAdvance(Calendar,B3184,A3185,"f",FALSE)</f>
        <v>61225</v>
      </c>
      <c r="C3185" s="237">
        <f>_xll.qlCalendarAdvance(Calendar,B3185,NDays&amp;"D")</f>
        <v>61227</v>
      </c>
      <c r="D3185" s="202">
        <v>2.4307733444991233E-2</v>
      </c>
      <c r="E3185" s="202">
        <v>2.4108376431186684E-2</v>
      </c>
      <c r="U3185" s="204"/>
    </row>
    <row r="3186" spans="1:21" x14ac:dyDescent="0.2">
      <c r="A3186" s="64" t="str">
        <f t="shared" si="50"/>
        <v>1w</v>
      </c>
      <c r="B3186" s="203">
        <f>_xll.qlCalendarAdvance(Calendar,B3185,A3186,"f",FALSE)</f>
        <v>61232</v>
      </c>
      <c r="C3186" s="237">
        <f>_xll.qlCalendarAdvance(Calendar,B3186,NDays&amp;"D")</f>
        <v>61234</v>
      </c>
      <c r="D3186" s="202">
        <v>2.431141910973281E-2</v>
      </c>
      <c r="E3186" s="202">
        <v>2.4112158129980799E-2</v>
      </c>
      <c r="U3186" s="204"/>
    </row>
    <row r="3187" spans="1:21" x14ac:dyDescent="0.2">
      <c r="A3187" s="64" t="str">
        <f t="shared" si="50"/>
        <v>1w</v>
      </c>
      <c r="B3187" s="203">
        <f>_xll.qlCalendarAdvance(Calendar,B3186,A3187,"f",FALSE)</f>
        <v>61239</v>
      </c>
      <c r="C3187" s="237">
        <f>_xll.qlCalendarAdvance(Calendar,B3187,NDays&amp;"D")</f>
        <v>61241</v>
      </c>
      <c r="D3187" s="202">
        <v>2.4310788327980611E-2</v>
      </c>
      <c r="E3187" s="202">
        <v>2.4115929119981061E-2</v>
      </c>
      <c r="U3187" s="204"/>
    </row>
    <row r="3188" spans="1:21" x14ac:dyDescent="0.2">
      <c r="A3188" s="64" t="str">
        <f t="shared" si="50"/>
        <v>1w</v>
      </c>
      <c r="B3188" s="203">
        <f>_xll.qlCalendarAdvance(Calendar,B3187,A3188,"f",FALSE)</f>
        <v>61246</v>
      </c>
      <c r="C3188" s="237">
        <f>_xll.qlCalendarAdvance(Calendar,B3188,NDays&amp;"D")</f>
        <v>61248</v>
      </c>
      <c r="D3188" s="202">
        <v>2.4314454432994025E-2</v>
      </c>
      <c r="E3188" s="202">
        <v>2.411968940142728E-2</v>
      </c>
      <c r="U3188" s="204"/>
    </row>
    <row r="3189" spans="1:21" x14ac:dyDescent="0.2">
      <c r="A3189" s="64" t="str">
        <f t="shared" si="50"/>
        <v>1w</v>
      </c>
      <c r="B3189" s="203">
        <f>_xll.qlCalendarAdvance(Calendar,B3188,A3189,"f",FALSE)</f>
        <v>61253</v>
      </c>
      <c r="C3189" s="237">
        <f>_xll.qlCalendarAdvance(Calendar,B3189,NDays&amp;"D")</f>
        <v>61255</v>
      </c>
      <c r="D3189" s="202">
        <v>2.4318109705097485E-2</v>
      </c>
      <c r="E3189" s="202">
        <v>2.4123438974079647E-2</v>
      </c>
      <c r="U3189" s="204"/>
    </row>
    <row r="3190" spans="1:21" x14ac:dyDescent="0.2">
      <c r="A3190" s="64" t="str">
        <f t="shared" si="50"/>
        <v>1w</v>
      </c>
      <c r="B3190" s="203">
        <f>_xll.qlCalendarAdvance(Calendar,B3189,A3190,"f",FALSE)</f>
        <v>61260</v>
      </c>
      <c r="C3190" s="237">
        <f>_xll.qlCalendarAdvance(Calendar,B3190,NDays&amp;"D")</f>
        <v>61262</v>
      </c>
      <c r="D3190" s="202">
        <v>2.4321754144231697E-2</v>
      </c>
      <c r="E3190" s="202">
        <v>2.4127177838257907E-2</v>
      </c>
      <c r="U3190" s="204"/>
    </row>
    <row r="3191" spans="1:21" x14ac:dyDescent="0.2">
      <c r="A3191" s="64" t="str">
        <f t="shared" si="50"/>
        <v>1w</v>
      </c>
      <c r="B3191" s="203">
        <f>_xll.qlCalendarAdvance(Calendar,B3190,A3191,"f",FALSE)</f>
        <v>61267</v>
      </c>
      <c r="C3191" s="237">
        <f>_xll.qlCalendarAdvance(Calendar,B3191,NDays&amp;"D")</f>
        <v>61269</v>
      </c>
      <c r="D3191" s="202">
        <v>2.4325387750338247E-2</v>
      </c>
      <c r="E3191" s="202">
        <v>2.4130905993722251E-2</v>
      </c>
      <c r="U3191" s="204"/>
    </row>
    <row r="3192" spans="1:21" x14ac:dyDescent="0.2">
      <c r="A3192" s="64" t="str">
        <f t="shared" si="50"/>
        <v>1w</v>
      </c>
      <c r="B3192" s="203">
        <f>_xll.qlCalendarAdvance(Calendar,B3191,A3192,"f",FALSE)</f>
        <v>61274</v>
      </c>
      <c r="C3192" s="237">
        <f>_xll.qlCalendarAdvance(Calendar,B3192,NDays&amp;"D")</f>
        <v>61276</v>
      </c>
      <c r="D3192" s="202">
        <v>2.4330084283946184E-2</v>
      </c>
      <c r="E3192" s="202">
        <v>2.413462344047268E-2</v>
      </c>
      <c r="U3192" s="204"/>
    </row>
    <row r="3193" spans="1:21" x14ac:dyDescent="0.2">
      <c r="A3193" s="64" t="str">
        <f t="shared" si="50"/>
        <v>1w</v>
      </c>
      <c r="B3193" s="203">
        <f>_xll.qlCalendarAdvance(Calendar,B3192,A3193,"f",FALSE)</f>
        <v>61281</v>
      </c>
      <c r="C3193" s="237">
        <f>_xll.qlCalendarAdvance(Calendar,B3193,NDays&amp;"D")</f>
        <v>61283</v>
      </c>
      <c r="D3193" s="202">
        <v>2.433369569259853E-2</v>
      </c>
      <c r="E3193" s="202">
        <v>2.4138330178509193E-2</v>
      </c>
      <c r="U3193" s="204"/>
    </row>
    <row r="3194" spans="1:21" x14ac:dyDescent="0.2">
      <c r="A3194" s="64" t="str">
        <f t="shared" si="50"/>
        <v>1w</v>
      </c>
      <c r="B3194" s="203">
        <f>_xll.qlCalendarAdvance(Calendar,B3193,A3194,"f",FALSE)</f>
        <v>61288</v>
      </c>
      <c r="C3194" s="237">
        <f>_xll.qlCalendarAdvance(Calendar,B3194,NDays&amp;"D")</f>
        <v>61290</v>
      </c>
      <c r="D3194" s="202">
        <v>2.4341587027845321E-2</v>
      </c>
      <c r="E3194" s="202">
        <v>2.4142026208151535E-2</v>
      </c>
      <c r="U3194" s="204"/>
    </row>
    <row r="3195" spans="1:21" x14ac:dyDescent="0.2">
      <c r="A3195" s="64" t="str">
        <f t="shared" si="50"/>
        <v>1w</v>
      </c>
      <c r="B3195" s="203">
        <f>_xll.qlCalendarAdvance(Calendar,B3194,A3195,"f",FALSE)</f>
        <v>61295</v>
      </c>
      <c r="C3195" s="237">
        <f>_xll.qlCalendarAdvance(Calendar,B3195,NDays&amp;"D")</f>
        <v>61297</v>
      </c>
      <c r="D3195" s="202">
        <v>2.4340886008142375E-2</v>
      </c>
      <c r="E3195" s="202">
        <v>2.4145711528840152E-2</v>
      </c>
      <c r="U3195" s="204"/>
    </row>
    <row r="3196" spans="1:21" x14ac:dyDescent="0.2">
      <c r="A3196" s="64" t="str">
        <f t="shared" si="50"/>
        <v>1w</v>
      </c>
      <c r="B3196" s="203">
        <f>_xll.qlCalendarAdvance(Calendar,B3195,A3196,"f",FALSE)</f>
        <v>61302</v>
      </c>
      <c r="C3196" s="237">
        <f>_xll.qlCalendarAdvance(Calendar,B3196,NDays&amp;"D")</f>
        <v>61304</v>
      </c>
      <c r="D3196" s="202">
        <v>2.4343393283383887E-2</v>
      </c>
      <c r="E3196" s="202">
        <v>2.4149386141134599E-2</v>
      </c>
      <c r="U3196" s="204"/>
    </row>
    <row r="3197" spans="1:21" x14ac:dyDescent="0.2">
      <c r="A3197" s="64" t="str">
        <f t="shared" si="50"/>
        <v>1w</v>
      </c>
      <c r="B3197" s="203">
        <f>_xll.qlCalendarAdvance(Calendar,B3196,A3197,"f",FALSE)</f>
        <v>61309</v>
      </c>
      <c r="C3197" s="237">
        <f>_xll.qlCalendarAdvance(Calendar,B3197,NDays&amp;"D")</f>
        <v>61311</v>
      </c>
      <c r="D3197" s="202">
        <v>2.4346961890086335E-2</v>
      </c>
      <c r="E3197" s="202">
        <v>2.4153050044395385E-2</v>
      </c>
      <c r="U3197" s="204"/>
    </row>
    <row r="3198" spans="1:21" x14ac:dyDescent="0.2">
      <c r="A3198" s="64" t="str">
        <f t="shared" si="50"/>
        <v>1w</v>
      </c>
      <c r="B3198" s="203">
        <f>_xll.qlCalendarAdvance(Calendar,B3197,A3198,"f",FALSE)</f>
        <v>61316</v>
      </c>
      <c r="C3198" s="237">
        <f>_xll.qlCalendarAdvance(Calendar,B3198,NDays&amp;"D")</f>
        <v>61318</v>
      </c>
      <c r="D3198" s="202">
        <v>2.4350519663352221E-2</v>
      </c>
      <c r="E3198" s="202">
        <v>2.4156703239421873E-2</v>
      </c>
      <c r="U3198" s="204"/>
    </row>
    <row r="3199" spans="1:21" x14ac:dyDescent="0.2">
      <c r="A3199" s="64" t="str">
        <f t="shared" si="50"/>
        <v>1w</v>
      </c>
      <c r="B3199" s="203">
        <f>_xll.qlCalendarAdvance(Calendar,B3198,A3199,"f",FALSE)</f>
        <v>61323</v>
      </c>
      <c r="C3199" s="237">
        <f>_xll.qlCalendarAdvance(Calendar,B3199,NDays&amp;"D")</f>
        <v>61325</v>
      </c>
      <c r="D3199" s="202">
        <v>2.4354066603121807E-2</v>
      </c>
      <c r="E3199" s="202">
        <v>2.4160345725654508E-2</v>
      </c>
      <c r="U3199" s="204"/>
    </row>
    <row r="3200" spans="1:21" x14ac:dyDescent="0.2">
      <c r="A3200" s="64" t="str">
        <f t="shared" si="50"/>
        <v>1w</v>
      </c>
      <c r="B3200" s="203">
        <f>_xll.qlCalendarAdvance(Calendar,B3199,A3200,"f",FALSE)</f>
        <v>61330</v>
      </c>
      <c r="C3200" s="237">
        <f>_xll.qlCalendarAdvance(Calendar,B3200,NDays&amp;"D")</f>
        <v>61332</v>
      </c>
      <c r="D3200" s="202">
        <v>2.4358672200655931E-2</v>
      </c>
      <c r="E3200" s="202">
        <v>2.416397750293342E-2</v>
      </c>
      <c r="U3200" s="204"/>
    </row>
    <row r="3201" spans="1:21" x14ac:dyDescent="0.2">
      <c r="A3201" s="64" t="str">
        <f t="shared" si="50"/>
        <v>1w</v>
      </c>
      <c r="B3201" s="203">
        <f>_xll.qlCalendarAdvance(Calendar,B3200,A3201,"f",FALSE)</f>
        <v>61337</v>
      </c>
      <c r="C3201" s="237">
        <f>_xll.qlCalendarAdvance(Calendar,B3201,NDays&amp;"D")</f>
        <v>61339</v>
      </c>
      <c r="D3201" s="202">
        <v>2.4362196936464509E-2</v>
      </c>
      <c r="E3201" s="202">
        <v>2.4167598571898097E-2</v>
      </c>
      <c r="U3201" s="204"/>
    </row>
    <row r="3202" spans="1:21" x14ac:dyDescent="0.2">
      <c r="A3202" s="64" t="str">
        <f t="shared" si="50"/>
        <v>1w</v>
      </c>
      <c r="B3202" s="203">
        <f>_xll.qlCalendarAdvance(Calendar,B3201,A3202,"f",FALSE)</f>
        <v>61344</v>
      </c>
      <c r="C3202" s="237">
        <f>_xll.qlCalendarAdvance(Calendar,B3202,NDays&amp;"D")</f>
        <v>61346</v>
      </c>
      <c r="D3202" s="202">
        <v>2.4365710837905369E-2</v>
      </c>
      <c r="E3202" s="202">
        <v>2.4171208932148858E-2</v>
      </c>
      <c r="U3202" s="204"/>
    </row>
    <row r="3203" spans="1:21" x14ac:dyDescent="0.2">
      <c r="A3203" s="64" t="str">
        <f t="shared" si="50"/>
        <v>1w</v>
      </c>
      <c r="B3203" s="203">
        <f>_xll.qlCalendarAdvance(Calendar,B3202,A3203,"f",FALSE)</f>
        <v>61351</v>
      </c>
      <c r="C3203" s="237">
        <f>_xll.qlCalendarAdvance(Calendar,B3203,NDays&amp;"D")</f>
        <v>61353</v>
      </c>
      <c r="D3203" s="202">
        <v>2.4369213904922596E-2</v>
      </c>
      <c r="E3203" s="202">
        <v>2.4174808583685703E-2</v>
      </c>
      <c r="U3203" s="204"/>
    </row>
    <row r="3204" spans="1:21" x14ac:dyDescent="0.2">
      <c r="A3204" s="64" t="str">
        <f t="shared" si="50"/>
        <v>1w</v>
      </c>
      <c r="B3204" s="203">
        <f>_xll.qlCalendarAdvance(Calendar,B3203,A3204,"f",FALSE)</f>
        <v>61358</v>
      </c>
      <c r="C3204" s="237">
        <f>_xll.qlCalendarAdvance(Calendar,B3204,NDays&amp;"D")</f>
        <v>61360</v>
      </c>
      <c r="D3204" s="202">
        <v>2.4372706137458972E-2</v>
      </c>
      <c r="E3204" s="202">
        <v>2.4178397526588569E-2</v>
      </c>
      <c r="U3204" s="204"/>
    </row>
    <row r="3205" spans="1:21" x14ac:dyDescent="0.2">
      <c r="A3205" s="64" t="str">
        <f t="shared" si="50"/>
        <v>1w</v>
      </c>
      <c r="B3205" s="203">
        <f>_xll.qlCalendarAdvance(Calendar,B3204,A3205,"f",FALSE)</f>
        <v>61365</v>
      </c>
      <c r="C3205" s="237">
        <f>_xll.qlCalendarAdvance(Calendar,B3205,NDays&amp;"D")</f>
        <v>61367</v>
      </c>
      <c r="D3205" s="202">
        <v>2.437512073512358E-2</v>
      </c>
      <c r="E3205" s="202">
        <v>2.4181975760777519E-2</v>
      </c>
      <c r="U3205" s="204"/>
    </row>
    <row r="3206" spans="1:21" x14ac:dyDescent="0.2">
      <c r="A3206" s="64" t="str">
        <f t="shared" si="50"/>
        <v>1w</v>
      </c>
      <c r="B3206" s="203">
        <f>_xll.qlCalendarAdvance(Calendar,B3205,A3206,"f",FALSE)</f>
        <v>61372</v>
      </c>
      <c r="C3206" s="237">
        <f>_xll.qlCalendarAdvance(Calendar,B3206,NDays&amp;"D")</f>
        <v>61374</v>
      </c>
      <c r="D3206" s="202">
        <v>2.4378591838822558E-2</v>
      </c>
      <c r="E3206" s="202">
        <v>2.4185543286412425E-2</v>
      </c>
      <c r="U3206" s="204"/>
    </row>
    <row r="3207" spans="1:21" x14ac:dyDescent="0.2">
      <c r="A3207" s="64" t="str">
        <f t="shared" ref="A3207:A3270" si="51">A3206</f>
        <v>1w</v>
      </c>
      <c r="B3207" s="203">
        <f>_xll.qlCalendarAdvance(Calendar,B3206,A3207,"f",FALSE)</f>
        <v>61379</v>
      </c>
      <c r="C3207" s="237">
        <f>_xll.qlCalendarAdvance(Calendar,B3207,NDays&amp;"D")</f>
        <v>61381</v>
      </c>
      <c r="D3207" s="202">
        <v>2.4382052108569776E-2</v>
      </c>
      <c r="E3207" s="202">
        <v>2.4189100103173544E-2</v>
      </c>
      <c r="U3207" s="204"/>
    </row>
    <row r="3208" spans="1:21" x14ac:dyDescent="0.2">
      <c r="A3208" s="64" t="str">
        <f t="shared" si="51"/>
        <v>1w</v>
      </c>
      <c r="B3208" s="203">
        <f>_xll.qlCalendarAdvance(Calendar,B3207,A3208,"f",FALSE)</f>
        <v>61386</v>
      </c>
      <c r="C3208" s="237">
        <f>_xll.qlCalendarAdvance(Calendar,B3208,NDays&amp;"D")</f>
        <v>61388</v>
      </c>
      <c r="D3208" s="202">
        <v>2.4385501544310337E-2</v>
      </c>
      <c r="E3208" s="202">
        <v>2.4192646211460556E-2</v>
      </c>
      <c r="U3208" s="204"/>
    </row>
    <row r="3209" spans="1:21" x14ac:dyDescent="0.2">
      <c r="A3209" s="64" t="str">
        <f t="shared" si="51"/>
        <v>1w</v>
      </c>
      <c r="B3209" s="203">
        <f>_xll.qlCalendarAdvance(Calendar,B3208,A3209,"f",FALSE)</f>
        <v>61393</v>
      </c>
      <c r="C3209" s="237">
        <f>_xll.qlCalendarAdvance(Calendar,B3209,NDays&amp;"D")</f>
        <v>61395</v>
      </c>
      <c r="D3209" s="202">
        <v>2.438894014598714E-2</v>
      </c>
      <c r="E3209" s="202">
        <v>2.4196181611113587E-2</v>
      </c>
      <c r="U3209" s="204"/>
    </row>
    <row r="3210" spans="1:21" x14ac:dyDescent="0.2">
      <c r="A3210" s="64" t="str">
        <f t="shared" si="51"/>
        <v>1w</v>
      </c>
      <c r="B3210" s="203">
        <f>_xll.qlCalendarAdvance(Calendar,B3209,A3210,"f",FALSE)</f>
        <v>61400</v>
      </c>
      <c r="C3210" s="237">
        <f>_xll.qlCalendarAdvance(Calendar,B3210,NDays&amp;"D")</f>
        <v>61402</v>
      </c>
      <c r="D3210" s="202">
        <v>2.4392367913544849E-2</v>
      </c>
      <c r="E3210" s="202">
        <v>2.419970630213264E-2</v>
      </c>
      <c r="U3210" s="204"/>
    </row>
    <row r="3211" spans="1:21" x14ac:dyDescent="0.2">
      <c r="A3211" s="64" t="str">
        <f t="shared" si="51"/>
        <v>1w</v>
      </c>
      <c r="B3211" s="203">
        <f>_xll.qlCalendarAdvance(Calendar,B3210,A3211,"f",FALSE)</f>
        <v>61407</v>
      </c>
      <c r="C3211" s="237">
        <f>_xll.qlCalendarAdvance(Calendar,B3211,NDays&amp;"D")</f>
        <v>61409</v>
      </c>
      <c r="D3211" s="202">
        <v>2.439578484692724E-2</v>
      </c>
      <c r="E3211" s="202">
        <v>2.4203220284197968E-2</v>
      </c>
      <c r="U3211" s="204"/>
    </row>
    <row r="3212" spans="1:21" x14ac:dyDescent="0.2">
      <c r="A3212" s="64" t="str">
        <f t="shared" si="51"/>
        <v>1w</v>
      </c>
      <c r="B3212" s="203">
        <f>_xll.qlCalendarAdvance(Calendar,B3211,A3212,"f",FALSE)</f>
        <v>61414</v>
      </c>
      <c r="C3212" s="237">
        <f>_xll.qlCalendarAdvance(Calendar,B3212,NDays&amp;"D")</f>
        <v>61416</v>
      </c>
      <c r="D3212" s="202">
        <v>2.4399190946079417E-2</v>
      </c>
      <c r="E3212" s="202">
        <v>2.4206723557949061E-2</v>
      </c>
      <c r="U3212" s="204"/>
    </row>
    <row r="3213" spans="1:21" x14ac:dyDescent="0.2">
      <c r="A3213" s="64" t="str">
        <f t="shared" si="51"/>
        <v>1w</v>
      </c>
      <c r="B3213" s="203">
        <f>_xll.qlCalendarAdvance(Calendar,B3212,A3213,"f",FALSE)</f>
        <v>61421</v>
      </c>
      <c r="C3213" s="237">
        <f>_xll.qlCalendarAdvance(Calendar,B3213,NDays&amp;"D")</f>
        <v>61423</v>
      </c>
      <c r="D3213" s="202">
        <v>2.4406836017186701E-2</v>
      </c>
      <c r="E3213" s="202">
        <v>2.4210216122906303E-2</v>
      </c>
      <c r="U3213" s="204"/>
    </row>
    <row r="3214" spans="1:21" x14ac:dyDescent="0.2">
      <c r="A3214" s="64" t="str">
        <f t="shared" si="51"/>
        <v>1w</v>
      </c>
      <c r="B3214" s="203">
        <f>_xll.qlCalendarAdvance(Calendar,B3213,A3214,"f",FALSE)</f>
        <v>61428</v>
      </c>
      <c r="C3214" s="237">
        <f>_xll.qlCalendarAdvance(Calendar,B3214,NDays&amp;"D")</f>
        <v>61430</v>
      </c>
      <c r="D3214" s="202">
        <v>2.4410218263579767E-2</v>
      </c>
      <c r="E3214" s="202">
        <v>2.4213697979149629E-2</v>
      </c>
      <c r="U3214" s="204"/>
    </row>
    <row r="3215" spans="1:21" x14ac:dyDescent="0.2">
      <c r="A3215" s="64" t="str">
        <f t="shared" si="51"/>
        <v>1w</v>
      </c>
      <c r="B3215" s="203">
        <f>_xll.qlCalendarAdvance(Calendar,B3214,A3215,"f",FALSE)</f>
        <v>61435</v>
      </c>
      <c r="C3215" s="237">
        <f>_xll.qlCalendarAdvance(Calendar,B3215,NDays&amp;"D")</f>
        <v>61437</v>
      </c>
      <c r="D3215" s="202">
        <v>2.4413589672765572E-2</v>
      </c>
      <c r="E3215" s="202">
        <v>2.4217169126599103E-2</v>
      </c>
      <c r="U3215" s="204"/>
    </row>
    <row r="3216" spans="1:21" x14ac:dyDescent="0.2">
      <c r="A3216" s="64" t="str">
        <f t="shared" si="51"/>
        <v>1w</v>
      </c>
      <c r="B3216" s="203">
        <f>_xll.qlCalendarAdvance(Calendar,B3215,A3216,"f",FALSE)</f>
        <v>61442</v>
      </c>
      <c r="C3216" s="237">
        <f>_xll.qlCalendarAdvance(Calendar,B3216,NDays&amp;"D")</f>
        <v>61444</v>
      </c>
      <c r="D3216" s="202">
        <v>2.4416950244689106E-2</v>
      </c>
      <c r="E3216" s="202">
        <v>2.4220629565654406E-2</v>
      </c>
      <c r="U3216" s="204"/>
    </row>
    <row r="3217" spans="1:21" x14ac:dyDescent="0.2">
      <c r="A3217" s="64" t="str">
        <f t="shared" si="51"/>
        <v>1w</v>
      </c>
      <c r="B3217" s="203">
        <f>_xll.qlCalendarAdvance(Calendar,B3216,A3217,"f",FALSE)</f>
        <v>61449</v>
      </c>
      <c r="C3217" s="237">
        <f>_xll.qlCalendarAdvance(Calendar,B3217,NDays&amp;"D")</f>
        <v>61451</v>
      </c>
      <c r="D3217" s="202">
        <v>2.4417119196960102E-2</v>
      </c>
      <c r="E3217" s="202">
        <v>2.4224079295915857E-2</v>
      </c>
      <c r="U3217" s="204"/>
    </row>
    <row r="3218" spans="1:21" x14ac:dyDescent="0.2">
      <c r="A3218" s="64" t="str">
        <f t="shared" si="51"/>
        <v>1w</v>
      </c>
      <c r="B3218" s="203">
        <f>_xll.qlCalendarAdvance(Calendar,B3217,A3218,"f",FALSE)</f>
        <v>61456</v>
      </c>
      <c r="C3218" s="237">
        <f>_xll.qlCalendarAdvance(Calendar,B3218,NDays&amp;"D")</f>
        <v>61458</v>
      </c>
      <c r="D3218" s="202">
        <v>2.4420459740855813E-2</v>
      </c>
      <c r="E3218" s="202">
        <v>2.4227518317463392E-2</v>
      </c>
      <c r="U3218" s="204"/>
    </row>
    <row r="3219" spans="1:21" x14ac:dyDescent="0.2">
      <c r="A3219" s="64" t="str">
        <f t="shared" si="51"/>
        <v>1w</v>
      </c>
      <c r="B3219" s="203">
        <f>_xll.qlCalendarAdvance(Calendar,B3218,A3219,"f",FALSE)</f>
        <v>61463</v>
      </c>
      <c r="C3219" s="237">
        <f>_xll.qlCalendarAdvance(Calendar,B3219,NDays&amp;"D")</f>
        <v>61465</v>
      </c>
      <c r="D3219" s="202">
        <v>2.4423789449434179E-2</v>
      </c>
      <c r="E3219" s="202">
        <v>2.4230946630376948E-2</v>
      </c>
      <c r="U3219" s="204"/>
    </row>
    <row r="3220" spans="1:21" x14ac:dyDescent="0.2">
      <c r="A3220" s="64" t="str">
        <f t="shared" si="51"/>
        <v>1w</v>
      </c>
      <c r="B3220" s="203">
        <f>_xll.qlCalendarAdvance(Calendar,B3219,A3220,"f",FALSE)</f>
        <v>61470</v>
      </c>
      <c r="C3220" s="237">
        <f>_xll.qlCalendarAdvance(Calendar,B3220,NDays&amp;"D")</f>
        <v>61472</v>
      </c>
      <c r="D3220" s="202">
        <v>2.4427108322641475E-2</v>
      </c>
      <c r="E3220" s="202">
        <v>2.4238601792001546E-2</v>
      </c>
      <c r="U3220" s="204"/>
    </row>
    <row r="3221" spans="1:21" x14ac:dyDescent="0.2">
      <c r="A3221" s="64" t="str">
        <f t="shared" si="51"/>
        <v>1w</v>
      </c>
      <c r="B3221" s="203">
        <f>_xll.qlCalendarAdvance(Calendar,B3220,A3221,"f",FALSE)</f>
        <v>61477</v>
      </c>
      <c r="C3221" s="237">
        <f>_xll.qlCalendarAdvance(Calendar,B3221,NDays&amp;"D")</f>
        <v>61479</v>
      </c>
      <c r="D3221" s="202">
        <v>2.4430416360420919E-2</v>
      </c>
      <c r="E3221" s="202">
        <v>2.4237771130461994E-2</v>
      </c>
      <c r="U3221" s="204"/>
    </row>
    <row r="3222" spans="1:21" x14ac:dyDescent="0.2">
      <c r="A3222" s="64" t="str">
        <f t="shared" si="51"/>
        <v>1w</v>
      </c>
      <c r="B3222" s="203">
        <f>_xll.qlCalendarAdvance(Calendar,B3221,A3222,"f",FALSE)</f>
        <v>61485</v>
      </c>
      <c r="C3222" s="237">
        <f>_xll.qlCalendarAdvance(Calendar,B3222,NDays&amp;"D")</f>
        <v>61487</v>
      </c>
      <c r="D3222" s="202">
        <v>2.44362985732412E-2</v>
      </c>
      <c r="E3222" s="202">
        <v>2.4243768100955521E-2</v>
      </c>
      <c r="U3222" s="204"/>
    </row>
    <row r="3223" spans="1:21" x14ac:dyDescent="0.2">
      <c r="A3223" s="64" t="str">
        <f t="shared" si="51"/>
        <v>1w</v>
      </c>
      <c r="B3223" s="203">
        <f>_xll.qlCalendarAdvance(Calendar,B3222,A3223,"f",FALSE)</f>
        <v>61492</v>
      </c>
      <c r="C3223" s="237">
        <f>_xll.qlCalendarAdvance(Calendar,B3223,NDays&amp;"D")</f>
        <v>61494</v>
      </c>
      <c r="D3223" s="202">
        <v>2.4439582287130109E-2</v>
      </c>
      <c r="E3223" s="202">
        <v>2.4247150975202914E-2</v>
      </c>
      <c r="U3223" s="204"/>
    </row>
    <row r="3224" spans="1:21" x14ac:dyDescent="0.2">
      <c r="A3224" s="64" t="str">
        <f t="shared" si="51"/>
        <v>1w</v>
      </c>
      <c r="B3224" s="203">
        <f>_xll.qlCalendarAdvance(Calendar,B3223,A3224,"f",FALSE)</f>
        <v>61499</v>
      </c>
      <c r="C3224" s="237">
        <f>_xll.qlCalendarAdvance(Calendar,B3224,NDays&amp;"D")</f>
        <v>61501</v>
      </c>
      <c r="D3224" s="202">
        <v>2.4442855164014215E-2</v>
      </c>
      <c r="E3224" s="202">
        <v>2.4250523139404123E-2</v>
      </c>
      <c r="U3224" s="204"/>
    </row>
    <row r="3225" spans="1:21" x14ac:dyDescent="0.2">
      <c r="A3225" s="64" t="str">
        <f t="shared" si="51"/>
        <v>1w</v>
      </c>
      <c r="B3225" s="203">
        <f>_xll.qlCalendarAdvance(Calendar,B3224,A3225,"f",FALSE)</f>
        <v>61506</v>
      </c>
      <c r="C3225" s="237">
        <f>_xll.qlCalendarAdvance(Calendar,B3225,NDays&amp;"D")</f>
        <v>61508</v>
      </c>
      <c r="D3225" s="202">
        <v>2.4446117203838203E-2</v>
      </c>
      <c r="E3225" s="202">
        <v>2.425388459361244E-2</v>
      </c>
      <c r="U3225" s="204"/>
    </row>
    <row r="3226" spans="1:21" x14ac:dyDescent="0.2">
      <c r="A3226" s="64" t="str">
        <f t="shared" si="51"/>
        <v>1w</v>
      </c>
      <c r="B3226" s="203">
        <f>_xll.qlCalendarAdvance(Calendar,B3225,A3226,"f",FALSE)</f>
        <v>61513</v>
      </c>
      <c r="C3226" s="237">
        <f>_xll.qlCalendarAdvance(Calendar,B3226,NDays&amp;"D")</f>
        <v>61515</v>
      </c>
      <c r="D3226" s="202">
        <v>2.4449368406547201E-2</v>
      </c>
      <c r="E3226" s="202">
        <v>2.4257235337747929E-2</v>
      </c>
      <c r="U3226" s="204"/>
    </row>
    <row r="3227" spans="1:21" x14ac:dyDescent="0.2">
      <c r="A3227" s="64" t="str">
        <f t="shared" si="51"/>
        <v>1w</v>
      </c>
      <c r="B3227" s="203">
        <f>_xll.qlCalendarAdvance(Calendar,B3226,A3227,"f",FALSE)</f>
        <v>61520</v>
      </c>
      <c r="C3227" s="237">
        <f>_xll.qlCalendarAdvance(Calendar,B3227,NDays&amp;"D")</f>
        <v>61522</v>
      </c>
      <c r="D3227" s="202">
        <v>2.4452608772088064E-2</v>
      </c>
      <c r="E3227" s="202">
        <v>2.4260575371783943E-2</v>
      </c>
      <c r="U3227" s="204"/>
    </row>
    <row r="3228" spans="1:21" x14ac:dyDescent="0.2">
      <c r="A3228" s="64" t="str">
        <f t="shared" si="51"/>
        <v>1w</v>
      </c>
      <c r="B3228" s="203">
        <f>_xll.qlCalendarAdvance(Calendar,B3227,A3228,"f",FALSE)</f>
        <v>61527</v>
      </c>
      <c r="C3228" s="237">
        <f>_xll.qlCalendarAdvance(Calendar,B3228,NDays&amp;"D")</f>
        <v>61529</v>
      </c>
      <c r="D3228" s="202">
        <v>2.4455838300408945E-2</v>
      </c>
      <c r="E3228" s="202">
        <v>2.4263904695827065E-2</v>
      </c>
      <c r="U3228" s="204"/>
    </row>
    <row r="3229" spans="1:21" x14ac:dyDescent="0.2">
      <c r="A3229" s="64" t="str">
        <f t="shared" si="51"/>
        <v>1w</v>
      </c>
      <c r="B3229" s="203">
        <f>_xll.qlCalendarAdvance(Calendar,B3228,A3229,"f",FALSE)</f>
        <v>61534</v>
      </c>
      <c r="C3229" s="237">
        <f>_xll.qlCalendarAdvance(Calendar,B3229,NDays&amp;"D")</f>
        <v>61536</v>
      </c>
      <c r="D3229" s="202">
        <v>2.445905699145496E-2</v>
      </c>
      <c r="E3229" s="202">
        <v>2.4267223309770714E-2</v>
      </c>
      <c r="U3229" s="204"/>
    </row>
    <row r="3230" spans="1:21" x14ac:dyDescent="0.2">
      <c r="A3230" s="64" t="str">
        <f t="shared" si="51"/>
        <v>1w</v>
      </c>
      <c r="B3230" s="203">
        <f>_xll.qlCalendarAdvance(Calendar,B3229,A3230,"f",FALSE)</f>
        <v>61541</v>
      </c>
      <c r="C3230" s="237">
        <f>_xll.qlCalendarAdvance(Calendar,B3230,NDays&amp;"D")</f>
        <v>61543</v>
      </c>
      <c r="D3230" s="202">
        <v>2.4462264845173401E-2</v>
      </c>
      <c r="E3230" s="202">
        <v>2.4270531213721469E-2</v>
      </c>
      <c r="U3230" s="204"/>
    </row>
    <row r="3231" spans="1:21" x14ac:dyDescent="0.2">
      <c r="A3231" s="64" t="str">
        <f t="shared" si="51"/>
        <v>1w</v>
      </c>
      <c r="B3231" s="203">
        <f>_xll.qlCalendarAdvance(Calendar,B3230,A3231,"f",FALSE)</f>
        <v>61548</v>
      </c>
      <c r="C3231" s="237">
        <f>_xll.qlCalendarAdvance(Calendar,B3231,NDays&amp;"D")</f>
        <v>61550</v>
      </c>
      <c r="D3231" s="202">
        <v>2.446546186151155E-2</v>
      </c>
      <c r="E3231" s="202">
        <v>2.4273828407599396E-2</v>
      </c>
      <c r="U3231" s="204"/>
    </row>
    <row r="3232" spans="1:21" x14ac:dyDescent="0.2">
      <c r="A3232" s="64" t="str">
        <f t="shared" si="51"/>
        <v>1w</v>
      </c>
      <c r="B3232" s="203">
        <f>_xll.qlCalendarAdvance(Calendar,B3231,A3232,"f",FALSE)</f>
        <v>61555</v>
      </c>
      <c r="C3232" s="237">
        <f>_xll.qlCalendarAdvance(Calendar,B3232,NDays&amp;"D")</f>
        <v>61557</v>
      </c>
      <c r="D3232" s="202">
        <v>2.4468648040415829E-2</v>
      </c>
      <c r="E3232" s="202">
        <v>2.4277114891377849E-2</v>
      </c>
      <c r="U3232" s="204"/>
    </row>
    <row r="3233" spans="1:21" x14ac:dyDescent="0.2">
      <c r="A3233" s="64" t="str">
        <f t="shared" si="51"/>
        <v>1w</v>
      </c>
      <c r="B3233" s="203">
        <f>_xll.qlCalendarAdvance(Calendar,B3232,A3233,"f",FALSE)</f>
        <v>61562</v>
      </c>
      <c r="C3233" s="237">
        <f>_xll.qlCalendarAdvance(Calendar,B3233,NDays&amp;"D")</f>
        <v>61564</v>
      </c>
      <c r="D3233" s="202">
        <v>2.447182338183396E-2</v>
      </c>
      <c r="E3233" s="202">
        <v>2.4280390665163409E-2</v>
      </c>
      <c r="U3233" s="204"/>
    </row>
    <row r="3234" spans="1:21" x14ac:dyDescent="0.2">
      <c r="A3234" s="64" t="str">
        <f t="shared" si="51"/>
        <v>1w</v>
      </c>
      <c r="B3234" s="203">
        <f>_xll.qlCalendarAdvance(Calendar,B3233,A3234,"f",FALSE)</f>
        <v>61569</v>
      </c>
      <c r="C3234" s="237">
        <f>_xll.qlCalendarAdvance(Calendar,B3234,NDays&amp;"D")</f>
        <v>61571</v>
      </c>
      <c r="D3234" s="202">
        <v>2.4474987885714519E-2</v>
      </c>
      <c r="E3234" s="202">
        <v>2.4283655728849496E-2</v>
      </c>
      <c r="U3234" s="204"/>
    </row>
    <row r="3235" spans="1:21" x14ac:dyDescent="0.2">
      <c r="A3235" s="64" t="str">
        <f t="shared" si="51"/>
        <v>1w</v>
      </c>
      <c r="B3235" s="203">
        <f>_xll.qlCalendarAdvance(Calendar,B3234,A3235,"f",FALSE)</f>
        <v>61576</v>
      </c>
      <c r="C3235" s="237">
        <f>_xll.qlCalendarAdvance(Calendar,B3235,NDays&amp;"D")</f>
        <v>61578</v>
      </c>
      <c r="D3235" s="202">
        <v>2.4478141552003497E-2</v>
      </c>
      <c r="E3235" s="202">
        <v>2.4286910082516044E-2</v>
      </c>
      <c r="U3235" s="204"/>
    </row>
    <row r="3236" spans="1:21" x14ac:dyDescent="0.2">
      <c r="A3236" s="64" t="str">
        <f t="shared" si="51"/>
        <v>1w</v>
      </c>
      <c r="B3236" s="203">
        <f>_xll.qlCalendarAdvance(Calendar,B3235,A3236,"f",FALSE)</f>
        <v>61583</v>
      </c>
      <c r="C3236" s="237">
        <f>_xll.qlCalendarAdvance(Calendar,B3236,NDays&amp;"D")</f>
        <v>61585</v>
      </c>
      <c r="D3236" s="202">
        <v>2.448128438065077E-2</v>
      </c>
      <c r="E3236" s="202">
        <v>2.4290153726109764E-2</v>
      </c>
      <c r="U3236" s="204"/>
    </row>
    <row r="3237" spans="1:21" x14ac:dyDescent="0.2">
      <c r="A3237" s="64" t="str">
        <f t="shared" si="51"/>
        <v>1w</v>
      </c>
      <c r="B3237" s="203">
        <f>_xll.qlCalendarAdvance(Calendar,B3236,A3237,"f",FALSE)</f>
        <v>61590</v>
      </c>
      <c r="C3237" s="237">
        <f>_xll.qlCalendarAdvance(Calendar,B3237,NDays&amp;"D")</f>
        <v>61592</v>
      </c>
      <c r="D3237" s="202">
        <v>2.4484416371603198E-2</v>
      </c>
      <c r="E3237" s="202">
        <v>2.4293386659657301E-2</v>
      </c>
      <c r="U3237" s="204"/>
    </row>
    <row r="3238" spans="1:21" x14ac:dyDescent="0.2">
      <c r="A3238" s="64" t="str">
        <f t="shared" si="51"/>
        <v>1w</v>
      </c>
      <c r="B3238" s="203">
        <f>_xll.qlCalendarAdvance(Calendar,B3237,A3238,"f",FALSE)</f>
        <v>61597</v>
      </c>
      <c r="C3238" s="237">
        <f>_xll.qlCalendarAdvance(Calendar,B3238,NDays&amp;"D")</f>
        <v>61599</v>
      </c>
      <c r="D3238" s="202">
        <v>2.4487537524810216E-2</v>
      </c>
      <c r="E3238" s="202">
        <v>2.4296608883158655E-2</v>
      </c>
      <c r="U3238" s="204"/>
    </row>
    <row r="3239" spans="1:21" x14ac:dyDescent="0.2">
      <c r="A3239" s="64" t="str">
        <f t="shared" si="51"/>
        <v>1w</v>
      </c>
      <c r="B3239" s="203">
        <f>_xll.qlCalendarAdvance(Calendar,B3238,A3239,"f",FALSE)</f>
        <v>61604</v>
      </c>
      <c r="C3239" s="237">
        <f>_xll.qlCalendarAdvance(Calendar,B3239,NDays&amp;"D")</f>
        <v>61606</v>
      </c>
      <c r="D3239" s="202">
        <v>2.4486456033259787E-2</v>
      </c>
      <c r="E3239" s="202">
        <v>2.429982039658718E-2</v>
      </c>
      <c r="U3239" s="204"/>
    </row>
    <row r="3240" spans="1:21" x14ac:dyDescent="0.2">
      <c r="A3240" s="64" t="str">
        <f t="shared" si="51"/>
        <v>1w</v>
      </c>
      <c r="B3240" s="203">
        <f>_xll.qlCalendarAdvance(Calendar,B3239,A3240,"f",FALSE)</f>
        <v>61611</v>
      </c>
      <c r="C3240" s="237">
        <f>_xll.qlCalendarAdvance(Calendar,B3240,NDays&amp;"D")</f>
        <v>61613</v>
      </c>
      <c r="D3240" s="202">
        <v>2.4489557768466147E-2</v>
      </c>
      <c r="E3240" s="202">
        <v>2.4303021199969521E-2</v>
      </c>
      <c r="U3240" s="204"/>
    </row>
    <row r="3241" spans="1:21" x14ac:dyDescent="0.2">
      <c r="A3241" s="64" t="str">
        <f t="shared" si="51"/>
        <v>1w</v>
      </c>
      <c r="B3241" s="203">
        <f>_xll.qlCalendarAdvance(Calendar,B3240,A3241,"f",FALSE)</f>
        <v>61618</v>
      </c>
      <c r="C3241" s="237">
        <f>_xll.qlCalendarAdvance(Calendar,B3241,NDays&amp;"D")</f>
        <v>61620</v>
      </c>
      <c r="D3241" s="202">
        <v>2.4492648668611481E-2</v>
      </c>
      <c r="E3241" s="202">
        <v>2.4306211293225743E-2</v>
      </c>
      <c r="U3241" s="204"/>
    </row>
    <row r="3242" spans="1:21" x14ac:dyDescent="0.2">
      <c r="A3242" s="64" t="str">
        <f t="shared" si="51"/>
        <v>1w</v>
      </c>
      <c r="B3242" s="203">
        <f>_xll.qlCalendarAdvance(Calendar,B3241,A3242,"f",FALSE)</f>
        <v>61625</v>
      </c>
      <c r="C3242" s="237">
        <f>_xll.qlCalendarAdvance(Calendar,B3242,NDays&amp;"D")</f>
        <v>61627</v>
      </c>
      <c r="D3242" s="202">
        <v>2.4495728733646766E-2</v>
      </c>
      <c r="E3242" s="202">
        <v>2.4309390676489073E-2</v>
      </c>
      <c r="U3242" s="204"/>
    </row>
    <row r="3243" spans="1:21" x14ac:dyDescent="0.2">
      <c r="A3243" s="64" t="str">
        <f t="shared" si="51"/>
        <v>1w</v>
      </c>
      <c r="B3243" s="203">
        <f>_xll.qlCalendarAdvance(Calendar,B3242,A3243,"f",FALSE)</f>
        <v>61632</v>
      </c>
      <c r="C3243" s="237">
        <f>_xll.qlCalendarAdvance(Calendar,B3243,NDays&amp;"D")</f>
        <v>61634</v>
      </c>
      <c r="D3243" s="202">
        <v>2.449984366401867E-2</v>
      </c>
      <c r="E3243" s="202">
        <v>2.4312559349652929E-2</v>
      </c>
      <c r="U3243" s="204"/>
    </row>
    <row r="3244" spans="1:21" x14ac:dyDescent="0.2">
      <c r="A3244" s="64" t="str">
        <f t="shared" si="51"/>
        <v>1w</v>
      </c>
      <c r="B3244" s="203">
        <f>_xll.qlCalendarAdvance(Calendar,B3243,A3244,"f",FALSE)</f>
        <v>61639</v>
      </c>
      <c r="C3244" s="237">
        <f>_xll.qlCalendarAdvance(Calendar,B3244,NDays&amp;"D")</f>
        <v>61641</v>
      </c>
      <c r="D3244" s="202">
        <v>2.450290149156369E-2</v>
      </c>
      <c r="E3244" s="202">
        <v>2.4315717312797247E-2</v>
      </c>
      <c r="U3244" s="204"/>
    </row>
    <row r="3245" spans="1:21" x14ac:dyDescent="0.2">
      <c r="A3245" s="64" t="str">
        <f t="shared" si="51"/>
        <v>1w</v>
      </c>
      <c r="B3245" s="203">
        <f>_xll.qlCalendarAdvance(Calendar,B3244,A3245,"f",FALSE)</f>
        <v>61646</v>
      </c>
      <c r="C3245" s="237">
        <f>_xll.qlCalendarAdvance(Calendar,B3245,NDays&amp;"D")</f>
        <v>61648</v>
      </c>
      <c r="D3245" s="202">
        <v>2.4510126672429845E-2</v>
      </c>
      <c r="E3245" s="202">
        <v>2.4318864565868736E-2</v>
      </c>
      <c r="U3245" s="204"/>
    </row>
    <row r="3246" spans="1:21" x14ac:dyDescent="0.2">
      <c r="A3246" s="64" t="str">
        <f t="shared" si="51"/>
        <v>1w</v>
      </c>
      <c r="B3246" s="203">
        <f>_xll.qlCalendarAdvance(Calendar,B3245,A3246,"f",FALSE)</f>
        <v>61653</v>
      </c>
      <c r="C3246" s="237">
        <f>_xll.qlCalendarAdvance(Calendar,B3246,NDays&amp;"D")</f>
        <v>61655</v>
      </c>
      <c r="D3246" s="202">
        <v>2.4508984638693446E-2</v>
      </c>
      <c r="E3246" s="202">
        <v>2.4322001108814106E-2</v>
      </c>
      <c r="U3246" s="204"/>
    </row>
    <row r="3247" spans="1:21" x14ac:dyDescent="0.2">
      <c r="A3247" s="64" t="str">
        <f t="shared" si="51"/>
        <v>1w</v>
      </c>
      <c r="B3247" s="203">
        <f>_xll.qlCalendarAdvance(Calendar,B3246,A3247,"f",FALSE)</f>
        <v>61660</v>
      </c>
      <c r="C3247" s="237">
        <f>_xll.qlCalendarAdvance(Calendar,B3247,NDays&amp;"D")</f>
        <v>61662</v>
      </c>
      <c r="D3247" s="202">
        <v>2.4512009958180682E-2</v>
      </c>
      <c r="E3247" s="202">
        <v>2.4325126941793229E-2</v>
      </c>
      <c r="U3247" s="204"/>
    </row>
    <row r="3248" spans="1:21" x14ac:dyDescent="0.2">
      <c r="A3248" s="64" t="str">
        <f t="shared" si="51"/>
        <v>1w</v>
      </c>
      <c r="B3248" s="203">
        <f>_xll.qlCalendarAdvance(Calendar,B3247,A3248,"f",FALSE)</f>
        <v>61667</v>
      </c>
      <c r="C3248" s="237">
        <f>_xll.qlCalendarAdvance(Calendar,B3248,NDays&amp;"D")</f>
        <v>61669</v>
      </c>
      <c r="D3248" s="202">
        <v>2.451398158377624E-2</v>
      </c>
      <c r="E3248" s="202">
        <v>2.4328242064646233E-2</v>
      </c>
      <c r="U3248" s="204"/>
    </row>
    <row r="3249" spans="1:21" x14ac:dyDescent="0.2">
      <c r="A3249" s="64" t="str">
        <f t="shared" si="51"/>
        <v>1w</v>
      </c>
      <c r="B3249" s="203">
        <f>_xll.qlCalendarAdvance(Calendar,B3248,A3249,"f",FALSE)</f>
        <v>61674</v>
      </c>
      <c r="C3249" s="237">
        <f>_xll.qlCalendarAdvance(Calendar,B3249,NDays&amp;"D")</f>
        <v>61676</v>
      </c>
      <c r="D3249" s="202">
        <v>2.4516985801657554E-2</v>
      </c>
      <c r="E3249" s="202">
        <v>2.4331346477426408E-2</v>
      </c>
      <c r="U3249" s="204"/>
    </row>
    <row r="3250" spans="1:21" x14ac:dyDescent="0.2">
      <c r="A3250" s="64" t="str">
        <f t="shared" si="51"/>
        <v>1w</v>
      </c>
      <c r="B3250" s="203">
        <f>_xll.qlCalendarAdvance(Calendar,B3249,A3250,"f",FALSE)</f>
        <v>61681</v>
      </c>
      <c r="C3250" s="237">
        <f>_xll.qlCalendarAdvance(Calendar,B3250,NDays&amp;"D")</f>
        <v>61683</v>
      </c>
      <c r="D3250" s="202">
        <v>2.4519979184036651E-2</v>
      </c>
      <c r="E3250" s="202">
        <v>2.4334440180160399E-2</v>
      </c>
      <c r="U3250" s="204"/>
    </row>
    <row r="3251" spans="1:21" x14ac:dyDescent="0.2">
      <c r="A3251" s="64" t="str">
        <f t="shared" si="51"/>
        <v>1w</v>
      </c>
      <c r="B3251" s="203">
        <f>_xll.qlCalendarAdvance(Calendar,B3250,A3251,"f",FALSE)</f>
        <v>61688</v>
      </c>
      <c r="C3251" s="237">
        <f>_xll.qlCalendarAdvance(Calendar,B3251,NDays&amp;"D")</f>
        <v>61690</v>
      </c>
      <c r="D3251" s="202">
        <v>2.4522961730863622E-2</v>
      </c>
      <c r="E3251" s="202">
        <v>2.4337523172821562E-2</v>
      </c>
      <c r="U3251" s="204"/>
    </row>
    <row r="3252" spans="1:21" x14ac:dyDescent="0.2">
      <c r="A3252" s="64" t="str">
        <f t="shared" si="51"/>
        <v>1w</v>
      </c>
      <c r="B3252" s="203">
        <f>_xll.qlCalendarAdvance(Calendar,B3251,A3252,"f",FALSE)</f>
        <v>61695</v>
      </c>
      <c r="C3252" s="237">
        <f>_xll.qlCalendarAdvance(Calendar,B3252,NDays&amp;"D")</f>
        <v>61697</v>
      </c>
      <c r="D3252" s="202">
        <v>2.4526974012873192E-2</v>
      </c>
      <c r="E3252" s="202">
        <v>2.4340595455409897E-2</v>
      </c>
      <c r="U3252" s="204"/>
    </row>
    <row r="3253" spans="1:21" x14ac:dyDescent="0.2">
      <c r="A3253" s="64" t="str">
        <f t="shared" si="51"/>
        <v>1w</v>
      </c>
      <c r="B3253" s="203">
        <f>_xll.qlCalendarAdvance(Calendar,B3252,A3253,"f",FALSE)</f>
        <v>61702</v>
      </c>
      <c r="C3253" s="237">
        <f>_xll.qlCalendarAdvance(Calendar,B3253,NDays&amp;"D")</f>
        <v>61704</v>
      </c>
      <c r="D3253" s="202">
        <v>2.4529934314922838E-2</v>
      </c>
      <c r="E3253" s="202">
        <v>2.4343657027925403E-2</v>
      </c>
      <c r="U3253" s="204"/>
    </row>
    <row r="3254" spans="1:21" x14ac:dyDescent="0.2">
      <c r="A3254" s="64" t="str">
        <f t="shared" si="51"/>
        <v>1w</v>
      </c>
      <c r="B3254" s="203">
        <f>_xll.qlCalendarAdvance(Calendar,B3253,A3254,"f",FALSE)</f>
        <v>61709</v>
      </c>
      <c r="C3254" s="237">
        <f>_xll.qlCalendarAdvance(Calendar,B3254,NDays&amp;"D")</f>
        <v>61711</v>
      </c>
      <c r="D3254" s="202">
        <v>2.453288378056423E-2</v>
      </c>
      <c r="E3254" s="202">
        <v>2.434670789036808E-2</v>
      </c>
      <c r="U3254" s="204"/>
    </row>
    <row r="3255" spans="1:21" x14ac:dyDescent="0.2">
      <c r="A3255" s="64" t="str">
        <f t="shared" si="51"/>
        <v>1w</v>
      </c>
      <c r="B3255" s="203">
        <f>_xll.qlCalendarAdvance(Calendar,B3254,A3255,"f",FALSE)</f>
        <v>61716</v>
      </c>
      <c r="C3255" s="237">
        <f>_xll.qlCalendarAdvance(Calendar,B3255,NDays&amp;"D")</f>
        <v>61718</v>
      </c>
      <c r="D3255" s="202">
        <v>2.4535822409749494E-2</v>
      </c>
      <c r="E3255" s="202">
        <v>2.4349748042737929E-2</v>
      </c>
      <c r="U3255" s="204"/>
    </row>
    <row r="3256" spans="1:21" x14ac:dyDescent="0.2">
      <c r="A3256" s="64" t="str">
        <f t="shared" si="51"/>
        <v>1w</v>
      </c>
      <c r="B3256" s="203">
        <f>_xll.qlCalendarAdvance(Calendar,B3255,A3256,"f",FALSE)</f>
        <v>61724</v>
      </c>
      <c r="C3256" s="237">
        <f>_xll.qlCalendarAdvance(Calendar,B3256,NDays&amp;"D")</f>
        <v>61728</v>
      </c>
      <c r="D3256" s="202">
        <v>2.4536887552258718E-2</v>
      </c>
      <c r="E3256" s="202">
        <v>2.4353033188679873E-2</v>
      </c>
      <c r="U3256" s="204"/>
    </row>
    <row r="3257" spans="1:21" x14ac:dyDescent="0.2">
      <c r="A3257" s="64" t="str">
        <f t="shared" si="51"/>
        <v>1w</v>
      </c>
      <c r="B3257" s="203">
        <f>_xll.qlCalendarAdvance(Calendar,B3256,A3257,"f",FALSE)</f>
        <v>61731</v>
      </c>
      <c r="C3257" s="237">
        <f>_xll.qlCalendarAdvance(Calendar,B3257,NDays&amp;"D")</f>
        <v>61735</v>
      </c>
      <c r="D3257" s="202">
        <v>2.4542913965289213E-2</v>
      </c>
      <c r="E3257" s="202">
        <v>2.4355009096037605E-2</v>
      </c>
      <c r="U3257" s="204"/>
    </row>
    <row r="3258" spans="1:21" x14ac:dyDescent="0.2">
      <c r="A3258" s="64" t="str">
        <f t="shared" si="51"/>
        <v>1w</v>
      </c>
      <c r="B3258" s="203">
        <f>_xll.qlCalendarAdvance(Calendar,B3257,A3258,"f",FALSE)</f>
        <v>61738</v>
      </c>
      <c r="C3258" s="237">
        <f>_xll.qlCalendarAdvance(Calendar,B3258,NDays&amp;"D")</f>
        <v>61742</v>
      </c>
      <c r="D3258" s="202">
        <v>2.454581544054751E-2</v>
      </c>
      <c r="E3258" s="202">
        <v>2.4358013651761823E-2</v>
      </c>
      <c r="U3258" s="204"/>
    </row>
    <row r="3259" spans="1:21" x14ac:dyDescent="0.2">
      <c r="A3259" s="64" t="str">
        <f t="shared" si="51"/>
        <v>1w</v>
      </c>
      <c r="B3259" s="203">
        <f>_xll.qlCalendarAdvance(Calendar,B3258,A3259,"f",FALSE)</f>
        <v>61745</v>
      </c>
      <c r="C3259" s="237">
        <f>_xll.qlCalendarAdvance(Calendar,B3259,NDays&amp;"D")</f>
        <v>61749</v>
      </c>
      <c r="D3259" s="202">
        <v>2.4548706079138859E-2</v>
      </c>
      <c r="E3259" s="202">
        <v>2.4361007498612253E-2</v>
      </c>
      <c r="U3259" s="204"/>
    </row>
    <row r="3260" spans="1:21" x14ac:dyDescent="0.2">
      <c r="A3260" s="64" t="str">
        <f t="shared" si="51"/>
        <v>1w</v>
      </c>
      <c r="B3260" s="203">
        <f>_xll.qlCalendarAdvance(Calendar,B3259,A3260,"f",FALSE)</f>
        <v>61752</v>
      </c>
      <c r="C3260" s="237">
        <f>_xll.qlCalendarAdvance(Calendar,B3260,NDays&amp;"D")</f>
        <v>61756</v>
      </c>
      <c r="D3260" s="202">
        <v>2.4551585881016261E-2</v>
      </c>
      <c r="E3260" s="202">
        <v>2.4363990636748767E-2</v>
      </c>
      <c r="U3260" s="204"/>
    </row>
    <row r="3261" spans="1:21" x14ac:dyDescent="0.2">
      <c r="A3261" s="64" t="str">
        <f t="shared" si="51"/>
        <v>1w</v>
      </c>
      <c r="B3261" s="203">
        <f>_xll.qlCalendarAdvance(Calendar,B3260,A3261,"f",FALSE)</f>
        <v>61759</v>
      </c>
      <c r="C3261" s="237">
        <f>_xll.qlCalendarAdvance(Calendar,B3261,NDays&amp;"D")</f>
        <v>61763</v>
      </c>
      <c r="D3261" s="202">
        <v>2.4554454846133604E-2</v>
      </c>
      <c r="E3261" s="202">
        <v>2.4366963066331238E-2</v>
      </c>
      <c r="U3261" s="204"/>
    </row>
    <row r="3262" spans="1:21" x14ac:dyDescent="0.2">
      <c r="A3262" s="64" t="str">
        <f t="shared" si="51"/>
        <v>1w</v>
      </c>
      <c r="B3262" s="203">
        <f>_xll.qlCalendarAdvance(Calendar,B3261,A3262,"f",FALSE)</f>
        <v>61766</v>
      </c>
      <c r="C3262" s="237">
        <f>_xll.qlCalendarAdvance(Calendar,B3262,NDays&amp;"D")</f>
        <v>61770</v>
      </c>
      <c r="D3262" s="202">
        <v>2.4557312974444769E-2</v>
      </c>
      <c r="E3262" s="202">
        <v>2.4369924787279729E-2</v>
      </c>
      <c r="U3262" s="204"/>
    </row>
    <row r="3263" spans="1:21" x14ac:dyDescent="0.2">
      <c r="A3263" s="64" t="str">
        <f t="shared" si="51"/>
        <v>1w</v>
      </c>
      <c r="B3263" s="203">
        <f>_xll.qlCalendarAdvance(Calendar,B3262,A3263,"f",FALSE)</f>
        <v>61773</v>
      </c>
      <c r="C3263" s="237">
        <f>_xll.qlCalendarAdvance(Calendar,B3263,NDays&amp;"D")</f>
        <v>61777</v>
      </c>
      <c r="D3263" s="202">
        <v>2.4560160265902322E-2</v>
      </c>
      <c r="E3263" s="202">
        <v>2.4372875799354432E-2</v>
      </c>
      <c r="U3263" s="204"/>
    </row>
    <row r="3264" spans="1:21" x14ac:dyDescent="0.2">
      <c r="A3264" s="64" t="str">
        <f t="shared" si="51"/>
        <v>1w</v>
      </c>
      <c r="B3264" s="203">
        <f>_xll.qlCalendarAdvance(Calendar,B3263,A3264,"f",FALSE)</f>
        <v>61780</v>
      </c>
      <c r="C3264" s="237">
        <f>_xll.qlCalendarAdvance(Calendar,B3264,NDays&amp;"D")</f>
        <v>61784</v>
      </c>
      <c r="D3264" s="202">
        <v>2.4562996720459269E-2</v>
      </c>
      <c r="E3264" s="202">
        <v>2.4375816102875092E-2</v>
      </c>
      <c r="U3264" s="204"/>
    </row>
    <row r="3265" spans="1:21" x14ac:dyDescent="0.2">
      <c r="A3265" s="64" t="str">
        <f t="shared" si="51"/>
        <v>1w</v>
      </c>
      <c r="B3265" s="203">
        <f>_xll.qlCalendarAdvance(Calendar,B3264,A3265,"f",FALSE)</f>
        <v>61787</v>
      </c>
      <c r="C3265" s="237">
        <f>_xll.qlCalendarAdvance(Calendar,B3265,NDays&amp;"D")</f>
        <v>61791</v>
      </c>
      <c r="D3265" s="202">
        <v>2.4567887929808355E-2</v>
      </c>
      <c r="E3265" s="202">
        <v>2.4378745697681836E-2</v>
      </c>
      <c r="U3265" s="204"/>
    </row>
    <row r="3266" spans="1:21" x14ac:dyDescent="0.2">
      <c r="A3266" s="64" t="str">
        <f t="shared" si="51"/>
        <v>1w</v>
      </c>
      <c r="B3266" s="203">
        <f>_xll.qlCalendarAdvance(Calendar,B3265,A3266,"f",FALSE)</f>
        <v>61794</v>
      </c>
      <c r="C3266" s="237">
        <f>_xll.qlCalendarAdvance(Calendar,B3266,NDays&amp;"D")</f>
        <v>61798</v>
      </c>
      <c r="D3266" s="202">
        <v>2.4570701543904411E-2</v>
      </c>
      <c r="E3266" s="202">
        <v>2.4381664583854601E-2</v>
      </c>
      <c r="U3266" s="204"/>
    </row>
    <row r="3267" spans="1:21" x14ac:dyDescent="0.2">
      <c r="A3267" s="64" t="str">
        <f t="shared" si="51"/>
        <v>1w</v>
      </c>
      <c r="B3267" s="203">
        <f>_xll.qlCalendarAdvance(Calendar,B3266,A3267,"f",FALSE)</f>
        <v>61801</v>
      </c>
      <c r="C3267" s="237">
        <f>_xll.qlCalendarAdvance(Calendar,B3267,NDays&amp;"D")</f>
        <v>61805</v>
      </c>
      <c r="D3267" s="202">
        <v>2.4573504319528608E-2</v>
      </c>
      <c r="E3267" s="202">
        <v>2.4384572761233514E-2</v>
      </c>
      <c r="U3267" s="204"/>
    </row>
    <row r="3268" spans="1:21" x14ac:dyDescent="0.2">
      <c r="A3268" s="64" t="str">
        <f t="shared" si="51"/>
        <v>1w</v>
      </c>
      <c r="B3268" s="203">
        <f>_xll.qlCalendarAdvance(Calendar,B3267,A3268,"f",FALSE)</f>
        <v>61808</v>
      </c>
      <c r="C3268" s="237">
        <f>_xll.qlCalendarAdvance(Calendar,B3268,NDays&amp;"D")</f>
        <v>61812</v>
      </c>
      <c r="D3268" s="202">
        <v>2.4576296256637504E-2</v>
      </c>
      <c r="E3268" s="202">
        <v>2.4387470230138319E-2</v>
      </c>
      <c r="U3268" s="204"/>
    </row>
    <row r="3269" spans="1:21" x14ac:dyDescent="0.2">
      <c r="A3269" s="64" t="str">
        <f t="shared" si="51"/>
        <v>1w</v>
      </c>
      <c r="B3269" s="203">
        <f>_xll.qlCalendarAdvance(Calendar,B3268,A3269,"f",FALSE)</f>
        <v>61815</v>
      </c>
      <c r="C3269" s="237">
        <f>_xll.qlCalendarAdvance(Calendar,B3269,NDays&amp;"D")</f>
        <v>61819</v>
      </c>
      <c r="D3269" s="202">
        <v>2.4578046901391058E-2</v>
      </c>
      <c r="E3269" s="202">
        <v>2.4390356990169337E-2</v>
      </c>
      <c r="U3269" s="204"/>
    </row>
    <row r="3270" spans="1:21" x14ac:dyDescent="0.2">
      <c r="A3270" s="64" t="str">
        <f t="shared" si="51"/>
        <v>1w</v>
      </c>
      <c r="B3270" s="203">
        <f>_xll.qlCalendarAdvance(Calendar,B3269,A3270,"f",FALSE)</f>
        <v>61822</v>
      </c>
      <c r="C3270" s="237">
        <f>_xll.qlCalendarAdvance(Calendar,B3270,NDays&amp;"D")</f>
        <v>61826</v>
      </c>
      <c r="D3270" s="202">
        <v>2.4580817747504487E-2</v>
      </c>
      <c r="E3270" s="202">
        <v>2.4393233041646312E-2</v>
      </c>
      <c r="U3270" s="204"/>
    </row>
    <row r="3271" spans="1:21" x14ac:dyDescent="0.2">
      <c r="A3271" s="64" t="str">
        <f t="shared" ref="A3271:A3334" si="52">A3270</f>
        <v>1w</v>
      </c>
      <c r="B3271" s="203">
        <f>_xll.qlCalendarAdvance(Calendar,B3270,A3271,"f",FALSE)</f>
        <v>61829</v>
      </c>
      <c r="C3271" s="237">
        <f>_xll.qlCalendarAdvance(Calendar,B3271,NDays&amp;"D")</f>
        <v>61835</v>
      </c>
      <c r="D3271" s="202">
        <v>2.4584364338799233E-2</v>
      </c>
      <c r="E3271" s="202">
        <v>2.4396915086875026E-2</v>
      </c>
      <c r="U3271" s="204"/>
    </row>
    <row r="3272" spans="1:21" x14ac:dyDescent="0.2">
      <c r="A3272" s="64" t="str">
        <f t="shared" si="52"/>
        <v>1w</v>
      </c>
      <c r="B3272" s="203">
        <f>_xll.qlCalendarAdvance(Calendar,B3271,A3272,"f",FALSE)</f>
        <v>61836</v>
      </c>
      <c r="C3272" s="237">
        <f>_xll.qlCalendarAdvance(Calendar,B3272,NDays&amp;"D")</f>
        <v>61840</v>
      </c>
      <c r="D3272" s="202">
        <v>2.4586326925878314E-2</v>
      </c>
      <c r="E3272" s="202">
        <v>2.4398953018378577E-2</v>
      </c>
      <c r="U3272" s="204"/>
    </row>
    <row r="3273" spans="1:21" x14ac:dyDescent="0.2">
      <c r="A3273" s="64" t="str">
        <f t="shared" si="52"/>
        <v>1w</v>
      </c>
      <c r="B3273" s="203">
        <f>_xll.qlCalendarAdvance(Calendar,B3272,A3273,"f",FALSE)</f>
        <v>61843</v>
      </c>
      <c r="C3273" s="237">
        <f>_xll.qlCalendarAdvance(Calendar,B3273,NDays&amp;"D")</f>
        <v>61847</v>
      </c>
      <c r="D3273" s="202">
        <v>2.4589065258048728E-2</v>
      </c>
      <c r="E3273" s="202">
        <v>2.4401796943793741E-2</v>
      </c>
      <c r="U3273" s="204"/>
    </row>
    <row r="3274" spans="1:21" x14ac:dyDescent="0.2">
      <c r="A3274" s="64" t="str">
        <f t="shared" si="52"/>
        <v>1w</v>
      </c>
      <c r="B3274" s="203">
        <f>_xll.qlCalendarAdvance(Calendar,B3273,A3274,"f",FALSE)</f>
        <v>61850</v>
      </c>
      <c r="C3274" s="237">
        <f>_xll.qlCalendarAdvance(Calendar,B3274,NDays&amp;"D")</f>
        <v>61854</v>
      </c>
      <c r="D3274" s="202">
        <v>2.4592820267885063E-2</v>
      </c>
      <c r="E3274" s="202">
        <v>2.4404630160415053E-2</v>
      </c>
      <c r="U3274" s="204"/>
    </row>
    <row r="3275" spans="1:21" x14ac:dyDescent="0.2">
      <c r="A3275" s="64" t="str">
        <f t="shared" si="52"/>
        <v>1w</v>
      </c>
      <c r="B3275" s="203">
        <f>_xll.qlCalendarAdvance(Calendar,B3274,A3275,"f",FALSE)</f>
        <v>61857</v>
      </c>
      <c r="C3275" s="237">
        <f>_xll.qlCalendarAdvance(Calendar,B3275,NDays&amp;"D")</f>
        <v>61861</v>
      </c>
      <c r="D3275" s="202">
        <v>2.4595536334103951E-2</v>
      </c>
      <c r="E3275" s="202">
        <v>2.4407452668642193E-2</v>
      </c>
      <c r="U3275" s="204"/>
    </row>
    <row r="3276" spans="1:21" x14ac:dyDescent="0.2">
      <c r="A3276" s="64" t="str">
        <f t="shared" si="52"/>
        <v>1w</v>
      </c>
      <c r="B3276" s="203">
        <f>_xll.qlCalendarAdvance(Calendar,B3275,A3276,"f",FALSE)</f>
        <v>61864</v>
      </c>
      <c r="C3276" s="237">
        <f>_xll.qlCalendarAdvance(Calendar,B3276,NDays&amp;"D")</f>
        <v>61868</v>
      </c>
      <c r="D3276" s="202">
        <v>2.4598241561444349E-2</v>
      </c>
      <c r="E3276" s="202">
        <v>2.4410264467995546E-2</v>
      </c>
      <c r="U3276" s="204"/>
    </row>
    <row r="3277" spans="1:21" x14ac:dyDescent="0.2">
      <c r="A3277" s="64" t="str">
        <f t="shared" si="52"/>
        <v>1w</v>
      </c>
      <c r="B3277" s="203">
        <f>_xll.qlCalendarAdvance(Calendar,B3276,A3277,"f",FALSE)</f>
        <v>61871</v>
      </c>
      <c r="C3277" s="237">
        <f>_xll.qlCalendarAdvance(Calendar,B3277,NDays&amp;"D")</f>
        <v>61875</v>
      </c>
      <c r="D3277" s="202">
        <v>2.4600935949861947E-2</v>
      </c>
      <c r="E3277" s="202">
        <v>2.4413065558555047E-2</v>
      </c>
      <c r="U3277" s="204"/>
    </row>
    <row r="3278" spans="1:21" x14ac:dyDescent="0.2">
      <c r="A3278" s="64" t="str">
        <f t="shared" si="52"/>
        <v>1w</v>
      </c>
      <c r="B3278" s="203">
        <f>_xll.qlCalendarAdvance(Calendar,B3277,A3278,"f",FALSE)</f>
        <v>61878</v>
      </c>
      <c r="C3278" s="237">
        <f>_xll.qlCalendarAdvance(Calendar,B3278,NDays&amp;"D")</f>
        <v>61882</v>
      </c>
      <c r="D3278" s="202">
        <v>2.4602594346955824E-2</v>
      </c>
      <c r="E3278" s="202">
        <v>2.4415855940560505E-2</v>
      </c>
      <c r="U3278" s="204"/>
    </row>
    <row r="3279" spans="1:21" x14ac:dyDescent="0.2">
      <c r="A3279" s="64" t="str">
        <f t="shared" si="52"/>
        <v>1w</v>
      </c>
      <c r="B3279" s="203">
        <f>_xll.qlCalendarAdvance(Calendar,B3278,A3279,"f",FALSE)</f>
        <v>61885</v>
      </c>
      <c r="C3279" s="237">
        <f>_xll.qlCalendarAdvance(Calendar,B3279,NDays&amp;"D")</f>
        <v>61889</v>
      </c>
      <c r="D3279" s="202">
        <v>2.4605267650039422E-2</v>
      </c>
      <c r="E3279" s="202">
        <v>2.4418635613852047E-2</v>
      </c>
      <c r="U3279" s="204"/>
    </row>
    <row r="3280" spans="1:21" x14ac:dyDescent="0.2">
      <c r="A3280" s="64" t="str">
        <f t="shared" si="52"/>
        <v>1w</v>
      </c>
      <c r="B3280" s="203">
        <f>_xll.qlCalendarAdvance(Calendar,B3279,A3280,"f",FALSE)</f>
        <v>61892</v>
      </c>
      <c r="C3280" s="237">
        <f>_xll.qlCalendarAdvance(Calendar,B3280,NDays&amp;"D")</f>
        <v>61896</v>
      </c>
      <c r="D3280" s="202">
        <v>2.4607930114787329E-2</v>
      </c>
      <c r="E3280" s="202">
        <v>2.4421404578589545E-2</v>
      </c>
      <c r="U3280" s="204"/>
    </row>
    <row r="3281" spans="1:21" x14ac:dyDescent="0.2">
      <c r="A3281" s="64" t="str">
        <f t="shared" si="52"/>
        <v>1w</v>
      </c>
      <c r="B3281" s="203">
        <f>_xll.qlCalendarAdvance(Calendar,B3280,A3281,"f",FALSE)</f>
        <v>61899</v>
      </c>
      <c r="C3281" s="237">
        <f>_xll.qlCalendarAdvance(Calendar,B3281,NDays&amp;"D")</f>
        <v>61903</v>
      </c>
      <c r="D3281" s="202">
        <v>2.4610581741155858E-2</v>
      </c>
      <c r="E3281" s="202">
        <v>2.442416283437332E-2</v>
      </c>
      <c r="U3281" s="204"/>
    </row>
    <row r="3282" spans="1:21" x14ac:dyDescent="0.2">
      <c r="A3282" s="64" t="str">
        <f t="shared" si="52"/>
        <v>1w</v>
      </c>
      <c r="B3282" s="203">
        <f>_xll.qlCalendarAdvance(Calendar,B3281,A3282,"f",FALSE)</f>
        <v>61906</v>
      </c>
      <c r="C3282" s="237">
        <f>_xll.qlCalendarAdvance(Calendar,B3282,NDays&amp;"D")</f>
        <v>61910</v>
      </c>
      <c r="D3282" s="202">
        <v>2.4615268073401461E-2</v>
      </c>
      <c r="E3282" s="202">
        <v>2.4426910381682987E-2</v>
      </c>
      <c r="U3282" s="204"/>
    </row>
    <row r="3283" spans="1:21" x14ac:dyDescent="0.2">
      <c r="A3283" s="64" t="str">
        <f t="shared" si="52"/>
        <v>1w</v>
      </c>
      <c r="B3283" s="203">
        <f>_xll.qlCalendarAdvance(Calendar,B3282,A3283,"f",FALSE)</f>
        <v>61913</v>
      </c>
      <c r="C3283" s="237">
        <f>_xll.qlCalendarAdvance(Calendar,B3283,NDays&amp;"D")</f>
        <v>61917</v>
      </c>
      <c r="D3283" s="202">
        <v>2.4616874660526724E-2</v>
      </c>
      <c r="E3283" s="202">
        <v>2.4429647220278738E-2</v>
      </c>
      <c r="U3283" s="204"/>
    </row>
    <row r="3284" spans="1:21" x14ac:dyDescent="0.2">
      <c r="A3284" s="64" t="str">
        <f t="shared" si="52"/>
        <v>1w</v>
      </c>
      <c r="B3284" s="203">
        <f>_xll.qlCalendarAdvance(Calendar,B3283,A3284,"f",FALSE)</f>
        <v>61920</v>
      </c>
      <c r="C3284" s="237">
        <f>_xll.qlCalendarAdvance(Calendar,B3284,NDays&amp;"D")</f>
        <v>61924</v>
      </c>
      <c r="D3284" s="202">
        <v>2.4619493175256985E-2</v>
      </c>
      <c r="E3284" s="202">
        <v>2.4432373350160574E-2</v>
      </c>
      <c r="U3284" s="204"/>
    </row>
    <row r="3285" spans="1:21" x14ac:dyDescent="0.2">
      <c r="A3285" s="64" t="str">
        <f t="shared" si="52"/>
        <v>1w</v>
      </c>
      <c r="B3285" s="203">
        <f>_xll.qlCalendarAdvance(Calendar,B3284,A3285,"f",FALSE)</f>
        <v>61927</v>
      </c>
      <c r="C3285" s="237">
        <f>_xll.qlCalendarAdvance(Calendar,B3285,NDays&amp;"D")</f>
        <v>61931</v>
      </c>
      <c r="D3285" s="202">
        <v>2.4622100850715596E-2</v>
      </c>
      <c r="E3285" s="202">
        <v>2.4435088771408431E-2</v>
      </c>
      <c r="U3285" s="204"/>
    </row>
    <row r="3286" spans="1:21" x14ac:dyDescent="0.2">
      <c r="A3286" s="64" t="str">
        <f t="shared" si="52"/>
        <v>1w</v>
      </c>
      <c r="B3286" s="203">
        <f>_xll.qlCalendarAdvance(Calendar,B3285,A3286,"f",FALSE)</f>
        <v>61934</v>
      </c>
      <c r="C3286" s="237">
        <f>_xll.qlCalendarAdvance(Calendar,B3286,NDays&amp;"D")</f>
        <v>61938</v>
      </c>
      <c r="D3286" s="202">
        <v>2.4624697686859976E-2</v>
      </c>
      <c r="E3286" s="202">
        <v>2.4437793484022308E-2</v>
      </c>
      <c r="U3286" s="204"/>
    </row>
    <row r="3287" spans="1:21" x14ac:dyDescent="0.2">
      <c r="A3287" s="64" t="str">
        <f t="shared" si="52"/>
        <v>1w</v>
      </c>
      <c r="B3287" s="203">
        <f>_xll.qlCalendarAdvance(Calendar,B3286,A3287,"f",FALSE)</f>
        <v>61941</v>
      </c>
      <c r="C3287" s="237">
        <f>_xll.qlCalendarAdvance(Calendar,B3287,NDays&amp;"D")</f>
        <v>61945</v>
      </c>
      <c r="D3287" s="202">
        <v>2.4627283683647118E-2</v>
      </c>
      <c r="E3287" s="202">
        <v>2.4440487487922269E-2</v>
      </c>
      <c r="U3287" s="204"/>
    </row>
    <row r="3288" spans="1:21" x14ac:dyDescent="0.2">
      <c r="A3288" s="64" t="str">
        <f t="shared" si="52"/>
        <v>1w</v>
      </c>
      <c r="B3288" s="203">
        <f>_xll.qlCalendarAdvance(Calendar,B3287,A3288,"f",FALSE)</f>
        <v>61948</v>
      </c>
      <c r="C3288" s="237">
        <f>_xll.qlCalendarAdvance(Calendar,B3288,NDays&amp;"D")</f>
        <v>61952</v>
      </c>
      <c r="D3288" s="202">
        <v>2.4629858841034014E-2</v>
      </c>
      <c r="E3288" s="202">
        <v>2.4443170783028378E-2</v>
      </c>
      <c r="U3288" s="204"/>
    </row>
    <row r="3289" spans="1:21" x14ac:dyDescent="0.2">
      <c r="A3289" s="64" t="str">
        <f t="shared" si="52"/>
        <v>1w</v>
      </c>
      <c r="B3289" s="203">
        <f>_xll.qlCalendarAdvance(Calendar,B3288,A3289,"f",FALSE)</f>
        <v>61955</v>
      </c>
      <c r="C3289" s="237">
        <f>_xll.qlCalendarAdvance(Calendar,B3289,NDays&amp;"D")</f>
        <v>61959</v>
      </c>
      <c r="D3289" s="202">
        <v>2.4632423158979393E-2</v>
      </c>
      <c r="E3289" s="202">
        <v>2.4445843369420572E-2</v>
      </c>
      <c r="U3289" s="204"/>
    </row>
    <row r="3290" spans="1:21" x14ac:dyDescent="0.2">
      <c r="A3290" s="64" t="str">
        <f t="shared" si="52"/>
        <v>1w</v>
      </c>
      <c r="B3290" s="203">
        <f>_xll.qlCalendarAdvance(Calendar,B3289,A3290,"f",FALSE)</f>
        <v>61962</v>
      </c>
      <c r="C3290" s="237">
        <f>_xll.qlCalendarAdvance(Calendar,B3290,NDays&amp;"D")</f>
        <v>61966</v>
      </c>
      <c r="D3290" s="202">
        <v>2.463497663744111E-2</v>
      </c>
      <c r="E3290" s="202">
        <v>2.4448505247258723E-2</v>
      </c>
      <c r="U3290" s="204"/>
    </row>
    <row r="3291" spans="1:21" x14ac:dyDescent="0.2">
      <c r="A3291" s="64" t="str">
        <f t="shared" si="52"/>
        <v>1w</v>
      </c>
      <c r="B3291" s="203">
        <f>_xll.qlCalendarAdvance(Calendar,B3290,A3291,"f",FALSE)</f>
        <v>61969</v>
      </c>
      <c r="C3291" s="237">
        <f>_xll.qlCalendarAdvance(Calendar,B3291,NDays&amp;"D")</f>
        <v>61973</v>
      </c>
      <c r="D3291" s="202">
        <v>2.4635484481361582E-2</v>
      </c>
      <c r="E3291" s="202">
        <v>2.4451156416462894E-2</v>
      </c>
      <c r="U3291" s="204"/>
    </row>
    <row r="3292" spans="1:21" x14ac:dyDescent="0.2">
      <c r="A3292" s="64" t="str">
        <f t="shared" si="52"/>
        <v>1w</v>
      </c>
      <c r="B3292" s="203">
        <f>_xll.qlCalendarAdvance(Calendar,B3291,A3292,"f",FALSE)</f>
        <v>61976</v>
      </c>
      <c r="C3292" s="237">
        <f>_xll.qlCalendarAdvance(Calendar,B3292,NDays&amp;"D")</f>
        <v>61980</v>
      </c>
      <c r="D3292" s="202">
        <v>2.4638017484674615E-2</v>
      </c>
      <c r="E3292" s="202">
        <v>2.4453796876873213E-2</v>
      </c>
      <c r="U3292" s="204"/>
    </row>
    <row r="3293" spans="1:21" x14ac:dyDescent="0.2">
      <c r="A3293" s="64" t="str">
        <f t="shared" si="52"/>
        <v>1w</v>
      </c>
      <c r="B3293" s="203">
        <f>_xll.qlCalendarAdvance(Calendar,B3292,A3293,"f",FALSE)</f>
        <v>61983</v>
      </c>
      <c r="C3293" s="237">
        <f>_xll.qlCalendarAdvance(Calendar,B3293,NDays&amp;"D")</f>
        <v>61987</v>
      </c>
      <c r="D3293" s="202">
        <v>2.4640539649822997E-2</v>
      </c>
      <c r="E3293" s="202">
        <v>2.445642662848968E-2</v>
      </c>
      <c r="U3293" s="204"/>
    </row>
    <row r="3294" spans="1:21" x14ac:dyDescent="0.2">
      <c r="A3294" s="64" t="str">
        <f t="shared" si="52"/>
        <v>1w</v>
      </c>
      <c r="B3294" s="203">
        <f>_xll.qlCalendarAdvance(Calendar,B3293,A3294,"f",FALSE)</f>
        <v>61990</v>
      </c>
      <c r="C3294" s="237">
        <f>_xll.qlCalendarAdvance(Calendar,B3294,NDays&amp;"D")</f>
        <v>61994</v>
      </c>
      <c r="D3294" s="202">
        <v>2.4643050976767198E-2</v>
      </c>
      <c r="E3294" s="202">
        <v>2.4459045671711976E-2</v>
      </c>
      <c r="U3294" s="204"/>
    </row>
    <row r="3295" spans="1:21" x14ac:dyDescent="0.2">
      <c r="A3295" s="64" t="str">
        <f t="shared" si="52"/>
        <v>1w</v>
      </c>
      <c r="B3295" s="203">
        <f>_xll.qlCalendarAdvance(Calendar,B3294,A3295,"f",FALSE)</f>
        <v>61997</v>
      </c>
      <c r="C3295" s="237">
        <f>_xll.qlCalendarAdvance(Calendar,B3295,NDays&amp;"D")</f>
        <v>62001</v>
      </c>
      <c r="D3295" s="202">
        <v>2.4641491382875913E-2</v>
      </c>
      <c r="E3295" s="202">
        <v>2.4461654006060485E-2</v>
      </c>
      <c r="U3295" s="204"/>
    </row>
    <row r="3296" spans="1:21" x14ac:dyDescent="0.2">
      <c r="A3296" s="64" t="str">
        <f t="shared" si="52"/>
        <v>1w</v>
      </c>
      <c r="B3296" s="203">
        <f>_xll.qlCalendarAdvance(Calendar,B3295,A3296,"f",FALSE)</f>
        <v>62004</v>
      </c>
      <c r="C3296" s="237">
        <f>_xll.qlCalendarAdvance(Calendar,B3296,NDays&amp;"D")</f>
        <v>62008</v>
      </c>
      <c r="D3296" s="202">
        <v>2.4648041115878355E-2</v>
      </c>
      <c r="E3296" s="202">
        <v>2.4464251631535205E-2</v>
      </c>
      <c r="U3296" s="204"/>
    </row>
    <row r="3297" spans="1:21" x14ac:dyDescent="0.2">
      <c r="A3297" s="64" t="str">
        <f t="shared" si="52"/>
        <v>1w</v>
      </c>
      <c r="B3297" s="203">
        <f>_xll.qlCalendarAdvance(Calendar,B3296,A3297,"f",FALSE)</f>
        <v>62011</v>
      </c>
      <c r="C3297" s="237">
        <f>_xll.qlCalendarAdvance(Calendar,B3297,NDays&amp;"D")</f>
        <v>62015</v>
      </c>
      <c r="D3297" s="202">
        <v>2.4650519927964496E-2</v>
      </c>
      <c r="E3297" s="202">
        <v>2.4466838548695691E-2</v>
      </c>
      <c r="U3297" s="204"/>
    </row>
    <row r="3298" spans="1:21" x14ac:dyDescent="0.2">
      <c r="A3298" s="64" t="str">
        <f t="shared" si="52"/>
        <v>1w</v>
      </c>
      <c r="B3298" s="203">
        <f>_xll.qlCalendarAdvance(Calendar,B3297,A3298,"f",FALSE)</f>
        <v>62018</v>
      </c>
      <c r="C3298" s="237">
        <f>_xll.qlCalendarAdvance(Calendar,B3298,NDays&amp;"D")</f>
        <v>62022</v>
      </c>
      <c r="D3298" s="202">
        <v>2.4652987901682633E-2</v>
      </c>
      <c r="E3298" s="202">
        <v>2.4469414756982388E-2</v>
      </c>
      <c r="U3298" s="204"/>
    </row>
    <row r="3299" spans="1:21" x14ac:dyDescent="0.2">
      <c r="A3299" s="64" t="str">
        <f t="shared" si="52"/>
        <v>1w</v>
      </c>
      <c r="B3299" s="203">
        <f>_xll.qlCalendarAdvance(Calendar,B3298,A3299,"f",FALSE)</f>
        <v>62025</v>
      </c>
      <c r="C3299" s="237">
        <f>_xll.qlCalendarAdvance(Calendar,B3299,NDays&amp;"D")</f>
        <v>62029</v>
      </c>
      <c r="D3299" s="202">
        <v>2.4655445036995433E-2</v>
      </c>
      <c r="E3299" s="202">
        <v>2.447198025655517E-2</v>
      </c>
      <c r="U3299" s="204"/>
    </row>
    <row r="3300" spans="1:21" x14ac:dyDescent="0.2">
      <c r="A3300" s="64" t="str">
        <f t="shared" si="52"/>
        <v>1w</v>
      </c>
      <c r="B3300" s="203">
        <f>_xll.qlCalendarAdvance(Calendar,B3299,A3300,"f",FALSE)</f>
        <v>62032</v>
      </c>
      <c r="C3300" s="237">
        <f>_xll.qlCalendarAdvance(Calendar,B3300,NDays&amp;"D")</f>
        <v>62036</v>
      </c>
      <c r="D3300" s="202">
        <v>2.4657891333860728E-2</v>
      </c>
      <c r="E3300" s="202">
        <v>2.4474535047573909E-2</v>
      </c>
      <c r="U3300" s="204"/>
    </row>
    <row r="3301" spans="1:21" x14ac:dyDescent="0.2">
      <c r="A3301" s="64" t="str">
        <f t="shared" si="52"/>
        <v>1w</v>
      </c>
      <c r="B3301" s="203">
        <f>_xll.qlCalendarAdvance(Calendar,B3300,A3301,"f",FALSE)</f>
        <v>62039</v>
      </c>
      <c r="C3301" s="237">
        <f>_xll.qlCalendarAdvance(Calendar,B3301,NDays&amp;"D")</f>
        <v>62043</v>
      </c>
      <c r="D3301" s="202">
        <v>2.4660326792238119E-2</v>
      </c>
      <c r="E3301" s="202">
        <v>2.4477079129798796E-2</v>
      </c>
      <c r="U3301" s="204"/>
    </row>
    <row r="3302" spans="1:21" x14ac:dyDescent="0.2">
      <c r="A3302" s="64" t="str">
        <f t="shared" si="52"/>
        <v>1w</v>
      </c>
      <c r="B3302" s="203">
        <f>_xll.qlCalendarAdvance(Calendar,B3301,A3302,"f",FALSE)</f>
        <v>62046</v>
      </c>
      <c r="C3302" s="237">
        <f>_xll.qlCalendarAdvance(Calendar,B3302,NDays&amp;"D")</f>
        <v>62050</v>
      </c>
      <c r="D3302" s="202">
        <v>2.4662751412091143E-2</v>
      </c>
      <c r="E3302" s="202">
        <v>2.4479612503309767E-2</v>
      </c>
      <c r="U3302" s="204"/>
    </row>
    <row r="3303" spans="1:21" x14ac:dyDescent="0.2">
      <c r="A3303" s="64" t="str">
        <f t="shared" si="52"/>
        <v>1w</v>
      </c>
      <c r="B3303" s="203">
        <f>_xll.qlCalendarAdvance(Calendar,B3302,A3303,"f",FALSE)</f>
        <v>62053</v>
      </c>
      <c r="C3303" s="237">
        <f>_xll.qlCalendarAdvance(Calendar,B3303,NDays&amp;"D")</f>
        <v>62057</v>
      </c>
      <c r="D3303" s="202">
        <v>2.4665165193378077E-2</v>
      </c>
      <c r="E3303" s="202">
        <v>2.4482135168186758E-2</v>
      </c>
      <c r="U3303" s="204"/>
    </row>
    <row r="3304" spans="1:21" x14ac:dyDescent="0.2">
      <c r="A3304" s="64" t="str">
        <f t="shared" si="52"/>
        <v>1w</v>
      </c>
      <c r="B3304" s="203">
        <f>_xll.qlCalendarAdvance(Calendar,B3303,A3304,"f",FALSE)</f>
        <v>62060</v>
      </c>
      <c r="C3304" s="237">
        <f>_xll.qlCalendarAdvance(Calendar,B3304,NDays&amp;"D")</f>
        <v>62064</v>
      </c>
      <c r="D3304" s="202">
        <v>2.4667568136060272E-2</v>
      </c>
      <c r="E3304" s="202">
        <v>2.4484647124349834E-2</v>
      </c>
      <c r="U3304" s="204"/>
    </row>
    <row r="3305" spans="1:21" x14ac:dyDescent="0.2">
      <c r="A3305" s="64" t="str">
        <f t="shared" si="52"/>
        <v>1w</v>
      </c>
      <c r="B3305" s="203">
        <f>_xll.qlCalendarAdvance(Calendar,B3304,A3305,"f",FALSE)</f>
        <v>62067</v>
      </c>
      <c r="C3305" s="237">
        <f>_xll.qlCalendarAdvance(Calendar,B3305,NDays&amp;"D")</f>
        <v>62071</v>
      </c>
      <c r="D3305" s="202">
        <v>2.466996024009864E-2</v>
      </c>
      <c r="E3305" s="202">
        <v>2.4487148371958867E-2</v>
      </c>
      <c r="U3305" s="204"/>
    </row>
    <row r="3306" spans="1:21" x14ac:dyDescent="0.2">
      <c r="A3306" s="64" t="str">
        <f t="shared" si="52"/>
        <v>1w</v>
      </c>
      <c r="B3306" s="203">
        <f>_xll.qlCalendarAdvance(Calendar,B3305,A3306,"f",FALSE)</f>
        <v>62074</v>
      </c>
      <c r="C3306" s="237">
        <f>_xll.qlCalendarAdvance(Calendar,B3306,NDays&amp;"D")</f>
        <v>62078</v>
      </c>
      <c r="D3306" s="202">
        <v>2.4672341505455407E-2</v>
      </c>
      <c r="E3306" s="202">
        <v>2.4489638910853984E-2</v>
      </c>
      <c r="U3306" s="204"/>
    </row>
    <row r="3307" spans="1:21" x14ac:dyDescent="0.2">
      <c r="A3307" s="64" t="str">
        <f t="shared" si="52"/>
        <v>1w</v>
      </c>
      <c r="B3307" s="203">
        <f>_xll.qlCalendarAdvance(Calendar,B3306,A3307,"f",FALSE)</f>
        <v>62081</v>
      </c>
      <c r="C3307" s="237">
        <f>_xll.qlCalendarAdvance(Calendar,B3307,NDays&amp;"D")</f>
        <v>62085</v>
      </c>
      <c r="D3307" s="202">
        <v>2.467471193208929E-2</v>
      </c>
      <c r="E3307" s="202">
        <v>2.4492118740875313E-2</v>
      </c>
      <c r="U3307" s="204"/>
    </row>
    <row r="3308" spans="1:21" x14ac:dyDescent="0.2">
      <c r="A3308" s="64" t="str">
        <f t="shared" si="52"/>
        <v>1w</v>
      </c>
      <c r="B3308" s="203">
        <f>_xll.qlCalendarAdvance(Calendar,B3307,A3308,"f",FALSE)</f>
        <v>62089</v>
      </c>
      <c r="C3308" s="237">
        <f>_xll.qlCalendarAdvance(Calendar,B3308,NDays&amp;"D")</f>
        <v>62093</v>
      </c>
      <c r="D3308" s="202">
        <v>2.4676400721785258E-2</v>
      </c>
      <c r="E3308" s="202">
        <v>2.4495948887475194E-2</v>
      </c>
      <c r="U3308" s="204"/>
    </row>
    <row r="3309" spans="1:21" x14ac:dyDescent="0.2">
      <c r="A3309" s="64" t="str">
        <f t="shared" si="52"/>
        <v>1w</v>
      </c>
      <c r="B3309" s="203">
        <f>_xll.qlCalendarAdvance(Calendar,B3308,A3309,"f",FALSE)</f>
        <v>62096</v>
      </c>
      <c r="C3309" s="237">
        <f>_xll.qlCalendarAdvance(Calendar,B3309,NDays&amp;"D")</f>
        <v>62100</v>
      </c>
      <c r="D3309" s="202">
        <v>2.4678748536709833E-2</v>
      </c>
      <c r="E3309" s="202">
        <v>2.4497396602702892E-2</v>
      </c>
      <c r="U3309" s="204"/>
    </row>
    <row r="3310" spans="1:21" x14ac:dyDescent="0.2">
      <c r="A3310" s="64" t="str">
        <f t="shared" si="52"/>
        <v>1w</v>
      </c>
      <c r="B3310" s="203">
        <f>_xll.qlCalendarAdvance(Calendar,B3309,A3310,"f",FALSE)</f>
        <v>62103</v>
      </c>
      <c r="C3310" s="237">
        <f>_xll.qlCalendarAdvance(Calendar,B3310,NDays&amp;"D")</f>
        <v>62107</v>
      </c>
      <c r="D3310" s="202">
        <v>2.4681085513519031E-2</v>
      </c>
      <c r="E3310" s="202">
        <v>2.4499842777006009E-2</v>
      </c>
      <c r="U3310" s="204"/>
    </row>
    <row r="3311" spans="1:21" x14ac:dyDescent="0.2">
      <c r="A3311" s="64" t="str">
        <f t="shared" si="52"/>
        <v>1w</v>
      </c>
      <c r="B3311" s="203">
        <f>_xll.qlCalendarAdvance(Calendar,B3310,A3311,"f",FALSE)</f>
        <v>62110</v>
      </c>
      <c r="C3311" s="237">
        <f>_xll.qlCalendarAdvance(Calendar,B3311,NDays&amp;"D")</f>
        <v>62114</v>
      </c>
      <c r="D3311" s="202">
        <v>2.4683411652174428E-2</v>
      </c>
      <c r="E3311" s="202">
        <v>2.4502278242675146E-2</v>
      </c>
      <c r="U3311" s="204"/>
    </row>
    <row r="3312" spans="1:21" x14ac:dyDescent="0.2">
      <c r="A3312" s="64" t="str">
        <f t="shared" si="52"/>
        <v>1w</v>
      </c>
      <c r="B3312" s="203">
        <f>_xll.qlCalendarAdvance(Calendar,B3311,A3312,"f",FALSE)</f>
        <v>62117</v>
      </c>
      <c r="C3312" s="237">
        <f>_xll.qlCalendarAdvance(Calendar,B3312,NDays&amp;"D")</f>
        <v>62121</v>
      </c>
      <c r="D3312" s="202">
        <v>2.4685726952638484E-2</v>
      </c>
      <c r="E3312" s="202">
        <v>2.4504702999470496E-2</v>
      </c>
      <c r="U3312" s="204"/>
    </row>
    <row r="3313" spans="1:21" x14ac:dyDescent="0.2">
      <c r="A3313" s="64" t="str">
        <f t="shared" si="52"/>
        <v>1w</v>
      </c>
      <c r="B3313" s="203">
        <f>_xll.qlCalendarAdvance(Calendar,B3312,A3313,"f",FALSE)</f>
        <v>62124</v>
      </c>
      <c r="C3313" s="237">
        <f>_xll.qlCalendarAdvance(Calendar,B3313,NDays&amp;"D")</f>
        <v>62128</v>
      </c>
      <c r="D3313" s="202">
        <v>2.4688031414874991E-2</v>
      </c>
      <c r="E3313" s="202">
        <v>2.4507117047631866E-2</v>
      </c>
      <c r="U3313" s="204"/>
    </row>
    <row r="3314" spans="1:21" x14ac:dyDescent="0.2">
      <c r="A3314" s="64" t="str">
        <f t="shared" si="52"/>
        <v>1w</v>
      </c>
      <c r="B3314" s="203">
        <f>_xll.qlCalendarAdvance(Calendar,B3313,A3314,"f",FALSE)</f>
        <v>62131</v>
      </c>
      <c r="C3314" s="237">
        <f>_xll.qlCalendarAdvance(Calendar,B3314,NDays&amp;"D")</f>
        <v>62135</v>
      </c>
      <c r="D3314" s="202">
        <v>2.469032503884596E-2</v>
      </c>
      <c r="E3314" s="202">
        <v>2.4509520387159256E-2</v>
      </c>
      <c r="U3314" s="204"/>
    </row>
    <row r="3315" spans="1:21" x14ac:dyDescent="0.2">
      <c r="A3315" s="64" t="str">
        <f t="shared" si="52"/>
        <v>1w</v>
      </c>
      <c r="B3315" s="203">
        <f>_xll.qlCalendarAdvance(Calendar,B3314,A3315,"f",FALSE)</f>
        <v>62138</v>
      </c>
      <c r="C3315" s="237">
        <f>_xll.qlCalendarAdvance(Calendar,B3315,NDays&amp;"D")</f>
        <v>62142</v>
      </c>
      <c r="D3315" s="202">
        <v>2.4692607824514743E-2</v>
      </c>
      <c r="E3315" s="202">
        <v>2.4511913017972731E-2</v>
      </c>
      <c r="U3315" s="204"/>
    </row>
    <row r="3316" spans="1:21" x14ac:dyDescent="0.2">
      <c r="A3316" s="64" t="str">
        <f t="shared" si="52"/>
        <v>1w</v>
      </c>
      <c r="B3316" s="203">
        <f>_xll.qlCalendarAdvance(Calendar,B3315,A3316,"f",FALSE)</f>
        <v>62145</v>
      </c>
      <c r="C3316" s="237">
        <f>_xll.qlCalendarAdvance(Calendar,B3316,NDays&amp;"D")</f>
        <v>62149</v>
      </c>
      <c r="D3316" s="202">
        <v>2.4694879771843356E-2</v>
      </c>
      <c r="E3316" s="202">
        <v>2.451429494007229E-2</v>
      </c>
      <c r="U3316" s="204"/>
    </row>
    <row r="3317" spans="1:21" x14ac:dyDescent="0.2">
      <c r="A3317" s="64" t="str">
        <f t="shared" si="52"/>
        <v>1w</v>
      </c>
      <c r="B3317" s="203">
        <f>_xll.qlCalendarAdvance(Calendar,B3316,A3317,"f",FALSE)</f>
        <v>62152</v>
      </c>
      <c r="C3317" s="237">
        <f>_xll.qlCalendarAdvance(Calendar,B3317,NDays&amp;"D")</f>
        <v>62156</v>
      </c>
      <c r="D3317" s="202">
        <v>2.4700145168119036E-2</v>
      </c>
      <c r="E3317" s="202">
        <v>2.4516666153617805E-2</v>
      </c>
      <c r="U3317" s="204"/>
    </row>
    <row r="3318" spans="1:21" x14ac:dyDescent="0.2">
      <c r="A3318" s="64" t="str">
        <f t="shared" si="52"/>
        <v>1w</v>
      </c>
      <c r="B3318" s="203">
        <f>_xll.qlCalendarAdvance(Calendar,B3317,A3318,"f",FALSE)</f>
        <v>62159</v>
      </c>
      <c r="C3318" s="237">
        <f>_xll.qlCalendarAdvance(Calendar,B3318,NDays&amp;"D")</f>
        <v>62163</v>
      </c>
      <c r="D3318" s="202">
        <v>2.4702393576004563E-2</v>
      </c>
      <c r="E3318" s="202">
        <v>2.4519026658369469E-2</v>
      </c>
      <c r="U3318" s="204"/>
    </row>
    <row r="3319" spans="1:21" x14ac:dyDescent="0.2">
      <c r="A3319" s="64" t="str">
        <f t="shared" si="52"/>
        <v>1w</v>
      </c>
      <c r="B3319" s="203">
        <f>_xll.qlCalendarAdvance(Calendar,B3318,A3319,"f",FALSE)</f>
        <v>62166</v>
      </c>
      <c r="C3319" s="237">
        <f>_xll.qlCalendarAdvance(Calendar,B3319,NDays&amp;"D")</f>
        <v>62170</v>
      </c>
      <c r="D3319" s="202">
        <v>2.4704631143255613E-2</v>
      </c>
      <c r="E3319" s="202">
        <v>2.4521376454327282E-2</v>
      </c>
      <c r="U3319" s="204"/>
    </row>
    <row r="3320" spans="1:21" x14ac:dyDescent="0.2">
      <c r="A3320" s="64" t="str">
        <f t="shared" si="52"/>
        <v>1w</v>
      </c>
      <c r="B3320" s="203">
        <f>_xll.qlCalendarAdvance(Calendar,B3319,A3320,"f",FALSE)</f>
        <v>62173</v>
      </c>
      <c r="C3320" s="237">
        <f>_xll.qlCalendarAdvance(Calendar,B3320,NDays&amp;"D")</f>
        <v>62177</v>
      </c>
      <c r="D3320" s="202">
        <v>2.470685786983743E-2</v>
      </c>
      <c r="E3320" s="202">
        <v>2.452371554173105E-2</v>
      </c>
      <c r="U3320" s="204"/>
    </row>
    <row r="3321" spans="1:21" x14ac:dyDescent="0.2">
      <c r="A3321" s="64" t="str">
        <f t="shared" si="52"/>
        <v>1w</v>
      </c>
      <c r="B3321" s="203">
        <f>_xll.qlCalendarAdvance(Calendar,B3320,A3321,"f",FALSE)</f>
        <v>62184</v>
      </c>
      <c r="C3321" s="237">
        <f>_xll.qlCalendarAdvance(Calendar,B3321,NDays&amp;"D")</f>
        <v>62186</v>
      </c>
      <c r="D3321" s="202">
        <v>2.4708706126016375E-2</v>
      </c>
      <c r="E3321" s="202">
        <v>2.4526707204488574E-2</v>
      </c>
      <c r="U3321" s="204"/>
    </row>
    <row r="3322" spans="1:21" x14ac:dyDescent="0.2">
      <c r="A3322" s="64" t="str">
        <f t="shared" si="52"/>
        <v>1w</v>
      </c>
      <c r="B3322" s="203">
        <f>_xll.qlCalendarAdvance(Calendar,B3321,A3322,"f",FALSE)</f>
        <v>62191</v>
      </c>
      <c r="C3322" s="237">
        <f>_xll.qlCalendarAdvance(Calendar,B3322,NDays&amp;"D")</f>
        <v>62193</v>
      </c>
      <c r="D3322" s="202">
        <v>2.4710908697889021E-2</v>
      </c>
      <c r="E3322" s="202">
        <v>2.4529021814831964E-2</v>
      </c>
      <c r="U3322" s="204"/>
    </row>
    <row r="3323" spans="1:21" x14ac:dyDescent="0.2">
      <c r="A3323" s="64" t="str">
        <f t="shared" si="52"/>
        <v>1w</v>
      </c>
      <c r="B3323" s="203">
        <f>_xll.qlCalendarAdvance(Calendar,B3322,A3323,"f",FALSE)</f>
        <v>62198</v>
      </c>
      <c r="C3323" s="237">
        <f>_xll.qlCalendarAdvance(Calendar,B3323,NDays&amp;"D")</f>
        <v>62200</v>
      </c>
      <c r="D3323" s="202">
        <v>2.4713100429701457E-2</v>
      </c>
      <c r="E3323" s="202">
        <v>2.4531325716621311E-2</v>
      </c>
      <c r="U3323" s="204"/>
    </row>
    <row r="3324" spans="1:21" x14ac:dyDescent="0.2">
      <c r="A3324" s="64" t="str">
        <f t="shared" si="52"/>
        <v>1w</v>
      </c>
      <c r="B3324" s="203">
        <f>_xll.qlCalendarAdvance(Calendar,B3323,A3324,"f",FALSE)</f>
        <v>62205</v>
      </c>
      <c r="C3324" s="237">
        <f>_xll.qlCalendarAdvance(Calendar,B3324,NDays&amp;"D")</f>
        <v>62207</v>
      </c>
      <c r="D3324" s="202">
        <v>2.4715281321418293E-2</v>
      </c>
      <c r="E3324" s="202">
        <v>2.453361890953687E-2</v>
      </c>
      <c r="U3324" s="204"/>
    </row>
    <row r="3325" spans="1:21" x14ac:dyDescent="0.2">
      <c r="A3325" s="64" t="str">
        <f t="shared" si="52"/>
        <v>1w</v>
      </c>
      <c r="B3325" s="203">
        <f>_xll.qlCalendarAdvance(Calendar,B3324,A3325,"f",FALSE)</f>
        <v>62212</v>
      </c>
      <c r="C3325" s="237">
        <f>_xll.qlCalendarAdvance(Calendar,B3325,NDays&amp;"D")</f>
        <v>62215</v>
      </c>
      <c r="D3325" s="202">
        <v>2.4719752797787917E-2</v>
      </c>
      <c r="E3325" s="202">
        <v>2.4538223870269604E-2</v>
      </c>
      <c r="U3325" s="204"/>
    </row>
    <row r="3326" spans="1:21" x14ac:dyDescent="0.2">
      <c r="A3326" s="64" t="str">
        <f t="shared" si="52"/>
        <v>1w</v>
      </c>
      <c r="B3326" s="203">
        <f>_xll.qlCalendarAdvance(Calendar,B3325,A3326,"f",FALSE)</f>
        <v>62219</v>
      </c>
      <c r="C3326" s="237">
        <f>_xll.qlCalendarAdvance(Calendar,B3326,NDays&amp;"D")</f>
        <v>62221</v>
      </c>
      <c r="D3326" s="202">
        <v>2.4722597403214669E-2</v>
      </c>
      <c r="E3326" s="202">
        <v>2.4538173169386113E-2</v>
      </c>
      <c r="U3326" s="204"/>
    </row>
    <row r="3327" spans="1:21" x14ac:dyDescent="0.2">
      <c r="A3327" s="64" t="str">
        <f t="shared" si="52"/>
        <v>1w</v>
      </c>
      <c r="B3327" s="203">
        <f>_xll.qlCalendarAdvance(Calendar,B3326,A3327,"f",FALSE)</f>
        <v>62226</v>
      </c>
      <c r="C3327" s="237">
        <f>_xll.qlCalendarAdvance(Calendar,B3327,NDays&amp;"D")</f>
        <v>62228</v>
      </c>
      <c r="D3327" s="202">
        <v>2.4724743890911501E-2</v>
      </c>
      <c r="E3327" s="202">
        <v>2.4540434236319797E-2</v>
      </c>
      <c r="U3327" s="204"/>
    </row>
    <row r="3328" spans="1:21" x14ac:dyDescent="0.2">
      <c r="A3328" s="64" t="str">
        <f t="shared" si="52"/>
        <v>1w</v>
      </c>
      <c r="B3328" s="203">
        <f>_xll.qlCalendarAdvance(Calendar,B3327,A3328,"f",FALSE)</f>
        <v>62233</v>
      </c>
      <c r="C3328" s="237">
        <f>_xll.qlCalendarAdvance(Calendar,B3328,NDays&amp;"D")</f>
        <v>62235</v>
      </c>
      <c r="D3328" s="202">
        <v>2.4726879536181592E-2</v>
      </c>
      <c r="E3328" s="202">
        <v>2.4542684594379693E-2</v>
      </c>
      <c r="U3328" s="204"/>
    </row>
    <row r="3329" spans="1:21" x14ac:dyDescent="0.2">
      <c r="A3329" s="64" t="str">
        <f t="shared" si="52"/>
        <v>1w</v>
      </c>
      <c r="B3329" s="203">
        <f>_xll.qlCalendarAdvance(Calendar,B3328,A3329,"f",FALSE)</f>
        <v>62240</v>
      </c>
      <c r="C3329" s="237">
        <f>_xll.qlCalendarAdvance(Calendar,B3329,NDays&amp;"D")</f>
        <v>62242</v>
      </c>
      <c r="D3329" s="202">
        <v>2.472602317732361E-2</v>
      </c>
      <c r="E3329" s="202">
        <v>2.4544924243885546E-2</v>
      </c>
      <c r="U3329" s="204"/>
    </row>
    <row r="3330" spans="1:21" x14ac:dyDescent="0.2">
      <c r="A3330" s="64" t="str">
        <f t="shared" si="52"/>
        <v>1w</v>
      </c>
      <c r="B3330" s="203">
        <f>_xll.qlCalendarAdvance(Calendar,B3329,A3330,"f",FALSE)</f>
        <v>62247</v>
      </c>
      <c r="C3330" s="237">
        <f>_xll.qlCalendarAdvance(Calendar,B3330,NDays&amp;"D")</f>
        <v>62249</v>
      </c>
      <c r="D3330" s="202">
        <v>2.4728139027723851E-2</v>
      </c>
      <c r="E3330" s="202">
        <v>2.454715318475742E-2</v>
      </c>
      <c r="U3330" s="204"/>
    </row>
    <row r="3331" spans="1:21" x14ac:dyDescent="0.2">
      <c r="A3331" s="64" t="str">
        <f t="shared" si="52"/>
        <v>1w</v>
      </c>
      <c r="B3331" s="203">
        <f>_xll.qlCalendarAdvance(Calendar,B3330,A3331,"f",FALSE)</f>
        <v>62254</v>
      </c>
      <c r="C3331" s="237">
        <f>_xll.qlCalendarAdvance(Calendar,B3331,NDays&amp;"D")</f>
        <v>62256</v>
      </c>
      <c r="D3331" s="202">
        <v>2.4730244037783008E-2</v>
      </c>
      <c r="E3331" s="202">
        <v>2.4549371416995314E-2</v>
      </c>
      <c r="U3331" s="204"/>
    </row>
    <row r="3332" spans="1:21" x14ac:dyDescent="0.2">
      <c r="A3332" s="64" t="str">
        <f t="shared" si="52"/>
        <v>1w</v>
      </c>
      <c r="B3332" s="203">
        <f>_xll.qlCalendarAdvance(Calendar,B3331,A3332,"f",FALSE)</f>
        <v>62261</v>
      </c>
      <c r="C3332" s="237">
        <f>_xll.qlCalendarAdvance(Calendar,B3332,NDays&amp;"D")</f>
        <v>62263</v>
      </c>
      <c r="D3332" s="202">
        <v>2.4732338207466138E-2</v>
      </c>
      <c r="E3332" s="202">
        <v>2.4551578940279484E-2</v>
      </c>
      <c r="U3332" s="204"/>
    </row>
    <row r="3333" spans="1:21" x14ac:dyDescent="0.2">
      <c r="A3333" s="64" t="str">
        <f t="shared" si="52"/>
        <v>1w</v>
      </c>
      <c r="B3333" s="203">
        <f>_xll.qlCalendarAdvance(Calendar,B3332,A3333,"f",FALSE)</f>
        <v>62268</v>
      </c>
      <c r="C3333" s="237">
        <f>_xll.qlCalendarAdvance(Calendar,B3333,NDays&amp;"D")</f>
        <v>62270</v>
      </c>
      <c r="D3333" s="202">
        <v>2.4737395124900089E-2</v>
      </c>
      <c r="E3333" s="202">
        <v>2.4553775754929674E-2</v>
      </c>
      <c r="U3333" s="204"/>
    </row>
    <row r="3334" spans="1:21" x14ac:dyDescent="0.2">
      <c r="A3334" s="64" t="str">
        <f t="shared" si="52"/>
        <v>1w</v>
      </c>
      <c r="B3334" s="203">
        <f>_xll.qlCalendarAdvance(Calendar,B3333,A3334,"f",FALSE)</f>
        <v>62275</v>
      </c>
      <c r="C3334" s="237">
        <f>_xll.qlCalendarAdvance(Calendar,B3334,NDays&amp;"D")</f>
        <v>62277</v>
      </c>
      <c r="D3334" s="202">
        <v>2.4739465714873118E-2</v>
      </c>
      <c r="E3334" s="202">
        <v>2.4555961861105757E-2</v>
      </c>
      <c r="U3334" s="204"/>
    </row>
    <row r="3335" spans="1:21" x14ac:dyDescent="0.2">
      <c r="A3335" s="64" t="str">
        <f t="shared" ref="A3335:A3398" si="53">A3334</f>
        <v>1w</v>
      </c>
      <c r="B3335" s="203">
        <f>_xll.qlCalendarAdvance(Calendar,B3334,A3335,"f",FALSE)</f>
        <v>62282</v>
      </c>
      <c r="C3335" s="237">
        <f>_xll.qlCalendarAdvance(Calendar,B3335,NDays&amp;"D")</f>
        <v>62284</v>
      </c>
      <c r="D3335" s="202">
        <v>2.4741525462175729E-2</v>
      </c>
      <c r="E3335" s="202">
        <v>2.4558137258487989E-2</v>
      </c>
      <c r="U3335" s="204"/>
    </row>
    <row r="3336" spans="1:21" x14ac:dyDescent="0.2">
      <c r="A3336" s="64" t="str">
        <f t="shared" si="53"/>
        <v>1w</v>
      </c>
      <c r="B3336" s="203">
        <f>_xll.qlCalendarAdvance(Calendar,B3335,A3336,"f",FALSE)</f>
        <v>62289</v>
      </c>
      <c r="C3336" s="237">
        <f>_xll.qlCalendarAdvance(Calendar,B3336,NDays&amp;"D")</f>
        <v>62291</v>
      </c>
      <c r="D3336" s="202">
        <v>2.4743574366772252E-2</v>
      </c>
      <c r="E3336" s="202">
        <v>2.4560301946996432E-2</v>
      </c>
      <c r="U3336" s="204"/>
    </row>
    <row r="3337" spans="1:21" x14ac:dyDescent="0.2">
      <c r="A3337" s="64" t="str">
        <f t="shared" si="53"/>
        <v>1w</v>
      </c>
      <c r="B3337" s="203">
        <f>_xll.qlCalendarAdvance(Calendar,B3336,A3337,"f",FALSE)</f>
        <v>62296</v>
      </c>
      <c r="C3337" s="237">
        <f>_xll.qlCalendarAdvance(Calendar,B3337,NDays&amp;"D")</f>
        <v>62298</v>
      </c>
      <c r="D3337" s="202">
        <v>2.4745612428630024E-2</v>
      </c>
      <c r="E3337" s="202">
        <v>2.4562455926950832E-2</v>
      </c>
      <c r="U3337" s="204"/>
    </row>
    <row r="3338" spans="1:21" x14ac:dyDescent="0.2">
      <c r="A3338" s="64" t="str">
        <f t="shared" si="53"/>
        <v>1w</v>
      </c>
      <c r="B3338" s="203">
        <f>_xll.qlCalendarAdvance(Calendar,B3337,A3338,"f",FALSE)</f>
        <v>62303</v>
      </c>
      <c r="C3338" s="237">
        <f>_xll.qlCalendarAdvance(Calendar,B3338,NDays&amp;"D")</f>
        <v>62305</v>
      </c>
      <c r="D3338" s="202">
        <v>2.4744675575770377E-2</v>
      </c>
      <c r="E3338" s="202">
        <v>2.4564599198271253E-2</v>
      </c>
      <c r="U3338" s="204"/>
    </row>
    <row r="3339" spans="1:21" x14ac:dyDescent="0.2">
      <c r="A3339" s="64" t="str">
        <f t="shared" si="53"/>
        <v>1w</v>
      </c>
      <c r="B3339" s="203">
        <f>_xll.qlCalendarAdvance(Calendar,B3338,A3339,"f",FALSE)</f>
        <v>62310</v>
      </c>
      <c r="C3339" s="237">
        <f>_xll.qlCalendarAdvance(Calendar,B3339,NDays&amp;"D")</f>
        <v>62312</v>
      </c>
      <c r="D3339" s="202">
        <v>2.4749656023994374E-2</v>
      </c>
      <c r="E3339" s="202">
        <v>2.4566731760877758E-2</v>
      </c>
      <c r="U3339" s="204"/>
    </row>
    <row r="3340" spans="1:21" x14ac:dyDescent="0.2">
      <c r="A3340" s="64" t="str">
        <f t="shared" si="53"/>
        <v>1w</v>
      </c>
      <c r="B3340" s="203">
        <f>_xll.qlCalendarAdvance(Calendar,B3339,A3340,"f",FALSE)</f>
        <v>62317</v>
      </c>
      <c r="C3340" s="237">
        <f>_xll.qlCalendarAdvance(Calendar,B3340,NDays&amp;"D")</f>
        <v>62319</v>
      </c>
      <c r="D3340" s="202">
        <v>2.4751661557433052E-2</v>
      </c>
      <c r="E3340" s="202">
        <v>2.4568853614690411E-2</v>
      </c>
      <c r="U3340" s="204"/>
    </row>
    <row r="3341" spans="1:21" x14ac:dyDescent="0.2">
      <c r="A3341" s="64" t="str">
        <f t="shared" si="53"/>
        <v>1w</v>
      </c>
      <c r="B3341" s="203">
        <f>_xll.qlCalendarAdvance(Calendar,B3340,A3341,"f",FALSE)</f>
        <v>62324</v>
      </c>
      <c r="C3341" s="237">
        <f>_xll.qlCalendarAdvance(Calendar,B3341,NDays&amp;"D")</f>
        <v>62326</v>
      </c>
      <c r="D3341" s="202">
        <v>2.4753656247998461E-2</v>
      </c>
      <c r="E3341" s="202">
        <v>2.4570964759789149E-2</v>
      </c>
      <c r="U3341" s="204"/>
    </row>
    <row r="3342" spans="1:21" x14ac:dyDescent="0.2">
      <c r="A3342" s="64" t="str">
        <f t="shared" si="53"/>
        <v>1w</v>
      </c>
      <c r="B3342" s="203">
        <f>_xll.qlCalendarAdvance(Calendar,B3341,A3342,"f",FALSE)</f>
        <v>62331</v>
      </c>
      <c r="C3342" s="237">
        <f>_xll.qlCalendarAdvance(Calendar,B3342,NDays&amp;"D")</f>
        <v>62333</v>
      </c>
      <c r="D3342" s="202">
        <v>2.4752683676194473E-2</v>
      </c>
      <c r="E3342" s="202">
        <v>2.4573065196413779E-2</v>
      </c>
      <c r="U3342" s="204"/>
    </row>
    <row r="3343" spans="1:21" x14ac:dyDescent="0.2">
      <c r="A3343" s="64" t="str">
        <f t="shared" si="53"/>
        <v>1w</v>
      </c>
      <c r="B3343" s="203">
        <f>_xll.qlCalendarAdvance(Calendar,B3342,A3343,"f",FALSE)</f>
        <v>62338</v>
      </c>
      <c r="C3343" s="237">
        <f>_xll.qlCalendarAdvance(Calendar,B3343,NDays&amp;"D")</f>
        <v>62340</v>
      </c>
      <c r="D3343" s="202">
        <v>2.4752688850603118E-2</v>
      </c>
      <c r="E3343" s="202">
        <v>2.4575154924244558E-2</v>
      </c>
      <c r="U3343" s="204"/>
    </row>
    <row r="3344" spans="1:21" x14ac:dyDescent="0.2">
      <c r="A3344" s="64" t="str">
        <f t="shared" si="53"/>
        <v>1w</v>
      </c>
      <c r="B3344" s="203">
        <f>_xll.qlCalendarAdvance(Calendar,B3343,A3344,"f",FALSE)</f>
        <v>62345</v>
      </c>
      <c r="C3344" s="237">
        <f>_xll.qlCalendarAdvance(Calendar,B3344,NDays&amp;"D")</f>
        <v>62347</v>
      </c>
      <c r="D3344" s="202">
        <v>2.4754654213223169E-2</v>
      </c>
      <c r="E3344" s="202">
        <v>2.4577233943281485E-2</v>
      </c>
      <c r="U3344" s="204"/>
    </row>
    <row r="3345" spans="1:21" x14ac:dyDescent="0.2">
      <c r="A3345" s="64" t="str">
        <f t="shared" si="53"/>
        <v>1w</v>
      </c>
      <c r="B3345" s="203">
        <f>_xll.qlCalendarAdvance(Calendar,B3344,A3345,"f",FALSE)</f>
        <v>62352</v>
      </c>
      <c r="C3345" s="237">
        <f>_xll.qlCalendarAdvance(Calendar,B3345,NDays&amp;"D")</f>
        <v>62354</v>
      </c>
      <c r="D3345" s="202">
        <v>2.4756608736501866E-2</v>
      </c>
      <c r="E3345" s="202">
        <v>2.4579302253684432E-2</v>
      </c>
      <c r="U3345" s="204"/>
    </row>
    <row r="3346" spans="1:21" x14ac:dyDescent="0.2">
      <c r="A3346" s="64" t="str">
        <f t="shared" si="53"/>
        <v>1w</v>
      </c>
      <c r="B3346" s="203">
        <f>_xll.qlCalendarAdvance(Calendar,B3345,A3346,"f",FALSE)</f>
        <v>62359</v>
      </c>
      <c r="C3346" s="237">
        <f>_xll.qlCalendarAdvance(Calendar,B3346,NDays&amp;"D")</f>
        <v>62361</v>
      </c>
      <c r="D3346" s="202">
        <v>2.4758552420408728E-2</v>
      </c>
      <c r="E3346" s="202">
        <v>2.45813598554534E-2</v>
      </c>
      <c r="U3346" s="204"/>
    </row>
    <row r="3347" spans="1:21" x14ac:dyDescent="0.2">
      <c r="A3347" s="64" t="str">
        <f t="shared" si="53"/>
        <v>1w</v>
      </c>
      <c r="B3347" s="203">
        <f>_xll.qlCalendarAdvance(Calendar,B3346,A3347,"f",FALSE)</f>
        <v>62366</v>
      </c>
      <c r="C3347" s="237">
        <f>_xll.qlCalendarAdvance(Calendar,B3347,NDays&amp;"D")</f>
        <v>62368</v>
      </c>
      <c r="D3347" s="202">
        <v>2.4761467583202884E-2</v>
      </c>
      <c r="E3347" s="202">
        <v>2.458340674834858E-2</v>
      </c>
      <c r="U3347" s="204"/>
    </row>
    <row r="3348" spans="1:21" x14ac:dyDescent="0.2">
      <c r="A3348" s="64" t="str">
        <f t="shared" si="53"/>
        <v>1w</v>
      </c>
      <c r="B3348" s="203">
        <f>_xll.qlCalendarAdvance(Calendar,B3347,A3348,"f",FALSE)</f>
        <v>62373</v>
      </c>
      <c r="C3348" s="237">
        <f>_xll.qlCalendarAdvance(Calendar,B3348,NDays&amp;"D")</f>
        <v>62375</v>
      </c>
      <c r="D3348" s="202">
        <v>2.4763388945353584E-2</v>
      </c>
      <c r="E3348" s="202">
        <v>2.458544293260978E-2</v>
      </c>
      <c r="U3348" s="204"/>
    </row>
    <row r="3349" spans="1:21" x14ac:dyDescent="0.2">
      <c r="A3349" s="64" t="str">
        <f t="shared" si="53"/>
        <v>1w</v>
      </c>
      <c r="B3349" s="203">
        <f>_xll.qlCalendarAdvance(Calendar,B3348,A3349,"f",FALSE)</f>
        <v>62380</v>
      </c>
      <c r="C3349" s="237">
        <f>_xll.qlCalendarAdvance(Calendar,B3349,NDays&amp;"D")</f>
        <v>62382</v>
      </c>
      <c r="D3349" s="202">
        <v>2.4765299467305654E-2</v>
      </c>
      <c r="E3349" s="202">
        <v>2.4587468408396873E-2</v>
      </c>
      <c r="U3349" s="204"/>
    </row>
    <row r="3350" spans="1:21" x14ac:dyDescent="0.2">
      <c r="A3350" s="64" t="str">
        <f t="shared" si="53"/>
        <v>1w</v>
      </c>
      <c r="B3350" s="203">
        <f>_xll.qlCalendarAdvance(Calendar,B3349,A3350,"f",FALSE)</f>
        <v>62387</v>
      </c>
      <c r="C3350" s="237">
        <f>_xll.qlCalendarAdvance(Calendar,B3350,NDays&amp;"D")</f>
        <v>62389</v>
      </c>
      <c r="D3350" s="202">
        <v>2.4767199149026156E-2</v>
      </c>
      <c r="E3350" s="202">
        <v>2.4589483175230242E-2</v>
      </c>
      <c r="U3350" s="204"/>
    </row>
    <row r="3351" spans="1:21" x14ac:dyDescent="0.2">
      <c r="A3351" s="64" t="str">
        <f t="shared" si="53"/>
        <v>1w</v>
      </c>
      <c r="B3351" s="203">
        <f>_xll.qlCalendarAdvance(Calendar,B3350,A3351,"f",FALSE)</f>
        <v>62394</v>
      </c>
      <c r="C3351" s="237">
        <f>_xll.qlCalendarAdvance(Calendar,B3351,NDays&amp;"D")</f>
        <v>62396</v>
      </c>
      <c r="D3351" s="202">
        <v>2.4769087990484783E-2</v>
      </c>
      <c r="E3351" s="202">
        <v>2.4591487233429632E-2</v>
      </c>
      <c r="U3351" s="204"/>
    </row>
    <row r="3352" spans="1:21" x14ac:dyDescent="0.2">
      <c r="A3352" s="64" t="str">
        <f t="shared" si="53"/>
        <v>1w</v>
      </c>
      <c r="B3352" s="203">
        <f>_xll.qlCalendarAdvance(Calendar,B3351,A3352,"f",FALSE)</f>
        <v>62401</v>
      </c>
      <c r="C3352" s="237">
        <f>_xll.qlCalendarAdvance(Calendar,B3352,NDays&amp;"D")</f>
        <v>62403</v>
      </c>
      <c r="D3352" s="202">
        <v>2.4769986895266077E-2</v>
      </c>
      <c r="E3352" s="202">
        <v>2.4593480582995042E-2</v>
      </c>
      <c r="U3352" s="204"/>
    </row>
    <row r="3353" spans="1:21" x14ac:dyDescent="0.2">
      <c r="A3353" s="64" t="str">
        <f t="shared" si="53"/>
        <v>1w</v>
      </c>
      <c r="B3353" s="203">
        <f>_xll.qlCalendarAdvance(Calendar,B3352,A3353,"f",FALSE)</f>
        <v>62408</v>
      </c>
      <c r="C3353" s="237">
        <f>_xll.qlCalendarAdvance(Calendar,B3353,NDays&amp;"D")</f>
        <v>62410</v>
      </c>
      <c r="D3353" s="202">
        <v>2.4771854702691269E-2</v>
      </c>
      <c r="E3353" s="202">
        <v>2.4595463223846536E-2</v>
      </c>
      <c r="U3353" s="204"/>
    </row>
    <row r="3354" spans="1:21" x14ac:dyDescent="0.2">
      <c r="A3354" s="64" t="str">
        <f t="shared" si="53"/>
        <v>1w</v>
      </c>
      <c r="B3354" s="203">
        <f>_xll.qlCalendarAdvance(Calendar,B3353,A3354,"f",FALSE)</f>
        <v>62415</v>
      </c>
      <c r="C3354" s="237">
        <f>_xll.qlCalendarAdvance(Calendar,B3354,NDays&amp;"D")</f>
        <v>62417</v>
      </c>
      <c r="D3354" s="202">
        <v>2.4773711670498636E-2</v>
      </c>
      <c r="E3354" s="202">
        <v>2.4597435155904179E-2</v>
      </c>
      <c r="U3354" s="204"/>
    </row>
    <row r="3355" spans="1:21" x14ac:dyDescent="0.2">
      <c r="A3355" s="64" t="str">
        <f t="shared" si="53"/>
        <v>1w</v>
      </c>
      <c r="B3355" s="203">
        <f>_xll.qlCalendarAdvance(Calendar,B3354,A3355,"f",FALSE)</f>
        <v>62422</v>
      </c>
      <c r="C3355" s="237">
        <f>_xll.qlCalendarAdvance(Calendar,B3355,NDays&amp;"D")</f>
        <v>62424</v>
      </c>
      <c r="D3355" s="202">
        <v>2.4775557798655503E-2</v>
      </c>
      <c r="E3355" s="202">
        <v>2.4599396379407779E-2</v>
      </c>
      <c r="U3355" s="204"/>
    </row>
    <row r="3356" spans="1:21" x14ac:dyDescent="0.2">
      <c r="A3356" s="64" t="str">
        <f t="shared" si="53"/>
        <v>1w</v>
      </c>
      <c r="B3356" s="203">
        <f>_xll.qlCalendarAdvance(Calendar,B3355,A3356,"f",FALSE)</f>
        <v>62429</v>
      </c>
      <c r="C3356" s="237">
        <f>_xll.qlCalendarAdvance(Calendar,B3356,NDays&amp;"D")</f>
        <v>62431</v>
      </c>
      <c r="D3356" s="202">
        <v>2.4778369592788219E-2</v>
      </c>
      <c r="E3356" s="202">
        <v>2.460134689403759E-2</v>
      </c>
      <c r="U3356" s="204"/>
    </row>
    <row r="3357" spans="1:21" x14ac:dyDescent="0.2">
      <c r="A3357" s="64" t="str">
        <f t="shared" si="53"/>
        <v>1w</v>
      </c>
      <c r="B3357" s="203">
        <f>_xll.qlCalendarAdvance(Calendar,B3356,A3357,"f",FALSE)</f>
        <v>62436</v>
      </c>
      <c r="C3357" s="237">
        <f>_xll.qlCalendarAdvance(Calendar,B3357,NDays&amp;"D")</f>
        <v>62438</v>
      </c>
      <c r="D3357" s="202">
        <v>2.4780193392039622E-2</v>
      </c>
      <c r="E3357" s="202">
        <v>2.4603286700193294E-2</v>
      </c>
      <c r="U3357" s="204"/>
    </row>
    <row r="3358" spans="1:21" x14ac:dyDescent="0.2">
      <c r="A3358" s="64" t="str">
        <f t="shared" si="53"/>
        <v>1w</v>
      </c>
      <c r="B3358" s="203">
        <f>_xll.qlCalendarAdvance(Calendar,B3357,A3358,"f",FALSE)</f>
        <v>62443</v>
      </c>
      <c r="C3358" s="237">
        <f>_xll.qlCalendarAdvance(Calendar,B3358,NDays&amp;"D")</f>
        <v>62445</v>
      </c>
      <c r="D3358" s="202">
        <v>2.4782006350817887E-2</v>
      </c>
      <c r="E3358" s="202">
        <v>2.4605215797395275E-2</v>
      </c>
      <c r="U3358" s="204"/>
    </row>
    <row r="3359" spans="1:21" x14ac:dyDescent="0.2">
      <c r="A3359" s="64" t="str">
        <f t="shared" si="53"/>
        <v>1w</v>
      </c>
      <c r="B3359" s="203">
        <f>_xll.qlCalendarAdvance(Calendar,B3358,A3359,"f",FALSE)</f>
        <v>62450</v>
      </c>
      <c r="C3359" s="237">
        <f>_xll.qlCalendarAdvance(Calendar,B3359,NDays&amp;"D")</f>
        <v>62456</v>
      </c>
      <c r="D3359" s="202">
        <v>2.478483338379088E-2</v>
      </c>
      <c r="E3359" s="202">
        <v>2.460822560020226E-2</v>
      </c>
      <c r="U3359" s="204"/>
    </row>
    <row r="3360" spans="1:21" x14ac:dyDescent="0.2">
      <c r="A3360" s="64" t="str">
        <f t="shared" si="53"/>
        <v>1w</v>
      </c>
      <c r="B3360" s="203">
        <f>_xll.qlCalendarAdvance(Calendar,B3359,A3360,"f",FALSE)</f>
        <v>62457</v>
      </c>
      <c r="C3360" s="237">
        <f>_xll.qlCalendarAdvance(Calendar,B3360,NDays&amp;"D")</f>
        <v>62460</v>
      </c>
      <c r="D3360" s="202">
        <v>2.4784880948707701E-2</v>
      </c>
      <c r="E3360" s="202">
        <v>2.4611267226246625E-2</v>
      </c>
      <c r="U3360" s="204"/>
    </row>
    <row r="3361" spans="1:21" x14ac:dyDescent="0.2">
      <c r="A3361" s="64" t="str">
        <f t="shared" si="53"/>
        <v>1w</v>
      </c>
      <c r="B3361" s="203">
        <f>_xll.qlCalendarAdvance(Calendar,B3360,A3361,"f",FALSE)</f>
        <v>62464</v>
      </c>
      <c r="C3361" s="237">
        <f>_xll.qlCalendarAdvance(Calendar,B3361,NDays&amp;"D")</f>
        <v>62466</v>
      </c>
      <c r="D3361" s="202">
        <v>2.4786406933309583E-2</v>
      </c>
      <c r="E3361" s="202">
        <v>2.4610938837277274E-2</v>
      </c>
      <c r="U3361" s="204"/>
    </row>
    <row r="3362" spans="1:21" x14ac:dyDescent="0.2">
      <c r="A3362" s="64" t="str">
        <f t="shared" si="53"/>
        <v>1w</v>
      </c>
      <c r="B3362" s="203">
        <f>_xll.qlCalendarAdvance(Calendar,B3361,A3362,"f",FALSE)</f>
        <v>62471</v>
      </c>
      <c r="C3362" s="237">
        <f>_xll.qlCalendarAdvance(Calendar,B3362,NDays&amp;"D")</f>
        <v>62473</v>
      </c>
      <c r="D3362" s="202">
        <v>2.4788177183097226E-2</v>
      </c>
      <c r="E3362" s="202">
        <v>2.46128250998634E-2</v>
      </c>
      <c r="U3362" s="204"/>
    </row>
    <row r="3363" spans="1:21" x14ac:dyDescent="0.2">
      <c r="A3363" s="64" t="str">
        <f t="shared" si="53"/>
        <v>1w</v>
      </c>
      <c r="B3363" s="203">
        <f>_xll.qlCalendarAdvance(Calendar,B3362,A3363,"f",FALSE)</f>
        <v>62478</v>
      </c>
      <c r="C3363" s="237">
        <f>_xll.qlCalendarAdvance(Calendar,B3363,NDays&amp;"D")</f>
        <v>62480</v>
      </c>
      <c r="D3363" s="202">
        <v>2.4789936593002507E-2</v>
      </c>
      <c r="E3363" s="202">
        <v>2.4614700653735611E-2</v>
      </c>
      <c r="U3363" s="204"/>
    </row>
    <row r="3364" spans="1:21" x14ac:dyDescent="0.2">
      <c r="A3364" s="64" t="str">
        <f t="shared" si="53"/>
        <v>1w</v>
      </c>
      <c r="B3364" s="203">
        <f>_xll.qlCalendarAdvance(Calendar,B3363,A3364,"f",FALSE)</f>
        <v>62485</v>
      </c>
      <c r="C3364" s="237">
        <f>_xll.qlCalendarAdvance(Calendar,B3364,NDays&amp;"D")</f>
        <v>62487</v>
      </c>
      <c r="D3364" s="202">
        <v>2.4791685162996277E-2</v>
      </c>
      <c r="E3364" s="202">
        <v>2.4616565498893905E-2</v>
      </c>
      <c r="U3364" s="204"/>
    </row>
    <row r="3365" spans="1:21" x14ac:dyDescent="0.2">
      <c r="A3365" s="64" t="str">
        <f t="shared" si="53"/>
        <v>1w</v>
      </c>
      <c r="B3365" s="203">
        <f>_xll.qlCalendarAdvance(Calendar,B3364,A3365,"f",FALSE)</f>
        <v>62492</v>
      </c>
      <c r="C3365" s="237">
        <f>_xll.qlCalendarAdvance(Calendar,B3365,NDays&amp;"D")</f>
        <v>62494</v>
      </c>
      <c r="D3365" s="202">
        <v>2.4793422893050716E-2</v>
      </c>
      <c r="E3365" s="202">
        <v>2.4618419635258348E-2</v>
      </c>
      <c r="U3365" s="204"/>
    </row>
    <row r="3366" spans="1:21" x14ac:dyDescent="0.2">
      <c r="A3366" s="64" t="str">
        <f t="shared" si="53"/>
        <v>1w</v>
      </c>
      <c r="B3366" s="203">
        <f>_xll.qlCalendarAdvance(Calendar,B3365,A3366,"f",FALSE)</f>
        <v>62499</v>
      </c>
      <c r="C3366" s="237">
        <f>_xll.qlCalendarAdvance(Calendar,B3366,NDays&amp;"D")</f>
        <v>62501</v>
      </c>
      <c r="D3366" s="202">
        <v>2.4795149783137994E-2</v>
      </c>
      <c r="E3366" s="202">
        <v>2.4620263063068748E-2</v>
      </c>
      <c r="U3366" s="204"/>
    </row>
    <row r="3367" spans="1:21" x14ac:dyDescent="0.2">
      <c r="A3367" s="64" t="str">
        <f t="shared" si="53"/>
        <v>1w</v>
      </c>
      <c r="B3367" s="203">
        <f>_xll.qlCalendarAdvance(Calendar,B3366,A3367,"f",FALSE)</f>
        <v>62506</v>
      </c>
      <c r="C3367" s="237">
        <f>_xll.qlCalendarAdvance(Calendar,B3367,NDays&amp;"D")</f>
        <v>62508</v>
      </c>
      <c r="D3367" s="202">
        <v>2.4796865833229414E-2</v>
      </c>
      <c r="E3367" s="202">
        <v>2.4622095782085296E-2</v>
      </c>
      <c r="U3367" s="204"/>
    </row>
    <row r="3368" spans="1:21" x14ac:dyDescent="0.2">
      <c r="A3368" s="64" t="str">
        <f t="shared" si="53"/>
        <v>1w</v>
      </c>
      <c r="B3368" s="203">
        <f>_xll.qlCalendarAdvance(Calendar,B3367,A3368,"f",FALSE)</f>
        <v>62513</v>
      </c>
      <c r="C3368" s="237">
        <f>_xll.qlCalendarAdvance(Calendar,B3368,NDays&amp;"D")</f>
        <v>62515</v>
      </c>
      <c r="D3368" s="202">
        <v>2.4798571043296708E-2</v>
      </c>
      <c r="E3368" s="202">
        <v>2.4623917792467864E-2</v>
      </c>
      <c r="U3368" s="204"/>
    </row>
    <row r="3369" spans="1:21" x14ac:dyDescent="0.2">
      <c r="A3369" s="64" t="str">
        <f t="shared" si="53"/>
        <v>1w</v>
      </c>
      <c r="B3369" s="203">
        <f>_xll.qlCalendarAdvance(Calendar,B3368,A3369,"f",FALSE)</f>
        <v>62520</v>
      </c>
      <c r="C3369" s="237">
        <f>_xll.qlCalendarAdvance(Calendar,B3369,NDays&amp;"D")</f>
        <v>62522</v>
      </c>
      <c r="D3369" s="202">
        <v>2.4805105247821497E-2</v>
      </c>
      <c r="E3369" s="202">
        <v>2.4625729093976645E-2</v>
      </c>
      <c r="U3369" s="204"/>
    </row>
    <row r="3370" spans="1:21" x14ac:dyDescent="0.2">
      <c r="A3370" s="64" t="str">
        <f t="shared" si="53"/>
        <v>1w</v>
      </c>
      <c r="B3370" s="203">
        <f>_xll.qlCalendarAdvance(Calendar,B3369,A3370,"f",FALSE)</f>
        <v>62527</v>
      </c>
      <c r="C3370" s="237">
        <f>_xll.qlCalendarAdvance(Calendar,B3370,NDays&amp;"D")</f>
        <v>62529</v>
      </c>
      <c r="D3370" s="202">
        <v>2.4806785481393989E-2</v>
      </c>
      <c r="E3370" s="202">
        <v>2.462752968717119E-2</v>
      </c>
      <c r="U3370" s="204"/>
    </row>
    <row r="3371" spans="1:21" x14ac:dyDescent="0.2">
      <c r="A3371" s="64" t="str">
        <f t="shared" si="53"/>
        <v>1w</v>
      </c>
      <c r="B3371" s="203">
        <f>_xll.qlCalendarAdvance(Calendar,B3370,A3371,"f",FALSE)</f>
        <v>62534</v>
      </c>
      <c r="C3371" s="237">
        <f>_xll.qlCalendarAdvance(Calendar,B3371,NDays&amp;"D")</f>
        <v>62536</v>
      </c>
      <c r="D3371" s="202">
        <v>2.4808454871176958E-2</v>
      </c>
      <c r="E3371" s="202">
        <v>2.462931957125214E-2</v>
      </c>
      <c r="U3371" s="204"/>
    </row>
    <row r="3372" spans="1:21" x14ac:dyDescent="0.2">
      <c r="A3372" s="64" t="str">
        <f t="shared" si="53"/>
        <v>1w</v>
      </c>
      <c r="B3372" s="203">
        <f>_xll.qlCalendarAdvance(Calendar,B3371,A3372,"f",FALSE)</f>
        <v>62541</v>
      </c>
      <c r="C3372" s="237">
        <f>_xll.qlCalendarAdvance(Calendar,B3372,NDays&amp;"D")</f>
        <v>62543</v>
      </c>
      <c r="D3372" s="202">
        <v>2.4810113417144619E-2</v>
      </c>
      <c r="E3372" s="202">
        <v>2.4631098746938918E-2</v>
      </c>
      <c r="U3372" s="204"/>
    </row>
    <row r="3373" spans="1:21" x14ac:dyDescent="0.2">
      <c r="A3373" s="64" t="str">
        <f t="shared" si="53"/>
        <v>1w</v>
      </c>
      <c r="B3373" s="203">
        <f>_xll.qlCalendarAdvance(Calendar,B3372,A3373,"f",FALSE)</f>
        <v>62548</v>
      </c>
      <c r="C3373" s="237">
        <f>_xll.qlCalendarAdvance(Calendar,B3373,NDays&amp;"D")</f>
        <v>62550</v>
      </c>
      <c r="D3373" s="202">
        <v>2.4808865200797701E-2</v>
      </c>
      <c r="E3373" s="202">
        <v>2.4632867213592036E-2</v>
      </c>
      <c r="U3373" s="204"/>
    </row>
    <row r="3374" spans="1:21" x14ac:dyDescent="0.2">
      <c r="A3374" s="64" t="str">
        <f t="shared" si="53"/>
        <v>1w</v>
      </c>
      <c r="B3374" s="203">
        <f>_xll.qlCalendarAdvance(Calendar,B3373,A3374,"f",FALSE)</f>
        <v>62555</v>
      </c>
      <c r="C3374" s="237">
        <f>_xll.qlCalendarAdvance(Calendar,B3374,NDays&amp;"D")</f>
        <v>62557</v>
      </c>
      <c r="D3374" s="202">
        <v>2.4810504046005873E-2</v>
      </c>
      <c r="E3374" s="202">
        <v>2.4634624971850982E-2</v>
      </c>
      <c r="U3374" s="204"/>
    </row>
    <row r="3375" spans="1:21" x14ac:dyDescent="0.2">
      <c r="A3375" s="64" t="str">
        <f t="shared" si="53"/>
        <v>1w</v>
      </c>
      <c r="B3375" s="203">
        <f>_xll.qlCalendarAdvance(Calendar,B3374,A3375,"f",FALSE)</f>
        <v>62562</v>
      </c>
      <c r="C3375" s="237">
        <f>_xll.qlCalendarAdvance(Calendar,B3375,NDays&amp;"D")</f>
        <v>62564</v>
      </c>
      <c r="D3375" s="202">
        <v>2.4812132049528028E-2</v>
      </c>
      <c r="E3375" s="202">
        <v>2.4640241308654609E-2</v>
      </c>
      <c r="U3375" s="204"/>
    </row>
    <row r="3376" spans="1:21" x14ac:dyDescent="0.2">
      <c r="A3376" s="64" t="str">
        <f t="shared" si="53"/>
        <v>1w</v>
      </c>
      <c r="B3376" s="203">
        <f>_xll.qlCalendarAdvance(Calendar,B3375,A3376,"f",FALSE)</f>
        <v>62569</v>
      </c>
      <c r="C3376" s="237">
        <f>_xll.qlCalendarAdvance(Calendar,B3376,NDays&amp;"D")</f>
        <v>62571</v>
      </c>
      <c r="D3376" s="202">
        <v>2.4813749211336208E-2</v>
      </c>
      <c r="E3376" s="202">
        <v>2.4638108361907385E-2</v>
      </c>
      <c r="U3376" s="204"/>
    </row>
    <row r="3377" spans="1:21" x14ac:dyDescent="0.2">
      <c r="A3377" s="64" t="str">
        <f t="shared" si="53"/>
        <v>1w</v>
      </c>
      <c r="B3377" s="203">
        <f>_xll.qlCalendarAdvance(Calendar,B3376,A3377,"f",FALSE)</f>
        <v>62576</v>
      </c>
      <c r="C3377" s="237">
        <f>_xll.qlCalendarAdvance(Calendar,B3377,NDays&amp;"D")</f>
        <v>62578</v>
      </c>
      <c r="D3377" s="202">
        <v>2.4815355531406829E-2</v>
      </c>
      <c r="E3377" s="202">
        <v>2.4642732106154863E-2</v>
      </c>
      <c r="U3377" s="204"/>
    </row>
    <row r="3378" spans="1:21" x14ac:dyDescent="0.2">
      <c r="A3378" s="64" t="str">
        <f t="shared" si="53"/>
        <v>1w</v>
      </c>
      <c r="B3378" s="203">
        <f>_xll.qlCalendarAdvance(Calendar,B3377,A3378,"f",FALSE)</f>
        <v>62583</v>
      </c>
      <c r="C3378" s="237">
        <f>_xll.qlCalendarAdvance(Calendar,B3378,NDays&amp;"D")</f>
        <v>62585</v>
      </c>
      <c r="D3378" s="202">
        <v>2.4819836971288412E-2</v>
      </c>
      <c r="E3378" s="202">
        <v>2.4641548917507805E-2</v>
      </c>
      <c r="U3378" s="204"/>
    </row>
    <row r="3379" spans="1:21" x14ac:dyDescent="0.2">
      <c r="A3379" s="64" t="str">
        <f t="shared" si="53"/>
        <v>1w</v>
      </c>
      <c r="B3379" s="203">
        <f>_xll.qlCalendarAdvance(Calendar,B3378,A3379,"f",FALSE)</f>
        <v>62590</v>
      </c>
      <c r="C3379" s="237">
        <f>_xll.qlCalendarAdvance(Calendar,B3379,NDays&amp;"D")</f>
        <v>62592</v>
      </c>
      <c r="D3379" s="202">
        <v>2.482141960978437E-2</v>
      </c>
      <c r="E3379" s="202">
        <v>2.4643253132037302E-2</v>
      </c>
      <c r="U3379" s="204"/>
    </row>
    <row r="3380" spans="1:21" x14ac:dyDescent="0.2">
      <c r="A3380" s="64" t="str">
        <f t="shared" si="53"/>
        <v>1w</v>
      </c>
      <c r="B3380" s="203">
        <f>_xll.qlCalendarAdvance(Calendar,B3379,A3380,"f",FALSE)</f>
        <v>62597</v>
      </c>
      <c r="C3380" s="237">
        <f>_xll.qlCalendarAdvance(Calendar,B3380,NDays&amp;"D")</f>
        <v>62599</v>
      </c>
      <c r="D3380" s="202">
        <v>2.4822991404249702E-2</v>
      </c>
      <c r="E3380" s="202">
        <v>2.4644946637932819E-2</v>
      </c>
      <c r="U3380" s="204"/>
    </row>
    <row r="3381" spans="1:21" x14ac:dyDescent="0.2">
      <c r="A3381" s="64" t="str">
        <f t="shared" si="53"/>
        <v>1w</v>
      </c>
      <c r="B3381" s="203">
        <f>_xll.qlCalendarAdvance(Calendar,B3380,A3381,"f",FALSE)</f>
        <v>62604</v>
      </c>
      <c r="C3381" s="237">
        <f>_xll.qlCalendarAdvance(Calendar,B3381,NDays&amp;"D")</f>
        <v>62606</v>
      </c>
      <c r="D3381" s="202">
        <v>2.4824552354657775E-2</v>
      </c>
      <c r="E3381" s="202">
        <v>2.4646629435274292E-2</v>
      </c>
      <c r="U3381" s="204"/>
    </row>
    <row r="3382" spans="1:21" x14ac:dyDescent="0.2">
      <c r="A3382" s="64" t="str">
        <f t="shared" si="53"/>
        <v>1w</v>
      </c>
      <c r="B3382" s="203">
        <f>_xll.qlCalendarAdvance(Calendar,B3381,A3382,"f",FALSE)</f>
        <v>62611</v>
      </c>
      <c r="C3382" s="237">
        <f>_xll.qlCalendarAdvance(Calendar,B3382,NDays&amp;"D")</f>
        <v>62613</v>
      </c>
      <c r="D3382" s="202">
        <v>2.4823224504753851E-2</v>
      </c>
      <c r="E3382" s="202">
        <v>2.4648301523741978E-2</v>
      </c>
      <c r="U3382" s="204"/>
    </row>
    <row r="3383" spans="1:21" x14ac:dyDescent="0.2">
      <c r="A3383" s="64" t="str">
        <f t="shared" si="53"/>
        <v>1w</v>
      </c>
      <c r="B3383" s="203">
        <f>_xll.qlCalendarAdvance(Calendar,B3382,A3383,"f",FALSE)</f>
        <v>62618</v>
      </c>
      <c r="C3383" s="237">
        <f>_xll.qlCalendarAdvance(Calendar,B3383,NDays&amp;"D")</f>
        <v>62620</v>
      </c>
      <c r="D3383" s="202">
        <v>2.4824765773843474E-2</v>
      </c>
      <c r="E3383" s="202">
        <v>2.464996290365562E-2</v>
      </c>
      <c r="U3383" s="204"/>
    </row>
    <row r="3384" spans="1:21" x14ac:dyDescent="0.2">
      <c r="A3384" s="64" t="str">
        <f t="shared" si="53"/>
        <v>1w</v>
      </c>
      <c r="B3384" s="203">
        <f>_xll.qlCalendarAdvance(Calendar,B3383,A3384,"f",FALSE)</f>
        <v>62625</v>
      </c>
      <c r="C3384" s="237">
        <f>_xll.qlCalendarAdvance(Calendar,B3384,NDays&amp;"D")</f>
        <v>62627</v>
      </c>
      <c r="D3384" s="202">
        <v>2.4826296201012951E-2</v>
      </c>
      <c r="E3384" s="202">
        <v>2.4651613574615538E-2</v>
      </c>
      <c r="U3384" s="204"/>
    </row>
    <row r="3385" spans="1:21" x14ac:dyDescent="0.2">
      <c r="A3385" s="64" t="str">
        <f t="shared" si="53"/>
        <v>1w</v>
      </c>
      <c r="B3385" s="203">
        <f>_xll.qlCalendarAdvance(Calendar,B3384,A3385,"f",FALSE)</f>
        <v>62632</v>
      </c>
      <c r="C3385" s="237">
        <f>_xll.qlCalendarAdvance(Calendar,B3385,NDays&amp;"D")</f>
        <v>62634</v>
      </c>
      <c r="D3385" s="202">
        <v>2.4830687715203838E-2</v>
      </c>
      <c r="E3385" s="202">
        <v>2.4653253537181286E-2</v>
      </c>
      <c r="U3385" s="204"/>
    </row>
    <row r="3386" spans="1:21" x14ac:dyDescent="0.2">
      <c r="A3386" s="64" t="str">
        <f t="shared" si="53"/>
        <v>1w</v>
      </c>
      <c r="B3386" s="203">
        <f>_xll.qlCalendarAdvance(Calendar,B3385,A3386,"f",FALSE)</f>
        <v>62639</v>
      </c>
      <c r="C3386" s="237">
        <f>_xll.qlCalendarAdvance(Calendar,B3386,NDays&amp;"D")</f>
        <v>62641</v>
      </c>
      <c r="D3386" s="202">
        <v>2.4832194444941374E-2</v>
      </c>
      <c r="E3386" s="202">
        <v>2.4654882790873245E-2</v>
      </c>
      <c r="U3386" s="204"/>
    </row>
    <row r="3387" spans="1:21" x14ac:dyDescent="0.2">
      <c r="A3387" s="64" t="str">
        <f t="shared" si="53"/>
        <v>1w</v>
      </c>
      <c r="B3387" s="203">
        <f>_xll.qlCalendarAdvance(Calendar,B3386,A3387,"f",FALSE)</f>
        <v>62646</v>
      </c>
      <c r="C3387" s="237">
        <f>_xll.qlCalendarAdvance(Calendar,B3387,NDays&amp;"D")</f>
        <v>62648</v>
      </c>
      <c r="D3387" s="202">
        <v>2.4833690330468648E-2</v>
      </c>
      <c r="E3387" s="202">
        <v>2.4656501335931225E-2</v>
      </c>
      <c r="U3387" s="204"/>
    </row>
    <row r="3388" spans="1:21" x14ac:dyDescent="0.2">
      <c r="A3388" s="64" t="str">
        <f t="shared" si="53"/>
        <v>1w</v>
      </c>
      <c r="B3388" s="203">
        <f>_xll.qlCalendarAdvance(Calendar,B3387,A3388,"f",FALSE)</f>
        <v>62653</v>
      </c>
      <c r="C3388" s="237">
        <f>_xll.qlCalendarAdvance(Calendar,B3388,NDays&amp;"D")</f>
        <v>62655</v>
      </c>
      <c r="D3388" s="202">
        <v>2.4835175371762885E-2</v>
      </c>
      <c r="E3388" s="202">
        <v>2.4658109172195353E-2</v>
      </c>
      <c r="U3388" s="204"/>
    </row>
    <row r="3389" spans="1:21" x14ac:dyDescent="0.2">
      <c r="A3389" s="64" t="str">
        <f t="shared" si="53"/>
        <v>1w</v>
      </c>
      <c r="B3389" s="203">
        <f>_xll.qlCalendarAdvance(Calendar,B3388,A3389,"f",FALSE)</f>
        <v>62660</v>
      </c>
      <c r="C3389" s="237">
        <f>_xll.qlCalendarAdvance(Calendar,B3389,NDays&amp;"D")</f>
        <v>62662</v>
      </c>
      <c r="D3389" s="202">
        <v>2.4836649568797008E-2</v>
      </c>
      <c r="E3389" s="202">
        <v>2.4659706299825501E-2</v>
      </c>
      <c r="U3389" s="204"/>
    </row>
    <row r="3390" spans="1:21" x14ac:dyDescent="0.2">
      <c r="A3390" s="64" t="str">
        <f t="shared" si="53"/>
        <v>1w</v>
      </c>
      <c r="B3390" s="203">
        <f>_xll.qlCalendarAdvance(Calendar,B3389,A3390,"f",FALSE)</f>
        <v>62667</v>
      </c>
      <c r="C3390" s="237">
        <f>_xll.qlCalendarAdvance(Calendar,B3390,NDays&amp;"D")</f>
        <v>62669</v>
      </c>
      <c r="D3390" s="202">
        <v>2.4835251082344269E-2</v>
      </c>
      <c r="E3390" s="202">
        <v>2.4661292718661798E-2</v>
      </c>
      <c r="U3390" s="204"/>
    </row>
    <row r="3391" spans="1:21" x14ac:dyDescent="0.2">
      <c r="A3391" s="64" t="str">
        <f t="shared" si="53"/>
        <v>1w</v>
      </c>
      <c r="B3391" s="203">
        <f>_xll.qlCalendarAdvance(Calendar,B3390,A3391,"f",FALSE)</f>
        <v>62674</v>
      </c>
      <c r="C3391" s="237">
        <f>_xll.qlCalendarAdvance(Calendar,B3391,NDays&amp;"D")</f>
        <v>62676</v>
      </c>
      <c r="D3391" s="202">
        <v>2.4839565429988216E-2</v>
      </c>
      <c r="E3391" s="202">
        <v>2.4662868428944051E-2</v>
      </c>
      <c r="U3391" s="204"/>
    </row>
    <row r="3392" spans="1:21" x14ac:dyDescent="0.2">
      <c r="A3392" s="64" t="str">
        <f t="shared" si="53"/>
        <v>1w</v>
      </c>
      <c r="B3392" s="203">
        <f>_xll.qlCalendarAdvance(Calendar,B3391,A3392,"f",FALSE)</f>
        <v>62681</v>
      </c>
      <c r="C3392" s="237">
        <f>_xll.qlCalendarAdvance(Calendar,B3392,NDays&amp;"D")</f>
        <v>62683</v>
      </c>
      <c r="D3392" s="202">
        <v>2.484100709409889E-2</v>
      </c>
      <c r="E3392" s="202">
        <v>2.4664433430512389E-2</v>
      </c>
      <c r="U3392" s="204"/>
    </row>
    <row r="3393" spans="1:21" x14ac:dyDescent="0.2">
      <c r="A3393" s="64" t="str">
        <f t="shared" si="53"/>
        <v>1w</v>
      </c>
      <c r="B3393" s="203">
        <f>_xll.qlCalendarAdvance(Calendar,B3392,A3393,"f",FALSE)</f>
        <v>62688</v>
      </c>
      <c r="C3393" s="237">
        <f>_xll.qlCalendarAdvance(Calendar,B3393,NDays&amp;"D")</f>
        <v>62690</v>
      </c>
      <c r="D3393" s="202">
        <v>2.4842437913853179E-2</v>
      </c>
      <c r="E3393" s="202">
        <v>2.4665987723366811E-2</v>
      </c>
      <c r="U3393" s="204"/>
    </row>
    <row r="3394" spans="1:21" x14ac:dyDescent="0.2">
      <c r="A3394" s="64" t="str">
        <f t="shared" si="53"/>
        <v>1w</v>
      </c>
      <c r="B3394" s="203">
        <f>_xll.qlCalendarAdvance(Calendar,B3393,A3394,"f",FALSE)</f>
        <v>62695</v>
      </c>
      <c r="C3394" s="237">
        <f>_xll.qlCalendarAdvance(Calendar,B3394,NDays&amp;"D")</f>
        <v>62697</v>
      </c>
      <c r="D3394" s="202">
        <v>2.4843857889226162E-2</v>
      </c>
      <c r="E3394" s="202">
        <v>2.466753130726751E-2</v>
      </c>
      <c r="U3394" s="204"/>
    </row>
    <row r="3395" spans="1:21" x14ac:dyDescent="0.2">
      <c r="A3395" s="64" t="str">
        <f t="shared" si="53"/>
        <v>1w</v>
      </c>
      <c r="B3395" s="203">
        <f>_xll.qlCalendarAdvance(Calendar,B3394,A3395,"f",FALSE)</f>
        <v>62702</v>
      </c>
      <c r="C3395" s="237">
        <f>_xll.qlCalendarAdvance(Calendar,B3395,NDays&amp;"D")</f>
        <v>62704</v>
      </c>
      <c r="D3395" s="202">
        <v>2.4841464718742035E-2</v>
      </c>
      <c r="E3395" s="202">
        <v>2.4669064182774036E-2</v>
      </c>
      <c r="U3395" s="204"/>
    </row>
    <row r="3396" spans="1:21" x14ac:dyDescent="0.2">
      <c r="A3396" s="64" t="str">
        <f t="shared" si="53"/>
        <v>1w</v>
      </c>
      <c r="B3396" s="203">
        <f>_xll.qlCalendarAdvance(Calendar,B3395,A3396,"f",FALSE)</f>
        <v>62709</v>
      </c>
      <c r="C3396" s="237">
        <f>_xll.qlCalendarAdvance(Calendar,B3396,NDays&amp;"D")</f>
        <v>62711</v>
      </c>
      <c r="D3396" s="202">
        <v>2.4842865719351626E-2</v>
      </c>
      <c r="E3396" s="202">
        <v>2.4670586349486712E-2</v>
      </c>
      <c r="U3396" s="204"/>
    </row>
    <row r="3397" spans="1:21" x14ac:dyDescent="0.2">
      <c r="A3397" s="64" t="str">
        <f t="shared" si="53"/>
        <v>1w</v>
      </c>
      <c r="B3397" s="203">
        <f>_xll.qlCalendarAdvance(Calendar,B3396,A3397,"f",FALSE)</f>
        <v>62716</v>
      </c>
      <c r="C3397" s="237">
        <f>_xll.qlCalendarAdvance(Calendar,B3397,NDays&amp;"D")</f>
        <v>62718</v>
      </c>
      <c r="D3397" s="202">
        <v>2.4844255878470875E-2</v>
      </c>
      <c r="E3397" s="202">
        <v>2.4672097807565407E-2</v>
      </c>
      <c r="U3397" s="204"/>
    </row>
    <row r="3398" spans="1:21" x14ac:dyDescent="0.2">
      <c r="A3398" s="64" t="str">
        <f t="shared" si="53"/>
        <v>1w</v>
      </c>
      <c r="B3398" s="203">
        <f>_xll.qlCalendarAdvance(Calendar,B3397,A3398,"f",FALSE)</f>
        <v>62723</v>
      </c>
      <c r="C3398" s="237">
        <f>_xll.qlCalendarAdvance(Calendar,B3398,NDays&amp;"D")</f>
        <v>62725</v>
      </c>
      <c r="D3398" s="202">
        <v>2.4845635196076063E-2</v>
      </c>
      <c r="E3398" s="202">
        <v>2.4673598556690379E-2</v>
      </c>
      <c r="U3398" s="204"/>
    </row>
    <row r="3399" spans="1:21" x14ac:dyDescent="0.2">
      <c r="A3399" s="64" t="str">
        <f t="shared" ref="A3399:A3462" si="54">A3398</f>
        <v>1w</v>
      </c>
      <c r="B3399" s="203">
        <f>_xll.qlCalendarAdvance(Calendar,B3398,A3399,"f",FALSE)</f>
        <v>62730</v>
      </c>
      <c r="C3399" s="237">
        <f>_xll.qlCalendarAdvance(Calendar,B3399,NDays&amp;"D")</f>
        <v>62732</v>
      </c>
      <c r="D3399" s="202">
        <v>2.484795156169313E-2</v>
      </c>
      <c r="E3399" s="202">
        <v>2.467508859742118E-2</v>
      </c>
      <c r="U3399" s="204"/>
    </row>
    <row r="3400" spans="1:21" x14ac:dyDescent="0.2">
      <c r="A3400" s="64" t="str">
        <f t="shared" si="54"/>
        <v>1w</v>
      </c>
      <c r="B3400" s="203">
        <f>_xll.qlCalendarAdvance(Calendar,B3399,A3400,"f",FALSE)</f>
        <v>62737</v>
      </c>
      <c r="C3400" s="237">
        <f>_xll.qlCalendarAdvance(Calendar,B3400,NDays&amp;"D")</f>
        <v>62739</v>
      </c>
      <c r="D3400" s="202">
        <v>2.4853097128802442E-2</v>
      </c>
      <c r="E3400" s="202">
        <v>2.4676567929198256E-2</v>
      </c>
      <c r="U3400" s="204"/>
    </row>
    <row r="3401" spans="1:21" x14ac:dyDescent="0.2">
      <c r="A3401" s="64" t="str">
        <f t="shared" si="54"/>
        <v>1w</v>
      </c>
      <c r="B3401" s="203">
        <f>_xll.qlCalendarAdvance(Calendar,B3400,A3401,"f",FALSE)</f>
        <v>62744</v>
      </c>
      <c r="C3401" s="237">
        <f>_xll.qlCalendarAdvance(Calendar,B3401,NDays&amp;"D")</f>
        <v>62746</v>
      </c>
      <c r="D3401" s="202">
        <v>2.4850654625743755E-2</v>
      </c>
      <c r="E3401" s="202">
        <v>2.4678036552501226E-2</v>
      </c>
      <c r="U3401" s="204"/>
    </row>
    <row r="3402" spans="1:21" x14ac:dyDescent="0.2">
      <c r="A3402" s="64" t="str">
        <f t="shared" si="54"/>
        <v>1w</v>
      </c>
      <c r="B3402" s="203">
        <f>_xll.qlCalendarAdvance(Calendar,B3401,A3402,"f",FALSE)</f>
        <v>62751</v>
      </c>
      <c r="C3402" s="237">
        <f>_xll.qlCalendarAdvance(Calendar,B3402,NDays&amp;"D")</f>
        <v>62753</v>
      </c>
      <c r="D3402" s="202">
        <v>2.4851989894266829E-2</v>
      </c>
      <c r="E3402" s="202">
        <v>2.4679494466850471E-2</v>
      </c>
      <c r="U3402" s="204"/>
    </row>
    <row r="3403" spans="1:21" x14ac:dyDescent="0.2">
      <c r="A3403" s="64" t="str">
        <f t="shared" si="54"/>
        <v>1w</v>
      </c>
      <c r="B3403" s="203">
        <f>_xll.qlCalendarAdvance(Calendar,B3402,A3403,"f",FALSE)</f>
        <v>62758</v>
      </c>
      <c r="C3403" s="237">
        <f>_xll.qlCalendarAdvance(Calendar,B3403,NDays&amp;"D")</f>
        <v>62760</v>
      </c>
      <c r="D3403" s="202">
        <v>2.4853314320426392E-2</v>
      </c>
      <c r="E3403" s="202">
        <v>2.4680941672645673E-2</v>
      </c>
      <c r="U3403" s="204"/>
    </row>
    <row r="3404" spans="1:21" x14ac:dyDescent="0.2">
      <c r="A3404" s="64" t="str">
        <f t="shared" si="54"/>
        <v>1w</v>
      </c>
      <c r="B3404" s="203">
        <f>_xll.qlCalendarAdvance(Calendar,B3403,A3404,"f",FALSE)</f>
        <v>62765</v>
      </c>
      <c r="C3404" s="237">
        <f>_xll.qlCalendarAdvance(Calendar,B3404,NDays&amp;"D")</f>
        <v>62767</v>
      </c>
      <c r="D3404" s="202">
        <v>2.4853683428695313E-2</v>
      </c>
      <c r="E3404" s="202">
        <v>2.468237816972696E-2</v>
      </c>
      <c r="U3404" s="204"/>
    </row>
    <row r="3405" spans="1:21" x14ac:dyDescent="0.2">
      <c r="A3405" s="64" t="str">
        <f t="shared" si="54"/>
        <v>1w</v>
      </c>
      <c r="B3405" s="203">
        <f>_xll.qlCalendarAdvance(Calendar,B3404,A3405,"f",FALSE)</f>
        <v>62772</v>
      </c>
      <c r="C3405" s="237">
        <f>_xll.qlCalendarAdvance(Calendar,B3405,NDays&amp;"D")</f>
        <v>62774</v>
      </c>
      <c r="D3405" s="202">
        <v>2.4854986855092898E-2</v>
      </c>
      <c r="E3405" s="202">
        <v>2.4683803958014394E-2</v>
      </c>
      <c r="U3405" s="204"/>
    </row>
    <row r="3406" spans="1:21" x14ac:dyDescent="0.2">
      <c r="A3406" s="64" t="str">
        <f t="shared" si="54"/>
        <v>1w</v>
      </c>
      <c r="B3406" s="203">
        <f>_xll.qlCalendarAdvance(Calendar,B3405,A3406,"f",FALSE)</f>
        <v>62779</v>
      </c>
      <c r="C3406" s="237">
        <f>_xll.qlCalendarAdvance(Calendar,B3406,NDays&amp;"D")</f>
        <v>62781</v>
      </c>
      <c r="D3406" s="202">
        <v>2.4856279439802054E-2</v>
      </c>
      <c r="E3406" s="202">
        <v>2.4685219037667849E-2</v>
      </c>
      <c r="U3406" s="204"/>
    </row>
    <row r="3407" spans="1:21" x14ac:dyDescent="0.2">
      <c r="A3407" s="64" t="str">
        <f t="shared" si="54"/>
        <v>1w</v>
      </c>
      <c r="B3407" s="203">
        <f>_xll.qlCalendarAdvance(Calendar,B3406,A3407,"f",FALSE)</f>
        <v>62786</v>
      </c>
      <c r="C3407" s="237">
        <f>_xll.qlCalendarAdvance(Calendar,B3407,NDays&amp;"D")</f>
        <v>62788</v>
      </c>
      <c r="D3407" s="202">
        <v>2.4857561182803901E-2</v>
      </c>
      <c r="E3407" s="202">
        <v>2.4686623408607389E-2</v>
      </c>
      <c r="U3407" s="204"/>
    </row>
    <row r="3408" spans="1:21" x14ac:dyDescent="0.2">
      <c r="A3408" s="64" t="str">
        <f t="shared" si="54"/>
        <v>1w</v>
      </c>
      <c r="B3408" s="203">
        <f>_xll.qlCalendarAdvance(Calendar,B3407,A3408,"f",FALSE)</f>
        <v>62793</v>
      </c>
      <c r="C3408" s="237">
        <f>_xll.qlCalendarAdvance(Calendar,B3408,NDays&amp;"D")</f>
        <v>62795</v>
      </c>
      <c r="D3408" s="202">
        <v>2.4859773815017628E-2</v>
      </c>
      <c r="E3408" s="202">
        <v>2.4688017070912949E-2</v>
      </c>
      <c r="U3408" s="204"/>
    </row>
    <row r="3409" spans="1:21" x14ac:dyDescent="0.2">
      <c r="A3409" s="64" t="str">
        <f t="shared" si="54"/>
        <v>1w</v>
      </c>
      <c r="B3409" s="203">
        <f>_xll.qlCalendarAdvance(Calendar,B3408,A3409,"f",FALSE)</f>
        <v>62800</v>
      </c>
      <c r="C3409" s="237">
        <f>_xll.qlCalendarAdvance(Calendar,B3409,NDays&amp;"D")</f>
        <v>62802</v>
      </c>
      <c r="D3409" s="202">
        <v>2.4861033186546221E-2</v>
      </c>
      <c r="E3409" s="202">
        <v>2.4689400024344721E-2</v>
      </c>
      <c r="U3409" s="204"/>
    </row>
    <row r="3410" spans="1:21" x14ac:dyDescent="0.2">
      <c r="A3410" s="64" t="str">
        <f t="shared" si="54"/>
        <v>1w</v>
      </c>
      <c r="B3410" s="203">
        <f>_xll.qlCalendarAdvance(Calendar,B3409,A3410,"f",FALSE)</f>
        <v>62807</v>
      </c>
      <c r="C3410" s="237">
        <f>_xll.qlCalendarAdvance(Calendar,B3410,NDays&amp;"D")</f>
        <v>62809</v>
      </c>
      <c r="D3410" s="202">
        <v>2.4862281715564535E-2</v>
      </c>
      <c r="E3410" s="202">
        <v>2.469077226922245E-2</v>
      </c>
      <c r="U3410" s="204"/>
    </row>
    <row r="3411" spans="1:21" x14ac:dyDescent="0.2">
      <c r="A3411" s="64" t="str">
        <f t="shared" si="54"/>
        <v>1w</v>
      </c>
      <c r="B3411" s="203">
        <f>_xll.qlCalendarAdvance(Calendar,B3410,A3411,"f",FALSE)</f>
        <v>62814</v>
      </c>
      <c r="C3411" s="237">
        <f>_xll.qlCalendarAdvance(Calendar,B3411,NDays&amp;"D")</f>
        <v>62816</v>
      </c>
      <c r="D3411" s="202">
        <v>2.4863519402050293E-2</v>
      </c>
      <c r="E3411" s="202">
        <v>2.4694964631939431E-2</v>
      </c>
      <c r="U3411" s="204"/>
    </row>
    <row r="3412" spans="1:21" x14ac:dyDescent="0.2">
      <c r="A3412" s="64" t="str">
        <f t="shared" si="54"/>
        <v>1w</v>
      </c>
      <c r="B3412" s="203">
        <f>_xll.qlCalendarAdvance(Calendar,B3411,A3412,"f",FALSE)</f>
        <v>62821</v>
      </c>
      <c r="C3412" s="237">
        <f>_xll.qlCalendarAdvance(Calendar,B3412,NDays&amp;"D")</f>
        <v>62823</v>
      </c>
      <c r="D3412" s="202">
        <v>2.4863807271464693E-2</v>
      </c>
      <c r="E3412" s="202">
        <v>2.4696313442102991E-2</v>
      </c>
      <c r="U3412" s="204"/>
    </row>
    <row r="3413" spans="1:21" x14ac:dyDescent="0.2">
      <c r="A3413" s="64" t="str">
        <f t="shared" si="54"/>
        <v>1w</v>
      </c>
      <c r="B3413" s="203">
        <f>_xll.qlCalendarAdvance(Calendar,B3412,A3413,"f",FALSE)</f>
        <v>62828</v>
      </c>
      <c r="C3413" s="237">
        <f>_xll.qlCalendarAdvance(Calendar,B3413,NDays&amp;"D")</f>
        <v>62830</v>
      </c>
      <c r="D3413" s="202">
        <v>2.4865023963785652E-2</v>
      </c>
      <c r="E3413" s="202">
        <v>2.4694824751252398E-2</v>
      </c>
      <c r="U3413" s="204"/>
    </row>
    <row r="3414" spans="1:21" x14ac:dyDescent="0.2">
      <c r="A3414" s="64" t="str">
        <f t="shared" si="54"/>
        <v>1w</v>
      </c>
      <c r="B3414" s="203">
        <f>_xll.qlCalendarAdvance(Calendar,B3413,A3414,"f",FALSE)</f>
        <v>62835</v>
      </c>
      <c r="C3414" s="237">
        <f>_xll.qlCalendarAdvance(Calendar,B3414,NDays&amp;"D")</f>
        <v>62837</v>
      </c>
      <c r="D3414" s="202">
        <v>2.4866229814256118E-2</v>
      </c>
      <c r="E3414" s="202">
        <v>2.4696154161434336E-2</v>
      </c>
      <c r="U3414" s="204"/>
    </row>
    <row r="3415" spans="1:21" x14ac:dyDescent="0.2">
      <c r="A3415" s="64" t="str">
        <f t="shared" si="54"/>
        <v>1w</v>
      </c>
      <c r="B3415" s="203">
        <f>_xll.qlCalendarAdvance(Calendar,B3414,A3415,"f",FALSE)</f>
        <v>62842</v>
      </c>
      <c r="C3415" s="237">
        <f>_xll.qlCalendarAdvance(Calendar,B3415,NDays&amp;"D")</f>
        <v>62844</v>
      </c>
      <c r="D3415" s="202">
        <v>2.4867424822857642E-2</v>
      </c>
      <c r="E3415" s="202">
        <v>2.4697472862662551E-2</v>
      </c>
      <c r="U3415" s="204"/>
    </row>
    <row r="3416" spans="1:21" x14ac:dyDescent="0.2">
      <c r="A3416" s="64" t="str">
        <f t="shared" si="54"/>
        <v>1w</v>
      </c>
      <c r="B3416" s="203">
        <f>_xll.qlCalendarAdvance(Calendar,B3415,A3416,"f",FALSE)</f>
        <v>62849</v>
      </c>
      <c r="C3416" s="237">
        <f>_xll.qlCalendarAdvance(Calendar,B3416,NDays&amp;"D")</f>
        <v>62851</v>
      </c>
      <c r="D3416" s="202">
        <v>2.4868608989568705E-2</v>
      </c>
      <c r="E3416" s="202">
        <v>2.4698780855256786E-2</v>
      </c>
      <c r="U3416" s="204"/>
    </row>
    <row r="3417" spans="1:21" x14ac:dyDescent="0.2">
      <c r="A3417" s="64" t="str">
        <f t="shared" si="54"/>
        <v>1w</v>
      </c>
      <c r="B3417" s="203">
        <f>_xll.qlCalendarAdvance(Calendar,B3416,A3417,"f",FALSE)</f>
        <v>62856</v>
      </c>
      <c r="C3417" s="237">
        <f>_xll.qlCalendarAdvance(Calendar,B3417,NDays&amp;"D")</f>
        <v>62858</v>
      </c>
      <c r="D3417" s="202">
        <v>2.4869782314371296E-2</v>
      </c>
      <c r="E3417" s="202">
        <v>2.4700078139217041E-2</v>
      </c>
      <c r="U3417" s="204"/>
    </row>
    <row r="3418" spans="1:21" x14ac:dyDescent="0.2">
      <c r="A3418" s="64" t="str">
        <f t="shared" si="54"/>
        <v>1w</v>
      </c>
      <c r="B3418" s="203">
        <f>_xll.qlCalendarAdvance(Calendar,B3417,A3418,"f",FALSE)</f>
        <v>62863</v>
      </c>
      <c r="C3418" s="237">
        <f>_xll.qlCalendarAdvance(Calendar,B3418,NDays&amp;"D")</f>
        <v>62865</v>
      </c>
      <c r="D3418" s="202">
        <v>2.4870944797246532E-2</v>
      </c>
      <c r="E3418" s="202">
        <v>2.4701364714303509E-2</v>
      </c>
      <c r="U3418" s="204"/>
    </row>
    <row r="3419" spans="1:21" x14ac:dyDescent="0.2">
      <c r="A3419" s="64" t="str">
        <f t="shared" si="54"/>
        <v>1w</v>
      </c>
      <c r="B3419" s="203">
        <f>_xll.qlCalendarAdvance(Calendar,B3418,A3419,"f",FALSE)</f>
        <v>62870</v>
      </c>
      <c r="C3419" s="237">
        <f>_xll.qlCalendarAdvance(Calendar,B3419,NDays&amp;"D")</f>
        <v>62872</v>
      </c>
      <c r="D3419" s="202">
        <v>2.4872096438175086E-2</v>
      </c>
      <c r="E3419" s="202">
        <v>2.4702640580915869E-2</v>
      </c>
      <c r="U3419" s="204"/>
    </row>
    <row r="3420" spans="1:21" x14ac:dyDescent="0.2">
      <c r="A3420" s="64" t="str">
        <f t="shared" si="54"/>
        <v>1w</v>
      </c>
      <c r="B3420" s="203">
        <f>_xll.qlCalendarAdvance(Calendar,B3419,A3420,"f",FALSE)</f>
        <v>62877</v>
      </c>
      <c r="C3420" s="237">
        <f>_xll.qlCalendarAdvance(Calendar,B3420,NDays&amp;"D")</f>
        <v>62879</v>
      </c>
      <c r="D3420" s="202">
        <v>2.4873237237138513E-2</v>
      </c>
      <c r="E3420" s="202">
        <v>2.4703905738574505E-2</v>
      </c>
      <c r="U3420" s="204"/>
    </row>
    <row r="3421" spans="1:21" x14ac:dyDescent="0.2">
      <c r="A3421" s="64" t="str">
        <f t="shared" si="54"/>
        <v>1w</v>
      </c>
      <c r="B3421" s="203">
        <f>_xll.qlCalendarAdvance(Calendar,B3420,A3421,"f",FALSE)</f>
        <v>62884</v>
      </c>
      <c r="C3421" s="237">
        <f>_xll.qlCalendarAdvance(Calendar,B3421,NDays&amp;"D")</f>
        <v>62886</v>
      </c>
      <c r="D3421" s="202">
        <v>2.4878097966914585E-2</v>
      </c>
      <c r="E3421" s="202">
        <v>2.4705160187679098E-2</v>
      </c>
      <c r="U3421" s="204"/>
    </row>
    <row r="3422" spans="1:21" x14ac:dyDescent="0.2">
      <c r="A3422" s="64" t="str">
        <f t="shared" si="54"/>
        <v>1w</v>
      </c>
      <c r="B3422" s="203">
        <f>_xll.qlCalendarAdvance(Calendar,B3421,A3422,"f",FALSE)</f>
        <v>62891</v>
      </c>
      <c r="C3422" s="237">
        <f>_xll.qlCalendarAdvance(Calendar,B3422,NDays&amp;"D")</f>
        <v>62893</v>
      </c>
      <c r="D3422" s="202">
        <v>2.4879214290742798E-2</v>
      </c>
      <c r="E3422" s="202">
        <v>2.470640392798984E-2</v>
      </c>
      <c r="U3422" s="204"/>
    </row>
    <row r="3423" spans="1:21" x14ac:dyDescent="0.2">
      <c r="A3423" s="64" t="str">
        <f t="shared" si="54"/>
        <v>1w</v>
      </c>
      <c r="B3423" s="203">
        <f>_xll.qlCalendarAdvance(Calendar,B3422,A3423,"f",FALSE)</f>
        <v>62898</v>
      </c>
      <c r="C3423" s="237">
        <f>_xll.qlCalendarAdvance(Calendar,B3423,NDays&amp;"D")</f>
        <v>62900</v>
      </c>
      <c r="D3423" s="202">
        <v>2.488031976958073E-2</v>
      </c>
      <c r="E3423" s="202">
        <v>2.4707636959586665E-2</v>
      </c>
      <c r="U3423" s="204"/>
    </row>
    <row r="3424" spans="1:21" x14ac:dyDescent="0.2">
      <c r="A3424" s="64" t="str">
        <f t="shared" si="54"/>
        <v>1w</v>
      </c>
      <c r="B3424" s="203">
        <f>_xll.qlCalendarAdvance(Calendar,B3423,A3424,"f",FALSE)</f>
        <v>62905</v>
      </c>
      <c r="C3424" s="237">
        <f>_xll.qlCalendarAdvance(Calendar,B3424,NDays&amp;"D")</f>
        <v>62907</v>
      </c>
      <c r="D3424" s="202">
        <v>2.4881414403410334E-2</v>
      </c>
      <c r="E3424" s="202">
        <v>2.4708859282469575E-2</v>
      </c>
      <c r="U3424" s="204"/>
    </row>
    <row r="3425" spans="1:21" x14ac:dyDescent="0.2">
      <c r="A3425" s="64" t="str">
        <f t="shared" si="54"/>
        <v>1w</v>
      </c>
      <c r="B3425" s="203">
        <f>_xll.qlCalendarAdvance(Calendar,B3424,A3425,"f",FALSE)</f>
        <v>62912</v>
      </c>
      <c r="C3425" s="237">
        <f>_xll.qlCalendarAdvance(Calendar,B3425,NDays&amp;"D")</f>
        <v>62914</v>
      </c>
      <c r="D3425" s="202">
        <v>2.4879708536023788E-2</v>
      </c>
      <c r="E3425" s="202">
        <v>2.4710070896798442E-2</v>
      </c>
      <c r="U3425" s="204"/>
    </row>
    <row r="3426" spans="1:21" x14ac:dyDescent="0.2">
      <c r="A3426" s="64" t="str">
        <f t="shared" si="54"/>
        <v>1w</v>
      </c>
      <c r="B3426" s="203">
        <f>_xll.qlCalendarAdvance(Calendar,B3425,A3426,"f",FALSE)</f>
        <v>62919</v>
      </c>
      <c r="C3426" s="237">
        <f>_xll.qlCalendarAdvance(Calendar,B3426,NDays&amp;"D")</f>
        <v>62921</v>
      </c>
      <c r="D3426" s="202">
        <v>2.4880783582206575E-2</v>
      </c>
      <c r="E3426" s="202">
        <v>2.4715005542290669E-2</v>
      </c>
      <c r="U3426" s="204"/>
    </row>
    <row r="3427" spans="1:21" x14ac:dyDescent="0.2">
      <c r="A3427" s="64" t="str">
        <f t="shared" si="54"/>
        <v>1w</v>
      </c>
      <c r="B3427" s="203">
        <f>_xll.qlCalendarAdvance(Calendar,B3426,A3427,"f",FALSE)</f>
        <v>62926</v>
      </c>
      <c r="C3427" s="237">
        <f>_xll.qlCalendarAdvance(Calendar,B3427,NDays&amp;"D")</f>
        <v>62928</v>
      </c>
      <c r="D3427" s="202">
        <v>2.4881847785555841E-2</v>
      </c>
      <c r="E3427" s="202">
        <v>2.471246199907462E-2</v>
      </c>
      <c r="U3427" s="204"/>
    </row>
    <row r="3428" spans="1:21" x14ac:dyDescent="0.2">
      <c r="A3428" s="64" t="str">
        <f t="shared" si="54"/>
        <v>1w</v>
      </c>
      <c r="B3428" s="203">
        <f>_xll.qlCalendarAdvance(Calendar,B3427,A3428,"f",FALSE)</f>
        <v>62933</v>
      </c>
      <c r="C3428" s="237">
        <f>_xll.qlCalendarAdvance(Calendar,B3428,NDays&amp;"D")</f>
        <v>62935</v>
      </c>
      <c r="D3428" s="202">
        <v>2.4882901146054997E-2</v>
      </c>
      <c r="E3428" s="202">
        <v>2.4713641487261739E-2</v>
      </c>
      <c r="U3428" s="204"/>
    </row>
    <row r="3429" spans="1:21" x14ac:dyDescent="0.2">
      <c r="A3429" s="64" t="str">
        <f t="shared" si="54"/>
        <v>1w</v>
      </c>
      <c r="B3429" s="203">
        <f>_xll.qlCalendarAdvance(Calendar,B3428,A3429,"f",FALSE)</f>
        <v>62940</v>
      </c>
      <c r="C3429" s="237">
        <f>_xll.qlCalendarAdvance(Calendar,B3429,NDays&amp;"D")</f>
        <v>62942</v>
      </c>
      <c r="D3429" s="202">
        <v>2.488394366368438E-2</v>
      </c>
      <c r="E3429" s="202">
        <v>2.4714810266734943E-2</v>
      </c>
      <c r="U3429" s="204"/>
    </row>
    <row r="3430" spans="1:21" x14ac:dyDescent="0.2">
      <c r="A3430" s="64" t="str">
        <f t="shared" si="54"/>
        <v>1w</v>
      </c>
      <c r="B3430" s="203">
        <f>_xll.qlCalendarAdvance(Calendar,B3429,A3430,"f",FALSE)</f>
        <v>62947</v>
      </c>
      <c r="C3430" s="237">
        <f>_xll.qlCalendarAdvance(Calendar,B3430,NDays&amp;"D")</f>
        <v>62949</v>
      </c>
      <c r="D3430" s="202">
        <v>2.4887754460204303E-2</v>
      </c>
      <c r="E3430" s="202">
        <v>2.471596833733436E-2</v>
      </c>
      <c r="U3430" s="204"/>
    </row>
    <row r="3431" spans="1:21" x14ac:dyDescent="0.2">
      <c r="A3431" s="64" t="str">
        <f t="shared" si="54"/>
        <v>1w</v>
      </c>
      <c r="B3431" s="203">
        <f>_xll.qlCalendarAdvance(Calendar,B3430,A3431,"f",FALSE)</f>
        <v>62954</v>
      </c>
      <c r="C3431" s="237">
        <f>_xll.qlCalendarAdvance(Calendar,B3431,NDays&amp;"D")</f>
        <v>62956</v>
      </c>
      <c r="D3431" s="202">
        <v>2.4888773178474904E-2</v>
      </c>
      <c r="E3431" s="202">
        <v>2.471711569921986E-2</v>
      </c>
      <c r="U3431" s="204"/>
    </row>
    <row r="3432" spans="1:21" x14ac:dyDescent="0.2">
      <c r="A3432" s="64" t="str">
        <f t="shared" si="54"/>
        <v>1w</v>
      </c>
      <c r="B3432" s="203">
        <f>_xll.qlCalendarAdvance(Calendar,B3431,A3432,"f",FALSE)</f>
        <v>62961</v>
      </c>
      <c r="C3432" s="237">
        <f>_xll.qlCalendarAdvance(Calendar,B3432,NDays&amp;"D")</f>
        <v>62963</v>
      </c>
      <c r="D3432" s="202">
        <v>2.4889781051597931E-2</v>
      </c>
      <c r="E3432" s="202">
        <v>2.4718252352631254E-2</v>
      </c>
      <c r="U3432" s="204"/>
    </row>
    <row r="3433" spans="1:21" x14ac:dyDescent="0.2">
      <c r="A3433" s="64" t="str">
        <f t="shared" si="54"/>
        <v>1w</v>
      </c>
      <c r="B3433" s="203">
        <f>_xll.qlCalendarAdvance(Calendar,B3432,A3433,"f",FALSE)</f>
        <v>62968</v>
      </c>
      <c r="C3433" s="237">
        <f>_xll.qlCalendarAdvance(Calendar,B3433,NDays&amp;"D")</f>
        <v>62970</v>
      </c>
      <c r="D3433" s="202">
        <v>2.48907780795549E-2</v>
      </c>
      <c r="E3433" s="202">
        <v>2.4719378297088923E-2</v>
      </c>
      <c r="U3433" s="204"/>
    </row>
    <row r="3434" spans="1:21" x14ac:dyDescent="0.2">
      <c r="A3434" s="64" t="str">
        <f t="shared" si="54"/>
        <v>1w</v>
      </c>
      <c r="B3434" s="203">
        <f>_xll.qlCalendarAdvance(Calendar,B3433,A3434,"f",FALSE)</f>
        <v>62975</v>
      </c>
      <c r="C3434" s="237">
        <f>_xll.qlCalendarAdvance(Calendar,B3434,NDays&amp;"D")</f>
        <v>62977</v>
      </c>
      <c r="D3434" s="202">
        <v>2.4888993608215556E-2</v>
      </c>
      <c r="E3434" s="202">
        <v>2.4720493532912613E-2</v>
      </c>
      <c r="U3434" s="204"/>
    </row>
    <row r="3435" spans="1:21" x14ac:dyDescent="0.2">
      <c r="A3435" s="64" t="str">
        <f t="shared" si="54"/>
        <v>1w</v>
      </c>
      <c r="B3435" s="203">
        <f>_xll.qlCalendarAdvance(Calendar,B3434,A3435,"f",FALSE)</f>
        <v>62982</v>
      </c>
      <c r="C3435" s="237">
        <f>_xll.qlCalendarAdvance(Calendar,B3435,NDays&amp;"D")</f>
        <v>62984</v>
      </c>
      <c r="D3435" s="202">
        <v>2.4889971068283414E-2</v>
      </c>
      <c r="E3435" s="202">
        <v>2.4721598060102323E-2</v>
      </c>
      <c r="U3435" s="204"/>
    </row>
    <row r="3436" spans="1:21" x14ac:dyDescent="0.2">
      <c r="A3436" s="64" t="str">
        <f t="shared" si="54"/>
        <v>1w</v>
      </c>
      <c r="B3436" s="203">
        <f>_xll.qlCalendarAdvance(Calendar,B3435,A3436,"f",FALSE)</f>
        <v>62989</v>
      </c>
      <c r="C3436" s="237">
        <f>_xll.qlCalendarAdvance(Calendar,B3436,NDays&amp;"D")</f>
        <v>62991</v>
      </c>
      <c r="D3436" s="202">
        <v>2.4890937685367057E-2</v>
      </c>
      <c r="E3436" s="202">
        <v>2.4722691878578118E-2</v>
      </c>
      <c r="U3436" s="204"/>
    </row>
    <row r="3437" spans="1:21" x14ac:dyDescent="0.2">
      <c r="A3437" s="64" t="str">
        <f t="shared" si="54"/>
        <v>1w</v>
      </c>
      <c r="B3437" s="203">
        <f>_xll.qlCalendarAdvance(Calendar,B3436,A3437,"f",FALSE)</f>
        <v>62996</v>
      </c>
      <c r="C3437" s="237">
        <f>_xll.qlCalendarAdvance(Calendar,B3437,NDays&amp;"D")</f>
        <v>62998</v>
      </c>
      <c r="D3437" s="202">
        <v>2.4891893459450323E-2</v>
      </c>
      <c r="E3437" s="202">
        <v>2.4723774988180125E-2</v>
      </c>
      <c r="U3437" s="204"/>
    </row>
    <row r="3438" spans="1:21" x14ac:dyDescent="0.2">
      <c r="A3438" s="64" t="str">
        <f t="shared" si="54"/>
        <v>1w</v>
      </c>
      <c r="B3438" s="203">
        <f>_xll.qlCalendarAdvance(Calendar,B3437,A3438,"f",FALSE)</f>
        <v>63003</v>
      </c>
      <c r="C3438" s="237">
        <f>_xll.qlCalendarAdvance(Calendar,B3438,NDays&amp;"D")</f>
        <v>63005</v>
      </c>
      <c r="D3438" s="202">
        <v>2.4892838390519235E-2</v>
      </c>
      <c r="E3438" s="202">
        <v>2.4724847389228088E-2</v>
      </c>
      <c r="U3438" s="204"/>
    </row>
    <row r="3439" spans="1:21" x14ac:dyDescent="0.2">
      <c r="A3439" s="64" t="str">
        <f t="shared" si="54"/>
        <v>1w</v>
      </c>
      <c r="B3439" s="203">
        <f>_xll.qlCalendarAdvance(Calendar,B3438,A3439,"f",FALSE)</f>
        <v>63010</v>
      </c>
      <c r="C3439" s="237">
        <f>_xll.qlCalendarAdvance(Calendar,B3439,NDays&amp;"D")</f>
        <v>63012</v>
      </c>
      <c r="D3439" s="202">
        <v>2.4896532497904463E-2</v>
      </c>
      <c r="E3439" s="202">
        <v>2.4725909081642072E-2</v>
      </c>
      <c r="U3439" s="204"/>
    </row>
    <row r="3440" spans="1:21" x14ac:dyDescent="0.2">
      <c r="A3440" s="64" t="str">
        <f t="shared" si="54"/>
        <v>1w</v>
      </c>
      <c r="B3440" s="203">
        <f>_xll.qlCalendarAdvance(Calendar,B3439,A3440,"f",FALSE)</f>
        <v>63017</v>
      </c>
      <c r="C3440" s="237">
        <f>_xll.qlCalendarAdvance(Calendar,B3440,NDays&amp;"D")</f>
        <v>63019</v>
      </c>
      <c r="D3440" s="202">
        <v>2.4897453609248651E-2</v>
      </c>
      <c r="E3440" s="202">
        <v>2.4726960065182269E-2</v>
      </c>
      <c r="U3440" s="204"/>
    </row>
    <row r="3441" spans="1:21" x14ac:dyDescent="0.2">
      <c r="A3441" s="64" t="str">
        <f t="shared" si="54"/>
        <v>1w</v>
      </c>
      <c r="B3441" s="203">
        <f>_xll.qlCalendarAdvance(Calendar,B3440,A3441,"f",FALSE)</f>
        <v>63024</v>
      </c>
      <c r="C3441" s="237">
        <f>_xll.qlCalendarAdvance(Calendar,B3441,NDays&amp;"D")</f>
        <v>63026</v>
      </c>
      <c r="D3441" s="202">
        <v>2.4898363875299576E-2</v>
      </c>
      <c r="E3441" s="202">
        <v>2.4728000340008549E-2</v>
      </c>
      <c r="U3441" s="204"/>
    </row>
    <row r="3442" spans="1:21" x14ac:dyDescent="0.2">
      <c r="A3442" s="64" t="str">
        <f t="shared" si="54"/>
        <v>1w</v>
      </c>
      <c r="B3442" s="203">
        <f>_xll.qlCalendarAdvance(Calendar,B3441,A3442,"f",FALSE)</f>
        <v>63031</v>
      </c>
      <c r="C3442" s="237">
        <f>_xll.qlCalendarAdvance(Calendar,B3442,NDays&amp;"D")</f>
        <v>63033</v>
      </c>
      <c r="D3442" s="202">
        <v>2.4899263296043479E-2</v>
      </c>
      <c r="E3442" s="202">
        <v>2.4729029906280786E-2</v>
      </c>
      <c r="U3442" s="204"/>
    </row>
    <row r="3443" spans="1:21" x14ac:dyDescent="0.2">
      <c r="A3443" s="64" t="str">
        <f t="shared" si="54"/>
        <v>1w</v>
      </c>
      <c r="B3443" s="203">
        <f>_xll.qlCalendarAdvance(Calendar,B3442,A3443,"f",FALSE)</f>
        <v>63038</v>
      </c>
      <c r="C3443" s="237">
        <f>_xll.qlCalendarAdvance(Calendar,B3443,NDays&amp;"D")</f>
        <v>63040</v>
      </c>
      <c r="D3443" s="202">
        <v>2.4900151871464892E-2</v>
      </c>
      <c r="E3443" s="202">
        <v>2.4730048763839108E-2</v>
      </c>
      <c r="U3443" s="204"/>
    </row>
    <row r="3444" spans="1:21" x14ac:dyDescent="0.2">
      <c r="A3444" s="64" t="str">
        <f t="shared" si="54"/>
        <v>1w</v>
      </c>
      <c r="B3444" s="203">
        <f>_xll.qlCalendarAdvance(Calendar,B3443,A3444,"f",FALSE)</f>
        <v>63045</v>
      </c>
      <c r="C3444" s="237">
        <f>_xll.qlCalendarAdvance(Calendar,B3444,NDays&amp;"D")</f>
        <v>63047</v>
      </c>
      <c r="D3444" s="202">
        <v>2.4901029601547057E-2</v>
      </c>
      <c r="E3444" s="202">
        <v>2.4731056912523641E-2</v>
      </c>
      <c r="U3444" s="204"/>
    </row>
    <row r="3445" spans="1:21" x14ac:dyDescent="0.2">
      <c r="A3445" s="64" t="str">
        <f t="shared" si="54"/>
        <v>1w</v>
      </c>
      <c r="B3445" s="203">
        <f>_xll.qlCalendarAdvance(Calendar,B3444,A3445,"f",FALSE)</f>
        <v>63052</v>
      </c>
      <c r="C3445" s="237">
        <f>_xll.qlCalendarAdvance(Calendar,B3445,NDays&amp;"D")</f>
        <v>63054</v>
      </c>
      <c r="D3445" s="202">
        <v>2.4901896486277938E-2</v>
      </c>
      <c r="E3445" s="202">
        <v>2.4732054352574195E-2</v>
      </c>
      <c r="U3445" s="204"/>
    </row>
    <row r="3446" spans="1:21" x14ac:dyDescent="0.2">
      <c r="A3446" s="64" t="str">
        <f t="shared" si="54"/>
        <v>1w</v>
      </c>
      <c r="B3446" s="203">
        <f>_xll.qlCalendarAdvance(Calendar,B3445,A3446,"f",FALSE)</f>
        <v>63059</v>
      </c>
      <c r="C3446" s="237">
        <f>_xll.qlCalendarAdvance(Calendar,B3446,NDays&amp;"D")</f>
        <v>63061</v>
      </c>
      <c r="D3446" s="202">
        <v>2.4902752525642065E-2</v>
      </c>
      <c r="E3446" s="202">
        <v>2.473304108399077E-2</v>
      </c>
      <c r="U3446" s="204"/>
    </row>
    <row r="3447" spans="1:21" x14ac:dyDescent="0.2">
      <c r="A3447" s="64" t="str">
        <f t="shared" si="54"/>
        <v>1w</v>
      </c>
      <c r="B3447" s="203">
        <f>_xll.qlCalendarAdvance(Calendar,B3446,A3447,"f",FALSE)</f>
        <v>63066</v>
      </c>
      <c r="C3447" s="237">
        <f>_xll.qlCalendarAdvance(Calendar,B3447,NDays&amp;"D")</f>
        <v>63068</v>
      </c>
      <c r="D3447" s="202">
        <v>2.4899026107048243E-2</v>
      </c>
      <c r="E3447" s="202">
        <v>2.4734017106533557E-2</v>
      </c>
      <c r="U3447" s="204"/>
    </row>
    <row r="3448" spans="1:21" x14ac:dyDescent="0.2">
      <c r="A3448" s="64" t="str">
        <f t="shared" si="54"/>
        <v>1w</v>
      </c>
      <c r="B3448" s="203">
        <f>_xll.qlCalendarAdvance(Calendar,B3447,A3448,"f",FALSE)</f>
        <v>63073</v>
      </c>
      <c r="C3448" s="237">
        <f>_xll.qlCalendarAdvance(Calendar,B3448,NDays&amp;"D")</f>
        <v>63075</v>
      </c>
      <c r="D3448" s="202">
        <v>2.4899864040970714E-2</v>
      </c>
      <c r="E3448" s="202">
        <v>2.4734982420442364E-2</v>
      </c>
      <c r="U3448" s="204"/>
    </row>
    <row r="3449" spans="1:21" x14ac:dyDescent="0.2">
      <c r="A3449" s="64" t="str">
        <f t="shared" si="54"/>
        <v>1w</v>
      </c>
      <c r="B3449" s="203">
        <f>_xll.qlCalendarAdvance(Calendar,B3448,A3449,"f",FALSE)</f>
        <v>63080</v>
      </c>
      <c r="C3449" s="237">
        <f>_xll.qlCalendarAdvance(Calendar,B3449,NDays&amp;"D")</f>
        <v>63082</v>
      </c>
      <c r="D3449" s="202">
        <v>2.4900691133206296E-2</v>
      </c>
      <c r="E3449" s="202">
        <v>2.4735937025637256E-2</v>
      </c>
      <c r="U3449" s="204"/>
    </row>
    <row r="3450" spans="1:21" x14ac:dyDescent="0.2">
      <c r="A3450" s="64" t="str">
        <f t="shared" si="54"/>
        <v>1w</v>
      </c>
      <c r="B3450" s="203">
        <f>_xll.qlCalendarAdvance(Calendar,B3449,A3450,"f",FALSE)</f>
        <v>63087</v>
      </c>
      <c r="C3450" s="237">
        <f>_xll.qlCalendarAdvance(Calendar,B3450,NDays&amp;"D")</f>
        <v>63089</v>
      </c>
      <c r="D3450" s="202">
        <v>2.4901507383743072E-2</v>
      </c>
      <c r="E3450" s="202">
        <v>2.4736880922198168E-2</v>
      </c>
      <c r="U3450" s="204"/>
    </row>
    <row r="3451" spans="1:21" x14ac:dyDescent="0.2">
      <c r="A3451" s="64" t="str">
        <f t="shared" si="54"/>
        <v>1w</v>
      </c>
      <c r="B3451" s="203">
        <f>_xll.qlCalendarAdvance(Calendar,B3450,A3451,"f",FALSE)</f>
        <v>63094</v>
      </c>
      <c r="C3451" s="237">
        <f>_xll.qlCalendarAdvance(Calendar,B3451,NDays&amp;"D")</f>
        <v>63096</v>
      </c>
      <c r="D3451" s="202">
        <v>2.4902312792566023E-2</v>
      </c>
      <c r="E3451" s="202">
        <v>2.4737814110045164E-2</v>
      </c>
      <c r="U3451" s="204"/>
    </row>
    <row r="3452" spans="1:21" x14ac:dyDescent="0.2">
      <c r="A3452" s="64" t="str">
        <f t="shared" si="54"/>
        <v>1w</v>
      </c>
      <c r="B3452" s="203">
        <f>_xll.qlCalendarAdvance(Calendar,B3451,A3452,"f",FALSE)</f>
        <v>63101</v>
      </c>
      <c r="C3452" s="237">
        <f>_xll.qlCalendarAdvance(Calendar,B3452,NDays&amp;"D")</f>
        <v>63103</v>
      </c>
      <c r="D3452" s="202">
        <v>2.4904018143668522E-2</v>
      </c>
      <c r="E3452" s="202">
        <v>2.4738736589098309E-2</v>
      </c>
      <c r="U3452" s="204"/>
    </row>
    <row r="3453" spans="1:21" x14ac:dyDescent="0.2">
      <c r="A3453" s="64" t="str">
        <f t="shared" si="54"/>
        <v>1w</v>
      </c>
      <c r="B3453" s="203">
        <f>_xll.qlCalendarAdvance(Calendar,B3452,A3453,"f",FALSE)</f>
        <v>63108</v>
      </c>
      <c r="C3453" s="237">
        <f>_xll.qlCalendarAdvance(Calendar,B3453,NDays&amp;"D")</f>
        <v>63110</v>
      </c>
      <c r="D3453" s="202">
        <v>2.4904801148441631E-2</v>
      </c>
      <c r="E3453" s="202">
        <v>2.4739648359437538E-2</v>
      </c>
      <c r="U3453" s="204"/>
    </row>
    <row r="3454" spans="1:21" x14ac:dyDescent="0.2">
      <c r="A3454" s="64" t="str">
        <f t="shared" si="54"/>
        <v>1w</v>
      </c>
      <c r="B3454" s="203">
        <f>_xll.qlCalendarAdvance(Calendar,B3453,A3454,"f",FALSE)</f>
        <v>63115</v>
      </c>
      <c r="C3454" s="237">
        <f>_xll.qlCalendarAdvance(Calendar,B3454,NDays&amp;"D")</f>
        <v>63117</v>
      </c>
      <c r="D3454" s="202">
        <v>2.4905573310718167E-2</v>
      </c>
      <c r="E3454" s="202">
        <v>2.4740549421142788E-2</v>
      </c>
      <c r="U3454" s="204"/>
    </row>
    <row r="3455" spans="1:21" x14ac:dyDescent="0.2">
      <c r="A3455" s="64" t="str">
        <f t="shared" si="54"/>
        <v>1w</v>
      </c>
      <c r="B3455" s="203">
        <f>_xll.qlCalendarAdvance(Calendar,B3454,A3455,"f",FALSE)</f>
        <v>63122</v>
      </c>
      <c r="C3455" s="237">
        <f>_xll.qlCalendarAdvance(Calendar,B3455,NDays&amp;"D")</f>
        <v>63124</v>
      </c>
      <c r="D3455" s="202">
        <v>2.4906334630486714E-2</v>
      </c>
      <c r="E3455" s="202">
        <v>2.4741439774054186E-2</v>
      </c>
      <c r="U3455" s="204"/>
    </row>
    <row r="3456" spans="1:21" x14ac:dyDescent="0.2">
      <c r="A3456" s="64" t="str">
        <f t="shared" si="54"/>
        <v>1w</v>
      </c>
      <c r="B3456" s="203">
        <f>_xll.qlCalendarAdvance(Calendar,B3455,A3456,"f",FALSE)</f>
        <v>63129</v>
      </c>
      <c r="C3456" s="237">
        <f>_xll.qlCalendarAdvance(Calendar,B3456,NDays&amp;"D")</f>
        <v>63131</v>
      </c>
      <c r="D3456" s="202">
        <v>2.4906177210532641E-2</v>
      </c>
      <c r="E3456" s="202">
        <v>2.4742319418251668E-2</v>
      </c>
      <c r="U3456" s="204"/>
    </row>
    <row r="3457" spans="1:21" x14ac:dyDescent="0.2">
      <c r="A3457" s="64" t="str">
        <f t="shared" si="54"/>
        <v>1w</v>
      </c>
      <c r="B3457" s="203">
        <f>_xll.qlCalendarAdvance(Calendar,B3456,A3457,"f",FALSE)</f>
        <v>63136</v>
      </c>
      <c r="C3457" s="237">
        <f>_xll.qlCalendarAdvance(Calendar,B3457,NDays&amp;"D")</f>
        <v>63138</v>
      </c>
      <c r="D3457" s="202">
        <v>2.4906917568808983E-2</v>
      </c>
      <c r="E3457" s="202">
        <v>2.4743188353895107E-2</v>
      </c>
      <c r="U3457" s="204"/>
    </row>
    <row r="3458" spans="1:21" x14ac:dyDescent="0.2">
      <c r="A3458" s="64" t="str">
        <f t="shared" si="54"/>
        <v>1w</v>
      </c>
      <c r="B3458" s="203">
        <f>_xll.qlCalendarAdvance(Calendar,B3457,A3458,"f",FALSE)</f>
        <v>63143</v>
      </c>
      <c r="C3458" s="237">
        <f>_xll.qlCalendarAdvance(Calendar,B3458,NDays&amp;"D")</f>
        <v>63145</v>
      </c>
      <c r="D3458" s="202">
        <v>2.4907647085285384E-2</v>
      </c>
      <c r="E3458" s="202">
        <v>2.4744046580744694E-2</v>
      </c>
      <c r="U3458" s="204"/>
    </row>
    <row r="3459" spans="1:21" x14ac:dyDescent="0.2">
      <c r="A3459" s="64" t="str">
        <f t="shared" si="54"/>
        <v>1w</v>
      </c>
      <c r="B3459" s="203">
        <f>_xll.qlCalendarAdvance(Calendar,B3458,A3459,"f",FALSE)</f>
        <v>63150</v>
      </c>
      <c r="C3459" s="237">
        <f>_xll.qlCalendarAdvance(Calendar,B3459,NDays&amp;"D")</f>
        <v>63152</v>
      </c>
      <c r="D3459" s="202">
        <v>2.4908365759948588E-2</v>
      </c>
      <c r="E3459" s="202">
        <v>2.4744894098720494E-2</v>
      </c>
      <c r="U3459" s="204"/>
    </row>
    <row r="3460" spans="1:21" x14ac:dyDescent="0.2">
      <c r="A3460" s="64" t="str">
        <f t="shared" si="54"/>
        <v>1w</v>
      </c>
      <c r="B3460" s="203">
        <f>_xll.qlCalendarAdvance(Calendar,B3459,A3460,"f",FALSE)</f>
        <v>63157</v>
      </c>
      <c r="C3460" s="237">
        <f>_xll.qlCalendarAdvance(Calendar,B3460,NDays&amp;"D")</f>
        <v>63159</v>
      </c>
      <c r="D3460" s="202">
        <v>2.4909978591268183E-2</v>
      </c>
      <c r="E3460" s="202">
        <v>2.4745730908142249E-2</v>
      </c>
      <c r="U3460" s="204"/>
    </row>
    <row r="3461" spans="1:21" x14ac:dyDescent="0.2">
      <c r="A3461" s="64" t="str">
        <f t="shared" si="54"/>
        <v>1w</v>
      </c>
      <c r="B3461" s="203">
        <f>_xll.qlCalendarAdvance(Calendar,B3460,A3461,"f",FALSE)</f>
        <v>63164</v>
      </c>
      <c r="C3461" s="237">
        <f>_xll.qlCalendarAdvance(Calendar,B3461,NDays&amp;"D")</f>
        <v>63166</v>
      </c>
      <c r="D3461" s="202">
        <v>2.4910674855729655E-2</v>
      </c>
      <c r="E3461" s="202">
        <v>2.4746557008930026E-2</v>
      </c>
      <c r="U3461" s="204"/>
    </row>
    <row r="3462" spans="1:21" x14ac:dyDescent="0.2">
      <c r="A3462" s="64" t="str">
        <f t="shared" si="54"/>
        <v>1w</v>
      </c>
      <c r="B3462" s="203">
        <f>_xll.qlCalendarAdvance(Calendar,B3461,A3462,"f",FALSE)</f>
        <v>63171</v>
      </c>
      <c r="C3462" s="237">
        <f>_xll.qlCalendarAdvance(Calendar,B3462,NDays&amp;"D")</f>
        <v>63173</v>
      </c>
      <c r="D3462" s="202">
        <v>2.4911360277599683E-2</v>
      </c>
      <c r="E3462" s="202">
        <v>2.474737240092395E-2</v>
      </c>
      <c r="U3462" s="204"/>
    </row>
    <row r="3463" spans="1:21" x14ac:dyDescent="0.2">
      <c r="A3463" s="64" t="str">
        <f t="shared" ref="A3463:A3526" si="55">A3462</f>
        <v>1w</v>
      </c>
      <c r="B3463" s="203">
        <f>_xll.qlCalendarAdvance(Calendar,B3462,A3463,"f",FALSE)</f>
        <v>63178</v>
      </c>
      <c r="C3463" s="237">
        <f>_xll.qlCalendarAdvance(Calendar,B3463,NDays&amp;"D")</f>
        <v>63180</v>
      </c>
      <c r="D3463" s="202">
        <v>2.4912034856866855E-2</v>
      </c>
      <c r="E3463" s="202">
        <v>2.4748177084124023E-2</v>
      </c>
      <c r="U3463" s="204"/>
    </row>
    <row r="3464" spans="1:21" x14ac:dyDescent="0.2">
      <c r="A3464" s="64" t="str">
        <f t="shared" si="55"/>
        <v>1w</v>
      </c>
      <c r="B3464" s="203">
        <f>_xll.qlCalendarAdvance(Calendar,B3463,A3464,"f",FALSE)</f>
        <v>63185</v>
      </c>
      <c r="C3464" s="237">
        <f>_xll.qlCalendarAdvance(Calendar,B3464,NDays&amp;"D")</f>
        <v>63187</v>
      </c>
      <c r="D3464" s="202">
        <v>2.4912698593520188E-2</v>
      </c>
      <c r="E3464" s="202">
        <v>2.4748971058770053E-2</v>
      </c>
      <c r="U3464" s="204"/>
    </row>
    <row r="3465" spans="1:21" x14ac:dyDescent="0.2">
      <c r="A3465" s="64" t="str">
        <f t="shared" si="55"/>
        <v>1w</v>
      </c>
      <c r="B3465" s="203">
        <f>_xll.qlCalendarAdvance(Calendar,B3464,A3465,"f",FALSE)</f>
        <v>63192</v>
      </c>
      <c r="C3465" s="237">
        <f>_xll.qlCalendarAdvance(Calendar,B3465,NDays&amp;"D")</f>
        <v>63194</v>
      </c>
      <c r="D3465" s="202">
        <v>2.4912450129233363E-2</v>
      </c>
      <c r="E3465" s="202">
        <v>2.4749754324542295E-2</v>
      </c>
      <c r="U3465" s="204"/>
    </row>
    <row r="3466" spans="1:21" x14ac:dyDescent="0.2">
      <c r="A3466" s="64" t="str">
        <f t="shared" si="55"/>
        <v>1w</v>
      </c>
      <c r="B3466" s="203">
        <f>_xll.qlCalendarAdvance(Calendar,B3465,A3466,"f",FALSE)</f>
        <v>63199</v>
      </c>
      <c r="C3466" s="237">
        <f>_xll.qlCalendarAdvance(Calendar,B3466,NDays&amp;"D")</f>
        <v>63201</v>
      </c>
      <c r="D3466" s="202">
        <v>2.4913092910895072E-2</v>
      </c>
      <c r="E3466" s="202">
        <v>2.4750526881680557E-2</v>
      </c>
      <c r="U3466" s="204"/>
    </row>
    <row r="3467" spans="1:21" x14ac:dyDescent="0.2">
      <c r="A3467" s="64" t="str">
        <f t="shared" si="55"/>
        <v>1w</v>
      </c>
      <c r="B3467" s="203">
        <f>_xll.qlCalendarAdvance(Calendar,B3466,A3467,"f",FALSE)</f>
        <v>63206</v>
      </c>
      <c r="C3467" s="237">
        <f>_xll.qlCalendarAdvance(Calendar,B3467,NDays&amp;"D")</f>
        <v>63208</v>
      </c>
      <c r="D3467" s="202">
        <v>2.4913724850656585E-2</v>
      </c>
      <c r="E3467" s="202">
        <v>2.4751288730024967E-2</v>
      </c>
      <c r="U3467" s="204"/>
    </row>
    <row r="3468" spans="1:21" x14ac:dyDescent="0.2">
      <c r="A3468" s="64" t="str">
        <f t="shared" si="55"/>
        <v>1w</v>
      </c>
      <c r="B3468" s="203">
        <f>_xll.qlCalendarAdvance(Calendar,B3467,A3468,"f",FALSE)</f>
        <v>63213</v>
      </c>
      <c r="C3468" s="237">
        <f>_xll.qlCalendarAdvance(Calendar,B3468,NDays&amp;"D")</f>
        <v>63215</v>
      </c>
      <c r="D3468" s="202">
        <v>2.4914345948507749E-2</v>
      </c>
      <c r="E3468" s="202">
        <v>2.4752039869815334E-2</v>
      </c>
      <c r="U3468" s="204"/>
    </row>
    <row r="3469" spans="1:21" x14ac:dyDescent="0.2">
      <c r="A3469" s="64" t="str">
        <f t="shared" si="55"/>
        <v>1w</v>
      </c>
      <c r="B3469" s="203">
        <f>_xll.qlCalendarAdvance(Calendar,B3468,A3469,"f",FALSE)</f>
        <v>63220</v>
      </c>
      <c r="C3469" s="237">
        <f>_xll.qlCalendarAdvance(Calendar,B3469,NDays&amp;"D")</f>
        <v>63222</v>
      </c>
      <c r="D3469" s="202">
        <v>2.4914956204438399E-2</v>
      </c>
      <c r="E3469" s="202">
        <v>2.4752780300891786E-2</v>
      </c>
      <c r="U3469" s="204"/>
    </row>
    <row r="3470" spans="1:21" x14ac:dyDescent="0.2">
      <c r="A3470" s="64" t="str">
        <f t="shared" si="55"/>
        <v>1w</v>
      </c>
      <c r="B3470" s="203">
        <f>_xll.qlCalendarAdvance(Calendar,B3469,A3470,"f",FALSE)</f>
        <v>63227</v>
      </c>
      <c r="C3470" s="237">
        <f>_xll.qlCalendarAdvance(Calendar,B3470,NDays&amp;"D")</f>
        <v>63229</v>
      </c>
      <c r="D3470" s="202">
        <v>2.4915555618437939E-2</v>
      </c>
      <c r="E3470" s="202">
        <v>2.4753510023094449E-2</v>
      </c>
      <c r="U3470" s="204"/>
    </row>
    <row r="3471" spans="1:21" x14ac:dyDescent="0.2">
      <c r="A3471" s="64" t="str">
        <f t="shared" si="55"/>
        <v>1w</v>
      </c>
      <c r="B3471" s="203">
        <f>_xll.qlCalendarAdvance(Calendar,B3470,A3471,"f",FALSE)</f>
        <v>63234</v>
      </c>
      <c r="C3471" s="237">
        <f>_xll.qlCalendarAdvance(Calendar,B3471,NDays&amp;"D")</f>
        <v>63236</v>
      </c>
      <c r="D3471" s="202">
        <v>2.491614419049798E-2</v>
      </c>
      <c r="E3471" s="202">
        <v>2.4754229036663133E-2</v>
      </c>
      <c r="U3471" s="204"/>
    </row>
    <row r="3472" spans="1:21" x14ac:dyDescent="0.2">
      <c r="A3472" s="64" t="str">
        <f t="shared" si="55"/>
        <v>1w</v>
      </c>
      <c r="B3472" s="203">
        <f>_xll.qlCalendarAdvance(Calendar,B3471,A3472,"f",FALSE)</f>
        <v>63241</v>
      </c>
      <c r="C3472" s="237">
        <f>_xll.qlCalendarAdvance(Calendar,B3472,NDays&amp;"D")</f>
        <v>63243</v>
      </c>
      <c r="D3472" s="202">
        <v>2.49167219206088E-2</v>
      </c>
      <c r="E3472" s="202">
        <v>2.4754937341597838E-2</v>
      </c>
      <c r="U3472" s="204"/>
    </row>
    <row r="3473" spans="1:21" x14ac:dyDescent="0.2">
      <c r="A3473" s="64" t="str">
        <f t="shared" si="55"/>
        <v>1w</v>
      </c>
      <c r="B3473" s="203">
        <f>_xll.qlCalendarAdvance(Calendar,B3472,A3473,"f",FALSE)</f>
        <v>63248</v>
      </c>
      <c r="C3473" s="237">
        <f>_xll.qlCalendarAdvance(Calendar,B3473,NDays&amp;"D")</f>
        <v>63250</v>
      </c>
      <c r="D3473" s="202">
        <v>2.4921765992232048E-2</v>
      </c>
      <c r="E3473" s="202">
        <v>2.4755634937658755E-2</v>
      </c>
      <c r="U3473" s="204"/>
    </row>
    <row r="3474" spans="1:21" x14ac:dyDescent="0.2">
      <c r="A3474" s="64" t="str">
        <f t="shared" si="55"/>
        <v>1w</v>
      </c>
      <c r="B3474" s="203">
        <f>_xll.qlCalendarAdvance(Calendar,B3473,A3474,"f",FALSE)</f>
        <v>63255</v>
      </c>
      <c r="C3474" s="237">
        <f>_xll.qlCalendarAdvance(Calendar,B3474,NDays&amp;"D")</f>
        <v>63257</v>
      </c>
      <c r="D3474" s="202">
        <v>2.4922318356218429E-2</v>
      </c>
      <c r="E3474" s="202">
        <v>2.4756321825085692E-2</v>
      </c>
      <c r="U3474" s="204"/>
    </row>
    <row r="3475" spans="1:21" x14ac:dyDescent="0.2">
      <c r="A3475" s="64" t="str">
        <f t="shared" si="55"/>
        <v>1w</v>
      </c>
      <c r="B3475" s="203">
        <f>_xll.qlCalendarAdvance(Calendar,B3474,A3475,"f",FALSE)</f>
        <v>63262</v>
      </c>
      <c r="C3475" s="237">
        <f>_xll.qlCalendarAdvance(Calendar,B3475,NDays&amp;"D")</f>
        <v>63264</v>
      </c>
      <c r="D3475" s="202">
        <v>2.4922859874500256E-2</v>
      </c>
      <c r="E3475" s="202">
        <v>2.4756998003958586E-2</v>
      </c>
      <c r="U3475" s="204"/>
    </row>
    <row r="3476" spans="1:21" x14ac:dyDescent="0.2">
      <c r="A3476" s="64" t="str">
        <f t="shared" si="55"/>
        <v>1w</v>
      </c>
      <c r="B3476" s="203">
        <f>_xll.qlCalendarAdvance(Calendar,B3475,A3476,"f",FALSE)</f>
        <v>63269</v>
      </c>
      <c r="C3476" s="237">
        <f>_xll.qlCalendarAdvance(Calendar,B3476,NDays&amp;"D")</f>
        <v>63271</v>
      </c>
      <c r="D3476" s="202">
        <v>2.4923390547066791E-2</v>
      </c>
      <c r="E3476" s="202">
        <v>2.4761256941465248E-2</v>
      </c>
      <c r="U3476" s="204"/>
    </row>
    <row r="3477" spans="1:21" x14ac:dyDescent="0.2">
      <c r="A3477" s="64" t="str">
        <f t="shared" si="55"/>
        <v>1w</v>
      </c>
      <c r="B3477" s="203">
        <f>_xll.qlCalendarAdvance(Calendar,B3476,A3477,"f",FALSE)</f>
        <v>63276</v>
      </c>
      <c r="C3477" s="237">
        <f>_xll.qlCalendarAdvance(Calendar,B3477,NDays&amp;"D")</f>
        <v>63278</v>
      </c>
      <c r="D3477" s="202">
        <v>2.4921233003689685E-2</v>
      </c>
      <c r="E3477" s="202">
        <v>2.4758318235242882E-2</v>
      </c>
      <c r="U3477" s="204"/>
    </row>
    <row r="3478" spans="1:21" x14ac:dyDescent="0.2">
      <c r="A3478" s="64" t="str">
        <f t="shared" si="55"/>
        <v>1w</v>
      </c>
      <c r="B3478" s="203">
        <f>_xll.qlCalendarAdvance(Calendar,B3477,A3478,"f",FALSE)</f>
        <v>63283</v>
      </c>
      <c r="C3478" s="237">
        <f>_xll.qlCalendarAdvance(Calendar,B3478,NDays&amp;"D")</f>
        <v>63285</v>
      </c>
      <c r="D3478" s="202">
        <v>2.4921744203380787E-2</v>
      </c>
      <c r="E3478" s="202">
        <v>2.4758962287814157E-2</v>
      </c>
      <c r="U3478" s="204"/>
    </row>
    <row r="3479" spans="1:21" x14ac:dyDescent="0.2">
      <c r="A3479" s="64" t="str">
        <f t="shared" si="55"/>
        <v>1w</v>
      </c>
      <c r="B3479" s="203">
        <f>_xll.qlCalendarAdvance(Calendar,B3478,A3479,"f",FALSE)</f>
        <v>63290</v>
      </c>
      <c r="C3479" s="237">
        <f>_xll.qlCalendarAdvance(Calendar,B3479,NDays&amp;"D")</f>
        <v>63292</v>
      </c>
      <c r="D3479" s="202">
        <v>2.4922244559568745E-2</v>
      </c>
      <c r="E3479" s="202">
        <v>2.4759595631751452E-2</v>
      </c>
      <c r="U3479" s="204"/>
    </row>
    <row r="3480" spans="1:21" x14ac:dyDescent="0.2">
      <c r="A3480" s="64" t="str">
        <f t="shared" si="55"/>
        <v>1w</v>
      </c>
      <c r="B3480" s="203">
        <f>_xll.qlCalendarAdvance(Calendar,B3479,A3480,"f",FALSE)</f>
        <v>63297</v>
      </c>
      <c r="C3480" s="237">
        <f>_xll.qlCalendarAdvance(Calendar,B3480,NDays&amp;"D")</f>
        <v>63299</v>
      </c>
      <c r="D3480" s="202">
        <v>2.4922734072245694E-2</v>
      </c>
      <c r="E3480" s="202">
        <v>2.4760218266974832E-2</v>
      </c>
      <c r="U3480" s="204"/>
    </row>
    <row r="3481" spans="1:21" x14ac:dyDescent="0.2">
      <c r="A3481" s="64" t="str">
        <f t="shared" si="55"/>
        <v>1w</v>
      </c>
      <c r="B3481" s="203">
        <f>_xll.qlCalendarAdvance(Calendar,B3480,A3481,"f",FALSE)</f>
        <v>63304</v>
      </c>
      <c r="C3481" s="237">
        <f>_xll.qlCalendarAdvance(Calendar,B3481,NDays&amp;"D")</f>
        <v>63306</v>
      </c>
      <c r="D3481" s="202">
        <v>2.4923212741402904E-2</v>
      </c>
      <c r="E3481" s="202">
        <v>2.476083019340436E-2</v>
      </c>
      <c r="U3481" s="204"/>
    </row>
    <row r="3482" spans="1:21" x14ac:dyDescent="0.2">
      <c r="A3482" s="64" t="str">
        <f t="shared" si="55"/>
        <v>1w</v>
      </c>
      <c r="B3482" s="203">
        <f>_xll.qlCalendarAdvance(Calendar,B3481,A3482,"f",FALSE)</f>
        <v>63311</v>
      </c>
      <c r="C3482" s="237">
        <f>_xll.qlCalendarAdvance(Calendar,B3482,NDays&amp;"D")</f>
        <v>63313</v>
      </c>
      <c r="D3482" s="202">
        <v>2.4926346821979833E-2</v>
      </c>
      <c r="E3482" s="202">
        <v>2.4761431411119972E-2</v>
      </c>
      <c r="U3482" s="204"/>
    </row>
    <row r="3483" spans="1:21" x14ac:dyDescent="0.2">
      <c r="A3483" s="64" t="str">
        <f t="shared" si="55"/>
        <v>1w</v>
      </c>
      <c r="B3483" s="203">
        <f>_xll.qlCalendarAdvance(Calendar,B3482,A3483,"f",FALSE)</f>
        <v>63318</v>
      </c>
      <c r="C3483" s="237">
        <f>_xll.qlCalendarAdvance(Calendar,B3483,NDays&amp;"D")</f>
        <v>63320</v>
      </c>
      <c r="D3483" s="202">
        <v>2.4926801574307669E-2</v>
      </c>
      <c r="E3483" s="202">
        <v>2.4762021920121668E-2</v>
      </c>
      <c r="U3483" s="204"/>
    </row>
    <row r="3484" spans="1:21" x14ac:dyDescent="0.2">
      <c r="A3484" s="64" t="str">
        <f t="shared" si="55"/>
        <v>1w</v>
      </c>
      <c r="B3484" s="203">
        <f>_xll.qlCalendarAdvance(Calendar,B3483,A3484,"f",FALSE)</f>
        <v>63325</v>
      </c>
      <c r="C3484" s="237">
        <f>_xll.qlCalendarAdvance(Calendar,B3484,NDays&amp;"D")</f>
        <v>63327</v>
      </c>
      <c r="D3484" s="202">
        <v>2.4927245480855748E-2</v>
      </c>
      <c r="E3484" s="202">
        <v>2.4762601720569322E-2</v>
      </c>
      <c r="U3484" s="204"/>
    </row>
    <row r="3485" spans="1:21" x14ac:dyDescent="0.2">
      <c r="A3485" s="64" t="str">
        <f t="shared" si="55"/>
        <v>1w</v>
      </c>
      <c r="B3485" s="203">
        <f>_xll.qlCalendarAdvance(Calendar,B3484,A3485,"f",FALSE)</f>
        <v>63332</v>
      </c>
      <c r="C3485" s="237">
        <f>_xll.qlCalendarAdvance(Calendar,B3485,NDays&amp;"D")</f>
        <v>63334</v>
      </c>
      <c r="D3485" s="202">
        <v>2.4927678541616764E-2</v>
      </c>
      <c r="E3485" s="202">
        <v>2.4763170812143187E-2</v>
      </c>
      <c r="U3485" s="204"/>
    </row>
    <row r="3486" spans="1:21" x14ac:dyDescent="0.2">
      <c r="A3486" s="64" t="str">
        <f t="shared" si="55"/>
        <v>1w</v>
      </c>
      <c r="B3486" s="203">
        <f>_xll.qlCalendarAdvance(Calendar,B3485,A3486,"f",FALSE)</f>
        <v>63339</v>
      </c>
      <c r="C3486" s="237">
        <f>_xll.qlCalendarAdvance(Calendar,B3486,NDays&amp;"D")</f>
        <v>63341</v>
      </c>
      <c r="D3486" s="202">
        <v>2.4925443434141624E-2</v>
      </c>
      <c r="E3486" s="202">
        <v>2.4763729195003137E-2</v>
      </c>
      <c r="U3486" s="204"/>
    </row>
    <row r="3487" spans="1:21" x14ac:dyDescent="0.2">
      <c r="A3487" s="64" t="str">
        <f t="shared" si="55"/>
        <v>1w</v>
      </c>
      <c r="B3487" s="203">
        <f>_xll.qlCalendarAdvance(Calendar,B3486,A3487,"f",FALSE)</f>
        <v>63346</v>
      </c>
      <c r="C3487" s="237">
        <f>_xll.qlCalendarAdvance(Calendar,B3487,NDays&amp;"D")</f>
        <v>63348</v>
      </c>
      <c r="D3487" s="202">
        <v>2.4925857042027488E-2</v>
      </c>
      <c r="E3487" s="202">
        <v>2.4764276869229107E-2</v>
      </c>
      <c r="U3487" s="204"/>
    </row>
    <row r="3488" spans="1:21" x14ac:dyDescent="0.2">
      <c r="A3488" s="64" t="str">
        <f t="shared" si="55"/>
        <v>1w</v>
      </c>
      <c r="B3488" s="203">
        <f>_xll.qlCalendarAdvance(Calendar,B3487,A3488,"f",FALSE)</f>
        <v>63353</v>
      </c>
      <c r="C3488" s="237">
        <f>_xll.qlCalendarAdvance(Calendar,B3488,NDays&amp;"D")</f>
        <v>63355</v>
      </c>
      <c r="D3488" s="202">
        <v>2.4926259806344251E-2</v>
      </c>
      <c r="E3488" s="202">
        <v>2.4764813834741162E-2</v>
      </c>
      <c r="U3488" s="204"/>
    </row>
    <row r="3489" spans="1:21" x14ac:dyDescent="0.2">
      <c r="A3489" s="64" t="str">
        <f t="shared" si="55"/>
        <v>1w</v>
      </c>
      <c r="B3489" s="203">
        <f>_xll.qlCalendarAdvance(Calendar,B3488,A3489,"f",FALSE)</f>
        <v>63360</v>
      </c>
      <c r="C3489" s="237">
        <f>_xll.qlCalendarAdvance(Calendar,B3489,NDays&amp;"D")</f>
        <v>63362</v>
      </c>
      <c r="D3489" s="202">
        <v>2.4926651727084047E-2</v>
      </c>
      <c r="E3489" s="202">
        <v>2.4765340091459365E-2</v>
      </c>
      <c r="U3489" s="204"/>
    </row>
    <row r="3490" spans="1:21" x14ac:dyDescent="0.2">
      <c r="A3490" s="64" t="str">
        <f t="shared" si="55"/>
        <v>1w</v>
      </c>
      <c r="B3490" s="203">
        <f>_xll.qlCalendarAdvance(Calendar,B3489,A3490,"f",FALSE)</f>
        <v>63367</v>
      </c>
      <c r="C3490" s="237">
        <f>_xll.qlCalendarAdvance(Calendar,B3490,NDays&amp;"D")</f>
        <v>63369</v>
      </c>
      <c r="D3490" s="202">
        <v>2.4927032804241637E-2</v>
      </c>
      <c r="E3490" s="202">
        <v>2.4765855639543588E-2</v>
      </c>
      <c r="U3490" s="204"/>
    </row>
    <row r="3491" spans="1:21" x14ac:dyDescent="0.2">
      <c r="A3491" s="64" t="str">
        <f t="shared" si="55"/>
        <v>1w</v>
      </c>
      <c r="B3491" s="203">
        <f>_xll.qlCalendarAdvance(Calendar,B3490,A3491,"f",FALSE)</f>
        <v>63374</v>
      </c>
      <c r="C3491" s="237">
        <f>_xll.qlCalendarAdvance(Calendar,B3491,NDays&amp;"D")</f>
        <v>63376</v>
      </c>
      <c r="D3491" s="202">
        <v>2.4930049144254826E-2</v>
      </c>
      <c r="E3491" s="202">
        <v>2.476636047883396E-2</v>
      </c>
      <c r="U3491" s="204"/>
    </row>
    <row r="3492" spans="1:21" x14ac:dyDescent="0.2">
      <c r="A3492" s="64" t="str">
        <f t="shared" si="55"/>
        <v>1w</v>
      </c>
      <c r="B3492" s="203">
        <f>_xll.qlCalendarAdvance(Calendar,B3491,A3492,"f",FALSE)</f>
        <v>63381</v>
      </c>
      <c r="C3492" s="237">
        <f>_xll.qlCalendarAdvance(Calendar,B3492,NDays&amp;"D")</f>
        <v>63383</v>
      </c>
      <c r="D3492" s="202">
        <v>2.4930406284312569E-2</v>
      </c>
      <c r="E3492" s="202">
        <v>2.4766854609490352E-2</v>
      </c>
      <c r="U3492" s="204"/>
    </row>
    <row r="3493" spans="1:21" x14ac:dyDescent="0.2">
      <c r="A3493" s="64" t="str">
        <f t="shared" si="55"/>
        <v>1w</v>
      </c>
      <c r="B3493" s="203">
        <f>_xll.qlCalendarAdvance(Calendar,B3492,A3493,"f",FALSE)</f>
        <v>63388</v>
      </c>
      <c r="C3493" s="237">
        <f>_xll.qlCalendarAdvance(Calendar,B3493,NDays&amp;"D")</f>
        <v>63390</v>
      </c>
      <c r="D3493" s="202">
        <v>2.4930752578531244E-2</v>
      </c>
      <c r="E3493" s="202">
        <v>2.4767338031432828E-2</v>
      </c>
      <c r="U3493" s="204"/>
    </row>
    <row r="3494" spans="1:21" x14ac:dyDescent="0.2">
      <c r="A3494" s="64" t="str">
        <f t="shared" si="55"/>
        <v>1w</v>
      </c>
      <c r="B3494" s="203">
        <f>_xll.qlCalendarAdvance(Calendar,B3493,A3494,"f",FALSE)</f>
        <v>63395</v>
      </c>
      <c r="C3494" s="237">
        <f>_xll.qlCalendarAdvance(Calendar,B3494,NDays&amp;"D")</f>
        <v>63397</v>
      </c>
      <c r="D3494" s="202">
        <v>2.4931088026903549E-2</v>
      </c>
      <c r="E3494" s="202">
        <v>2.4767810744581453E-2</v>
      </c>
      <c r="U3494" s="204"/>
    </row>
    <row r="3495" spans="1:21" x14ac:dyDescent="0.2">
      <c r="A3495" s="64" t="str">
        <f t="shared" si="55"/>
        <v>1w</v>
      </c>
      <c r="B3495" s="203">
        <f>_xll.qlCalendarAdvance(Calendar,B3494,A3495,"f",FALSE)</f>
        <v>63402</v>
      </c>
      <c r="C3495" s="237">
        <f>_xll.qlCalendarAdvance(Calendar,B3495,NDays&amp;"D")</f>
        <v>63404</v>
      </c>
      <c r="D3495" s="202">
        <v>2.4931412629424325E-2</v>
      </c>
      <c r="E3495" s="202">
        <v>2.4768272749096099E-2</v>
      </c>
      <c r="U3495" s="204"/>
    </row>
    <row r="3496" spans="1:21" x14ac:dyDescent="0.2">
      <c r="A3496" s="64" t="str">
        <f t="shared" si="55"/>
        <v>1w</v>
      </c>
      <c r="B3496" s="203">
        <f>_xll.qlCalendarAdvance(Calendar,B3495,A3496,"f",FALSE)</f>
        <v>63409</v>
      </c>
      <c r="C3496" s="237">
        <f>_xll.qlCalendarAdvance(Calendar,B3496,NDays&amp;"D")</f>
        <v>63411</v>
      </c>
      <c r="D3496" s="202">
        <v>2.4931726386088846E-2</v>
      </c>
      <c r="E3496" s="202">
        <v>2.4768724044816892E-2</v>
      </c>
      <c r="U3496" s="204"/>
    </row>
    <row r="3497" spans="1:21" x14ac:dyDescent="0.2">
      <c r="A3497" s="64" t="str">
        <f t="shared" si="55"/>
        <v>1w</v>
      </c>
      <c r="B3497" s="203">
        <f>_xll.qlCalendarAdvance(Calendar,B3496,A3497,"f",FALSE)</f>
        <v>63416</v>
      </c>
      <c r="C3497" s="237">
        <f>_xll.qlCalendarAdvance(Calendar,B3497,NDays&amp;"D")</f>
        <v>63418</v>
      </c>
      <c r="D3497" s="202">
        <v>2.4932029296891953E-2</v>
      </c>
      <c r="E3497" s="202">
        <v>2.4769164631903706E-2</v>
      </c>
      <c r="U3497" s="204"/>
    </row>
    <row r="3498" spans="1:21" x14ac:dyDescent="0.2">
      <c r="A3498" s="64" t="str">
        <f t="shared" si="55"/>
        <v>1w</v>
      </c>
      <c r="B3498" s="203">
        <f>_xll.qlCalendarAdvance(Calendar,B3497,A3498,"f",FALSE)</f>
        <v>63423</v>
      </c>
      <c r="C3498" s="237">
        <f>_xll.qlCalendarAdvance(Calendar,B3498,NDays&amp;"D")</f>
        <v>63425</v>
      </c>
      <c r="D3498" s="202">
        <v>2.4932321361828061E-2</v>
      </c>
      <c r="E3498" s="202">
        <v>2.4769594510196669E-2</v>
      </c>
      <c r="U3498" s="204"/>
    </row>
    <row r="3499" spans="1:21" x14ac:dyDescent="0.2">
      <c r="A3499" s="64" t="str">
        <f t="shared" si="55"/>
        <v>1w</v>
      </c>
      <c r="B3499" s="203">
        <f>_xll.qlCalendarAdvance(Calendar,B3498,A3499,"f",FALSE)</f>
        <v>63430</v>
      </c>
      <c r="C3499" s="237">
        <f>_xll.qlCalendarAdvance(Calendar,B3499,NDays&amp;"D")</f>
        <v>63432</v>
      </c>
      <c r="D3499" s="202">
        <v>2.4928222346701785E-2</v>
      </c>
      <c r="E3499" s="202">
        <v>2.4770013679935587E-2</v>
      </c>
      <c r="U3499" s="204"/>
    </row>
    <row r="3500" spans="1:21" x14ac:dyDescent="0.2">
      <c r="A3500" s="64" t="str">
        <f t="shared" si="55"/>
        <v>1w</v>
      </c>
      <c r="B3500" s="203">
        <f>_xll.qlCalendarAdvance(Calendar,B3499,A3500,"f",FALSE)</f>
        <v>63437</v>
      </c>
      <c r="C3500" s="237">
        <f>_xll.qlCalendarAdvance(Calendar,B3500,NDays&amp;"D")</f>
        <v>63439</v>
      </c>
      <c r="D3500" s="202">
        <v>2.4928496499075074E-2</v>
      </c>
      <c r="E3500" s="202">
        <v>2.4770422140800719E-2</v>
      </c>
      <c r="U3500" s="204"/>
    </row>
    <row r="3501" spans="1:21" x14ac:dyDescent="0.2">
      <c r="A3501" s="64" t="str">
        <f t="shared" si="55"/>
        <v>1w</v>
      </c>
      <c r="B3501" s="203">
        <f>_xll.qlCalendarAdvance(Calendar,B3500,A3501,"f",FALSE)</f>
        <v>63444</v>
      </c>
      <c r="C3501" s="237">
        <f>_xll.qlCalendarAdvance(Calendar,B3501,NDays&amp;"D")</f>
        <v>63446</v>
      </c>
      <c r="D3501" s="202">
        <v>2.4928759809298644E-2</v>
      </c>
      <c r="E3501" s="202">
        <v>2.4770819892951934E-2</v>
      </c>
      <c r="U3501" s="204"/>
    </row>
    <row r="3502" spans="1:21" x14ac:dyDescent="0.2">
      <c r="A3502" s="64" t="str">
        <f t="shared" si="55"/>
        <v>1w</v>
      </c>
      <c r="B3502" s="203">
        <f>_xll.qlCalendarAdvance(Calendar,B3501,A3502,"f",FALSE)</f>
        <v>63451</v>
      </c>
      <c r="C3502" s="237">
        <f>_xll.qlCalendarAdvance(Calendar,B3502,NDays&amp;"D")</f>
        <v>63453</v>
      </c>
      <c r="D3502" s="202">
        <v>2.4929012277369402E-2</v>
      </c>
      <c r="E3502" s="202">
        <v>2.4771206936549106E-2</v>
      </c>
      <c r="U3502" s="204"/>
    </row>
    <row r="3503" spans="1:21" x14ac:dyDescent="0.2">
      <c r="A3503" s="64" t="str">
        <f t="shared" si="55"/>
        <v>1w</v>
      </c>
      <c r="B3503" s="203">
        <f>_xll.qlCalendarAdvance(Calendar,B3502,A3503,"f",FALSE)</f>
        <v>63458</v>
      </c>
      <c r="C3503" s="237">
        <f>_xll.qlCalendarAdvance(Calendar,B3503,NDays&amp;"D")</f>
        <v>63460</v>
      </c>
      <c r="D3503" s="202">
        <v>2.4929253903282052E-2</v>
      </c>
      <c r="E3503" s="202">
        <v>2.477158327127249E-2</v>
      </c>
      <c r="U3503" s="204"/>
    </row>
    <row r="3504" spans="1:21" x14ac:dyDescent="0.2">
      <c r="A3504" s="64" t="str">
        <f t="shared" si="55"/>
        <v>1w</v>
      </c>
      <c r="B3504" s="203">
        <f>_xll.qlCalendarAdvance(Calendar,B3503,A3504,"f",FALSE)</f>
        <v>63465</v>
      </c>
      <c r="C3504" s="237">
        <f>_xll.qlCalendarAdvance(Calendar,B3504,NDays&amp;"D")</f>
        <v>63467</v>
      </c>
      <c r="D3504" s="202">
        <v>2.4930357012321224E-2</v>
      </c>
      <c r="E3504" s="202">
        <v>2.4771948897441831E-2</v>
      </c>
      <c r="U3504" s="204"/>
    </row>
    <row r="3505" spans="1:21" x14ac:dyDescent="0.2">
      <c r="A3505" s="64" t="str">
        <f t="shared" si="55"/>
        <v>1w</v>
      </c>
      <c r="B3505" s="203">
        <f>_xll.qlCalendarAdvance(Calendar,B3504,A3505,"f",FALSE)</f>
        <v>63472</v>
      </c>
      <c r="C3505" s="237">
        <f>_xll.qlCalendarAdvance(Calendar,B3505,NDays&amp;"D")</f>
        <v>63474</v>
      </c>
      <c r="D3505" s="202">
        <v>2.4930576194550514E-2</v>
      </c>
      <c r="E3505" s="202">
        <v>2.477230381481732E-2</v>
      </c>
      <c r="U3505" s="204"/>
    </row>
    <row r="3506" spans="1:21" x14ac:dyDescent="0.2">
      <c r="A3506" s="64" t="str">
        <f t="shared" si="55"/>
        <v>1w</v>
      </c>
      <c r="B3506" s="203">
        <f>_xll.qlCalendarAdvance(Calendar,B3505,A3506,"f",FALSE)</f>
        <v>63479</v>
      </c>
      <c r="C3506" s="237">
        <f>_xll.qlCalendarAdvance(Calendar,B3506,NDays&amp;"D")</f>
        <v>63481</v>
      </c>
      <c r="D3506" s="202">
        <v>2.4930784533864665E-2</v>
      </c>
      <c r="E3506" s="202">
        <v>2.4772648023398958E-2</v>
      </c>
      <c r="U3506" s="204"/>
    </row>
    <row r="3507" spans="1:21" x14ac:dyDescent="0.2">
      <c r="A3507" s="64" t="str">
        <f t="shared" si="55"/>
        <v>1w</v>
      </c>
      <c r="B3507" s="203">
        <f>_xll.qlCalendarAdvance(Calendar,B3506,A3507,"f",FALSE)</f>
        <v>63486</v>
      </c>
      <c r="C3507" s="237">
        <f>_xll.qlCalendarAdvance(Calendar,B3507,NDays&amp;"D")</f>
        <v>63488</v>
      </c>
      <c r="D3507" s="202">
        <v>2.4930982030260167E-2</v>
      </c>
      <c r="E3507" s="202">
        <v>2.4772981523266679E-2</v>
      </c>
      <c r="U3507" s="204"/>
    </row>
    <row r="3508" spans="1:21" x14ac:dyDescent="0.2">
      <c r="A3508" s="64" t="str">
        <f t="shared" si="55"/>
        <v>1w</v>
      </c>
      <c r="B3508" s="203">
        <f>_xll.qlCalendarAdvance(Calendar,B3507,A3508,"f",FALSE)</f>
        <v>63493</v>
      </c>
      <c r="C3508" s="237">
        <f>_xll.qlCalendarAdvance(Calendar,B3508,NDays&amp;"D")</f>
        <v>63495</v>
      </c>
      <c r="D3508" s="202">
        <v>2.4930299400355717E-2</v>
      </c>
      <c r="E3508" s="202">
        <v>2.4773304314580358E-2</v>
      </c>
      <c r="U3508" s="204"/>
    </row>
    <row r="3509" spans="1:21" x14ac:dyDescent="0.2">
      <c r="A3509" s="64" t="str">
        <f t="shared" si="55"/>
        <v>1w</v>
      </c>
      <c r="B3509" s="203">
        <f>_xll.qlCalendarAdvance(Calendar,B3508,A3509,"f",FALSE)</f>
        <v>63500</v>
      </c>
      <c r="C3509" s="237">
        <f>_xll.qlCalendarAdvance(Calendar,B3509,NDays&amp;"D")</f>
        <v>63502</v>
      </c>
      <c r="D3509" s="202">
        <v>2.49304759732486E-2</v>
      </c>
      <c r="E3509" s="202">
        <v>2.4773616397100184E-2</v>
      </c>
      <c r="U3509" s="204"/>
    </row>
    <row r="3510" spans="1:21" x14ac:dyDescent="0.2">
      <c r="A3510" s="64" t="str">
        <f t="shared" si="55"/>
        <v>1w</v>
      </c>
      <c r="B3510" s="203">
        <f>_xll.qlCalendarAdvance(Calendar,B3509,A3510,"f",FALSE)</f>
        <v>63507</v>
      </c>
      <c r="C3510" s="237">
        <f>_xll.qlCalendarAdvance(Calendar,B3510,NDays&amp;"D")</f>
        <v>63509</v>
      </c>
      <c r="D3510" s="202">
        <v>2.4930641703959963E-2</v>
      </c>
      <c r="E3510" s="202">
        <v>2.4773917770826159E-2</v>
      </c>
      <c r="U3510" s="204"/>
    </row>
    <row r="3511" spans="1:21" x14ac:dyDescent="0.2">
      <c r="A3511" s="64" t="str">
        <f t="shared" si="55"/>
        <v>1w</v>
      </c>
      <c r="B3511" s="203">
        <f>_xll.qlCalendarAdvance(Calendar,B3510,A3511,"f",FALSE)</f>
        <v>63514</v>
      </c>
      <c r="C3511" s="237">
        <f>_xll.qlCalendarAdvance(Calendar,B3511,NDays&amp;"D")</f>
        <v>63516</v>
      </c>
      <c r="D3511" s="202">
        <v>2.4930796592487602E-2</v>
      </c>
      <c r="E3511" s="202">
        <v>2.4774208435998091E-2</v>
      </c>
      <c r="U3511" s="204"/>
    </row>
    <row r="3512" spans="1:21" x14ac:dyDescent="0.2">
      <c r="A3512" s="64" t="str">
        <f t="shared" si="55"/>
        <v>1w</v>
      </c>
      <c r="B3512" s="203">
        <f>_xll.qlCalendarAdvance(Calendar,B3511,A3512,"f",FALSE)</f>
        <v>63521</v>
      </c>
      <c r="C3512" s="237">
        <f>_xll.qlCalendarAdvance(Calendar,B3512,NDays&amp;"D")</f>
        <v>63523</v>
      </c>
      <c r="D3512" s="202">
        <v>2.4931806869981088E-2</v>
      </c>
      <c r="E3512" s="202">
        <v>2.4774488392376171E-2</v>
      </c>
      <c r="U3512" s="204"/>
    </row>
    <row r="3513" spans="1:21" x14ac:dyDescent="0.2">
      <c r="A3513" s="64" t="str">
        <f t="shared" si="55"/>
        <v>1w</v>
      </c>
      <c r="B3513" s="203">
        <f>_xll.qlCalendarAdvance(Calendar,B3512,A3513,"f",FALSE)</f>
        <v>63528</v>
      </c>
      <c r="C3513" s="237">
        <f>_xll.qlCalendarAdvance(Calendar,B3513,NDays&amp;"D")</f>
        <v>63530</v>
      </c>
      <c r="D3513" s="202">
        <v>2.4931939454911376E-2</v>
      </c>
      <c r="E3513" s="202">
        <v>2.4774757639960399E-2</v>
      </c>
      <c r="U3513" s="204"/>
    </row>
    <row r="3514" spans="1:21" x14ac:dyDescent="0.2">
      <c r="A3514" s="64" t="str">
        <f t="shared" si="55"/>
        <v>1w</v>
      </c>
      <c r="B3514" s="203">
        <f>_xll.qlCalendarAdvance(Calendar,B3513,A3514,"f",FALSE)</f>
        <v>63535</v>
      </c>
      <c r="C3514" s="237">
        <f>_xll.qlCalendarAdvance(Calendar,B3514,NDays&amp;"D")</f>
        <v>63537</v>
      </c>
      <c r="D3514" s="202">
        <v>2.4932061733092804E-2</v>
      </c>
      <c r="E3514" s="202">
        <v>2.4775016178910647E-2</v>
      </c>
      <c r="U3514" s="204"/>
    </row>
    <row r="3515" spans="1:21" x14ac:dyDescent="0.2">
      <c r="A3515" s="64" t="str">
        <f t="shared" si="55"/>
        <v>1w</v>
      </c>
      <c r="B3515" s="203">
        <f>_xll.qlCalendarAdvance(Calendar,B3514,A3515,"f",FALSE)</f>
        <v>63542</v>
      </c>
      <c r="C3515" s="237">
        <f>_xll.qlCalendarAdvance(Calendar,B3515,NDays&amp;"D")</f>
        <v>63544</v>
      </c>
      <c r="D3515" s="202">
        <v>2.4932174121562324E-2</v>
      </c>
      <c r="E3515" s="202">
        <v>2.477526400914698E-2</v>
      </c>
      <c r="U3515" s="204"/>
    </row>
    <row r="3516" spans="1:21" x14ac:dyDescent="0.2">
      <c r="A3516" s="64" t="str">
        <f t="shared" si="55"/>
        <v>1w</v>
      </c>
      <c r="B3516" s="203">
        <f>_xll.qlCalendarAdvance(Calendar,B3515,A3516,"f",FALSE)</f>
        <v>63550</v>
      </c>
      <c r="C3516" s="237">
        <f>_xll.qlCalendarAdvance(Calendar,B3516,NDays&amp;"D")</f>
        <v>63552</v>
      </c>
      <c r="D3516" s="202">
        <v>2.4932290990646404E-2</v>
      </c>
      <c r="E3516" s="202">
        <v>2.4778140825412187E-2</v>
      </c>
      <c r="U3516" s="204"/>
    </row>
    <row r="3517" spans="1:21" x14ac:dyDescent="0.2">
      <c r="A3517" s="64" t="str">
        <f t="shared" si="55"/>
        <v>1w</v>
      </c>
      <c r="B3517" s="203">
        <f>_xll.qlCalendarAdvance(Calendar,B3516,A3517,"f",FALSE)</f>
        <v>63557</v>
      </c>
      <c r="C3517" s="237">
        <f>_xll.qlCalendarAdvance(Calendar,B3517,NDays&amp;"D")</f>
        <v>63559</v>
      </c>
      <c r="D3517" s="202">
        <v>2.4931520506621545E-2</v>
      </c>
      <c r="E3517" s="202">
        <v>2.4777495342664935E-2</v>
      </c>
      <c r="U3517" s="204"/>
    </row>
    <row r="3518" spans="1:21" x14ac:dyDescent="0.2">
      <c r="A3518" s="64" t="str">
        <f t="shared" si="55"/>
        <v>1w</v>
      </c>
      <c r="B3518" s="203">
        <f>_xll.qlCalendarAdvance(Calendar,B3517,A3518,"f",FALSE)</f>
        <v>63564</v>
      </c>
      <c r="C3518" s="237">
        <f>_xll.qlCalendarAdvance(Calendar,B3518,NDays&amp;"D")</f>
        <v>63566</v>
      </c>
      <c r="D3518" s="202">
        <v>2.4931604986510706E-2</v>
      </c>
      <c r="E3518" s="202">
        <v>2.4777708016410216E-2</v>
      </c>
      <c r="U3518" s="204"/>
    </row>
    <row r="3519" spans="1:21" x14ac:dyDescent="0.2">
      <c r="A3519" s="64" t="str">
        <f t="shared" si="55"/>
        <v>1w</v>
      </c>
      <c r="B3519" s="203">
        <f>_xll.qlCalendarAdvance(Calendar,B3518,A3519,"f",FALSE)</f>
        <v>63571</v>
      </c>
      <c r="C3519" s="237">
        <f>_xll.qlCalendarAdvance(Calendar,B3519,NDays&amp;"D")</f>
        <v>63573</v>
      </c>
      <c r="D3519" s="202">
        <v>2.4931681259874904E-2</v>
      </c>
      <c r="E3519" s="202">
        <v>2.4777909979949442E-2</v>
      </c>
      <c r="U3519" s="204"/>
    </row>
    <row r="3520" spans="1:21" x14ac:dyDescent="0.2">
      <c r="A3520" s="64" t="str">
        <f t="shared" si="55"/>
        <v>1w</v>
      </c>
      <c r="B3520" s="203">
        <f>_xll.qlCalendarAdvance(Calendar,B3519,A3520,"f",FALSE)</f>
        <v>63578</v>
      </c>
      <c r="C3520" s="237">
        <f>_xll.qlCalendarAdvance(Calendar,B3520,NDays&amp;"D")</f>
        <v>63580</v>
      </c>
      <c r="D3520" s="202">
        <v>2.4931749746025578E-2</v>
      </c>
      <c r="E3520" s="202">
        <v>2.4778101233309258E-2</v>
      </c>
      <c r="U3520" s="204"/>
    </row>
    <row r="3521" spans="1:21" x14ac:dyDescent="0.2">
      <c r="A3521" s="64" t="str">
        <f t="shared" si="55"/>
        <v>1w</v>
      </c>
      <c r="B3521" s="203">
        <f>_xll.qlCalendarAdvance(Calendar,B3520,A3521,"f",FALSE)</f>
        <v>63585</v>
      </c>
      <c r="C3521" s="237">
        <f>_xll.qlCalendarAdvance(Calendar,B3521,NDays&amp;"D")</f>
        <v>63587</v>
      </c>
      <c r="D3521" s="202">
        <v>2.4931810864271955E-2</v>
      </c>
      <c r="E3521" s="202">
        <v>2.4778281776436373E-2</v>
      </c>
      <c r="U3521" s="204"/>
    </row>
    <row r="3522" spans="1:21" x14ac:dyDescent="0.2">
      <c r="A3522" s="64" t="str">
        <f t="shared" si="55"/>
        <v>1w</v>
      </c>
      <c r="B3522" s="203">
        <f>_xll.qlCalendarAdvance(Calendar,B3521,A3522,"f",FALSE)</f>
        <v>63592</v>
      </c>
      <c r="C3522" s="237">
        <f>_xll.qlCalendarAdvance(Calendar,B3522,NDays&amp;"D")</f>
        <v>63594</v>
      </c>
      <c r="D3522" s="202">
        <v>2.4931865033925908E-2</v>
      </c>
      <c r="E3522" s="202">
        <v>2.4778451609437369E-2</v>
      </c>
      <c r="U3522" s="204"/>
    </row>
    <row r="3523" spans="1:21" x14ac:dyDescent="0.2">
      <c r="A3523" s="64" t="str">
        <f t="shared" si="55"/>
        <v>1w</v>
      </c>
      <c r="B3523" s="203">
        <f>_xll.qlCalendarAdvance(Calendar,B3522,A3523,"f",FALSE)</f>
        <v>63599</v>
      </c>
      <c r="C3523" s="237">
        <f>_xll.qlCalendarAdvance(Calendar,B3523,NDays&amp;"D")</f>
        <v>63601</v>
      </c>
      <c r="D3523" s="202">
        <v>2.4931912674298441E-2</v>
      </c>
      <c r="E3523" s="202">
        <v>2.4778610732205664E-2</v>
      </c>
      <c r="U3523" s="204"/>
    </row>
    <row r="3524" spans="1:21" x14ac:dyDescent="0.2">
      <c r="A3524" s="64" t="str">
        <f t="shared" si="55"/>
        <v>1w</v>
      </c>
      <c r="B3524" s="203">
        <f>_xll.qlCalendarAdvance(Calendar,B3523,A3524,"f",FALSE)</f>
        <v>63606</v>
      </c>
      <c r="C3524" s="237">
        <f>_xll.qlCalendarAdvance(Calendar,B3524,NDays&amp;"D")</f>
        <v>63608</v>
      </c>
      <c r="D3524" s="202">
        <v>2.4931954204701866E-2</v>
      </c>
      <c r="E3524" s="202">
        <v>2.4778759144821194E-2</v>
      </c>
      <c r="U3524" s="204"/>
    </row>
    <row r="3525" spans="1:21" x14ac:dyDescent="0.2">
      <c r="A3525" s="64" t="str">
        <f t="shared" si="55"/>
        <v>1w</v>
      </c>
      <c r="B3525" s="203">
        <f>_xll.qlCalendarAdvance(Calendar,B3524,A3525,"f",FALSE)</f>
        <v>63613</v>
      </c>
      <c r="C3525" s="237">
        <f>_xll.qlCalendarAdvance(Calendar,B3525,NDays&amp;"D")</f>
        <v>63615</v>
      </c>
      <c r="D3525" s="202">
        <v>2.4935432379795185E-2</v>
      </c>
      <c r="E3525" s="202">
        <v>2.4778896847257315E-2</v>
      </c>
      <c r="U3525" s="204"/>
    </row>
    <row r="3526" spans="1:21" x14ac:dyDescent="0.2">
      <c r="A3526" s="64" t="str">
        <f t="shared" si="55"/>
        <v>1w</v>
      </c>
      <c r="B3526" s="203">
        <f>_xll.qlCalendarAdvance(Calendar,B3525,A3526,"f",FALSE)</f>
        <v>63620</v>
      </c>
      <c r="C3526" s="237">
        <f>_xll.qlCalendarAdvance(Calendar,B3526,NDays&amp;"D")</f>
        <v>63622</v>
      </c>
      <c r="D3526" s="202">
        <v>2.4935462295488459E-2</v>
      </c>
      <c r="E3526" s="202">
        <v>2.4779023839434089E-2</v>
      </c>
      <c r="U3526" s="204"/>
    </row>
    <row r="3527" spans="1:21" x14ac:dyDescent="0.2">
      <c r="A3527" s="64" t="str">
        <f t="shared" ref="A3527:A3538" si="56">A3526</f>
        <v>1w</v>
      </c>
      <c r="B3527" s="203">
        <f>_xll.qlCalendarAdvance(Calendar,B3526,A3527,"f",FALSE)</f>
        <v>63627</v>
      </c>
      <c r="C3527" s="237">
        <f>_xll.qlCalendarAdvance(Calendar,B3527,NDays&amp;"D")</f>
        <v>63629</v>
      </c>
      <c r="D3527" s="202">
        <v>2.4935487462748734E-2</v>
      </c>
      <c r="E3527" s="202">
        <v>2.4779140121484744E-2</v>
      </c>
      <c r="U3527" s="204"/>
    </row>
    <row r="3528" spans="1:21" x14ac:dyDescent="0.2">
      <c r="A3528" s="64" t="str">
        <f t="shared" si="56"/>
        <v>1w</v>
      </c>
      <c r="B3528" s="203">
        <f>_xll.qlCalendarAdvance(Calendar,B3527,A3528,"f",FALSE)</f>
        <v>63634</v>
      </c>
      <c r="C3528" s="237">
        <f>_xll.qlCalendarAdvance(Calendar,B3528,NDays&amp;"D")</f>
        <v>63636</v>
      </c>
      <c r="D3528" s="202">
        <v>2.4935508291932734E-2</v>
      </c>
      <c r="E3528" s="202">
        <v>2.4779245693355989E-2</v>
      </c>
      <c r="U3528" s="204"/>
    </row>
    <row r="3529" spans="1:21" x14ac:dyDescent="0.2">
      <c r="A3529" s="64" t="str">
        <f t="shared" si="56"/>
        <v>1w</v>
      </c>
      <c r="B3529" s="203">
        <f>_xll.qlCalendarAdvance(Calendar,B3528,A3529,"f",FALSE)</f>
        <v>63641</v>
      </c>
      <c r="C3529" s="237">
        <f>_xll.qlCalendarAdvance(Calendar,B3529,NDays&amp;"D")</f>
        <v>63643</v>
      </c>
      <c r="D3529" s="202">
        <v>2.4932944905283569E-2</v>
      </c>
      <c r="E3529" s="202">
        <v>2.4779340554994533E-2</v>
      </c>
      <c r="U3529" s="204"/>
    </row>
    <row r="3530" spans="1:21" x14ac:dyDescent="0.2">
      <c r="A3530" s="64" t="str">
        <f t="shared" si="56"/>
        <v>1w</v>
      </c>
      <c r="B3530" s="203">
        <f>_xll.qlCalendarAdvance(Calendar,B3529,A3530,"f",FALSE)</f>
        <v>63648</v>
      </c>
      <c r="C3530" s="237">
        <f>_xll.qlCalendarAdvance(Calendar,B3530,NDays&amp;"D")</f>
        <v>63650</v>
      </c>
      <c r="D3530" s="202">
        <v>2.4935538577509159E-2</v>
      </c>
      <c r="E3530" s="202">
        <v>2.4779424706506958E-2</v>
      </c>
      <c r="U3530" s="204"/>
    </row>
    <row r="3531" spans="1:21" x14ac:dyDescent="0.2">
      <c r="A3531" s="64" t="str">
        <f t="shared" si="56"/>
        <v>1w</v>
      </c>
      <c r="B3531" s="203">
        <f>_xll.qlCalendarAdvance(Calendar,B3530,A3531,"f",FALSE)</f>
        <v>63655</v>
      </c>
      <c r="C3531" s="237">
        <f>_xll.qlCalendarAdvance(Calendar,B3531,NDays&amp;"D")</f>
        <v>63661</v>
      </c>
      <c r="D3531" s="202">
        <v>2.4933833566490503E-2</v>
      </c>
      <c r="E3531" s="202">
        <v>2.4777820987615939E-2</v>
      </c>
      <c r="U3531" s="204"/>
    </row>
    <row r="3532" spans="1:21" x14ac:dyDescent="0.2">
      <c r="A3532" s="64" t="str">
        <f t="shared" si="56"/>
        <v>1w</v>
      </c>
      <c r="B3532" s="203">
        <f>_xll.qlCalendarAdvance(Calendar,B3531,A3532,"f",FALSE)</f>
        <v>63662</v>
      </c>
      <c r="C3532" s="237">
        <f>_xll.qlCalendarAdvance(Calendar,B3532,NDays&amp;"D")</f>
        <v>63664</v>
      </c>
      <c r="D3532" s="202">
        <v>2.4935556435083606E-2</v>
      </c>
      <c r="E3532" s="202">
        <v>2.4779560878860352E-2</v>
      </c>
      <c r="U3532" s="204"/>
    </row>
    <row r="3533" spans="1:21" x14ac:dyDescent="0.2">
      <c r="A3533" s="64" t="str">
        <f t="shared" si="56"/>
        <v>1w</v>
      </c>
      <c r="B3533" s="203">
        <f>_xll.qlCalendarAdvance(Calendar,B3532,A3533,"f",FALSE)</f>
        <v>63669</v>
      </c>
      <c r="C3533" s="237">
        <f>_xll.qlCalendarAdvance(Calendar,B3533,NDays&amp;"D")</f>
        <v>63671</v>
      </c>
      <c r="D3533" s="202">
        <v>2.4935561729266861E-2</v>
      </c>
      <c r="E3533" s="202">
        <v>2.4779612899754611E-2</v>
      </c>
      <c r="U3533" s="204"/>
    </row>
    <row r="3534" spans="1:21" x14ac:dyDescent="0.2">
      <c r="A3534" s="64" t="str">
        <f t="shared" si="56"/>
        <v>1w</v>
      </c>
      <c r="B3534" s="203">
        <f>_xll.qlCalendarAdvance(Calendar,B3533,A3534,"f",FALSE)</f>
        <v>63676</v>
      </c>
      <c r="C3534" s="237">
        <f>_xll.qlCalendarAdvance(Calendar,B3534,NDays&amp;"D")</f>
        <v>63678</v>
      </c>
      <c r="D3534" s="202">
        <v>2.4935565147525401E-2</v>
      </c>
      <c r="E3534" s="202">
        <v>2.477965421052275E-2</v>
      </c>
      <c r="U3534" s="204"/>
    </row>
    <row r="3535" spans="1:21" x14ac:dyDescent="0.2">
      <c r="A3535" s="64" t="str">
        <f t="shared" si="56"/>
        <v>1w</v>
      </c>
      <c r="B3535" s="203">
        <f>_xll.qlCalendarAdvance(Calendar,B3534,A3535,"f",FALSE)</f>
        <v>63683</v>
      </c>
      <c r="C3535" s="237">
        <f>_xll.qlCalendarAdvance(Calendar,B3535,NDays&amp;"D")</f>
        <v>63685</v>
      </c>
      <c r="D3535" s="202">
        <v>2.493556710021811E-2</v>
      </c>
      <c r="E3535" s="202">
        <v>2.4779684811031544E-2</v>
      </c>
      <c r="U3535" s="204"/>
    </row>
    <row r="3536" spans="1:21" x14ac:dyDescent="0.2">
      <c r="A3536" s="64" t="str">
        <f t="shared" si="56"/>
        <v>1w</v>
      </c>
      <c r="B3536" s="203">
        <f>_xll.qlCalendarAdvance(Calendar,B3535,A3536,"f",FALSE)</f>
        <v>63690</v>
      </c>
      <c r="C3536" s="237">
        <f>_xll.qlCalendarAdvance(Calendar,B3536,NDays&amp;"D")</f>
        <v>63692</v>
      </c>
      <c r="D3536" s="202">
        <v>2.4935567997702576E-2</v>
      </c>
      <c r="E3536" s="202">
        <v>2.4779704701360927E-2</v>
      </c>
      <c r="U3536" s="204"/>
    </row>
    <row r="3537" spans="1:21" x14ac:dyDescent="0.2">
      <c r="A3537" s="64" t="str">
        <f t="shared" si="56"/>
        <v>1w</v>
      </c>
      <c r="B3537" s="203">
        <f>_xll.qlCalendarAdvance(Calendar,B3536,A3537,"f",FALSE)</f>
        <v>63697</v>
      </c>
      <c r="C3537" s="237">
        <f>_xll.qlCalendarAdvance(Calendar,B3537,NDays&amp;"D")</f>
        <v>63699</v>
      </c>
      <c r="D3537" s="202">
        <v>2.4935568250338543E-2</v>
      </c>
      <c r="E3537" s="202">
        <v>2.4779713881590837E-2</v>
      </c>
      <c r="U3537" s="204"/>
    </row>
    <row r="3538" spans="1:21" x14ac:dyDescent="0.2">
      <c r="A3538" s="64" t="str">
        <f t="shared" si="56"/>
        <v>1w</v>
      </c>
      <c r="B3538" s="203">
        <f>_xll.qlCalendarAdvance(Calendar,B3537,A3538,"f",FALSE)</f>
        <v>63704</v>
      </c>
      <c r="C3538" s="237">
        <f>_xll.qlCalendarAdvance(Calendar,B3538,NDays&amp;"D")</f>
        <v>63706</v>
      </c>
      <c r="D3538" s="202">
        <v>2.4935568263099794E-2</v>
      </c>
      <c r="E3538" s="202">
        <v>2.477971464657891E-2</v>
      </c>
      <c r="U3538" s="204"/>
    </row>
    <row r="3539" spans="1:21" x14ac:dyDescent="0.2">
      <c r="B3539" s="203"/>
      <c r="C3539" s="237"/>
      <c r="D3539" s="202"/>
      <c r="E3539" s="202"/>
      <c r="U3539" s="204"/>
    </row>
    <row r="3540" spans="1:21" x14ac:dyDescent="0.2">
      <c r="B3540" s="203"/>
      <c r="C3540" s="237"/>
      <c r="D3540" s="202"/>
      <c r="E3540" s="202"/>
      <c r="U3540" s="204"/>
    </row>
    <row r="3541" spans="1:21" x14ac:dyDescent="0.2">
      <c r="B3541" s="203"/>
      <c r="C3541" s="237"/>
      <c r="D3541" s="202"/>
      <c r="E3541" s="202"/>
      <c r="U3541" s="204"/>
    </row>
    <row r="3542" spans="1:21" x14ac:dyDescent="0.2">
      <c r="B3542" s="203"/>
      <c r="C3542" s="237"/>
      <c r="D3542" s="202"/>
      <c r="E3542" s="202"/>
      <c r="U3542" s="204"/>
    </row>
    <row r="3543" spans="1:21" x14ac:dyDescent="0.2">
      <c r="B3543" s="203"/>
      <c r="C3543" s="237"/>
      <c r="D3543" s="202"/>
      <c r="E3543" s="202"/>
      <c r="U3543" s="204"/>
    </row>
    <row r="3544" spans="1:21" x14ac:dyDescent="0.2">
      <c r="B3544" s="203"/>
      <c r="C3544" s="237"/>
      <c r="D3544" s="202"/>
      <c r="E3544" s="202"/>
      <c r="U3544" s="204"/>
    </row>
    <row r="3545" spans="1:21" x14ac:dyDescent="0.2">
      <c r="B3545" s="203"/>
      <c r="C3545" s="237"/>
      <c r="D3545" s="202"/>
      <c r="E3545" s="202"/>
      <c r="U3545" s="204"/>
    </row>
    <row r="3546" spans="1:21" x14ac:dyDescent="0.2">
      <c r="B3546" s="203"/>
      <c r="C3546" s="237"/>
      <c r="D3546" s="202"/>
      <c r="E3546" s="202"/>
      <c r="U3546" s="204"/>
    </row>
    <row r="3547" spans="1:21" x14ac:dyDescent="0.2">
      <c r="B3547" s="203"/>
      <c r="C3547" s="237"/>
      <c r="D3547" s="202"/>
      <c r="E3547" s="202"/>
      <c r="U3547" s="204"/>
    </row>
    <row r="3548" spans="1:21" x14ac:dyDescent="0.2">
      <c r="B3548" s="203"/>
      <c r="C3548" s="237"/>
      <c r="D3548" s="202"/>
      <c r="E3548" s="202"/>
      <c r="U3548" s="204"/>
    </row>
    <row r="3549" spans="1:21" x14ac:dyDescent="0.2">
      <c r="B3549" s="203"/>
      <c r="C3549" s="237"/>
      <c r="D3549" s="202"/>
      <c r="E3549" s="202"/>
      <c r="U3549" s="204"/>
    </row>
    <row r="3550" spans="1:21" x14ac:dyDescent="0.2">
      <c r="B3550" s="203"/>
      <c r="C3550" s="237"/>
      <c r="D3550" s="202"/>
      <c r="E3550" s="202"/>
      <c r="U3550" s="204"/>
    </row>
    <row r="3551" spans="1:21" x14ac:dyDescent="0.2">
      <c r="B3551" s="203"/>
      <c r="C3551" s="237"/>
      <c r="D3551" s="202"/>
      <c r="E3551" s="202"/>
      <c r="U3551" s="204"/>
    </row>
    <row r="3552" spans="1:21" x14ac:dyDescent="0.2">
      <c r="B3552" s="203"/>
      <c r="C3552" s="237"/>
      <c r="D3552" s="202"/>
      <c r="E3552" s="202"/>
      <c r="U3552" s="204"/>
    </row>
    <row r="3553" spans="2:21" x14ac:dyDescent="0.2">
      <c r="B3553" s="203"/>
      <c r="C3553" s="237"/>
      <c r="D3553" s="202"/>
      <c r="E3553" s="202"/>
      <c r="U3553" s="204"/>
    </row>
    <row r="3554" spans="2:21" x14ac:dyDescent="0.2">
      <c r="B3554" s="203"/>
      <c r="C3554" s="237"/>
      <c r="D3554" s="202"/>
      <c r="E3554" s="202"/>
      <c r="U3554" s="204"/>
    </row>
    <row r="3555" spans="2:21" x14ac:dyDescent="0.2">
      <c r="B3555" s="203"/>
      <c r="C3555" s="237"/>
      <c r="D3555" s="202"/>
      <c r="E3555" s="202"/>
      <c r="U3555" s="204"/>
    </row>
    <row r="3556" spans="2:21" x14ac:dyDescent="0.2">
      <c r="B3556" s="203"/>
      <c r="C3556" s="237"/>
      <c r="D3556" s="202"/>
      <c r="E3556" s="202"/>
      <c r="U3556" s="204"/>
    </row>
    <row r="3557" spans="2:21" x14ac:dyDescent="0.2">
      <c r="B3557" s="203"/>
      <c r="C3557" s="237"/>
      <c r="D3557" s="202"/>
      <c r="E3557" s="202"/>
      <c r="U3557" s="204"/>
    </row>
    <row r="3558" spans="2:21" x14ac:dyDescent="0.2">
      <c r="B3558" s="203"/>
      <c r="C3558" s="237"/>
      <c r="D3558" s="202"/>
      <c r="E3558" s="202"/>
      <c r="U3558" s="204"/>
    </row>
    <row r="3559" spans="2:21" x14ac:dyDescent="0.2">
      <c r="B3559" s="203"/>
      <c r="C3559" s="237"/>
      <c r="D3559" s="202"/>
      <c r="E3559" s="202"/>
      <c r="U3559" s="204"/>
    </row>
    <row r="3560" spans="2:21" x14ac:dyDescent="0.2">
      <c r="B3560" s="203"/>
      <c r="C3560" s="237"/>
      <c r="D3560" s="202"/>
      <c r="E3560" s="202"/>
      <c r="U3560" s="204"/>
    </row>
    <row r="3561" spans="2:21" x14ac:dyDescent="0.2">
      <c r="B3561" s="203"/>
      <c r="C3561" s="237"/>
      <c r="D3561" s="202"/>
      <c r="E3561" s="202"/>
      <c r="U3561" s="204"/>
    </row>
    <row r="3562" spans="2:21" x14ac:dyDescent="0.2">
      <c r="B3562" s="203"/>
      <c r="C3562" s="237"/>
      <c r="D3562" s="202"/>
      <c r="E3562" s="202"/>
      <c r="U3562" s="204"/>
    </row>
    <row r="3563" spans="2:21" x14ac:dyDescent="0.2">
      <c r="B3563" s="203"/>
      <c r="C3563" s="237"/>
      <c r="D3563" s="202"/>
      <c r="E3563" s="202"/>
      <c r="U3563" s="204"/>
    </row>
    <row r="3564" spans="2:21" x14ac:dyDescent="0.2">
      <c r="B3564" s="203"/>
      <c r="C3564" s="237"/>
      <c r="D3564" s="202"/>
      <c r="E3564" s="202"/>
      <c r="U3564" s="204"/>
    </row>
    <row r="3565" spans="2:21" x14ac:dyDescent="0.2">
      <c r="B3565" s="203"/>
      <c r="C3565" s="237"/>
      <c r="D3565" s="202"/>
      <c r="E3565" s="202"/>
      <c r="U3565" s="204"/>
    </row>
    <row r="3566" spans="2:21" x14ac:dyDescent="0.2">
      <c r="B3566" s="203"/>
      <c r="C3566" s="237"/>
      <c r="D3566" s="202"/>
      <c r="E3566" s="202"/>
      <c r="U3566" s="204"/>
    </row>
    <row r="3567" spans="2:21" x14ac:dyDescent="0.2">
      <c r="B3567" s="203"/>
      <c r="C3567" s="237"/>
      <c r="D3567" s="202"/>
      <c r="E3567" s="202"/>
      <c r="U3567" s="204"/>
    </row>
    <row r="3568" spans="2:21" x14ac:dyDescent="0.2">
      <c r="B3568" s="203"/>
      <c r="C3568" s="237"/>
      <c r="D3568" s="202"/>
      <c r="E3568" s="202"/>
      <c r="U3568" s="204"/>
    </row>
    <row r="3569" spans="2:21" x14ac:dyDescent="0.2">
      <c r="B3569" s="203"/>
      <c r="C3569" s="237"/>
      <c r="D3569" s="202"/>
      <c r="E3569" s="202"/>
      <c r="U3569" s="204"/>
    </row>
    <row r="3570" spans="2:21" x14ac:dyDescent="0.2">
      <c r="B3570" s="203"/>
      <c r="C3570" s="237"/>
      <c r="D3570" s="202"/>
      <c r="E3570" s="202"/>
      <c r="U3570" s="204"/>
    </row>
    <row r="3571" spans="2:21" x14ac:dyDescent="0.2">
      <c r="B3571" s="203"/>
      <c r="C3571" s="237"/>
      <c r="D3571" s="202"/>
      <c r="E3571" s="202"/>
      <c r="U3571" s="204"/>
    </row>
    <row r="3572" spans="2:21" x14ac:dyDescent="0.2">
      <c r="B3572" s="203"/>
      <c r="C3572" s="237"/>
      <c r="D3572" s="202"/>
      <c r="E3572" s="202"/>
      <c r="U3572" s="204"/>
    </row>
    <row r="3573" spans="2:21" x14ac:dyDescent="0.2">
      <c r="B3573" s="203"/>
      <c r="C3573" s="237"/>
      <c r="D3573" s="202"/>
      <c r="E3573" s="202"/>
      <c r="U3573" s="204"/>
    </row>
    <row r="3574" spans="2:21" x14ac:dyDescent="0.2">
      <c r="B3574" s="203"/>
      <c r="C3574" s="237"/>
      <c r="D3574" s="202"/>
      <c r="E3574" s="202"/>
      <c r="U3574" s="204"/>
    </row>
    <row r="3575" spans="2:21" x14ac:dyDescent="0.2">
      <c r="B3575" s="203"/>
      <c r="C3575" s="237"/>
      <c r="D3575" s="202"/>
      <c r="E3575" s="202"/>
      <c r="U3575" s="204"/>
    </row>
    <row r="3576" spans="2:21" x14ac:dyDescent="0.2">
      <c r="B3576" s="203"/>
      <c r="C3576" s="237"/>
      <c r="D3576" s="202"/>
      <c r="E3576" s="202"/>
      <c r="U3576" s="204"/>
    </row>
    <row r="3577" spans="2:21" x14ac:dyDescent="0.2">
      <c r="B3577" s="203"/>
      <c r="C3577" s="237"/>
      <c r="D3577" s="202"/>
      <c r="E3577" s="202"/>
      <c r="U3577" s="204"/>
    </row>
    <row r="3578" spans="2:21" x14ac:dyDescent="0.2">
      <c r="B3578" s="203"/>
      <c r="C3578" s="237"/>
      <c r="D3578" s="202"/>
      <c r="E3578" s="202"/>
      <c r="U3578" s="204"/>
    </row>
    <row r="3579" spans="2:21" x14ac:dyDescent="0.2">
      <c r="B3579" s="203"/>
      <c r="C3579" s="237"/>
      <c r="D3579" s="202"/>
      <c r="E3579" s="202"/>
      <c r="U3579" s="204"/>
    </row>
    <row r="3580" spans="2:21" x14ac:dyDescent="0.2">
      <c r="B3580" s="203"/>
      <c r="C3580" s="237"/>
      <c r="D3580" s="202"/>
      <c r="E3580" s="202"/>
      <c r="U3580" s="204"/>
    </row>
    <row r="3581" spans="2:21" x14ac:dyDescent="0.2">
      <c r="B3581" s="203"/>
      <c r="C3581" s="237"/>
      <c r="D3581" s="202"/>
      <c r="E3581" s="202"/>
      <c r="U3581" s="204"/>
    </row>
    <row r="3582" spans="2:21" x14ac:dyDescent="0.2">
      <c r="B3582" s="203"/>
      <c r="C3582" s="237"/>
      <c r="D3582" s="202"/>
      <c r="E3582" s="202"/>
      <c r="U3582" s="204"/>
    </row>
    <row r="3583" spans="2:21" x14ac:dyDescent="0.2">
      <c r="B3583" s="203"/>
      <c r="C3583" s="237"/>
      <c r="D3583" s="202"/>
      <c r="E3583" s="202"/>
      <c r="U3583" s="204"/>
    </row>
    <row r="3584" spans="2:21" x14ac:dyDescent="0.2">
      <c r="B3584" s="203"/>
      <c r="C3584" s="237"/>
      <c r="D3584" s="202"/>
      <c r="E3584" s="202"/>
      <c r="U3584" s="204"/>
    </row>
    <row r="3585" spans="2:21" x14ac:dyDescent="0.2">
      <c r="B3585" s="203"/>
      <c r="C3585" s="237"/>
      <c r="D3585" s="202"/>
      <c r="E3585" s="202"/>
      <c r="U3585" s="204"/>
    </row>
    <row r="3586" spans="2:21" x14ac:dyDescent="0.2">
      <c r="B3586" s="203"/>
      <c r="C3586" s="237"/>
      <c r="D3586" s="202"/>
      <c r="E3586" s="202"/>
      <c r="U3586" s="204"/>
    </row>
    <row r="3587" spans="2:21" x14ac:dyDescent="0.2">
      <c r="B3587" s="203"/>
      <c r="C3587" s="237"/>
      <c r="D3587" s="202"/>
      <c r="E3587" s="202"/>
      <c r="U3587" s="204"/>
    </row>
    <row r="3588" spans="2:21" x14ac:dyDescent="0.2">
      <c r="B3588" s="203"/>
      <c r="C3588" s="237"/>
      <c r="D3588" s="202"/>
      <c r="E3588" s="202"/>
      <c r="U3588" s="204"/>
    </row>
    <row r="3589" spans="2:21" x14ac:dyDescent="0.2">
      <c r="B3589" s="203"/>
      <c r="C3589" s="237"/>
      <c r="D3589" s="202"/>
      <c r="E3589" s="202"/>
      <c r="U3589" s="204"/>
    </row>
    <row r="3590" spans="2:21" x14ac:dyDescent="0.2">
      <c r="B3590" s="203"/>
      <c r="C3590" s="237"/>
      <c r="D3590" s="202"/>
      <c r="E3590" s="202"/>
      <c r="U3590" s="204"/>
    </row>
    <row r="3591" spans="2:21" x14ac:dyDescent="0.2">
      <c r="B3591" s="203"/>
      <c r="C3591" s="237"/>
      <c r="D3591" s="202"/>
      <c r="E3591" s="202"/>
      <c r="U3591" s="204"/>
    </row>
    <row r="3592" spans="2:21" x14ac:dyDescent="0.2">
      <c r="B3592" s="203"/>
      <c r="C3592" s="237"/>
      <c r="D3592" s="202"/>
      <c r="E3592" s="202"/>
      <c r="U3592" s="204"/>
    </row>
    <row r="3593" spans="2:21" x14ac:dyDescent="0.2">
      <c r="B3593" s="203"/>
      <c r="C3593" s="237"/>
      <c r="D3593" s="202"/>
      <c r="E3593" s="202"/>
      <c r="U3593" s="204"/>
    </row>
    <row r="3594" spans="2:21" x14ac:dyDescent="0.2">
      <c r="B3594" s="203"/>
      <c r="C3594" s="237"/>
      <c r="D3594" s="202"/>
      <c r="E3594" s="202"/>
      <c r="U3594" s="204"/>
    </row>
    <row r="3595" spans="2:21" x14ac:dyDescent="0.2">
      <c r="B3595" s="203"/>
      <c r="C3595" s="237"/>
      <c r="D3595" s="202"/>
      <c r="E3595" s="202"/>
      <c r="U3595" s="204"/>
    </row>
    <row r="3596" spans="2:21" x14ac:dyDescent="0.2">
      <c r="B3596" s="203"/>
      <c r="C3596" s="237"/>
      <c r="D3596" s="202"/>
      <c r="E3596" s="202"/>
      <c r="U3596" s="204"/>
    </row>
    <row r="3597" spans="2:21" x14ac:dyDescent="0.2">
      <c r="B3597" s="203"/>
      <c r="C3597" s="237"/>
      <c r="D3597" s="202"/>
      <c r="E3597" s="202"/>
      <c r="U3597" s="204"/>
    </row>
    <row r="3598" spans="2:21" x14ac:dyDescent="0.2">
      <c r="B3598" s="203"/>
      <c r="C3598" s="237"/>
      <c r="D3598" s="202"/>
      <c r="E3598" s="202"/>
      <c r="U3598" s="204"/>
    </row>
    <row r="3599" spans="2:21" x14ac:dyDescent="0.2">
      <c r="B3599" s="203"/>
      <c r="C3599" s="237"/>
      <c r="D3599" s="202"/>
      <c r="E3599" s="202"/>
      <c r="U3599" s="204"/>
    </row>
    <row r="3600" spans="2:21" x14ac:dyDescent="0.2">
      <c r="B3600" s="203"/>
      <c r="C3600" s="237"/>
      <c r="D3600" s="202"/>
      <c r="E3600" s="202"/>
      <c r="U3600" s="204"/>
    </row>
    <row r="3601" spans="2:21" x14ac:dyDescent="0.2">
      <c r="B3601" s="203"/>
      <c r="C3601" s="237"/>
      <c r="D3601" s="202"/>
      <c r="E3601" s="202"/>
      <c r="U3601" s="204"/>
    </row>
    <row r="3602" spans="2:21" x14ac:dyDescent="0.2">
      <c r="B3602" s="203"/>
      <c r="C3602" s="237"/>
      <c r="D3602" s="202"/>
      <c r="E3602" s="202"/>
      <c r="U3602" s="204"/>
    </row>
    <row r="3603" spans="2:21" x14ac:dyDescent="0.2">
      <c r="B3603" s="203"/>
      <c r="C3603" s="237"/>
      <c r="D3603" s="202"/>
      <c r="E3603" s="202"/>
      <c r="U3603" s="204"/>
    </row>
    <row r="3604" spans="2:21" x14ac:dyDescent="0.2">
      <c r="B3604" s="203"/>
      <c r="C3604" s="237"/>
      <c r="D3604" s="202"/>
      <c r="E3604" s="202"/>
      <c r="U3604" s="204"/>
    </row>
    <row r="3605" spans="2:21" x14ac:dyDescent="0.2">
      <c r="B3605" s="203"/>
      <c r="C3605" s="237"/>
      <c r="D3605" s="202"/>
      <c r="E3605" s="202"/>
      <c r="U3605" s="204"/>
    </row>
    <row r="3606" spans="2:21" x14ac:dyDescent="0.2">
      <c r="B3606" s="203"/>
      <c r="C3606" s="237"/>
      <c r="D3606" s="202"/>
      <c r="E3606" s="202"/>
      <c r="U3606" s="204"/>
    </row>
    <row r="3607" spans="2:21" x14ac:dyDescent="0.2">
      <c r="B3607" s="203"/>
      <c r="C3607" s="237"/>
      <c r="D3607" s="202"/>
      <c r="E3607" s="202"/>
      <c r="U3607" s="204"/>
    </row>
    <row r="3608" spans="2:21" x14ac:dyDescent="0.2">
      <c r="B3608" s="203"/>
      <c r="C3608" s="237"/>
      <c r="D3608" s="202"/>
      <c r="E3608" s="202"/>
      <c r="U3608" s="204"/>
    </row>
    <row r="3609" spans="2:21" x14ac:dyDescent="0.2">
      <c r="B3609" s="203"/>
      <c r="C3609" s="237"/>
      <c r="D3609" s="202"/>
      <c r="E3609" s="202"/>
      <c r="U3609" s="204"/>
    </row>
    <row r="3610" spans="2:21" x14ac:dyDescent="0.2">
      <c r="B3610" s="203"/>
      <c r="C3610" s="237"/>
      <c r="D3610" s="202"/>
      <c r="E3610" s="202"/>
      <c r="U3610" s="204"/>
    </row>
    <row r="3611" spans="2:21" x14ac:dyDescent="0.2">
      <c r="B3611" s="203"/>
      <c r="C3611" s="237"/>
      <c r="D3611" s="202"/>
      <c r="E3611" s="202"/>
      <c r="U3611" s="204"/>
    </row>
    <row r="3612" spans="2:21" x14ac:dyDescent="0.2">
      <c r="B3612" s="203"/>
      <c r="C3612" s="237"/>
      <c r="D3612" s="202"/>
      <c r="E3612" s="202"/>
      <c r="U3612" s="204"/>
    </row>
    <row r="3613" spans="2:21" x14ac:dyDescent="0.2">
      <c r="B3613" s="203"/>
      <c r="C3613" s="237"/>
      <c r="D3613" s="202"/>
      <c r="E3613" s="202"/>
      <c r="U3613" s="204"/>
    </row>
    <row r="3614" spans="2:21" x14ac:dyDescent="0.2">
      <c r="B3614" s="203"/>
      <c r="C3614" s="237"/>
      <c r="D3614" s="202"/>
      <c r="E3614" s="202"/>
      <c r="U3614" s="204"/>
    </row>
    <row r="3615" spans="2:21" x14ac:dyDescent="0.2">
      <c r="B3615" s="203"/>
      <c r="C3615" s="237"/>
      <c r="D3615" s="202"/>
      <c r="E3615" s="202"/>
      <c r="U3615" s="204"/>
    </row>
    <row r="3616" spans="2:21" x14ac:dyDescent="0.2">
      <c r="B3616" s="203"/>
      <c r="C3616" s="237"/>
      <c r="D3616" s="202"/>
      <c r="E3616" s="202"/>
      <c r="U3616" s="204"/>
    </row>
    <row r="3617" spans="2:21" x14ac:dyDescent="0.2">
      <c r="B3617" s="203"/>
      <c r="C3617" s="237"/>
      <c r="D3617" s="202"/>
      <c r="E3617" s="202"/>
      <c r="U3617" s="204"/>
    </row>
    <row r="3618" spans="2:21" x14ac:dyDescent="0.2">
      <c r="B3618" s="203"/>
      <c r="C3618" s="237"/>
      <c r="D3618" s="202"/>
      <c r="E3618" s="202"/>
      <c r="U3618" s="204"/>
    </row>
    <row r="3619" spans="2:21" x14ac:dyDescent="0.2">
      <c r="B3619" s="203"/>
      <c r="C3619" s="237"/>
      <c r="D3619" s="202"/>
      <c r="E3619" s="202"/>
      <c r="U3619" s="204"/>
    </row>
    <row r="3620" spans="2:21" x14ac:dyDescent="0.2">
      <c r="B3620" s="203"/>
      <c r="C3620" s="237"/>
      <c r="D3620" s="202"/>
      <c r="E3620" s="202"/>
      <c r="U3620" s="204"/>
    </row>
    <row r="3621" spans="2:21" x14ac:dyDescent="0.2">
      <c r="B3621" s="203"/>
      <c r="C3621" s="237"/>
      <c r="D3621" s="202"/>
      <c r="E3621" s="202"/>
      <c r="U3621" s="204"/>
    </row>
    <row r="3622" spans="2:21" x14ac:dyDescent="0.2">
      <c r="B3622" s="203"/>
      <c r="C3622" s="237"/>
      <c r="D3622" s="202"/>
      <c r="E3622" s="202"/>
      <c r="U3622" s="204"/>
    </row>
    <row r="3623" spans="2:21" x14ac:dyDescent="0.2">
      <c r="B3623" s="203"/>
      <c r="C3623" s="237"/>
      <c r="D3623" s="202"/>
      <c r="E3623" s="202"/>
      <c r="U3623" s="204"/>
    </row>
    <row r="3624" spans="2:21" x14ac:dyDescent="0.2">
      <c r="B3624" s="203"/>
      <c r="C3624" s="237"/>
      <c r="D3624" s="202"/>
      <c r="E3624" s="202"/>
      <c r="U3624" s="204"/>
    </row>
    <row r="3625" spans="2:21" x14ac:dyDescent="0.2">
      <c r="B3625" s="203"/>
      <c r="C3625" s="237"/>
      <c r="D3625" s="202"/>
      <c r="E3625" s="202"/>
      <c r="U3625" s="204"/>
    </row>
    <row r="3626" spans="2:21" x14ac:dyDescent="0.2">
      <c r="B3626" s="203"/>
      <c r="C3626" s="237"/>
      <c r="D3626" s="202"/>
      <c r="E3626" s="202"/>
      <c r="U3626" s="204"/>
    </row>
    <row r="3627" spans="2:21" x14ac:dyDescent="0.2">
      <c r="B3627" s="203"/>
      <c r="C3627" s="237"/>
      <c r="D3627" s="202"/>
      <c r="E3627" s="202"/>
      <c r="U3627" s="204"/>
    </row>
    <row r="3628" spans="2:21" x14ac:dyDescent="0.2">
      <c r="B3628" s="203"/>
      <c r="C3628" s="237"/>
      <c r="D3628" s="202"/>
      <c r="E3628" s="202"/>
      <c r="U3628" s="204"/>
    </row>
    <row r="3629" spans="2:21" x14ac:dyDescent="0.2">
      <c r="B3629" s="203"/>
      <c r="C3629" s="237"/>
      <c r="D3629" s="202"/>
      <c r="E3629" s="202"/>
      <c r="U3629" s="204"/>
    </row>
    <row r="3630" spans="2:21" x14ac:dyDescent="0.2">
      <c r="B3630" s="203"/>
      <c r="C3630" s="237"/>
      <c r="D3630" s="202"/>
      <c r="E3630" s="202"/>
      <c r="U3630" s="204"/>
    </row>
    <row r="3631" spans="2:21" x14ac:dyDescent="0.2">
      <c r="B3631" s="203"/>
      <c r="C3631" s="237"/>
      <c r="D3631" s="202"/>
      <c r="E3631" s="202"/>
      <c r="U3631" s="204"/>
    </row>
    <row r="3632" spans="2:21" x14ac:dyDescent="0.2">
      <c r="B3632" s="203"/>
      <c r="C3632" s="237"/>
      <c r="D3632" s="202"/>
      <c r="E3632" s="202"/>
      <c r="U3632" s="204"/>
    </row>
    <row r="3633" spans="2:21" x14ac:dyDescent="0.2">
      <c r="B3633" s="203"/>
      <c r="C3633" s="237"/>
      <c r="D3633" s="202"/>
      <c r="E3633" s="202"/>
      <c r="U3633" s="204"/>
    </row>
    <row r="3634" spans="2:21" x14ac:dyDescent="0.2">
      <c r="B3634" s="203"/>
      <c r="C3634" s="237"/>
      <c r="D3634" s="202"/>
      <c r="E3634" s="202"/>
      <c r="U3634" s="204"/>
    </row>
    <row r="3635" spans="2:21" x14ac:dyDescent="0.2">
      <c r="B3635" s="203"/>
      <c r="C3635" s="237"/>
      <c r="D3635" s="202"/>
      <c r="E3635" s="202"/>
      <c r="U3635" s="204"/>
    </row>
    <row r="3636" spans="2:21" x14ac:dyDescent="0.2">
      <c r="B3636" s="203"/>
      <c r="C3636" s="237"/>
      <c r="D3636" s="202"/>
      <c r="E3636" s="202"/>
      <c r="U3636" s="204"/>
    </row>
    <row r="3637" spans="2:21" x14ac:dyDescent="0.2">
      <c r="B3637" s="203"/>
      <c r="C3637" s="237"/>
      <c r="D3637" s="202"/>
      <c r="E3637" s="202"/>
      <c r="U3637" s="204"/>
    </row>
    <row r="3638" spans="2:21" x14ac:dyDescent="0.2">
      <c r="B3638" s="203"/>
      <c r="C3638" s="237"/>
      <c r="D3638" s="202"/>
      <c r="E3638" s="202"/>
      <c r="U3638" s="204"/>
    </row>
    <row r="3639" spans="2:21" x14ac:dyDescent="0.2">
      <c r="B3639" s="203"/>
      <c r="C3639" s="237"/>
      <c r="D3639" s="202"/>
      <c r="E3639" s="202"/>
      <c r="U3639" s="204"/>
    </row>
    <row r="3640" spans="2:21" x14ac:dyDescent="0.2">
      <c r="B3640" s="203"/>
      <c r="C3640" s="237"/>
      <c r="D3640" s="202"/>
      <c r="E3640" s="202"/>
      <c r="U3640" s="204"/>
    </row>
    <row r="3641" spans="2:21" x14ac:dyDescent="0.2">
      <c r="B3641" s="203"/>
      <c r="C3641" s="237"/>
      <c r="D3641" s="202"/>
      <c r="E3641" s="202"/>
      <c r="U3641" s="204"/>
    </row>
    <row r="3642" spans="2:21" x14ac:dyDescent="0.2">
      <c r="B3642" s="203"/>
      <c r="C3642" s="237"/>
      <c r="D3642" s="202"/>
      <c r="E3642" s="202"/>
      <c r="U3642" s="204"/>
    </row>
    <row r="3643" spans="2:21" x14ac:dyDescent="0.2">
      <c r="B3643" s="203"/>
      <c r="C3643" s="237"/>
      <c r="D3643" s="202"/>
      <c r="E3643" s="202"/>
      <c r="U3643" s="204"/>
    </row>
    <row r="3644" spans="2:21" x14ac:dyDescent="0.2">
      <c r="B3644" s="203"/>
      <c r="C3644" s="237"/>
      <c r="D3644" s="202"/>
      <c r="E3644" s="202"/>
      <c r="U3644" s="204"/>
    </row>
    <row r="3645" spans="2:21" x14ac:dyDescent="0.2">
      <c r="B3645" s="203"/>
      <c r="C3645" s="237"/>
      <c r="D3645" s="202"/>
      <c r="E3645" s="202"/>
      <c r="U3645" s="204"/>
    </row>
    <row r="3646" spans="2:21" x14ac:dyDescent="0.2">
      <c r="B3646" s="203"/>
      <c r="C3646" s="237"/>
      <c r="D3646" s="202"/>
      <c r="E3646" s="202"/>
      <c r="U3646" s="204"/>
    </row>
    <row r="3647" spans="2:21" x14ac:dyDescent="0.2">
      <c r="B3647" s="203"/>
      <c r="C3647" s="237"/>
      <c r="D3647" s="202"/>
      <c r="E3647" s="202"/>
      <c r="U3647" s="204"/>
    </row>
    <row r="3648" spans="2:21" x14ac:dyDescent="0.2">
      <c r="B3648" s="203"/>
      <c r="C3648" s="237"/>
      <c r="D3648" s="202"/>
      <c r="E3648" s="202"/>
      <c r="U3648" s="204"/>
    </row>
    <row r="3649" spans="2:21" x14ac:dyDescent="0.2">
      <c r="B3649" s="203"/>
      <c r="C3649" s="237"/>
      <c r="D3649" s="202"/>
      <c r="E3649" s="202"/>
      <c r="U3649" s="204"/>
    </row>
    <row r="3650" spans="2:21" x14ac:dyDescent="0.2">
      <c r="B3650" s="203"/>
      <c r="C3650" s="237"/>
      <c r="D3650" s="202"/>
      <c r="E3650" s="202"/>
      <c r="U3650" s="204"/>
    </row>
    <row r="3651" spans="2:21" x14ac:dyDescent="0.2">
      <c r="B3651" s="203"/>
      <c r="C3651" s="237"/>
      <c r="D3651" s="202"/>
      <c r="E3651" s="202"/>
      <c r="U3651" s="204"/>
    </row>
    <row r="3652" spans="2:21" x14ac:dyDescent="0.2">
      <c r="B3652" s="203"/>
      <c r="C3652" s="237"/>
      <c r="D3652" s="202"/>
      <c r="E3652" s="202"/>
      <c r="U3652" s="204"/>
    </row>
    <row r="3653" spans="2:21" x14ac:dyDescent="0.2">
      <c r="B3653" s="203"/>
      <c r="C3653" s="237"/>
      <c r="D3653" s="202"/>
      <c r="E3653" s="202"/>
      <c r="U3653" s="204"/>
    </row>
    <row r="3654" spans="2:21" x14ac:dyDescent="0.2">
      <c r="B3654" s="203"/>
      <c r="C3654" s="237"/>
      <c r="D3654" s="202"/>
      <c r="E3654" s="202"/>
      <c r="U3654" s="204"/>
    </row>
    <row r="3655" spans="2:21" x14ac:dyDescent="0.2">
      <c r="B3655" s="203"/>
      <c r="C3655" s="237"/>
      <c r="D3655" s="202"/>
      <c r="E3655" s="202"/>
      <c r="U3655" s="204"/>
    </row>
    <row r="3656" spans="2:21" x14ac:dyDescent="0.2">
      <c r="B3656" s="203"/>
      <c r="C3656" s="237"/>
      <c r="D3656" s="202"/>
      <c r="E3656" s="202"/>
      <c r="U3656" s="204"/>
    </row>
    <row r="3657" spans="2:21" x14ac:dyDescent="0.2">
      <c r="B3657" s="203"/>
      <c r="C3657" s="237"/>
      <c r="D3657" s="202"/>
      <c r="E3657" s="202"/>
      <c r="U3657" s="204"/>
    </row>
    <row r="3658" spans="2:21" x14ac:dyDescent="0.2">
      <c r="B3658" s="203"/>
      <c r="C3658" s="237"/>
      <c r="D3658" s="202"/>
      <c r="E3658" s="202"/>
      <c r="U3658" s="204"/>
    </row>
    <row r="3659" spans="2:21" x14ac:dyDescent="0.2">
      <c r="B3659" s="203"/>
      <c r="C3659" s="237"/>
      <c r="D3659" s="202"/>
      <c r="E3659" s="202"/>
      <c r="U3659" s="204"/>
    </row>
    <row r="3660" spans="2:21" x14ac:dyDescent="0.2">
      <c r="B3660" s="203"/>
      <c r="C3660" s="237"/>
      <c r="D3660" s="202"/>
      <c r="E3660" s="202"/>
      <c r="U3660" s="204"/>
    </row>
    <row r="3661" spans="2:21" x14ac:dyDescent="0.2">
      <c r="B3661" s="203"/>
      <c r="C3661" s="237"/>
      <c r="D3661" s="202"/>
      <c r="E3661" s="202"/>
      <c r="U3661" s="204"/>
    </row>
    <row r="3662" spans="2:21" x14ac:dyDescent="0.2">
      <c r="B3662" s="203"/>
      <c r="C3662" s="237"/>
      <c r="D3662" s="202"/>
      <c r="E3662" s="202"/>
      <c r="U3662" s="204"/>
    </row>
    <row r="3663" spans="2:21" x14ac:dyDescent="0.2">
      <c r="B3663" s="203"/>
      <c r="C3663" s="237"/>
      <c r="D3663" s="202"/>
      <c r="E3663" s="202"/>
      <c r="U3663" s="204"/>
    </row>
    <row r="3664" spans="2:21" x14ac:dyDescent="0.2">
      <c r="B3664" s="203"/>
      <c r="C3664" s="237"/>
      <c r="D3664" s="202"/>
      <c r="E3664" s="202"/>
      <c r="U3664" s="204"/>
    </row>
    <row r="3665" spans="2:21" x14ac:dyDescent="0.2">
      <c r="B3665" s="203"/>
      <c r="C3665" s="237"/>
      <c r="D3665" s="202"/>
      <c r="E3665" s="202"/>
      <c r="U3665" s="204"/>
    </row>
    <row r="3666" spans="2:21" x14ac:dyDescent="0.2">
      <c r="B3666" s="203"/>
      <c r="C3666" s="237"/>
      <c r="D3666" s="202"/>
      <c r="E3666" s="202"/>
      <c r="U3666" s="204"/>
    </row>
    <row r="3667" spans="2:21" x14ac:dyDescent="0.2">
      <c r="B3667" s="203"/>
      <c r="C3667" s="237"/>
      <c r="D3667" s="202"/>
      <c r="E3667" s="202"/>
      <c r="U3667" s="204"/>
    </row>
    <row r="3668" spans="2:21" x14ac:dyDescent="0.2">
      <c r="B3668" s="203"/>
      <c r="C3668" s="237"/>
      <c r="D3668" s="202"/>
      <c r="E3668" s="202"/>
      <c r="U3668" s="204"/>
    </row>
    <row r="3669" spans="2:21" x14ac:dyDescent="0.2">
      <c r="B3669" s="203"/>
      <c r="C3669" s="237"/>
      <c r="D3669" s="202"/>
      <c r="E3669" s="202"/>
      <c r="U3669" s="204"/>
    </row>
    <row r="3670" spans="2:21" x14ac:dyDescent="0.2">
      <c r="B3670" s="203"/>
      <c r="C3670" s="237"/>
      <c r="D3670" s="202"/>
      <c r="E3670" s="202"/>
      <c r="U3670" s="204"/>
    </row>
    <row r="3671" spans="2:21" x14ac:dyDescent="0.2">
      <c r="B3671" s="203"/>
      <c r="C3671" s="237"/>
      <c r="D3671" s="202"/>
      <c r="E3671" s="202"/>
      <c r="U3671" s="204"/>
    </row>
    <row r="3672" spans="2:21" x14ac:dyDescent="0.2">
      <c r="B3672" s="203"/>
      <c r="C3672" s="237"/>
      <c r="D3672" s="202"/>
      <c r="E3672" s="202"/>
      <c r="U3672" s="204"/>
    </row>
    <row r="3673" spans="2:21" x14ac:dyDescent="0.2">
      <c r="B3673" s="203"/>
      <c r="C3673" s="237"/>
      <c r="D3673" s="202"/>
      <c r="E3673" s="202"/>
      <c r="U3673" s="204"/>
    </row>
    <row r="3674" spans="2:21" x14ac:dyDescent="0.2">
      <c r="B3674" s="203"/>
      <c r="C3674" s="237"/>
      <c r="D3674" s="202"/>
      <c r="E3674" s="202"/>
      <c r="U3674" s="204"/>
    </row>
    <row r="3675" spans="2:21" x14ac:dyDescent="0.2">
      <c r="B3675" s="203"/>
      <c r="C3675" s="237"/>
      <c r="D3675" s="202"/>
      <c r="E3675" s="202"/>
      <c r="U3675" s="204"/>
    </row>
    <row r="3676" spans="2:21" x14ac:dyDescent="0.2">
      <c r="B3676" s="203"/>
      <c r="C3676" s="237"/>
      <c r="D3676" s="202"/>
      <c r="E3676" s="202"/>
      <c r="U3676" s="204"/>
    </row>
    <row r="3677" spans="2:21" x14ac:dyDescent="0.2">
      <c r="B3677" s="203"/>
      <c r="C3677" s="237"/>
      <c r="D3677" s="202"/>
      <c r="E3677" s="202"/>
      <c r="U3677" s="204"/>
    </row>
    <row r="3678" spans="2:21" x14ac:dyDescent="0.2">
      <c r="B3678" s="203"/>
      <c r="C3678" s="237"/>
      <c r="D3678" s="202"/>
      <c r="E3678" s="202"/>
      <c r="U3678" s="204"/>
    </row>
    <row r="3679" spans="2:21" x14ac:dyDescent="0.2">
      <c r="B3679" s="203"/>
      <c r="C3679" s="237"/>
      <c r="D3679" s="202"/>
      <c r="E3679" s="202"/>
      <c r="U3679" s="204"/>
    </row>
    <row r="3680" spans="2:21" x14ac:dyDescent="0.2">
      <c r="B3680" s="203"/>
      <c r="C3680" s="237"/>
      <c r="D3680" s="202"/>
      <c r="E3680" s="202"/>
      <c r="U3680" s="204"/>
    </row>
    <row r="3681" spans="2:21" x14ac:dyDescent="0.2">
      <c r="B3681" s="203"/>
      <c r="C3681" s="237"/>
      <c r="D3681" s="202"/>
      <c r="E3681" s="202"/>
      <c r="U3681" s="204"/>
    </row>
    <row r="3682" spans="2:21" x14ac:dyDescent="0.2">
      <c r="B3682" s="203"/>
      <c r="C3682" s="237"/>
      <c r="D3682" s="202"/>
      <c r="E3682" s="202"/>
      <c r="U3682" s="204"/>
    </row>
    <row r="3683" spans="2:21" x14ac:dyDescent="0.2">
      <c r="B3683" s="203"/>
      <c r="C3683" s="237"/>
      <c r="D3683" s="202"/>
      <c r="E3683" s="202"/>
      <c r="U3683" s="204"/>
    </row>
    <row r="3684" spans="2:21" x14ac:dyDescent="0.2">
      <c r="B3684" s="203"/>
      <c r="C3684" s="237"/>
      <c r="D3684" s="202"/>
      <c r="E3684" s="202"/>
      <c r="U3684" s="204"/>
    </row>
    <row r="3685" spans="2:21" x14ac:dyDescent="0.2">
      <c r="B3685" s="203"/>
      <c r="C3685" s="237"/>
      <c r="D3685" s="202"/>
      <c r="E3685" s="202"/>
      <c r="U3685" s="204"/>
    </row>
    <row r="3686" spans="2:21" x14ac:dyDescent="0.2">
      <c r="B3686" s="203"/>
      <c r="C3686" s="237"/>
      <c r="D3686" s="202"/>
      <c r="E3686" s="202"/>
      <c r="U3686" s="204"/>
    </row>
    <row r="3687" spans="2:21" x14ac:dyDescent="0.2">
      <c r="B3687" s="203"/>
      <c r="C3687" s="237"/>
      <c r="D3687" s="202"/>
      <c r="E3687" s="202"/>
      <c r="U3687" s="204"/>
    </row>
    <row r="3688" spans="2:21" x14ac:dyDescent="0.2">
      <c r="B3688" s="203"/>
      <c r="C3688" s="237"/>
      <c r="D3688" s="202"/>
      <c r="E3688" s="202"/>
      <c r="U3688" s="204"/>
    </row>
    <row r="3689" spans="2:21" x14ac:dyDescent="0.2">
      <c r="B3689" s="203"/>
      <c r="C3689" s="237"/>
      <c r="D3689" s="202"/>
      <c r="E3689" s="202"/>
      <c r="U3689" s="204"/>
    </row>
    <row r="3690" spans="2:21" x14ac:dyDescent="0.2">
      <c r="B3690" s="203"/>
      <c r="C3690" s="237"/>
      <c r="D3690" s="202"/>
      <c r="E3690" s="202"/>
      <c r="U3690" s="204"/>
    </row>
    <row r="3691" spans="2:21" x14ac:dyDescent="0.2">
      <c r="B3691" s="203"/>
      <c r="C3691" s="237"/>
      <c r="D3691" s="202"/>
      <c r="E3691" s="202"/>
      <c r="U3691" s="204"/>
    </row>
    <row r="3692" spans="2:21" x14ac:dyDescent="0.2">
      <c r="B3692" s="203"/>
      <c r="C3692" s="237"/>
      <c r="D3692" s="202"/>
      <c r="E3692" s="202"/>
      <c r="U3692" s="204"/>
    </row>
    <row r="3693" spans="2:21" x14ac:dyDescent="0.2">
      <c r="B3693" s="203"/>
      <c r="C3693" s="237"/>
      <c r="D3693" s="202"/>
      <c r="E3693" s="202"/>
      <c r="U3693" s="204"/>
    </row>
    <row r="3694" spans="2:21" x14ac:dyDescent="0.2">
      <c r="B3694" s="203"/>
      <c r="C3694" s="237"/>
      <c r="D3694" s="202"/>
      <c r="E3694" s="202"/>
      <c r="U3694" s="204"/>
    </row>
    <row r="3695" spans="2:21" x14ac:dyDescent="0.2">
      <c r="B3695" s="203"/>
      <c r="C3695" s="237"/>
      <c r="D3695" s="202"/>
      <c r="E3695" s="202"/>
      <c r="U3695" s="204"/>
    </row>
    <row r="3696" spans="2:21" x14ac:dyDescent="0.2">
      <c r="B3696" s="203"/>
      <c r="C3696" s="237"/>
      <c r="D3696" s="202"/>
      <c r="E3696" s="202"/>
      <c r="U3696" s="204"/>
    </row>
    <row r="3697" spans="2:21" x14ac:dyDescent="0.2">
      <c r="B3697" s="203"/>
      <c r="C3697" s="237"/>
      <c r="D3697" s="202"/>
      <c r="E3697" s="202"/>
      <c r="U3697" s="204"/>
    </row>
    <row r="3698" spans="2:21" x14ac:dyDescent="0.2">
      <c r="B3698" s="203"/>
      <c r="C3698" s="237"/>
      <c r="D3698" s="202"/>
      <c r="E3698" s="202"/>
      <c r="U3698" s="204"/>
    </row>
    <row r="3699" spans="2:21" x14ac:dyDescent="0.2">
      <c r="B3699" s="203"/>
      <c r="C3699" s="237"/>
      <c r="D3699" s="202"/>
      <c r="E3699" s="202"/>
      <c r="U3699" s="204"/>
    </row>
    <row r="3700" spans="2:21" x14ac:dyDescent="0.2">
      <c r="B3700" s="203"/>
      <c r="C3700" s="237"/>
      <c r="D3700" s="202"/>
      <c r="E3700" s="202"/>
      <c r="U3700" s="204"/>
    </row>
    <row r="3701" spans="2:21" x14ac:dyDescent="0.2">
      <c r="B3701" s="203"/>
      <c r="C3701" s="237"/>
      <c r="D3701" s="202"/>
      <c r="E3701" s="202"/>
      <c r="U3701" s="204"/>
    </row>
    <row r="3702" spans="2:21" x14ac:dyDescent="0.2">
      <c r="B3702" s="203"/>
      <c r="C3702" s="237"/>
      <c r="D3702" s="202"/>
      <c r="E3702" s="202"/>
      <c r="U3702" s="204"/>
    </row>
    <row r="3703" spans="2:21" x14ac:dyDescent="0.2">
      <c r="B3703" s="203"/>
      <c r="C3703" s="237"/>
      <c r="D3703" s="202"/>
      <c r="E3703" s="202"/>
      <c r="U3703" s="204"/>
    </row>
    <row r="3704" spans="2:21" x14ac:dyDescent="0.2">
      <c r="B3704" s="203"/>
      <c r="C3704" s="237"/>
      <c r="D3704" s="202"/>
      <c r="E3704" s="202"/>
      <c r="U3704" s="204"/>
    </row>
    <row r="3705" spans="2:21" x14ac:dyDescent="0.2">
      <c r="B3705" s="203"/>
      <c r="C3705" s="237"/>
      <c r="D3705" s="202"/>
      <c r="E3705" s="202"/>
      <c r="U3705" s="204"/>
    </row>
    <row r="3706" spans="2:21" x14ac:dyDescent="0.2">
      <c r="B3706" s="203"/>
      <c r="C3706" s="237"/>
      <c r="D3706" s="202"/>
      <c r="E3706" s="202"/>
      <c r="U3706" s="204"/>
    </row>
    <row r="3707" spans="2:21" x14ac:dyDescent="0.2">
      <c r="B3707" s="203"/>
      <c r="C3707" s="237"/>
      <c r="D3707" s="202"/>
      <c r="E3707" s="202"/>
      <c r="U3707" s="204"/>
    </row>
    <row r="3708" spans="2:21" x14ac:dyDescent="0.2">
      <c r="B3708" s="203"/>
      <c r="C3708" s="237"/>
      <c r="D3708" s="202"/>
      <c r="E3708" s="202"/>
      <c r="U3708" s="204"/>
    </row>
    <row r="3709" spans="2:21" x14ac:dyDescent="0.2">
      <c r="B3709" s="203"/>
      <c r="C3709" s="237"/>
      <c r="D3709" s="202"/>
      <c r="E3709" s="202"/>
      <c r="U3709" s="204"/>
    </row>
    <row r="3710" spans="2:21" x14ac:dyDescent="0.2">
      <c r="B3710" s="203"/>
      <c r="C3710" s="237"/>
      <c r="D3710" s="202"/>
      <c r="E3710" s="202"/>
      <c r="U3710" s="204"/>
    </row>
    <row r="3711" spans="2:21" x14ac:dyDescent="0.2">
      <c r="B3711" s="203"/>
      <c r="C3711" s="237"/>
      <c r="D3711" s="202"/>
      <c r="E3711" s="202"/>
      <c r="U3711" s="204"/>
    </row>
    <row r="3712" spans="2:21" x14ac:dyDescent="0.2">
      <c r="B3712" s="203"/>
      <c r="C3712" s="237"/>
      <c r="D3712" s="202"/>
      <c r="E3712" s="202"/>
      <c r="U3712" s="204"/>
    </row>
    <row r="3713" spans="2:21" x14ac:dyDescent="0.2">
      <c r="B3713" s="203"/>
      <c r="C3713" s="237"/>
      <c r="D3713" s="202"/>
      <c r="E3713" s="202"/>
      <c r="U3713" s="204"/>
    </row>
    <row r="3714" spans="2:21" x14ac:dyDescent="0.2">
      <c r="B3714" s="203"/>
      <c r="C3714" s="237"/>
      <c r="D3714" s="202"/>
      <c r="E3714" s="202"/>
      <c r="U3714" s="204"/>
    </row>
    <row r="3715" spans="2:21" x14ac:dyDescent="0.2">
      <c r="B3715" s="203"/>
      <c r="C3715" s="237"/>
      <c r="D3715" s="202"/>
      <c r="E3715" s="202"/>
      <c r="U3715" s="204"/>
    </row>
    <row r="3716" spans="2:21" x14ac:dyDescent="0.2">
      <c r="B3716" s="203"/>
      <c r="C3716" s="237"/>
      <c r="D3716" s="202"/>
      <c r="E3716" s="202"/>
      <c r="U3716" s="204"/>
    </row>
    <row r="3717" spans="2:21" x14ac:dyDescent="0.2">
      <c r="B3717" s="203"/>
      <c r="C3717" s="237"/>
      <c r="D3717" s="202"/>
      <c r="E3717" s="202"/>
      <c r="U3717" s="204"/>
    </row>
    <row r="3718" spans="2:21" x14ac:dyDescent="0.2">
      <c r="B3718" s="203"/>
      <c r="C3718" s="237"/>
      <c r="D3718" s="202"/>
      <c r="E3718" s="202"/>
      <c r="U3718" s="204"/>
    </row>
    <row r="3719" spans="2:21" x14ac:dyDescent="0.2">
      <c r="B3719" s="203"/>
      <c r="C3719" s="237"/>
      <c r="D3719" s="202"/>
      <c r="E3719" s="202"/>
      <c r="U3719" s="204"/>
    </row>
    <row r="3720" spans="2:21" x14ac:dyDescent="0.2">
      <c r="B3720" s="203"/>
      <c r="C3720" s="237"/>
      <c r="D3720" s="202"/>
      <c r="E3720" s="202"/>
      <c r="U3720" s="204"/>
    </row>
    <row r="3721" spans="2:21" x14ac:dyDescent="0.2">
      <c r="B3721" s="203"/>
      <c r="C3721" s="237"/>
      <c r="D3721" s="202"/>
      <c r="E3721" s="202"/>
      <c r="U3721" s="204"/>
    </row>
    <row r="3722" spans="2:21" x14ac:dyDescent="0.2">
      <c r="B3722" s="203"/>
      <c r="C3722" s="237"/>
      <c r="D3722" s="202"/>
      <c r="E3722" s="202"/>
      <c r="U3722" s="204"/>
    </row>
    <row r="3723" spans="2:21" x14ac:dyDescent="0.2">
      <c r="B3723" s="203"/>
      <c r="C3723" s="237"/>
      <c r="D3723" s="202"/>
      <c r="E3723" s="202"/>
      <c r="U3723" s="204"/>
    </row>
    <row r="3724" spans="2:21" x14ac:dyDescent="0.2">
      <c r="B3724" s="203"/>
      <c r="C3724" s="237"/>
      <c r="D3724" s="202"/>
      <c r="E3724" s="202"/>
      <c r="U3724" s="204"/>
    </row>
    <row r="3725" spans="2:21" x14ac:dyDescent="0.2">
      <c r="B3725" s="203"/>
      <c r="C3725" s="237"/>
      <c r="D3725" s="202"/>
      <c r="E3725" s="202"/>
      <c r="U3725" s="204"/>
    </row>
    <row r="3726" spans="2:21" x14ac:dyDescent="0.2">
      <c r="B3726" s="203"/>
      <c r="C3726" s="237"/>
      <c r="D3726" s="202"/>
      <c r="E3726" s="202"/>
      <c r="U3726" s="204"/>
    </row>
    <row r="3727" spans="2:21" x14ac:dyDescent="0.2">
      <c r="B3727" s="203"/>
      <c r="C3727" s="237"/>
      <c r="D3727" s="202"/>
      <c r="E3727" s="202"/>
      <c r="U3727" s="204"/>
    </row>
    <row r="3728" spans="2:21" x14ac:dyDescent="0.2">
      <c r="B3728" s="203"/>
      <c r="C3728" s="237"/>
      <c r="D3728" s="202"/>
      <c r="E3728" s="202"/>
      <c r="U3728" s="204"/>
    </row>
    <row r="3729" spans="2:21" x14ac:dyDescent="0.2">
      <c r="B3729" s="203"/>
      <c r="C3729" s="237"/>
      <c r="D3729" s="202"/>
      <c r="E3729" s="202"/>
      <c r="U3729" s="204"/>
    </row>
    <row r="3730" spans="2:21" x14ac:dyDescent="0.2">
      <c r="B3730" s="203"/>
      <c r="C3730" s="237"/>
      <c r="D3730" s="202"/>
      <c r="E3730" s="202"/>
      <c r="U3730" s="204"/>
    </row>
    <row r="3731" spans="2:21" x14ac:dyDescent="0.2">
      <c r="B3731" s="203"/>
      <c r="C3731" s="237"/>
      <c r="D3731" s="202"/>
      <c r="E3731" s="202"/>
      <c r="U3731" s="204"/>
    </row>
    <row r="3732" spans="2:21" x14ac:dyDescent="0.2">
      <c r="B3732" s="203"/>
      <c r="C3732" s="237"/>
      <c r="D3732" s="202"/>
      <c r="E3732" s="202"/>
      <c r="U3732" s="204"/>
    </row>
    <row r="3733" spans="2:21" x14ac:dyDescent="0.2">
      <c r="B3733" s="203"/>
      <c r="C3733" s="237"/>
      <c r="D3733" s="202"/>
      <c r="E3733" s="202"/>
      <c r="U3733" s="204"/>
    </row>
    <row r="3734" spans="2:21" x14ac:dyDescent="0.2">
      <c r="B3734" s="203"/>
      <c r="C3734" s="237"/>
      <c r="D3734" s="202"/>
      <c r="E3734" s="202"/>
      <c r="U3734" s="204"/>
    </row>
    <row r="3735" spans="2:21" x14ac:dyDescent="0.2">
      <c r="B3735" s="203"/>
      <c r="C3735" s="237"/>
      <c r="D3735" s="202"/>
      <c r="E3735" s="202"/>
      <c r="U3735" s="204"/>
    </row>
    <row r="3736" spans="2:21" x14ac:dyDescent="0.2">
      <c r="B3736" s="203"/>
      <c r="C3736" s="237"/>
      <c r="D3736" s="202"/>
      <c r="E3736" s="202"/>
      <c r="U3736" s="204"/>
    </row>
    <row r="3737" spans="2:21" x14ac:dyDescent="0.2">
      <c r="B3737" s="203"/>
      <c r="C3737" s="237"/>
      <c r="D3737" s="202"/>
      <c r="E3737" s="202"/>
      <c r="U3737" s="204"/>
    </row>
    <row r="3738" spans="2:21" x14ac:dyDescent="0.2">
      <c r="B3738" s="203"/>
      <c r="C3738" s="237"/>
      <c r="D3738" s="202"/>
      <c r="E3738" s="202"/>
      <c r="U3738" s="204"/>
    </row>
    <row r="3739" spans="2:21" x14ac:dyDescent="0.2">
      <c r="B3739" s="203"/>
      <c r="C3739" s="237"/>
      <c r="D3739" s="202"/>
      <c r="E3739" s="202"/>
      <c r="U3739" s="204"/>
    </row>
    <row r="3740" spans="2:21" x14ac:dyDescent="0.2">
      <c r="B3740" s="203"/>
      <c r="C3740" s="237"/>
      <c r="D3740" s="202"/>
      <c r="E3740" s="202"/>
      <c r="U3740" s="204"/>
    </row>
    <row r="3741" spans="2:21" x14ac:dyDescent="0.2">
      <c r="B3741" s="203"/>
      <c r="C3741" s="237"/>
      <c r="D3741" s="202"/>
      <c r="E3741" s="202"/>
      <c r="U3741" s="204"/>
    </row>
    <row r="3742" spans="2:21" x14ac:dyDescent="0.2">
      <c r="B3742" s="203"/>
      <c r="C3742" s="237"/>
      <c r="D3742" s="202"/>
      <c r="E3742" s="202"/>
      <c r="U3742" s="204"/>
    </row>
    <row r="3743" spans="2:21" x14ac:dyDescent="0.2">
      <c r="B3743" s="203"/>
      <c r="C3743" s="237"/>
      <c r="D3743" s="202"/>
      <c r="E3743" s="202"/>
      <c r="U3743" s="204"/>
    </row>
    <row r="3744" spans="2:21" x14ac:dyDescent="0.2">
      <c r="B3744" s="203"/>
      <c r="C3744" s="237"/>
      <c r="D3744" s="202"/>
      <c r="E3744" s="202"/>
      <c r="U3744" s="204"/>
    </row>
    <row r="3745" spans="2:21" x14ac:dyDescent="0.2">
      <c r="B3745" s="203"/>
      <c r="C3745" s="237"/>
      <c r="D3745" s="202"/>
      <c r="E3745" s="202"/>
      <c r="U3745" s="204"/>
    </row>
    <row r="3746" spans="2:21" x14ac:dyDescent="0.2">
      <c r="B3746" s="203"/>
      <c r="C3746" s="237"/>
      <c r="D3746" s="202"/>
      <c r="E3746" s="202"/>
      <c r="U3746" s="204"/>
    </row>
    <row r="3747" spans="2:21" x14ac:dyDescent="0.2">
      <c r="B3747" s="203"/>
      <c r="C3747" s="237"/>
      <c r="D3747" s="202"/>
      <c r="E3747" s="202"/>
      <c r="U3747" s="204"/>
    </row>
    <row r="3748" spans="2:21" x14ac:dyDescent="0.2">
      <c r="B3748" s="203"/>
      <c r="C3748" s="237"/>
      <c r="D3748" s="202"/>
      <c r="E3748" s="202"/>
      <c r="U3748" s="204"/>
    </row>
    <row r="3749" spans="2:21" x14ac:dyDescent="0.2">
      <c r="B3749" s="203"/>
      <c r="C3749" s="237"/>
      <c r="D3749" s="202"/>
      <c r="E3749" s="202"/>
      <c r="U3749" s="204"/>
    </row>
    <row r="3750" spans="2:21" x14ac:dyDescent="0.2">
      <c r="B3750" s="203"/>
      <c r="C3750" s="237"/>
      <c r="D3750" s="202"/>
      <c r="E3750" s="202"/>
      <c r="U3750" s="204"/>
    </row>
    <row r="3751" spans="2:21" x14ac:dyDescent="0.2">
      <c r="B3751" s="203"/>
      <c r="C3751" s="237"/>
      <c r="D3751" s="202"/>
      <c r="E3751" s="202"/>
      <c r="U3751" s="204"/>
    </row>
    <row r="3752" spans="2:21" x14ac:dyDescent="0.2">
      <c r="B3752" s="203"/>
      <c r="C3752" s="237"/>
      <c r="D3752" s="202"/>
      <c r="E3752" s="202"/>
      <c r="U3752" s="204"/>
    </row>
    <row r="3753" spans="2:21" x14ac:dyDescent="0.2">
      <c r="B3753" s="203"/>
      <c r="C3753" s="237"/>
      <c r="D3753" s="202"/>
      <c r="E3753" s="202"/>
      <c r="U3753" s="204"/>
    </row>
    <row r="3754" spans="2:21" x14ac:dyDescent="0.2">
      <c r="B3754" s="203"/>
      <c r="C3754" s="237"/>
      <c r="D3754" s="202"/>
      <c r="E3754" s="202"/>
      <c r="U3754" s="204"/>
    </row>
    <row r="3755" spans="2:21" x14ac:dyDescent="0.2">
      <c r="B3755" s="203"/>
      <c r="C3755" s="237"/>
      <c r="D3755" s="202"/>
      <c r="E3755" s="202"/>
      <c r="U3755" s="204"/>
    </row>
    <row r="3756" spans="2:21" x14ac:dyDescent="0.2">
      <c r="B3756" s="203"/>
      <c r="C3756" s="237"/>
      <c r="D3756" s="202"/>
      <c r="E3756" s="202"/>
      <c r="U3756" s="204"/>
    </row>
    <row r="3757" spans="2:21" x14ac:dyDescent="0.2">
      <c r="B3757" s="203"/>
      <c r="C3757" s="237"/>
      <c r="D3757" s="202"/>
      <c r="E3757" s="202"/>
      <c r="U3757" s="204"/>
    </row>
    <row r="3758" spans="2:21" x14ac:dyDescent="0.2">
      <c r="B3758" s="203"/>
      <c r="C3758" s="237"/>
      <c r="D3758" s="202"/>
      <c r="E3758" s="202"/>
      <c r="U3758" s="204"/>
    </row>
    <row r="3759" spans="2:21" x14ac:dyDescent="0.2">
      <c r="B3759" s="203"/>
      <c r="C3759" s="237"/>
      <c r="D3759" s="202"/>
      <c r="E3759" s="202"/>
      <c r="U3759" s="204"/>
    </row>
    <row r="3760" spans="2:21" x14ac:dyDescent="0.2">
      <c r="B3760" s="203"/>
      <c r="C3760" s="237"/>
      <c r="D3760" s="202"/>
      <c r="E3760" s="202"/>
      <c r="U3760" s="204"/>
    </row>
    <row r="3761" spans="2:21" x14ac:dyDescent="0.2">
      <c r="B3761" s="203"/>
      <c r="C3761" s="237"/>
      <c r="D3761" s="202"/>
      <c r="E3761" s="202"/>
      <c r="U3761" s="204"/>
    </row>
    <row r="3762" spans="2:21" x14ac:dyDescent="0.2">
      <c r="B3762" s="203"/>
      <c r="C3762" s="237"/>
      <c r="D3762" s="202"/>
      <c r="E3762" s="202"/>
      <c r="U3762" s="204"/>
    </row>
    <row r="3763" spans="2:21" x14ac:dyDescent="0.2">
      <c r="B3763" s="203"/>
      <c r="C3763" s="237"/>
      <c r="D3763" s="202"/>
      <c r="E3763" s="202"/>
      <c r="U3763" s="204"/>
    </row>
    <row r="3764" spans="2:21" x14ac:dyDescent="0.2">
      <c r="B3764" s="203"/>
      <c r="C3764" s="237"/>
      <c r="D3764" s="202"/>
      <c r="E3764" s="202"/>
      <c r="U3764" s="204"/>
    </row>
    <row r="3765" spans="2:21" x14ac:dyDescent="0.2">
      <c r="B3765" s="203"/>
      <c r="C3765" s="237"/>
      <c r="D3765" s="202"/>
      <c r="E3765" s="202"/>
      <c r="U3765" s="204"/>
    </row>
    <row r="3766" spans="2:21" x14ac:dyDescent="0.2">
      <c r="B3766" s="203"/>
      <c r="C3766" s="237"/>
      <c r="D3766" s="202"/>
      <c r="E3766" s="202"/>
      <c r="U3766" s="204"/>
    </row>
    <row r="3767" spans="2:21" x14ac:dyDescent="0.2">
      <c r="B3767" s="203"/>
      <c r="C3767" s="237"/>
      <c r="D3767" s="202"/>
      <c r="E3767" s="202"/>
      <c r="U3767" s="204"/>
    </row>
    <row r="3768" spans="2:21" x14ac:dyDescent="0.2">
      <c r="B3768" s="203"/>
      <c r="C3768" s="237"/>
      <c r="D3768" s="202"/>
      <c r="E3768" s="202"/>
      <c r="U3768" s="204"/>
    </row>
    <row r="3769" spans="2:21" x14ac:dyDescent="0.2">
      <c r="B3769" s="203"/>
      <c r="C3769" s="237"/>
      <c r="D3769" s="202"/>
      <c r="E3769" s="202"/>
      <c r="U3769" s="204"/>
    </row>
    <row r="3770" spans="2:21" x14ac:dyDescent="0.2">
      <c r="B3770" s="203"/>
      <c r="C3770" s="237"/>
      <c r="D3770" s="202"/>
      <c r="E3770" s="202"/>
      <c r="U3770" s="204"/>
    </row>
    <row r="3771" spans="2:21" x14ac:dyDescent="0.2">
      <c r="B3771" s="203"/>
      <c r="C3771" s="237"/>
      <c r="D3771" s="202"/>
      <c r="E3771" s="202"/>
      <c r="U3771" s="204"/>
    </row>
    <row r="3772" spans="2:21" x14ac:dyDescent="0.2">
      <c r="B3772" s="203"/>
      <c r="C3772" s="237"/>
      <c r="D3772" s="202"/>
      <c r="E3772" s="202"/>
      <c r="U3772" s="204"/>
    </row>
    <row r="3773" spans="2:21" x14ac:dyDescent="0.2">
      <c r="B3773" s="203"/>
      <c r="C3773" s="237"/>
      <c r="D3773" s="202"/>
      <c r="E3773" s="202"/>
      <c r="U3773" s="204"/>
    </row>
    <row r="3774" spans="2:21" x14ac:dyDescent="0.2">
      <c r="B3774" s="203"/>
      <c r="C3774" s="237"/>
      <c r="D3774" s="202"/>
      <c r="E3774" s="202"/>
      <c r="U3774" s="204"/>
    </row>
    <row r="3775" spans="2:21" x14ac:dyDescent="0.2">
      <c r="B3775" s="203"/>
      <c r="C3775" s="237"/>
      <c r="D3775" s="202"/>
      <c r="E3775" s="202"/>
      <c r="U3775" s="204"/>
    </row>
    <row r="3776" spans="2:21" x14ac:dyDescent="0.2">
      <c r="B3776" s="203"/>
      <c r="C3776" s="237"/>
      <c r="D3776" s="202"/>
      <c r="E3776" s="202"/>
      <c r="U3776" s="204"/>
    </row>
    <row r="3777" spans="2:21" x14ac:dyDescent="0.2">
      <c r="B3777" s="203"/>
      <c r="C3777" s="237"/>
      <c r="D3777" s="202"/>
      <c r="E3777" s="202"/>
      <c r="U3777" s="204"/>
    </row>
    <row r="3778" spans="2:21" x14ac:dyDescent="0.2">
      <c r="B3778" s="203"/>
      <c r="C3778" s="237"/>
      <c r="D3778" s="202"/>
      <c r="E3778" s="202"/>
      <c r="U3778" s="204"/>
    </row>
    <row r="3779" spans="2:21" x14ac:dyDescent="0.2">
      <c r="B3779" s="203"/>
      <c r="C3779" s="237"/>
      <c r="D3779" s="202"/>
      <c r="E3779" s="202"/>
      <c r="U3779" s="204"/>
    </row>
    <row r="3780" spans="2:21" x14ac:dyDescent="0.2">
      <c r="B3780" s="203"/>
      <c r="C3780" s="237"/>
      <c r="D3780" s="202"/>
      <c r="E3780" s="202"/>
      <c r="U3780" s="204"/>
    </row>
    <row r="3781" spans="2:21" x14ac:dyDescent="0.2">
      <c r="B3781" s="203"/>
      <c r="C3781" s="237"/>
      <c r="D3781" s="202"/>
      <c r="E3781" s="202"/>
      <c r="U3781" s="204"/>
    </row>
    <row r="3782" spans="2:21" x14ac:dyDescent="0.2">
      <c r="B3782" s="203"/>
      <c r="C3782" s="237"/>
      <c r="D3782" s="202"/>
      <c r="E3782" s="202"/>
      <c r="U3782" s="204"/>
    </row>
    <row r="3783" spans="2:21" x14ac:dyDescent="0.2">
      <c r="B3783" s="203"/>
      <c r="C3783" s="237"/>
      <c r="D3783" s="202"/>
      <c r="E3783" s="202"/>
      <c r="U3783" s="204"/>
    </row>
    <row r="3784" spans="2:21" x14ac:dyDescent="0.2">
      <c r="B3784" s="203"/>
      <c r="C3784" s="237"/>
      <c r="D3784" s="202"/>
      <c r="E3784" s="202"/>
      <c r="U3784" s="204"/>
    </row>
    <row r="3785" spans="2:21" x14ac:dyDescent="0.2">
      <c r="B3785" s="203"/>
      <c r="C3785" s="237"/>
      <c r="D3785" s="202"/>
      <c r="E3785" s="202"/>
      <c r="U3785" s="204"/>
    </row>
    <row r="3786" spans="2:21" x14ac:dyDescent="0.2">
      <c r="B3786" s="203"/>
      <c r="C3786" s="237"/>
      <c r="D3786" s="202"/>
      <c r="E3786" s="202"/>
      <c r="U3786" s="204"/>
    </row>
    <row r="3787" spans="2:21" x14ac:dyDescent="0.2">
      <c r="B3787" s="203"/>
      <c r="C3787" s="237"/>
      <c r="D3787" s="202"/>
      <c r="E3787" s="202"/>
      <c r="U3787" s="204"/>
    </row>
    <row r="3788" spans="2:21" x14ac:dyDescent="0.2">
      <c r="B3788" s="203"/>
      <c r="C3788" s="237"/>
      <c r="D3788" s="202"/>
      <c r="E3788" s="202"/>
      <c r="U3788" s="204"/>
    </row>
    <row r="3789" spans="2:21" x14ac:dyDescent="0.2">
      <c r="B3789" s="203"/>
      <c r="C3789" s="237"/>
      <c r="D3789" s="202"/>
      <c r="E3789" s="202"/>
      <c r="U3789" s="204"/>
    </row>
    <row r="3790" spans="2:21" x14ac:dyDescent="0.2">
      <c r="B3790" s="203"/>
      <c r="C3790" s="237"/>
      <c r="D3790" s="202"/>
      <c r="E3790" s="202"/>
      <c r="U3790" s="204"/>
    </row>
    <row r="3791" spans="2:21" x14ac:dyDescent="0.2">
      <c r="B3791" s="203"/>
      <c r="C3791" s="237"/>
      <c r="D3791" s="202"/>
      <c r="E3791" s="202"/>
      <c r="U3791" s="204"/>
    </row>
    <row r="3792" spans="2:21" x14ac:dyDescent="0.2">
      <c r="B3792" s="203"/>
      <c r="C3792" s="237"/>
      <c r="D3792" s="202"/>
      <c r="E3792" s="202"/>
      <c r="U3792" s="204"/>
    </row>
    <row r="3793" spans="2:21" x14ac:dyDescent="0.2">
      <c r="B3793" s="203"/>
      <c r="C3793" s="237"/>
      <c r="D3793" s="202"/>
      <c r="E3793" s="202"/>
      <c r="U3793" s="204"/>
    </row>
    <row r="3794" spans="2:21" x14ac:dyDescent="0.2">
      <c r="B3794" s="203"/>
      <c r="C3794" s="237"/>
      <c r="D3794" s="202"/>
      <c r="E3794" s="202"/>
      <c r="U3794" s="204"/>
    </row>
    <row r="3795" spans="2:21" x14ac:dyDescent="0.2">
      <c r="B3795" s="203"/>
      <c r="C3795" s="237"/>
      <c r="D3795" s="202"/>
      <c r="E3795" s="202"/>
      <c r="U3795" s="204"/>
    </row>
    <row r="3796" spans="2:21" x14ac:dyDescent="0.2">
      <c r="B3796" s="203"/>
      <c r="C3796" s="237"/>
      <c r="D3796" s="202"/>
      <c r="E3796" s="202"/>
      <c r="U3796" s="204"/>
    </row>
    <row r="3797" spans="2:21" x14ac:dyDescent="0.2">
      <c r="B3797" s="203"/>
      <c r="C3797" s="237"/>
      <c r="D3797" s="202"/>
      <c r="E3797" s="202"/>
      <c r="U3797" s="204"/>
    </row>
    <row r="3798" spans="2:21" x14ac:dyDescent="0.2">
      <c r="B3798" s="203"/>
      <c r="C3798" s="237"/>
      <c r="D3798" s="202"/>
      <c r="E3798" s="202"/>
      <c r="U3798" s="204"/>
    </row>
    <row r="3799" spans="2:21" x14ac:dyDescent="0.2">
      <c r="B3799" s="203"/>
      <c r="C3799" s="237"/>
      <c r="D3799" s="202"/>
      <c r="E3799" s="202"/>
      <c r="U3799" s="204"/>
    </row>
    <row r="3800" spans="2:21" x14ac:dyDescent="0.2">
      <c r="B3800" s="203"/>
      <c r="C3800" s="237"/>
      <c r="D3800" s="202"/>
      <c r="E3800" s="202"/>
      <c r="U3800" s="204"/>
    </row>
    <row r="3801" spans="2:21" x14ac:dyDescent="0.2">
      <c r="B3801" s="203"/>
      <c r="C3801" s="237"/>
      <c r="D3801" s="202"/>
      <c r="E3801" s="202"/>
      <c r="U3801" s="204"/>
    </row>
    <row r="3802" spans="2:21" x14ac:dyDescent="0.2">
      <c r="B3802" s="203"/>
      <c r="C3802" s="237"/>
      <c r="D3802" s="202"/>
      <c r="E3802" s="202"/>
      <c r="U3802" s="204"/>
    </row>
    <row r="3803" spans="2:21" x14ac:dyDescent="0.2">
      <c r="B3803" s="203"/>
      <c r="C3803" s="237"/>
      <c r="D3803" s="202"/>
      <c r="E3803" s="202"/>
      <c r="U3803" s="204"/>
    </row>
    <row r="3804" spans="2:21" x14ac:dyDescent="0.2">
      <c r="B3804" s="203"/>
      <c r="C3804" s="237"/>
      <c r="D3804" s="202"/>
      <c r="E3804" s="202"/>
      <c r="U3804" s="204"/>
    </row>
    <row r="3805" spans="2:21" x14ac:dyDescent="0.2">
      <c r="B3805" s="203"/>
      <c r="C3805" s="237"/>
      <c r="D3805" s="202"/>
      <c r="E3805" s="202"/>
      <c r="U3805" s="204"/>
    </row>
    <row r="3806" spans="2:21" x14ac:dyDescent="0.2">
      <c r="B3806" s="203"/>
      <c r="C3806" s="237"/>
      <c r="D3806" s="202"/>
      <c r="E3806" s="202"/>
      <c r="U3806" s="204"/>
    </row>
    <row r="3807" spans="2:21" x14ac:dyDescent="0.2">
      <c r="B3807" s="203"/>
      <c r="C3807" s="237"/>
      <c r="D3807" s="202"/>
      <c r="E3807" s="202"/>
      <c r="U3807" s="204"/>
    </row>
    <row r="3808" spans="2:21" x14ac:dyDescent="0.2">
      <c r="B3808" s="203"/>
      <c r="C3808" s="237"/>
      <c r="D3808" s="202"/>
      <c r="E3808" s="202"/>
      <c r="U3808" s="204"/>
    </row>
    <row r="3809" spans="2:21" x14ac:dyDescent="0.2">
      <c r="B3809" s="203"/>
      <c r="C3809" s="237"/>
      <c r="D3809" s="202"/>
      <c r="E3809" s="202"/>
      <c r="U3809" s="204"/>
    </row>
    <row r="3810" spans="2:21" x14ac:dyDescent="0.2">
      <c r="B3810" s="203"/>
      <c r="C3810" s="237"/>
      <c r="D3810" s="202"/>
      <c r="E3810" s="202"/>
      <c r="U3810" s="204"/>
    </row>
    <row r="3811" spans="2:21" x14ac:dyDescent="0.2">
      <c r="B3811" s="203"/>
      <c r="C3811" s="237"/>
      <c r="D3811" s="202"/>
      <c r="E3811" s="202"/>
      <c r="U3811" s="204"/>
    </row>
    <row r="3812" spans="2:21" x14ac:dyDescent="0.2">
      <c r="B3812" s="203"/>
      <c r="C3812" s="237"/>
      <c r="D3812" s="202"/>
      <c r="E3812" s="202"/>
      <c r="U3812" s="204"/>
    </row>
    <row r="3813" spans="2:21" x14ac:dyDescent="0.2">
      <c r="B3813" s="203"/>
      <c r="C3813" s="237"/>
      <c r="D3813" s="202"/>
      <c r="E3813" s="202"/>
      <c r="U3813" s="204"/>
    </row>
    <row r="3814" spans="2:21" x14ac:dyDescent="0.2">
      <c r="B3814" s="203"/>
      <c r="C3814" s="237"/>
      <c r="D3814" s="202"/>
      <c r="E3814" s="202"/>
      <c r="U3814" s="204"/>
    </row>
    <row r="3815" spans="2:21" x14ac:dyDescent="0.2">
      <c r="B3815" s="203"/>
      <c r="C3815" s="237"/>
      <c r="D3815" s="202"/>
      <c r="E3815" s="202"/>
      <c r="U3815" s="204"/>
    </row>
    <row r="3816" spans="2:21" x14ac:dyDescent="0.2">
      <c r="B3816" s="203"/>
      <c r="C3816" s="237"/>
      <c r="D3816" s="202"/>
      <c r="E3816" s="202"/>
      <c r="U3816" s="204"/>
    </row>
    <row r="3817" spans="2:21" x14ac:dyDescent="0.2">
      <c r="B3817" s="203"/>
      <c r="C3817" s="237"/>
      <c r="D3817" s="202"/>
      <c r="E3817" s="202"/>
      <c r="U3817" s="204"/>
    </row>
    <row r="3818" spans="2:21" x14ac:dyDescent="0.2">
      <c r="B3818" s="203"/>
      <c r="C3818" s="237"/>
      <c r="D3818" s="202"/>
      <c r="E3818" s="202"/>
      <c r="U3818" s="204"/>
    </row>
    <row r="3819" spans="2:21" x14ac:dyDescent="0.2">
      <c r="B3819" s="203"/>
      <c r="C3819" s="237"/>
      <c r="D3819" s="202"/>
      <c r="E3819" s="202"/>
      <c r="U3819" s="204"/>
    </row>
    <row r="3820" spans="2:21" x14ac:dyDescent="0.2">
      <c r="B3820" s="203"/>
      <c r="C3820" s="237"/>
      <c r="D3820" s="202"/>
      <c r="E3820" s="202"/>
      <c r="U3820" s="204"/>
    </row>
    <row r="3821" spans="2:21" x14ac:dyDescent="0.2">
      <c r="B3821" s="203"/>
      <c r="C3821" s="237"/>
      <c r="D3821" s="202"/>
      <c r="E3821" s="202"/>
      <c r="U3821" s="204"/>
    </row>
    <row r="3822" spans="2:21" x14ac:dyDescent="0.2">
      <c r="B3822" s="203"/>
      <c r="C3822" s="237"/>
      <c r="D3822" s="202"/>
      <c r="E3822" s="202"/>
      <c r="U3822" s="204"/>
    </row>
    <row r="3823" spans="2:21" x14ac:dyDescent="0.2">
      <c r="B3823" s="203"/>
      <c r="C3823" s="237"/>
      <c r="D3823" s="202"/>
      <c r="E3823" s="202"/>
      <c r="U3823" s="204"/>
    </row>
    <row r="3824" spans="2:21" x14ac:dyDescent="0.2">
      <c r="B3824" s="203"/>
      <c r="C3824" s="237"/>
      <c r="D3824" s="202"/>
      <c r="E3824" s="202"/>
      <c r="U3824" s="204"/>
    </row>
    <row r="3825" spans="2:21" x14ac:dyDescent="0.2">
      <c r="B3825" s="203"/>
      <c r="C3825" s="237"/>
      <c r="D3825" s="202"/>
      <c r="E3825" s="202"/>
      <c r="U3825" s="204"/>
    </row>
    <row r="3826" spans="2:21" x14ac:dyDescent="0.2">
      <c r="B3826" s="203"/>
      <c r="C3826" s="237"/>
      <c r="D3826" s="202"/>
      <c r="E3826" s="202"/>
      <c r="U3826" s="204"/>
    </row>
    <row r="3827" spans="2:21" x14ac:dyDescent="0.2">
      <c r="B3827" s="203"/>
      <c r="C3827" s="237"/>
      <c r="D3827" s="202"/>
      <c r="E3827" s="202"/>
      <c r="U3827" s="204"/>
    </row>
    <row r="3828" spans="2:21" x14ac:dyDescent="0.2">
      <c r="B3828" s="203"/>
      <c r="C3828" s="237"/>
      <c r="D3828" s="202"/>
      <c r="E3828" s="202"/>
      <c r="U3828" s="204"/>
    </row>
    <row r="3829" spans="2:21" x14ac:dyDescent="0.2">
      <c r="B3829" s="203"/>
      <c r="C3829" s="237"/>
      <c r="D3829" s="202"/>
      <c r="E3829" s="202"/>
      <c r="U3829" s="204"/>
    </row>
    <row r="3830" spans="2:21" x14ac:dyDescent="0.2">
      <c r="B3830" s="203"/>
      <c r="C3830" s="237"/>
      <c r="D3830" s="202"/>
      <c r="E3830" s="202"/>
      <c r="U3830" s="204"/>
    </row>
    <row r="3831" spans="2:21" x14ac:dyDescent="0.2">
      <c r="B3831" s="203"/>
      <c r="C3831" s="237"/>
      <c r="D3831" s="202"/>
      <c r="E3831" s="202"/>
      <c r="U3831" s="204"/>
    </row>
    <row r="3832" spans="2:21" x14ac:dyDescent="0.2">
      <c r="B3832" s="203"/>
      <c r="C3832" s="237"/>
      <c r="D3832" s="202"/>
      <c r="E3832" s="202"/>
      <c r="U3832" s="204"/>
    </row>
    <row r="3833" spans="2:21" x14ac:dyDescent="0.2">
      <c r="B3833" s="203"/>
      <c r="C3833" s="237"/>
      <c r="D3833" s="202"/>
      <c r="E3833" s="202"/>
      <c r="U3833" s="204"/>
    </row>
    <row r="3834" spans="2:21" x14ac:dyDescent="0.2">
      <c r="B3834" s="203"/>
      <c r="C3834" s="237"/>
      <c r="D3834" s="202"/>
      <c r="E3834" s="202"/>
      <c r="U3834" s="204"/>
    </row>
    <row r="3835" spans="2:21" x14ac:dyDescent="0.2">
      <c r="B3835" s="203"/>
      <c r="C3835" s="237"/>
      <c r="D3835" s="202"/>
      <c r="E3835" s="202"/>
      <c r="U3835" s="204"/>
    </row>
    <row r="3836" spans="2:21" x14ac:dyDescent="0.2">
      <c r="B3836" s="203"/>
      <c r="C3836" s="237"/>
      <c r="D3836" s="202"/>
      <c r="E3836" s="202"/>
      <c r="U3836" s="204"/>
    </row>
    <row r="3837" spans="2:21" x14ac:dyDescent="0.2">
      <c r="B3837" s="203"/>
      <c r="C3837" s="237"/>
      <c r="D3837" s="202"/>
      <c r="E3837" s="202"/>
      <c r="U3837" s="204"/>
    </row>
    <row r="3838" spans="2:21" x14ac:dyDescent="0.2">
      <c r="B3838" s="203"/>
      <c r="C3838" s="237"/>
      <c r="D3838" s="202"/>
      <c r="E3838" s="202"/>
      <c r="U3838" s="204"/>
    </row>
    <row r="3839" spans="2:21" x14ac:dyDescent="0.2">
      <c r="B3839" s="203"/>
      <c r="C3839" s="237"/>
      <c r="D3839" s="202"/>
      <c r="E3839" s="202"/>
      <c r="U3839" s="204"/>
    </row>
    <row r="3840" spans="2:21" x14ac:dyDescent="0.2">
      <c r="B3840" s="203"/>
      <c r="C3840" s="237"/>
      <c r="D3840" s="202"/>
      <c r="E3840" s="202"/>
      <c r="U3840" s="204"/>
    </row>
    <row r="3841" spans="2:21" x14ac:dyDescent="0.2">
      <c r="B3841" s="203"/>
      <c r="C3841" s="237"/>
      <c r="D3841" s="202"/>
      <c r="E3841" s="202"/>
      <c r="U3841" s="204"/>
    </row>
    <row r="3842" spans="2:21" x14ac:dyDescent="0.2">
      <c r="B3842" s="203"/>
      <c r="C3842" s="237"/>
      <c r="D3842" s="202"/>
      <c r="E3842" s="202"/>
      <c r="U3842" s="204"/>
    </row>
    <row r="3843" spans="2:21" x14ac:dyDescent="0.2">
      <c r="B3843" s="203"/>
      <c r="C3843" s="237"/>
      <c r="D3843" s="202"/>
      <c r="E3843" s="202"/>
      <c r="U3843" s="204"/>
    </row>
    <row r="3844" spans="2:21" x14ac:dyDescent="0.2">
      <c r="B3844" s="203"/>
      <c r="C3844" s="237"/>
      <c r="D3844" s="202"/>
      <c r="E3844" s="202"/>
      <c r="U3844" s="204"/>
    </row>
    <row r="3845" spans="2:21" x14ac:dyDescent="0.2">
      <c r="B3845" s="203"/>
      <c r="C3845" s="237"/>
      <c r="D3845" s="202"/>
      <c r="E3845" s="202"/>
      <c r="U3845" s="204"/>
    </row>
    <row r="3846" spans="2:21" x14ac:dyDescent="0.2">
      <c r="B3846" s="203"/>
      <c r="C3846" s="237"/>
      <c r="D3846" s="202"/>
      <c r="E3846" s="202"/>
      <c r="U3846" s="204"/>
    </row>
    <row r="3847" spans="2:21" x14ac:dyDescent="0.2">
      <c r="B3847" s="203"/>
      <c r="C3847" s="237"/>
      <c r="D3847" s="202"/>
      <c r="E3847" s="202"/>
      <c r="U3847" s="204"/>
    </row>
    <row r="3848" spans="2:21" x14ac:dyDescent="0.2">
      <c r="B3848" s="203"/>
      <c r="C3848" s="237"/>
      <c r="D3848" s="202"/>
      <c r="E3848" s="202"/>
      <c r="U3848" s="204"/>
    </row>
    <row r="3849" spans="2:21" x14ac:dyDescent="0.2">
      <c r="B3849" s="203"/>
      <c r="C3849" s="237"/>
      <c r="D3849" s="202"/>
      <c r="E3849" s="202"/>
      <c r="U3849" s="204"/>
    </row>
    <row r="3850" spans="2:21" x14ac:dyDescent="0.2">
      <c r="B3850" s="203"/>
      <c r="C3850" s="237"/>
      <c r="D3850" s="202"/>
      <c r="E3850" s="202"/>
      <c r="U3850" s="204"/>
    </row>
    <row r="3851" spans="2:21" x14ac:dyDescent="0.2">
      <c r="B3851" s="203"/>
      <c r="C3851" s="237"/>
      <c r="D3851" s="202"/>
      <c r="E3851" s="202"/>
      <c r="U3851" s="204"/>
    </row>
    <row r="3852" spans="2:21" x14ac:dyDescent="0.2">
      <c r="B3852" s="203"/>
      <c r="C3852" s="237"/>
      <c r="D3852" s="202"/>
      <c r="E3852" s="202"/>
      <c r="U3852" s="204"/>
    </row>
    <row r="3853" spans="2:21" x14ac:dyDescent="0.2">
      <c r="B3853" s="203"/>
      <c r="C3853" s="237"/>
      <c r="D3853" s="202"/>
      <c r="E3853" s="202"/>
      <c r="U3853" s="204"/>
    </row>
    <row r="3854" spans="2:21" x14ac:dyDescent="0.2">
      <c r="B3854" s="203"/>
      <c r="C3854" s="237"/>
      <c r="D3854" s="202"/>
      <c r="E3854" s="202"/>
      <c r="U3854" s="204"/>
    </row>
    <row r="3855" spans="2:21" x14ac:dyDescent="0.2">
      <c r="B3855" s="203"/>
      <c r="C3855" s="237"/>
      <c r="D3855" s="202"/>
      <c r="E3855" s="202"/>
      <c r="U3855" s="204"/>
    </row>
    <row r="3856" spans="2:21" x14ac:dyDescent="0.2">
      <c r="B3856" s="203"/>
      <c r="C3856" s="237"/>
      <c r="D3856" s="202"/>
      <c r="E3856" s="202"/>
      <c r="U3856" s="204"/>
    </row>
    <row r="3857" spans="2:21" x14ac:dyDescent="0.2">
      <c r="B3857" s="203"/>
      <c r="C3857" s="237"/>
      <c r="D3857" s="202"/>
      <c r="E3857" s="202"/>
      <c r="U3857" s="204"/>
    </row>
    <row r="3858" spans="2:21" x14ac:dyDescent="0.2">
      <c r="B3858" s="203"/>
      <c r="C3858" s="237"/>
      <c r="D3858" s="202"/>
      <c r="E3858" s="202"/>
      <c r="U3858" s="204"/>
    </row>
    <row r="3859" spans="2:21" x14ac:dyDescent="0.2">
      <c r="B3859" s="203"/>
      <c r="C3859" s="237"/>
      <c r="D3859" s="202"/>
      <c r="E3859" s="202"/>
      <c r="U3859" s="204"/>
    </row>
    <row r="3860" spans="2:21" x14ac:dyDescent="0.2">
      <c r="B3860" s="203"/>
      <c r="C3860" s="237"/>
      <c r="D3860" s="202"/>
      <c r="E3860" s="202"/>
      <c r="U3860" s="204"/>
    </row>
    <row r="3861" spans="2:21" x14ac:dyDescent="0.2">
      <c r="B3861" s="203"/>
      <c r="C3861" s="237"/>
      <c r="D3861" s="202"/>
      <c r="E3861" s="202"/>
      <c r="U3861" s="204"/>
    </row>
    <row r="3862" spans="2:21" x14ac:dyDescent="0.2">
      <c r="B3862" s="203"/>
      <c r="C3862" s="237"/>
      <c r="D3862" s="202"/>
      <c r="E3862" s="202"/>
      <c r="U3862" s="204"/>
    </row>
    <row r="3863" spans="2:21" x14ac:dyDescent="0.2">
      <c r="B3863" s="203"/>
      <c r="C3863" s="237"/>
      <c r="D3863" s="202"/>
      <c r="E3863" s="202"/>
      <c r="U3863" s="204"/>
    </row>
    <row r="3864" spans="2:21" x14ac:dyDescent="0.2">
      <c r="B3864" s="203"/>
      <c r="C3864" s="237"/>
      <c r="D3864" s="202"/>
      <c r="E3864" s="202"/>
      <c r="U3864" s="204"/>
    </row>
    <row r="3865" spans="2:21" x14ac:dyDescent="0.2">
      <c r="B3865" s="203"/>
      <c r="C3865" s="237"/>
      <c r="D3865" s="202"/>
      <c r="E3865" s="202"/>
      <c r="U3865" s="204"/>
    </row>
    <row r="3866" spans="2:21" x14ac:dyDescent="0.2">
      <c r="B3866" s="203"/>
      <c r="C3866" s="237"/>
      <c r="D3866" s="202"/>
      <c r="E3866" s="202"/>
      <c r="U3866" s="204"/>
    </row>
    <row r="3867" spans="2:21" x14ac:dyDescent="0.2">
      <c r="B3867" s="203"/>
      <c r="C3867" s="237"/>
      <c r="D3867" s="202"/>
      <c r="E3867" s="202"/>
      <c r="U3867" s="204"/>
    </row>
    <row r="3868" spans="2:21" x14ac:dyDescent="0.2">
      <c r="B3868" s="203"/>
      <c r="C3868" s="237"/>
      <c r="D3868" s="202"/>
      <c r="E3868" s="202"/>
      <c r="U3868" s="204"/>
    </row>
    <row r="3869" spans="2:21" x14ac:dyDescent="0.2">
      <c r="B3869" s="203"/>
      <c r="C3869" s="237"/>
      <c r="D3869" s="202"/>
      <c r="E3869" s="202"/>
      <c r="U3869" s="204"/>
    </row>
    <row r="3870" spans="2:21" x14ac:dyDescent="0.2">
      <c r="B3870" s="203"/>
      <c r="C3870" s="237"/>
      <c r="D3870" s="202"/>
      <c r="E3870" s="202"/>
      <c r="U3870" s="204"/>
    </row>
    <row r="3871" spans="2:21" x14ac:dyDescent="0.2">
      <c r="B3871" s="203"/>
      <c r="C3871" s="237"/>
      <c r="D3871" s="202"/>
      <c r="E3871" s="202"/>
      <c r="U3871" s="204"/>
    </row>
    <row r="3872" spans="2:21" x14ac:dyDescent="0.2">
      <c r="B3872" s="203"/>
      <c r="C3872" s="237"/>
      <c r="D3872" s="202"/>
      <c r="E3872" s="202"/>
      <c r="U3872" s="204"/>
    </row>
    <row r="3873" spans="2:21" x14ac:dyDescent="0.2">
      <c r="B3873" s="203"/>
      <c r="C3873" s="237"/>
      <c r="D3873" s="202"/>
      <c r="E3873" s="202"/>
      <c r="U3873" s="204"/>
    </row>
    <row r="3874" spans="2:21" x14ac:dyDescent="0.2">
      <c r="B3874" s="203"/>
      <c r="C3874" s="237"/>
      <c r="D3874" s="202"/>
      <c r="E3874" s="202"/>
      <c r="U3874" s="204"/>
    </row>
    <row r="3875" spans="2:21" x14ac:dyDescent="0.2">
      <c r="B3875" s="203"/>
      <c r="C3875" s="237"/>
      <c r="D3875" s="202"/>
      <c r="E3875" s="202"/>
      <c r="U3875" s="204"/>
    </row>
    <row r="3876" spans="2:21" x14ac:dyDescent="0.2">
      <c r="B3876" s="203"/>
      <c r="C3876" s="237"/>
      <c r="D3876" s="202"/>
      <c r="E3876" s="202"/>
      <c r="U3876" s="204"/>
    </row>
    <row r="3877" spans="2:21" x14ac:dyDescent="0.2">
      <c r="B3877" s="203"/>
      <c r="C3877" s="237"/>
      <c r="D3877" s="202"/>
      <c r="E3877" s="202"/>
      <c r="U3877" s="204"/>
    </row>
    <row r="3878" spans="2:21" x14ac:dyDescent="0.2">
      <c r="B3878" s="203"/>
      <c r="C3878" s="237"/>
      <c r="D3878" s="202"/>
      <c r="E3878" s="202"/>
      <c r="U3878" s="204"/>
    </row>
    <row r="3879" spans="2:21" x14ac:dyDescent="0.2">
      <c r="B3879" s="203"/>
      <c r="C3879" s="237"/>
      <c r="D3879" s="202"/>
      <c r="E3879" s="202"/>
      <c r="U3879" s="204"/>
    </row>
    <row r="3880" spans="2:21" x14ac:dyDescent="0.2">
      <c r="B3880" s="203"/>
      <c r="C3880" s="237"/>
      <c r="D3880" s="202"/>
      <c r="E3880" s="202"/>
      <c r="U3880" s="204"/>
    </row>
    <row r="3881" spans="2:21" x14ac:dyDescent="0.2">
      <c r="B3881" s="203"/>
      <c r="C3881" s="237"/>
      <c r="D3881" s="202"/>
      <c r="E3881" s="202"/>
      <c r="U3881" s="204"/>
    </row>
    <row r="3882" spans="2:21" x14ac:dyDescent="0.2">
      <c r="B3882" s="203"/>
      <c r="C3882" s="237"/>
      <c r="D3882" s="202"/>
      <c r="E3882" s="202"/>
      <c r="U3882" s="204"/>
    </row>
    <row r="3883" spans="2:21" x14ac:dyDescent="0.2">
      <c r="B3883" s="203"/>
      <c r="C3883" s="237"/>
      <c r="D3883" s="202"/>
      <c r="E3883" s="202"/>
      <c r="U3883" s="204"/>
    </row>
    <row r="3884" spans="2:21" x14ac:dyDescent="0.2">
      <c r="B3884" s="203"/>
      <c r="C3884" s="237"/>
      <c r="D3884" s="202"/>
      <c r="E3884" s="202"/>
      <c r="U3884" s="204"/>
    </row>
    <row r="3885" spans="2:21" x14ac:dyDescent="0.2">
      <c r="B3885" s="203"/>
      <c r="C3885" s="237"/>
      <c r="D3885" s="202"/>
      <c r="E3885" s="202"/>
      <c r="U3885" s="204"/>
    </row>
    <row r="3886" spans="2:21" x14ac:dyDescent="0.2">
      <c r="B3886" s="203"/>
      <c r="C3886" s="237"/>
      <c r="D3886" s="202"/>
      <c r="E3886" s="202"/>
      <c r="U3886" s="204"/>
    </row>
    <row r="3887" spans="2:21" x14ac:dyDescent="0.2">
      <c r="B3887" s="203"/>
      <c r="C3887" s="237"/>
      <c r="D3887" s="202"/>
      <c r="E3887" s="202"/>
      <c r="U3887" s="204"/>
    </row>
    <row r="3888" spans="2:21" x14ac:dyDescent="0.2">
      <c r="B3888" s="203"/>
      <c r="C3888" s="237"/>
      <c r="D3888" s="202"/>
      <c r="E3888" s="202"/>
      <c r="U3888" s="204"/>
    </row>
    <row r="3889" spans="2:21" x14ac:dyDescent="0.2">
      <c r="B3889" s="203"/>
      <c r="C3889" s="237"/>
      <c r="D3889" s="202"/>
      <c r="E3889" s="202"/>
      <c r="U3889" s="204"/>
    </row>
    <row r="3890" spans="2:21" x14ac:dyDescent="0.2">
      <c r="B3890" s="203"/>
      <c r="C3890" s="237"/>
      <c r="D3890" s="202"/>
      <c r="E3890" s="202"/>
      <c r="U3890" s="204"/>
    </row>
    <row r="3891" spans="2:21" x14ac:dyDescent="0.2">
      <c r="B3891" s="203"/>
      <c r="C3891" s="237"/>
      <c r="D3891" s="202"/>
      <c r="E3891" s="202"/>
      <c r="U3891" s="204"/>
    </row>
    <row r="3892" spans="2:21" x14ac:dyDescent="0.2">
      <c r="B3892" s="203"/>
      <c r="C3892" s="237"/>
      <c r="D3892" s="202"/>
      <c r="E3892" s="202"/>
      <c r="U3892" s="204"/>
    </row>
    <row r="3893" spans="2:21" x14ac:dyDescent="0.2">
      <c r="B3893" s="203"/>
      <c r="C3893" s="237"/>
      <c r="D3893" s="202"/>
      <c r="E3893" s="202"/>
      <c r="U3893" s="204"/>
    </row>
    <row r="3894" spans="2:21" x14ac:dyDescent="0.2">
      <c r="B3894" s="203"/>
      <c r="C3894" s="237"/>
      <c r="D3894" s="202"/>
      <c r="E3894" s="202"/>
      <c r="U3894" s="204"/>
    </row>
    <row r="3895" spans="2:21" x14ac:dyDescent="0.2">
      <c r="B3895" s="203"/>
      <c r="C3895" s="237"/>
      <c r="D3895" s="202"/>
      <c r="E3895" s="202"/>
      <c r="U3895" s="204"/>
    </row>
    <row r="3896" spans="2:21" x14ac:dyDescent="0.2">
      <c r="B3896" s="203"/>
      <c r="C3896" s="237"/>
      <c r="D3896" s="202"/>
      <c r="E3896" s="202"/>
      <c r="U3896" s="204"/>
    </row>
    <row r="3897" spans="2:21" x14ac:dyDescent="0.2">
      <c r="B3897" s="203"/>
      <c r="C3897" s="237"/>
      <c r="D3897" s="202"/>
      <c r="E3897" s="202"/>
      <c r="U3897" s="204"/>
    </row>
    <row r="3898" spans="2:21" x14ac:dyDescent="0.2">
      <c r="B3898" s="203"/>
      <c r="C3898" s="237"/>
      <c r="D3898" s="202"/>
      <c r="E3898" s="202"/>
      <c r="U3898" s="204"/>
    </row>
    <row r="3899" spans="2:21" x14ac:dyDescent="0.2">
      <c r="B3899" s="203"/>
      <c r="C3899" s="237"/>
      <c r="D3899" s="202"/>
      <c r="E3899" s="202"/>
      <c r="U3899" s="204"/>
    </row>
    <row r="3900" spans="2:21" x14ac:dyDescent="0.2">
      <c r="B3900" s="203"/>
      <c r="C3900" s="237"/>
      <c r="D3900" s="202"/>
      <c r="E3900" s="202"/>
      <c r="U3900" s="204"/>
    </row>
    <row r="3901" spans="2:21" x14ac:dyDescent="0.2">
      <c r="B3901" s="203"/>
      <c r="C3901" s="237"/>
      <c r="D3901" s="202"/>
      <c r="E3901" s="202"/>
      <c r="U3901" s="204"/>
    </row>
    <row r="3902" spans="2:21" x14ac:dyDescent="0.2">
      <c r="B3902" s="203"/>
      <c r="C3902" s="237"/>
      <c r="D3902" s="202"/>
      <c r="E3902" s="202"/>
      <c r="U3902" s="204"/>
    </row>
    <row r="3903" spans="2:21" x14ac:dyDescent="0.2">
      <c r="B3903" s="203"/>
      <c r="C3903" s="237"/>
      <c r="D3903" s="202"/>
      <c r="E3903" s="202"/>
      <c r="U3903" s="204"/>
    </row>
    <row r="3904" spans="2:21" x14ac:dyDescent="0.2">
      <c r="B3904" s="203"/>
      <c r="C3904" s="237"/>
      <c r="D3904" s="202"/>
      <c r="E3904" s="202"/>
      <c r="U3904" s="204"/>
    </row>
    <row r="3905" spans="2:21" x14ac:dyDescent="0.2">
      <c r="B3905" s="203"/>
      <c r="C3905" s="237"/>
      <c r="D3905" s="202"/>
      <c r="E3905" s="202"/>
      <c r="U3905" s="204"/>
    </row>
    <row r="3906" spans="2:21" x14ac:dyDescent="0.2">
      <c r="B3906" s="203"/>
      <c r="C3906" s="237"/>
      <c r="D3906" s="202"/>
      <c r="E3906" s="202"/>
      <c r="U3906" s="204"/>
    </row>
    <row r="3907" spans="2:21" x14ac:dyDescent="0.2">
      <c r="B3907" s="203"/>
      <c r="C3907" s="237"/>
      <c r="D3907" s="202"/>
      <c r="E3907" s="202"/>
      <c r="U3907" s="204"/>
    </row>
    <row r="3908" spans="2:21" x14ac:dyDescent="0.2">
      <c r="B3908" s="203"/>
      <c r="C3908" s="237"/>
      <c r="D3908" s="202"/>
      <c r="E3908" s="202"/>
      <c r="U3908" s="204"/>
    </row>
    <row r="3909" spans="2:21" x14ac:dyDescent="0.2">
      <c r="B3909" s="203"/>
      <c r="C3909" s="237"/>
      <c r="D3909" s="202"/>
      <c r="E3909" s="202"/>
      <c r="U3909" s="204"/>
    </row>
    <row r="3910" spans="2:21" x14ac:dyDescent="0.2">
      <c r="B3910" s="203"/>
      <c r="C3910" s="237"/>
      <c r="D3910" s="202"/>
      <c r="E3910" s="202"/>
      <c r="U3910" s="204"/>
    </row>
    <row r="3911" spans="2:21" x14ac:dyDescent="0.2">
      <c r="B3911" s="203"/>
      <c r="C3911" s="237"/>
      <c r="D3911" s="202"/>
      <c r="E3911" s="202"/>
      <c r="U3911" s="204"/>
    </row>
    <row r="3912" spans="2:21" x14ac:dyDescent="0.2">
      <c r="B3912" s="203"/>
      <c r="C3912" s="237"/>
      <c r="D3912" s="202"/>
      <c r="E3912" s="202"/>
      <c r="U3912" s="204"/>
    </row>
    <row r="3913" spans="2:21" x14ac:dyDescent="0.2">
      <c r="B3913" s="203"/>
      <c r="C3913" s="237"/>
      <c r="D3913" s="202"/>
      <c r="E3913" s="202"/>
      <c r="U3913" s="204"/>
    </row>
    <row r="3914" spans="2:21" x14ac:dyDescent="0.2">
      <c r="B3914" s="203"/>
      <c r="C3914" s="237"/>
      <c r="D3914" s="202"/>
      <c r="E3914" s="202"/>
      <c r="U3914" s="204"/>
    </row>
    <row r="3915" spans="2:21" x14ac:dyDescent="0.2">
      <c r="B3915" s="203"/>
      <c r="C3915" s="237"/>
      <c r="D3915" s="202"/>
      <c r="E3915" s="202"/>
      <c r="U3915" s="204"/>
    </row>
    <row r="3916" spans="2:21" x14ac:dyDescent="0.2">
      <c r="B3916" s="203"/>
      <c r="C3916" s="237"/>
      <c r="D3916" s="202"/>
      <c r="E3916" s="202"/>
      <c r="U3916" s="204"/>
    </row>
    <row r="3917" spans="2:21" x14ac:dyDescent="0.2">
      <c r="B3917" s="203"/>
      <c r="C3917" s="237"/>
      <c r="D3917" s="202"/>
      <c r="E3917" s="202"/>
      <c r="U3917" s="204"/>
    </row>
    <row r="3918" spans="2:21" x14ac:dyDescent="0.2">
      <c r="B3918" s="203"/>
      <c r="C3918" s="237"/>
      <c r="D3918" s="202"/>
      <c r="E3918" s="202"/>
      <c r="U3918" s="204"/>
    </row>
    <row r="3919" spans="2:21" x14ac:dyDescent="0.2">
      <c r="B3919" s="203"/>
      <c r="C3919" s="237"/>
      <c r="D3919" s="202"/>
      <c r="E3919" s="202"/>
      <c r="U3919" s="204"/>
    </row>
    <row r="3920" spans="2:21" x14ac:dyDescent="0.2">
      <c r="B3920" s="203"/>
      <c r="C3920" s="237"/>
      <c r="D3920" s="202"/>
      <c r="E3920" s="202"/>
      <c r="U3920" s="204"/>
    </row>
    <row r="3921" spans="2:21" x14ac:dyDescent="0.2">
      <c r="B3921" s="203"/>
      <c r="C3921" s="237"/>
      <c r="D3921" s="202"/>
      <c r="E3921" s="202"/>
      <c r="U3921" s="204"/>
    </row>
    <row r="3922" spans="2:21" x14ac:dyDescent="0.2">
      <c r="B3922" s="203"/>
      <c r="C3922" s="237"/>
      <c r="D3922" s="202"/>
      <c r="E3922" s="202"/>
      <c r="U3922" s="204"/>
    </row>
    <row r="3923" spans="2:21" x14ac:dyDescent="0.2">
      <c r="B3923" s="203"/>
      <c r="C3923" s="237"/>
      <c r="D3923" s="202"/>
      <c r="E3923" s="202"/>
      <c r="U3923" s="204"/>
    </row>
    <row r="3924" spans="2:21" x14ac:dyDescent="0.2">
      <c r="B3924" s="203"/>
      <c r="C3924" s="237"/>
      <c r="D3924" s="202"/>
      <c r="E3924" s="202"/>
      <c r="U3924" s="204"/>
    </row>
    <row r="3925" spans="2:21" x14ac:dyDescent="0.2">
      <c r="B3925" s="203"/>
      <c r="C3925" s="237"/>
      <c r="D3925" s="202"/>
      <c r="E3925" s="202"/>
      <c r="U3925" s="204"/>
    </row>
    <row r="3926" spans="2:21" x14ac:dyDescent="0.2">
      <c r="B3926" s="203"/>
      <c r="C3926" s="237"/>
      <c r="D3926" s="202"/>
      <c r="E3926" s="202"/>
      <c r="U3926" s="204"/>
    </row>
    <row r="3927" spans="2:21" x14ac:dyDescent="0.2">
      <c r="B3927" s="203"/>
      <c r="C3927" s="237"/>
      <c r="D3927" s="202"/>
      <c r="E3927" s="202"/>
      <c r="U3927" s="204"/>
    </row>
    <row r="3928" spans="2:21" x14ac:dyDescent="0.2">
      <c r="B3928" s="203"/>
      <c r="C3928" s="237"/>
      <c r="D3928" s="202"/>
      <c r="E3928" s="202"/>
      <c r="U3928" s="204"/>
    </row>
    <row r="3929" spans="2:21" x14ac:dyDescent="0.2">
      <c r="B3929" s="203"/>
      <c r="C3929" s="237"/>
      <c r="D3929" s="202"/>
      <c r="E3929" s="202"/>
      <c r="U3929" s="204"/>
    </row>
    <row r="3930" spans="2:21" x14ac:dyDescent="0.2">
      <c r="B3930" s="203"/>
      <c r="C3930" s="237"/>
      <c r="D3930" s="202"/>
      <c r="E3930" s="202"/>
      <c r="U3930" s="204"/>
    </row>
    <row r="3931" spans="2:21" x14ac:dyDescent="0.2">
      <c r="B3931" s="203"/>
      <c r="C3931" s="237"/>
      <c r="D3931" s="202"/>
      <c r="E3931" s="202"/>
      <c r="U3931" s="204"/>
    </row>
    <row r="3932" spans="2:21" x14ac:dyDescent="0.2">
      <c r="B3932" s="203"/>
      <c r="C3932" s="237"/>
      <c r="D3932" s="202"/>
      <c r="E3932" s="202"/>
      <c r="U3932" s="204"/>
    </row>
    <row r="3933" spans="2:21" x14ac:dyDescent="0.2">
      <c r="B3933" s="203"/>
      <c r="C3933" s="237"/>
      <c r="D3933" s="202"/>
      <c r="E3933" s="202"/>
      <c r="U3933" s="204"/>
    </row>
    <row r="3934" spans="2:21" x14ac:dyDescent="0.2">
      <c r="B3934" s="203"/>
      <c r="C3934" s="237"/>
      <c r="D3934" s="202"/>
      <c r="E3934" s="202"/>
      <c r="U3934" s="204"/>
    </row>
    <row r="3935" spans="2:21" x14ac:dyDescent="0.2">
      <c r="B3935" s="203"/>
      <c r="C3935" s="237"/>
      <c r="D3935" s="202"/>
      <c r="E3935" s="202"/>
      <c r="U3935" s="204"/>
    </row>
    <row r="3936" spans="2:21" x14ac:dyDescent="0.2">
      <c r="B3936" s="203"/>
      <c r="C3936" s="237"/>
      <c r="D3936" s="202"/>
      <c r="E3936" s="202"/>
      <c r="U3936" s="204"/>
    </row>
    <row r="3937" spans="2:21" x14ac:dyDescent="0.2">
      <c r="B3937" s="203"/>
      <c r="C3937" s="237"/>
      <c r="D3937" s="202"/>
      <c r="E3937" s="202"/>
      <c r="U3937" s="204"/>
    </row>
    <row r="3938" spans="2:21" x14ac:dyDescent="0.2">
      <c r="B3938" s="203"/>
      <c r="C3938" s="237"/>
      <c r="D3938" s="202"/>
      <c r="E3938" s="202"/>
      <c r="U3938" s="204"/>
    </row>
    <row r="3939" spans="2:21" x14ac:dyDescent="0.2">
      <c r="B3939" s="203"/>
      <c r="C3939" s="237"/>
      <c r="D3939" s="202"/>
      <c r="E3939" s="202"/>
      <c r="U3939" s="204"/>
    </row>
    <row r="3940" spans="2:21" x14ac:dyDescent="0.2">
      <c r="B3940" s="203"/>
      <c r="C3940" s="237"/>
      <c r="D3940" s="202"/>
      <c r="E3940" s="202"/>
      <c r="U3940" s="204"/>
    </row>
    <row r="3941" spans="2:21" x14ac:dyDescent="0.2">
      <c r="B3941" s="203"/>
      <c r="C3941" s="237"/>
      <c r="D3941" s="202"/>
      <c r="E3941" s="202"/>
      <c r="U3941" s="204"/>
    </row>
    <row r="3942" spans="2:21" x14ac:dyDescent="0.2">
      <c r="B3942" s="203"/>
      <c r="C3942" s="237"/>
      <c r="D3942" s="202"/>
      <c r="E3942" s="202"/>
      <c r="U3942" s="204"/>
    </row>
    <row r="3943" spans="2:21" x14ac:dyDescent="0.2">
      <c r="B3943" s="203"/>
      <c r="C3943" s="237"/>
      <c r="D3943" s="202"/>
      <c r="E3943" s="202"/>
      <c r="U3943" s="204"/>
    </row>
    <row r="3944" spans="2:21" x14ac:dyDescent="0.2">
      <c r="B3944" s="203"/>
      <c r="C3944" s="237"/>
      <c r="D3944" s="202"/>
      <c r="E3944" s="202"/>
      <c r="U3944" s="204"/>
    </row>
    <row r="3945" spans="2:21" x14ac:dyDescent="0.2">
      <c r="B3945" s="203"/>
      <c r="C3945" s="237"/>
      <c r="D3945" s="202"/>
      <c r="E3945" s="202"/>
      <c r="U3945" s="204"/>
    </row>
    <row r="3946" spans="2:21" x14ac:dyDescent="0.2">
      <c r="B3946" s="203"/>
      <c r="C3946" s="237"/>
      <c r="D3946" s="202"/>
      <c r="E3946" s="202"/>
      <c r="U3946" s="204"/>
    </row>
    <row r="3947" spans="2:21" x14ac:dyDescent="0.2">
      <c r="B3947" s="203"/>
      <c r="C3947" s="237"/>
      <c r="D3947" s="202"/>
      <c r="E3947" s="202"/>
      <c r="U3947" s="204"/>
    </row>
    <row r="3948" spans="2:21" x14ac:dyDescent="0.2">
      <c r="B3948" s="203"/>
      <c r="C3948" s="237"/>
      <c r="D3948" s="202"/>
      <c r="E3948" s="202"/>
      <c r="U3948" s="204"/>
    </row>
    <row r="3949" spans="2:21" x14ac:dyDescent="0.2">
      <c r="B3949" s="203"/>
      <c r="C3949" s="237"/>
      <c r="D3949" s="202"/>
      <c r="E3949" s="202"/>
      <c r="U3949" s="204"/>
    </row>
    <row r="3950" spans="2:21" x14ac:dyDescent="0.2">
      <c r="B3950" s="203"/>
      <c r="C3950" s="237"/>
      <c r="D3950" s="202"/>
      <c r="E3950" s="202"/>
      <c r="U3950" s="204"/>
    </row>
    <row r="3951" spans="2:21" x14ac:dyDescent="0.2">
      <c r="B3951" s="203"/>
      <c r="C3951" s="237"/>
      <c r="D3951" s="202"/>
      <c r="E3951" s="202"/>
      <c r="U3951" s="204"/>
    </row>
    <row r="3952" spans="2:21" x14ac:dyDescent="0.2">
      <c r="B3952" s="203"/>
      <c r="C3952" s="237"/>
      <c r="D3952" s="202"/>
      <c r="E3952" s="202"/>
      <c r="U3952" s="204"/>
    </row>
    <row r="3953" spans="2:21" x14ac:dyDescent="0.2">
      <c r="B3953" s="203"/>
      <c r="C3953" s="237"/>
      <c r="D3953" s="202"/>
      <c r="E3953" s="202"/>
      <c r="U3953" s="204"/>
    </row>
    <row r="3954" spans="2:21" x14ac:dyDescent="0.2">
      <c r="B3954" s="203"/>
      <c r="C3954" s="237"/>
      <c r="D3954" s="202"/>
      <c r="E3954" s="202"/>
      <c r="U3954" s="204"/>
    </row>
    <row r="3955" spans="2:21" x14ac:dyDescent="0.2">
      <c r="B3955" s="203"/>
      <c r="C3955" s="237"/>
      <c r="D3955" s="202"/>
      <c r="E3955" s="202"/>
      <c r="U3955" s="204"/>
    </row>
    <row r="3956" spans="2:21" x14ac:dyDescent="0.2">
      <c r="B3956" s="203"/>
      <c r="C3956" s="237"/>
      <c r="D3956" s="202"/>
      <c r="E3956" s="202"/>
      <c r="U3956" s="204"/>
    </row>
    <row r="3957" spans="2:21" x14ac:dyDescent="0.2">
      <c r="B3957" s="203"/>
      <c r="C3957" s="237"/>
      <c r="D3957" s="202"/>
      <c r="E3957" s="202"/>
      <c r="U3957" s="204"/>
    </row>
    <row r="3958" spans="2:21" x14ac:dyDescent="0.2">
      <c r="B3958" s="203"/>
      <c r="C3958" s="237"/>
      <c r="D3958" s="202"/>
      <c r="E3958" s="202"/>
      <c r="U3958" s="204"/>
    </row>
    <row r="3959" spans="2:21" x14ac:dyDescent="0.2">
      <c r="B3959" s="203"/>
      <c r="C3959" s="237"/>
      <c r="D3959" s="202"/>
      <c r="E3959" s="202"/>
      <c r="U3959" s="204"/>
    </row>
    <row r="3960" spans="2:21" x14ac:dyDescent="0.2">
      <c r="B3960" s="203"/>
      <c r="C3960" s="237"/>
      <c r="D3960" s="202"/>
      <c r="E3960" s="202"/>
      <c r="U3960" s="204"/>
    </row>
    <row r="3961" spans="2:21" x14ac:dyDescent="0.2">
      <c r="B3961" s="203"/>
      <c r="C3961" s="237"/>
      <c r="D3961" s="202"/>
      <c r="E3961" s="202"/>
      <c r="U3961" s="204"/>
    </row>
    <row r="3962" spans="2:21" x14ac:dyDescent="0.2">
      <c r="B3962" s="203"/>
      <c r="C3962" s="237"/>
      <c r="D3962" s="202"/>
      <c r="E3962" s="202"/>
      <c r="U3962" s="204"/>
    </row>
    <row r="3963" spans="2:21" x14ac:dyDescent="0.2">
      <c r="B3963" s="203"/>
      <c r="C3963" s="237"/>
      <c r="D3963" s="202"/>
      <c r="E3963" s="202"/>
      <c r="U3963" s="204"/>
    </row>
    <row r="3964" spans="2:21" x14ac:dyDescent="0.2">
      <c r="B3964" s="203"/>
      <c r="C3964" s="237"/>
      <c r="D3964" s="202"/>
      <c r="E3964" s="202"/>
      <c r="U3964" s="204"/>
    </row>
    <row r="3965" spans="2:21" x14ac:dyDescent="0.2">
      <c r="B3965" s="203"/>
      <c r="C3965" s="237"/>
      <c r="D3965" s="202"/>
      <c r="E3965" s="202"/>
      <c r="U3965" s="204"/>
    </row>
    <row r="3966" spans="2:21" x14ac:dyDescent="0.2">
      <c r="B3966" s="203"/>
      <c r="C3966" s="237"/>
      <c r="D3966" s="202"/>
      <c r="E3966" s="202"/>
      <c r="U3966" s="204"/>
    </row>
    <row r="3967" spans="2:21" x14ac:dyDescent="0.2">
      <c r="B3967" s="203"/>
      <c r="C3967" s="237"/>
      <c r="D3967" s="202"/>
      <c r="E3967" s="202"/>
      <c r="U3967" s="204"/>
    </row>
    <row r="3968" spans="2:21" x14ac:dyDescent="0.2">
      <c r="B3968" s="203"/>
      <c r="C3968" s="237"/>
      <c r="D3968" s="202"/>
      <c r="E3968" s="202"/>
      <c r="U3968" s="204"/>
    </row>
    <row r="3969" spans="2:21" x14ac:dyDescent="0.2">
      <c r="B3969" s="203"/>
      <c r="C3969" s="237"/>
      <c r="D3969" s="202"/>
      <c r="E3969" s="202"/>
      <c r="U3969" s="204"/>
    </row>
    <row r="3970" spans="2:21" x14ac:dyDescent="0.2">
      <c r="B3970" s="203"/>
      <c r="C3970" s="237"/>
      <c r="D3970" s="202"/>
      <c r="E3970" s="202"/>
      <c r="U3970" s="204"/>
    </row>
    <row r="3971" spans="2:21" x14ac:dyDescent="0.2">
      <c r="B3971" s="203"/>
      <c r="C3971" s="237"/>
      <c r="D3971" s="202"/>
      <c r="E3971" s="202"/>
      <c r="U3971" s="204"/>
    </row>
    <row r="3972" spans="2:21" x14ac:dyDescent="0.2">
      <c r="B3972" s="203"/>
      <c r="C3972" s="237"/>
      <c r="D3972" s="202"/>
      <c r="E3972" s="202"/>
      <c r="U3972" s="204"/>
    </row>
    <row r="3973" spans="2:21" x14ac:dyDescent="0.2">
      <c r="B3973" s="203"/>
      <c r="C3973" s="237"/>
      <c r="D3973" s="202"/>
      <c r="E3973" s="202"/>
      <c r="U3973" s="204"/>
    </row>
    <row r="3974" spans="2:21" x14ac:dyDescent="0.2">
      <c r="B3974" s="203"/>
      <c r="C3974" s="237"/>
      <c r="D3974" s="202"/>
      <c r="E3974" s="202"/>
      <c r="U3974" s="204"/>
    </row>
    <row r="3975" spans="2:21" x14ac:dyDescent="0.2">
      <c r="B3975" s="203"/>
      <c r="C3975" s="237"/>
      <c r="D3975" s="202"/>
      <c r="E3975" s="202"/>
      <c r="U3975" s="204"/>
    </row>
    <row r="3976" spans="2:21" x14ac:dyDescent="0.2">
      <c r="B3976" s="203"/>
      <c r="C3976" s="237"/>
      <c r="D3976" s="202"/>
      <c r="E3976" s="202"/>
      <c r="U3976" s="204"/>
    </row>
    <row r="3977" spans="2:21" x14ac:dyDescent="0.2">
      <c r="B3977" s="203"/>
      <c r="C3977" s="237"/>
      <c r="D3977" s="202"/>
      <c r="E3977" s="202"/>
      <c r="U3977" s="204"/>
    </row>
    <row r="3978" spans="2:21" x14ac:dyDescent="0.2">
      <c r="B3978" s="203"/>
      <c r="C3978" s="237"/>
      <c r="D3978" s="202"/>
      <c r="E3978" s="202"/>
      <c r="U3978" s="204"/>
    </row>
    <row r="3979" spans="2:21" x14ac:dyDescent="0.2">
      <c r="B3979" s="203"/>
      <c r="C3979" s="237"/>
      <c r="D3979" s="202"/>
      <c r="E3979" s="202"/>
      <c r="U3979" s="204"/>
    </row>
    <row r="3980" spans="2:21" x14ac:dyDescent="0.2">
      <c r="B3980" s="203"/>
      <c r="C3980" s="237"/>
      <c r="D3980" s="202"/>
      <c r="E3980" s="202"/>
      <c r="U3980" s="204"/>
    </row>
    <row r="3981" spans="2:21" x14ac:dyDescent="0.2">
      <c r="B3981" s="203"/>
      <c r="C3981" s="237"/>
      <c r="D3981" s="202"/>
      <c r="E3981" s="202"/>
      <c r="U3981" s="204"/>
    </row>
    <row r="3982" spans="2:21" x14ac:dyDescent="0.2">
      <c r="B3982" s="203"/>
      <c r="C3982" s="237"/>
      <c r="D3982" s="202"/>
      <c r="E3982" s="202"/>
      <c r="U3982" s="204"/>
    </row>
    <row r="3983" spans="2:21" x14ac:dyDescent="0.2">
      <c r="B3983" s="203"/>
      <c r="C3983" s="237"/>
      <c r="D3983" s="202"/>
      <c r="E3983" s="202"/>
      <c r="U3983" s="204"/>
    </row>
    <row r="3984" spans="2:21" x14ac:dyDescent="0.2">
      <c r="B3984" s="203"/>
      <c r="C3984" s="237"/>
      <c r="D3984" s="202"/>
      <c r="E3984" s="202"/>
      <c r="U3984" s="204"/>
    </row>
    <row r="3985" spans="2:21" x14ac:dyDescent="0.2">
      <c r="B3985" s="203"/>
      <c r="C3985" s="237"/>
      <c r="D3985" s="202"/>
      <c r="E3985" s="202"/>
      <c r="U3985" s="204"/>
    </row>
    <row r="3986" spans="2:21" x14ac:dyDescent="0.2">
      <c r="B3986" s="203"/>
      <c r="C3986" s="237"/>
      <c r="D3986" s="202"/>
      <c r="E3986" s="202"/>
      <c r="U3986" s="204"/>
    </row>
    <row r="3987" spans="2:21" x14ac:dyDescent="0.2">
      <c r="B3987" s="203"/>
      <c r="C3987" s="237"/>
      <c r="D3987" s="202"/>
      <c r="E3987" s="202"/>
      <c r="U3987" s="204"/>
    </row>
    <row r="3988" spans="2:21" x14ac:dyDescent="0.2">
      <c r="B3988" s="203"/>
      <c r="C3988" s="237"/>
      <c r="D3988" s="202"/>
      <c r="E3988" s="202"/>
      <c r="U3988" s="204"/>
    </row>
    <row r="3989" spans="2:21" x14ac:dyDescent="0.2">
      <c r="B3989" s="203"/>
      <c r="C3989" s="237"/>
      <c r="D3989" s="202"/>
      <c r="E3989" s="202"/>
      <c r="U3989" s="204"/>
    </row>
    <row r="3990" spans="2:21" x14ac:dyDescent="0.2">
      <c r="B3990" s="203"/>
      <c r="C3990" s="237"/>
      <c r="D3990" s="202"/>
      <c r="E3990" s="202"/>
      <c r="U3990" s="204"/>
    </row>
    <row r="3991" spans="2:21" x14ac:dyDescent="0.2">
      <c r="B3991" s="203"/>
      <c r="C3991" s="237"/>
      <c r="D3991" s="202"/>
      <c r="E3991" s="202"/>
      <c r="U3991" s="204"/>
    </row>
    <row r="3992" spans="2:21" x14ac:dyDescent="0.2">
      <c r="B3992" s="203"/>
      <c r="C3992" s="237"/>
      <c r="D3992" s="202"/>
      <c r="E3992" s="202"/>
      <c r="U3992" s="204"/>
    </row>
    <row r="3993" spans="2:21" x14ac:dyDescent="0.2">
      <c r="B3993" s="203"/>
      <c r="C3993" s="237"/>
      <c r="D3993" s="202"/>
      <c r="E3993" s="202"/>
      <c r="U3993" s="204"/>
    </row>
    <row r="3994" spans="2:21" x14ac:dyDescent="0.2">
      <c r="B3994" s="203"/>
      <c r="C3994" s="237"/>
      <c r="D3994" s="202"/>
      <c r="E3994" s="202"/>
      <c r="U3994" s="204"/>
    </row>
    <row r="3995" spans="2:21" x14ac:dyDescent="0.2">
      <c r="B3995" s="203"/>
      <c r="C3995" s="237"/>
      <c r="D3995" s="202"/>
      <c r="E3995" s="202"/>
      <c r="U3995" s="204"/>
    </row>
    <row r="3996" spans="2:21" x14ac:dyDescent="0.2">
      <c r="B3996" s="203"/>
      <c r="C3996" s="237"/>
      <c r="D3996" s="202"/>
      <c r="E3996" s="202"/>
      <c r="U3996" s="204"/>
    </row>
    <row r="3997" spans="2:21" x14ac:dyDescent="0.2">
      <c r="B3997" s="203"/>
      <c r="C3997" s="237"/>
      <c r="D3997" s="202"/>
      <c r="E3997" s="202"/>
      <c r="U3997" s="204"/>
    </row>
    <row r="3998" spans="2:21" x14ac:dyDescent="0.2">
      <c r="B3998" s="203"/>
      <c r="C3998" s="237"/>
      <c r="D3998" s="202"/>
      <c r="E3998" s="202"/>
      <c r="U3998" s="204"/>
    </row>
    <row r="3999" spans="2:21" x14ac:dyDescent="0.2">
      <c r="B3999" s="203"/>
      <c r="C3999" s="237"/>
      <c r="D3999" s="202"/>
      <c r="E3999" s="202"/>
      <c r="U3999" s="204"/>
    </row>
    <row r="4000" spans="2:21" x14ac:dyDescent="0.2">
      <c r="B4000" s="203"/>
      <c r="C4000" s="237"/>
      <c r="D4000" s="202"/>
      <c r="E4000" s="202"/>
      <c r="U4000" s="204"/>
    </row>
    <row r="4001" spans="2:21" x14ac:dyDescent="0.2">
      <c r="B4001" s="203"/>
      <c r="C4001" s="237"/>
      <c r="D4001" s="202"/>
      <c r="E4001" s="202"/>
      <c r="U4001" s="204"/>
    </row>
    <row r="4002" spans="2:21" x14ac:dyDescent="0.2">
      <c r="B4002" s="203"/>
      <c r="C4002" s="237"/>
      <c r="D4002" s="202"/>
      <c r="E4002" s="202"/>
      <c r="U4002" s="204"/>
    </row>
    <row r="4003" spans="2:21" x14ac:dyDescent="0.2">
      <c r="B4003" s="203"/>
      <c r="C4003" s="237"/>
      <c r="D4003" s="202"/>
      <c r="E4003" s="202"/>
      <c r="U4003" s="204"/>
    </row>
    <row r="4004" spans="2:21" x14ac:dyDescent="0.2">
      <c r="B4004" s="203"/>
      <c r="C4004" s="237"/>
      <c r="D4004" s="202"/>
      <c r="E4004" s="202"/>
      <c r="U4004" s="204"/>
    </row>
    <row r="4005" spans="2:21" x14ac:dyDescent="0.2">
      <c r="B4005" s="203"/>
      <c r="C4005" s="237"/>
      <c r="D4005" s="202"/>
      <c r="E4005" s="202"/>
      <c r="U4005" s="204"/>
    </row>
    <row r="4006" spans="2:21" x14ac:dyDescent="0.2">
      <c r="B4006" s="203"/>
      <c r="C4006" s="237"/>
      <c r="D4006" s="202"/>
      <c r="E4006" s="202"/>
      <c r="U4006" s="204"/>
    </row>
    <row r="4007" spans="2:21" x14ac:dyDescent="0.2">
      <c r="B4007" s="203"/>
      <c r="C4007" s="237"/>
      <c r="D4007" s="202"/>
      <c r="E4007" s="202"/>
      <c r="U4007" s="204"/>
    </row>
    <row r="4008" spans="2:21" x14ac:dyDescent="0.2">
      <c r="B4008" s="203"/>
      <c r="C4008" s="237"/>
      <c r="D4008" s="202"/>
      <c r="E4008" s="202"/>
      <c r="U4008" s="204"/>
    </row>
    <row r="4009" spans="2:21" x14ac:dyDescent="0.2">
      <c r="B4009" s="203"/>
      <c r="C4009" s="237"/>
      <c r="D4009" s="202"/>
      <c r="E4009" s="202"/>
      <c r="U4009" s="204"/>
    </row>
    <row r="4010" spans="2:21" x14ac:dyDescent="0.2">
      <c r="B4010" s="203"/>
      <c r="C4010" s="237"/>
      <c r="D4010" s="202"/>
      <c r="E4010" s="202"/>
      <c r="U4010" s="204"/>
    </row>
    <row r="4011" spans="2:21" x14ac:dyDescent="0.2">
      <c r="B4011" s="203"/>
      <c r="C4011" s="237"/>
      <c r="D4011" s="202"/>
      <c r="E4011" s="202"/>
      <c r="U4011" s="204"/>
    </row>
    <row r="4012" spans="2:21" x14ac:dyDescent="0.2">
      <c r="B4012" s="203"/>
      <c r="C4012" s="237"/>
      <c r="D4012" s="202"/>
      <c r="E4012" s="202"/>
      <c r="U4012" s="204"/>
    </row>
    <row r="4013" spans="2:21" x14ac:dyDescent="0.2">
      <c r="B4013" s="203"/>
      <c r="C4013" s="237"/>
      <c r="D4013" s="202"/>
      <c r="E4013" s="202"/>
      <c r="U4013" s="204"/>
    </row>
    <row r="4014" spans="2:21" x14ac:dyDescent="0.2">
      <c r="B4014" s="203"/>
      <c r="C4014" s="237"/>
      <c r="D4014" s="202"/>
      <c r="E4014" s="202"/>
      <c r="U4014" s="204"/>
    </row>
    <row r="4015" spans="2:21" x14ac:dyDescent="0.2">
      <c r="B4015" s="203"/>
      <c r="C4015" s="237"/>
      <c r="D4015" s="202"/>
      <c r="E4015" s="202"/>
      <c r="U4015" s="204"/>
    </row>
    <row r="4016" spans="2:21" x14ac:dyDescent="0.2">
      <c r="B4016" s="203"/>
      <c r="C4016" s="237"/>
      <c r="D4016" s="202"/>
      <c r="E4016" s="202"/>
      <c r="U4016" s="204"/>
    </row>
    <row r="4017" spans="2:21" x14ac:dyDescent="0.2">
      <c r="B4017" s="203"/>
      <c r="C4017" s="237"/>
      <c r="D4017" s="202"/>
      <c r="E4017" s="202"/>
      <c r="U4017" s="204"/>
    </row>
    <row r="4018" spans="2:21" x14ac:dyDescent="0.2">
      <c r="B4018" s="203"/>
      <c r="C4018" s="237"/>
      <c r="D4018" s="202"/>
      <c r="E4018" s="202"/>
      <c r="U4018" s="204"/>
    </row>
    <row r="4019" spans="2:21" x14ac:dyDescent="0.2">
      <c r="B4019" s="203"/>
      <c r="C4019" s="237"/>
      <c r="D4019" s="202"/>
      <c r="E4019" s="202"/>
      <c r="U4019" s="204"/>
    </row>
    <row r="4020" spans="2:21" x14ac:dyDescent="0.2">
      <c r="B4020" s="203"/>
      <c r="C4020" s="237"/>
      <c r="D4020" s="202"/>
      <c r="E4020" s="202"/>
      <c r="U4020" s="204"/>
    </row>
    <row r="4021" spans="2:21" x14ac:dyDescent="0.2">
      <c r="B4021" s="203"/>
      <c r="C4021" s="237"/>
      <c r="D4021" s="202"/>
      <c r="E4021" s="202"/>
      <c r="U4021" s="204"/>
    </row>
    <row r="4022" spans="2:21" x14ac:dyDescent="0.2">
      <c r="B4022" s="203"/>
      <c r="C4022" s="237"/>
      <c r="D4022" s="202"/>
      <c r="E4022" s="202"/>
      <c r="U4022" s="204"/>
    </row>
    <row r="4023" spans="2:21" x14ac:dyDescent="0.2">
      <c r="B4023" s="203"/>
      <c r="C4023" s="237"/>
      <c r="D4023" s="202"/>
      <c r="E4023" s="202"/>
      <c r="U4023" s="204"/>
    </row>
    <row r="4024" spans="2:21" x14ac:dyDescent="0.2">
      <c r="B4024" s="203"/>
      <c r="C4024" s="237"/>
      <c r="D4024" s="202"/>
      <c r="E4024" s="202"/>
      <c r="U4024" s="204"/>
    </row>
    <row r="4025" spans="2:21" x14ac:dyDescent="0.2">
      <c r="B4025" s="203"/>
      <c r="C4025" s="237"/>
      <c r="D4025" s="202"/>
      <c r="E4025" s="202"/>
      <c r="U4025" s="204"/>
    </row>
    <row r="4026" spans="2:21" x14ac:dyDescent="0.2">
      <c r="B4026" s="203"/>
      <c r="C4026" s="237"/>
      <c r="D4026" s="202"/>
      <c r="E4026" s="202"/>
      <c r="U4026" s="204"/>
    </row>
    <row r="4027" spans="2:21" x14ac:dyDescent="0.2">
      <c r="B4027" s="203"/>
      <c r="C4027" s="237"/>
      <c r="D4027" s="202"/>
      <c r="E4027" s="202"/>
      <c r="U4027" s="204"/>
    </row>
    <row r="4028" spans="2:21" x14ac:dyDescent="0.2">
      <c r="B4028" s="203"/>
      <c r="C4028" s="237"/>
      <c r="D4028" s="202"/>
      <c r="E4028" s="202"/>
      <c r="U4028" s="204"/>
    </row>
    <row r="4029" spans="2:21" x14ac:dyDescent="0.2">
      <c r="B4029" s="203"/>
      <c r="C4029" s="237"/>
      <c r="D4029" s="202"/>
      <c r="E4029" s="202"/>
      <c r="U4029" s="204"/>
    </row>
    <row r="4030" spans="2:21" x14ac:dyDescent="0.2">
      <c r="B4030" s="203"/>
      <c r="C4030" s="237"/>
      <c r="D4030" s="202"/>
      <c r="E4030" s="202"/>
      <c r="U4030" s="204"/>
    </row>
    <row r="4031" spans="2:21" x14ac:dyDescent="0.2">
      <c r="B4031" s="203"/>
      <c r="C4031" s="237"/>
      <c r="D4031" s="202"/>
      <c r="E4031" s="202"/>
      <c r="U4031" s="204"/>
    </row>
    <row r="4032" spans="2:21" x14ac:dyDescent="0.2">
      <c r="B4032" s="203"/>
      <c r="C4032" s="237"/>
      <c r="D4032" s="202"/>
      <c r="E4032" s="202"/>
      <c r="U4032" s="204"/>
    </row>
    <row r="4033" spans="2:21" x14ac:dyDescent="0.2">
      <c r="B4033" s="203"/>
      <c r="C4033" s="237"/>
      <c r="D4033" s="202"/>
      <c r="E4033" s="202"/>
      <c r="U4033" s="204"/>
    </row>
    <row r="4034" spans="2:21" x14ac:dyDescent="0.2">
      <c r="B4034" s="203"/>
      <c r="C4034" s="237"/>
      <c r="D4034" s="202"/>
      <c r="E4034" s="202"/>
      <c r="U4034" s="204"/>
    </row>
    <row r="4035" spans="2:21" x14ac:dyDescent="0.2">
      <c r="B4035" s="203"/>
      <c r="C4035" s="237"/>
      <c r="D4035" s="202"/>
      <c r="E4035" s="202"/>
      <c r="U4035" s="204"/>
    </row>
    <row r="4036" spans="2:21" x14ac:dyDescent="0.2">
      <c r="B4036" s="203"/>
      <c r="C4036" s="237"/>
      <c r="D4036" s="202"/>
      <c r="E4036" s="202"/>
      <c r="U4036" s="204"/>
    </row>
    <row r="4037" spans="2:21" x14ac:dyDescent="0.2">
      <c r="B4037" s="203"/>
      <c r="C4037" s="237"/>
      <c r="D4037" s="202"/>
      <c r="E4037" s="202"/>
      <c r="U4037" s="204"/>
    </row>
    <row r="4038" spans="2:21" x14ac:dyDescent="0.2">
      <c r="B4038" s="203"/>
      <c r="C4038" s="237"/>
      <c r="D4038" s="202"/>
      <c r="E4038" s="202"/>
      <c r="U4038" s="204"/>
    </row>
    <row r="4039" spans="2:21" x14ac:dyDescent="0.2">
      <c r="B4039" s="203"/>
      <c r="C4039" s="237"/>
      <c r="D4039" s="202"/>
      <c r="E4039" s="202"/>
      <c r="U4039" s="204"/>
    </row>
    <row r="4040" spans="2:21" x14ac:dyDescent="0.2">
      <c r="B4040" s="203"/>
      <c r="C4040" s="237"/>
      <c r="D4040" s="202"/>
      <c r="E4040" s="202"/>
      <c r="U4040" s="204"/>
    </row>
    <row r="4041" spans="2:21" x14ac:dyDescent="0.2">
      <c r="B4041" s="203"/>
      <c r="C4041" s="237"/>
      <c r="D4041" s="202"/>
      <c r="E4041" s="202"/>
      <c r="U4041" s="204"/>
    </row>
    <row r="4042" spans="2:21" x14ac:dyDescent="0.2">
      <c r="B4042" s="203"/>
      <c r="C4042" s="237"/>
      <c r="D4042" s="202"/>
      <c r="E4042" s="202"/>
      <c r="U4042" s="204"/>
    </row>
    <row r="4043" spans="2:21" x14ac:dyDescent="0.2">
      <c r="B4043" s="203"/>
      <c r="C4043" s="237"/>
      <c r="D4043" s="202"/>
      <c r="E4043" s="202"/>
      <c r="U4043" s="204"/>
    </row>
    <row r="4044" spans="2:21" x14ac:dyDescent="0.2">
      <c r="B4044" s="203"/>
      <c r="C4044" s="237"/>
      <c r="D4044" s="202"/>
      <c r="E4044" s="202"/>
      <c r="U4044" s="204"/>
    </row>
    <row r="4045" spans="2:21" x14ac:dyDescent="0.2">
      <c r="B4045" s="203"/>
      <c r="C4045" s="237"/>
      <c r="D4045" s="202"/>
      <c r="E4045" s="202"/>
      <c r="U4045" s="204"/>
    </row>
    <row r="4046" spans="2:21" x14ac:dyDescent="0.2">
      <c r="B4046" s="203"/>
      <c r="C4046" s="237"/>
      <c r="D4046" s="202"/>
      <c r="E4046" s="202"/>
      <c r="U4046" s="204"/>
    </row>
    <row r="4047" spans="2:21" x14ac:dyDescent="0.2">
      <c r="B4047" s="203"/>
      <c r="C4047" s="237"/>
      <c r="D4047" s="202"/>
      <c r="E4047" s="202"/>
      <c r="U4047" s="204"/>
    </row>
    <row r="4048" spans="2:21" x14ac:dyDescent="0.2">
      <c r="B4048" s="203"/>
      <c r="C4048" s="237"/>
      <c r="D4048" s="202"/>
      <c r="E4048" s="202"/>
      <c r="U4048" s="204"/>
    </row>
    <row r="4049" spans="2:21" x14ac:dyDescent="0.2">
      <c r="B4049" s="203"/>
      <c r="C4049" s="237"/>
      <c r="D4049" s="202"/>
      <c r="E4049" s="202"/>
      <c r="U4049" s="204"/>
    </row>
    <row r="4050" spans="2:21" x14ac:dyDescent="0.2">
      <c r="B4050" s="203"/>
      <c r="C4050" s="237"/>
      <c r="D4050" s="202"/>
      <c r="E4050" s="202"/>
      <c r="U4050" s="204"/>
    </row>
    <row r="4051" spans="2:21" x14ac:dyDescent="0.2">
      <c r="B4051" s="203"/>
      <c r="C4051" s="237"/>
      <c r="D4051" s="202"/>
      <c r="E4051" s="202"/>
      <c r="U4051" s="204"/>
    </row>
    <row r="4052" spans="2:21" x14ac:dyDescent="0.2">
      <c r="B4052" s="203"/>
      <c r="C4052" s="237"/>
      <c r="D4052" s="202"/>
      <c r="E4052" s="202"/>
      <c r="U4052" s="204"/>
    </row>
    <row r="4053" spans="2:21" x14ac:dyDescent="0.2">
      <c r="B4053" s="203"/>
      <c r="C4053" s="237"/>
      <c r="D4053" s="202"/>
      <c r="E4053" s="202"/>
      <c r="U4053" s="204"/>
    </row>
    <row r="4054" spans="2:21" x14ac:dyDescent="0.2">
      <c r="B4054" s="203"/>
      <c r="C4054" s="237"/>
      <c r="D4054" s="202"/>
      <c r="E4054" s="202"/>
      <c r="U4054" s="204"/>
    </row>
    <row r="4055" spans="2:21" x14ac:dyDescent="0.2">
      <c r="B4055" s="203"/>
      <c r="C4055" s="237"/>
      <c r="D4055" s="202"/>
      <c r="E4055" s="202"/>
      <c r="U4055" s="204"/>
    </row>
    <row r="4056" spans="2:21" x14ac:dyDescent="0.2">
      <c r="B4056" s="203"/>
      <c r="C4056" s="237"/>
      <c r="D4056" s="202"/>
      <c r="E4056" s="202"/>
      <c r="U4056" s="204"/>
    </row>
    <row r="4057" spans="2:21" x14ac:dyDescent="0.2">
      <c r="B4057" s="203"/>
      <c r="C4057" s="237"/>
      <c r="D4057" s="202"/>
      <c r="E4057" s="202"/>
      <c r="U4057" s="204"/>
    </row>
    <row r="4058" spans="2:21" x14ac:dyDescent="0.2">
      <c r="B4058" s="203"/>
      <c r="C4058" s="237"/>
      <c r="D4058" s="202"/>
      <c r="E4058" s="202"/>
      <c r="U4058" s="204"/>
    </row>
    <row r="4059" spans="2:21" x14ac:dyDescent="0.2">
      <c r="B4059" s="203"/>
      <c r="C4059" s="237"/>
      <c r="D4059" s="202"/>
      <c r="E4059" s="202"/>
      <c r="U4059" s="204"/>
    </row>
    <row r="4060" spans="2:21" x14ac:dyDescent="0.2">
      <c r="B4060" s="203"/>
      <c r="C4060" s="237"/>
      <c r="D4060" s="202"/>
      <c r="E4060" s="202"/>
      <c r="U4060" s="204"/>
    </row>
    <row r="4061" spans="2:21" x14ac:dyDescent="0.2">
      <c r="B4061" s="203"/>
      <c r="C4061" s="237"/>
      <c r="D4061" s="202"/>
      <c r="E4061" s="202"/>
      <c r="U4061" s="204"/>
    </row>
    <row r="4062" spans="2:21" x14ac:dyDescent="0.2">
      <c r="B4062" s="203"/>
      <c r="C4062" s="237"/>
      <c r="D4062" s="202"/>
      <c r="E4062" s="202"/>
      <c r="U4062" s="204"/>
    </row>
    <row r="4063" spans="2:21" x14ac:dyDescent="0.2">
      <c r="B4063" s="203"/>
      <c r="C4063" s="237"/>
      <c r="D4063" s="202"/>
      <c r="E4063" s="202"/>
      <c r="U4063" s="204"/>
    </row>
    <row r="4064" spans="2:21" x14ac:dyDescent="0.2">
      <c r="B4064" s="203"/>
      <c r="C4064" s="237"/>
      <c r="D4064" s="202"/>
      <c r="E4064" s="202"/>
      <c r="U4064" s="204"/>
    </row>
    <row r="4065" spans="2:21" x14ac:dyDescent="0.2">
      <c r="B4065" s="203"/>
      <c r="C4065" s="237"/>
      <c r="D4065" s="202"/>
      <c r="E4065" s="202"/>
      <c r="U4065" s="204"/>
    </row>
    <row r="4066" spans="2:21" x14ac:dyDescent="0.2">
      <c r="B4066" s="203"/>
      <c r="C4066" s="237"/>
      <c r="D4066" s="202"/>
      <c r="E4066" s="202"/>
      <c r="U4066" s="204"/>
    </row>
    <row r="4067" spans="2:21" x14ac:dyDescent="0.2">
      <c r="B4067" s="203"/>
      <c r="C4067" s="237"/>
      <c r="D4067" s="202"/>
      <c r="E4067" s="202"/>
      <c r="U4067" s="204"/>
    </row>
    <row r="4068" spans="2:21" x14ac:dyDescent="0.2">
      <c r="B4068" s="203"/>
      <c r="C4068" s="237"/>
      <c r="D4068" s="202"/>
      <c r="E4068" s="202"/>
      <c r="U4068" s="204"/>
    </row>
    <row r="4069" spans="2:21" x14ac:dyDescent="0.2">
      <c r="B4069" s="203"/>
      <c r="C4069" s="237"/>
      <c r="D4069" s="202"/>
      <c r="E4069" s="202"/>
      <c r="U4069" s="204"/>
    </row>
    <row r="4070" spans="2:21" x14ac:dyDescent="0.2">
      <c r="B4070" s="203"/>
      <c r="C4070" s="237"/>
      <c r="D4070" s="202"/>
      <c r="E4070" s="202"/>
      <c r="U4070" s="204"/>
    </row>
    <row r="4071" spans="2:21" x14ac:dyDescent="0.2">
      <c r="B4071" s="203"/>
      <c r="C4071" s="237"/>
      <c r="D4071" s="202"/>
      <c r="E4071" s="202"/>
      <c r="U4071" s="204"/>
    </row>
    <row r="4072" spans="2:21" x14ac:dyDescent="0.2">
      <c r="B4072" s="203"/>
      <c r="C4072" s="237"/>
      <c r="D4072" s="202"/>
      <c r="E4072" s="202"/>
      <c r="U4072" s="204"/>
    </row>
    <row r="4073" spans="2:21" x14ac:dyDescent="0.2">
      <c r="B4073" s="203"/>
      <c r="C4073" s="237"/>
      <c r="D4073" s="202"/>
      <c r="E4073" s="202"/>
      <c r="U4073" s="204"/>
    </row>
    <row r="4074" spans="2:21" x14ac:dyDescent="0.2">
      <c r="B4074" s="203"/>
      <c r="C4074" s="237"/>
      <c r="D4074" s="202"/>
      <c r="E4074" s="202"/>
      <c r="U4074" s="204"/>
    </row>
    <row r="4075" spans="2:21" x14ac:dyDescent="0.2">
      <c r="B4075" s="203"/>
      <c r="C4075" s="237"/>
      <c r="D4075" s="202"/>
      <c r="E4075" s="202"/>
      <c r="U4075" s="204"/>
    </row>
    <row r="4076" spans="2:21" x14ac:dyDescent="0.2">
      <c r="B4076" s="203"/>
      <c r="C4076" s="237"/>
      <c r="D4076" s="202"/>
      <c r="E4076" s="202"/>
      <c r="U4076" s="204"/>
    </row>
    <row r="4077" spans="2:21" x14ac:dyDescent="0.2">
      <c r="B4077" s="203"/>
      <c r="C4077" s="237"/>
      <c r="D4077" s="202"/>
      <c r="E4077" s="202"/>
      <c r="U4077" s="204"/>
    </row>
    <row r="4078" spans="2:21" x14ac:dyDescent="0.2">
      <c r="B4078" s="203"/>
      <c r="C4078" s="237"/>
      <c r="D4078" s="202"/>
      <c r="E4078" s="202"/>
      <c r="U4078" s="204"/>
    </row>
    <row r="4079" spans="2:21" x14ac:dyDescent="0.2">
      <c r="B4079" s="203"/>
      <c r="C4079" s="237"/>
      <c r="D4079" s="202"/>
      <c r="E4079" s="202"/>
      <c r="U4079" s="204"/>
    </row>
    <row r="4080" spans="2:21" x14ac:dyDescent="0.2">
      <c r="B4080" s="203"/>
      <c r="C4080" s="237"/>
      <c r="D4080" s="202"/>
      <c r="E4080" s="202"/>
      <c r="U4080" s="204"/>
    </row>
    <row r="4081" spans="2:21" x14ac:dyDescent="0.2">
      <c r="B4081" s="203"/>
      <c r="C4081" s="237"/>
      <c r="D4081" s="202"/>
      <c r="E4081" s="202"/>
      <c r="U4081" s="204"/>
    </row>
    <row r="4082" spans="2:21" x14ac:dyDescent="0.2">
      <c r="B4082" s="203"/>
      <c r="C4082" s="237"/>
      <c r="D4082" s="202"/>
      <c r="E4082" s="202"/>
      <c r="U4082" s="204"/>
    </row>
    <row r="4083" spans="2:21" x14ac:dyDescent="0.2">
      <c r="B4083" s="203"/>
      <c r="C4083" s="237"/>
      <c r="D4083" s="202"/>
      <c r="E4083" s="202"/>
      <c r="U4083" s="204"/>
    </row>
    <row r="4084" spans="2:21" x14ac:dyDescent="0.2">
      <c r="B4084" s="203"/>
      <c r="C4084" s="237"/>
      <c r="D4084" s="202"/>
      <c r="E4084" s="202"/>
      <c r="U4084" s="204"/>
    </row>
    <row r="4085" spans="2:21" x14ac:dyDescent="0.2">
      <c r="B4085" s="203"/>
      <c r="C4085" s="237"/>
      <c r="D4085" s="202"/>
      <c r="E4085" s="202"/>
      <c r="U4085" s="204"/>
    </row>
    <row r="4086" spans="2:21" x14ac:dyDescent="0.2">
      <c r="B4086" s="203"/>
      <c r="C4086" s="237"/>
      <c r="D4086" s="202"/>
      <c r="E4086" s="202"/>
      <c r="U4086" s="204"/>
    </row>
    <row r="4087" spans="2:21" x14ac:dyDescent="0.2">
      <c r="B4087" s="203"/>
      <c r="C4087" s="237"/>
      <c r="D4087" s="202"/>
      <c r="E4087" s="202"/>
      <c r="U4087" s="204"/>
    </row>
    <row r="4088" spans="2:21" x14ac:dyDescent="0.2">
      <c r="B4088" s="203"/>
      <c r="C4088" s="237"/>
      <c r="D4088" s="202"/>
      <c r="E4088" s="202"/>
      <c r="U4088" s="204"/>
    </row>
    <row r="4089" spans="2:21" x14ac:dyDescent="0.2">
      <c r="B4089" s="203"/>
      <c r="C4089" s="237"/>
      <c r="D4089" s="202"/>
      <c r="E4089" s="202"/>
      <c r="U4089" s="204"/>
    </row>
    <row r="4090" spans="2:21" x14ac:dyDescent="0.2">
      <c r="B4090" s="203"/>
      <c r="C4090" s="237"/>
      <c r="D4090" s="202"/>
      <c r="E4090" s="202"/>
      <c r="U4090" s="204"/>
    </row>
    <row r="4091" spans="2:21" x14ac:dyDescent="0.2">
      <c r="B4091" s="203"/>
      <c r="C4091" s="237"/>
      <c r="D4091" s="202"/>
      <c r="E4091" s="202"/>
      <c r="U4091" s="204"/>
    </row>
    <row r="4092" spans="2:21" x14ac:dyDescent="0.2">
      <c r="B4092" s="203"/>
      <c r="C4092" s="237"/>
      <c r="D4092" s="202"/>
      <c r="E4092" s="202"/>
      <c r="U4092" s="204"/>
    </row>
    <row r="4093" spans="2:21" x14ac:dyDescent="0.2">
      <c r="B4093" s="203"/>
      <c r="C4093" s="237"/>
      <c r="D4093" s="202"/>
      <c r="E4093" s="202"/>
      <c r="U4093" s="204"/>
    </row>
    <row r="4094" spans="2:21" x14ac:dyDescent="0.2">
      <c r="B4094" s="203"/>
      <c r="C4094" s="237"/>
      <c r="D4094" s="202"/>
      <c r="E4094" s="202"/>
      <c r="U4094" s="204"/>
    </row>
    <row r="4095" spans="2:21" x14ac:dyDescent="0.2">
      <c r="B4095" s="203"/>
      <c r="C4095" s="237"/>
      <c r="D4095" s="202"/>
      <c r="E4095" s="202"/>
      <c r="U4095" s="204"/>
    </row>
    <row r="4096" spans="2:21" x14ac:dyDescent="0.2">
      <c r="B4096" s="203"/>
      <c r="C4096" s="237"/>
      <c r="D4096" s="202"/>
      <c r="E4096" s="202"/>
      <c r="U4096" s="204"/>
    </row>
    <row r="4097" spans="2:21" x14ac:dyDescent="0.2">
      <c r="B4097" s="203"/>
      <c r="C4097" s="237"/>
      <c r="D4097" s="202"/>
      <c r="E4097" s="202"/>
      <c r="U4097" s="204"/>
    </row>
    <row r="4098" spans="2:21" x14ac:dyDescent="0.2">
      <c r="B4098" s="203"/>
      <c r="C4098" s="237"/>
      <c r="D4098" s="202"/>
      <c r="E4098" s="202"/>
      <c r="U4098" s="204"/>
    </row>
    <row r="4099" spans="2:21" x14ac:dyDescent="0.2">
      <c r="B4099" s="203"/>
      <c r="C4099" s="237"/>
      <c r="D4099" s="202"/>
      <c r="E4099" s="202"/>
      <c r="U4099" s="204"/>
    </row>
    <row r="4100" spans="2:21" x14ac:dyDescent="0.2">
      <c r="B4100" s="203"/>
      <c r="C4100" s="237"/>
      <c r="D4100" s="202"/>
      <c r="E4100" s="202"/>
      <c r="U4100" s="204"/>
    </row>
    <row r="4101" spans="2:21" x14ac:dyDescent="0.2">
      <c r="B4101" s="203"/>
      <c r="C4101" s="237"/>
      <c r="D4101" s="202"/>
      <c r="E4101" s="202"/>
      <c r="U4101" s="204"/>
    </row>
    <row r="4102" spans="2:21" x14ac:dyDescent="0.2">
      <c r="B4102" s="203"/>
      <c r="C4102" s="237"/>
      <c r="D4102" s="202"/>
      <c r="E4102" s="202"/>
      <c r="U4102" s="204"/>
    </row>
    <row r="4103" spans="2:21" x14ac:dyDescent="0.2">
      <c r="B4103" s="203"/>
      <c r="C4103" s="237"/>
      <c r="D4103" s="202"/>
      <c r="E4103" s="202"/>
      <c r="U4103" s="204"/>
    </row>
    <row r="4104" spans="2:21" x14ac:dyDescent="0.2">
      <c r="B4104" s="203"/>
      <c r="C4104" s="237"/>
      <c r="D4104" s="202"/>
      <c r="E4104" s="202"/>
      <c r="U4104" s="204"/>
    </row>
    <row r="4105" spans="2:21" x14ac:dyDescent="0.2">
      <c r="B4105" s="203"/>
      <c r="C4105" s="237"/>
      <c r="D4105" s="202"/>
      <c r="E4105" s="202"/>
      <c r="U4105" s="204"/>
    </row>
    <row r="4106" spans="2:21" x14ac:dyDescent="0.2">
      <c r="B4106" s="203"/>
      <c r="C4106" s="237"/>
      <c r="D4106" s="202"/>
      <c r="E4106" s="202"/>
      <c r="U4106" s="204"/>
    </row>
    <row r="4107" spans="2:21" x14ac:dyDescent="0.2">
      <c r="B4107" s="203"/>
      <c r="C4107" s="237"/>
      <c r="D4107" s="202"/>
      <c r="E4107" s="202"/>
      <c r="U4107" s="204"/>
    </row>
    <row r="4108" spans="2:21" x14ac:dyDescent="0.2">
      <c r="B4108" s="203"/>
      <c r="C4108" s="237"/>
      <c r="D4108" s="202"/>
      <c r="E4108" s="202"/>
      <c r="U4108" s="204"/>
    </row>
    <row r="4109" spans="2:21" x14ac:dyDescent="0.2">
      <c r="B4109" s="203"/>
      <c r="C4109" s="237"/>
      <c r="D4109" s="202"/>
      <c r="E4109" s="202"/>
      <c r="U4109" s="204"/>
    </row>
    <row r="4110" spans="2:21" x14ac:dyDescent="0.2">
      <c r="B4110" s="203"/>
      <c r="C4110" s="237"/>
      <c r="D4110" s="202"/>
      <c r="E4110" s="202"/>
      <c r="U4110" s="204"/>
    </row>
    <row r="4111" spans="2:21" x14ac:dyDescent="0.2">
      <c r="B4111" s="203"/>
      <c r="C4111" s="237"/>
      <c r="D4111" s="202"/>
      <c r="E4111" s="202"/>
      <c r="U4111" s="204"/>
    </row>
    <row r="4112" spans="2:21" x14ac:dyDescent="0.2">
      <c r="B4112" s="203"/>
      <c r="C4112" s="237"/>
      <c r="D4112" s="202"/>
      <c r="E4112" s="202"/>
      <c r="U4112" s="204"/>
    </row>
    <row r="4113" spans="2:21" x14ac:dyDescent="0.2">
      <c r="B4113" s="203"/>
      <c r="C4113" s="237"/>
      <c r="D4113" s="202"/>
      <c r="E4113" s="202"/>
      <c r="U4113" s="204"/>
    </row>
    <row r="4114" spans="2:21" x14ac:dyDescent="0.2">
      <c r="B4114" s="203"/>
      <c r="C4114" s="237"/>
      <c r="D4114" s="202"/>
      <c r="E4114" s="202"/>
      <c r="U4114" s="204"/>
    </row>
    <row r="4115" spans="2:21" x14ac:dyDescent="0.2">
      <c r="B4115" s="203"/>
      <c r="C4115" s="237"/>
      <c r="D4115" s="202"/>
      <c r="E4115" s="202"/>
      <c r="U4115" s="204"/>
    </row>
    <row r="4116" spans="2:21" x14ac:dyDescent="0.2">
      <c r="B4116" s="203"/>
      <c r="C4116" s="237"/>
      <c r="D4116" s="202"/>
      <c r="E4116" s="202"/>
      <c r="U4116" s="204"/>
    </row>
    <row r="4117" spans="2:21" x14ac:dyDescent="0.2">
      <c r="B4117" s="203"/>
      <c r="C4117" s="237"/>
      <c r="D4117" s="202"/>
      <c r="E4117" s="202"/>
      <c r="U4117" s="204"/>
    </row>
    <row r="4118" spans="2:21" x14ac:dyDescent="0.2">
      <c r="B4118" s="203"/>
      <c r="C4118" s="237"/>
      <c r="D4118" s="202"/>
      <c r="E4118" s="202"/>
      <c r="U4118" s="204"/>
    </row>
    <row r="4119" spans="2:21" x14ac:dyDescent="0.2">
      <c r="B4119" s="203"/>
      <c r="C4119" s="237"/>
      <c r="D4119" s="202"/>
      <c r="E4119" s="202"/>
      <c r="U4119" s="204"/>
    </row>
    <row r="4120" spans="2:21" x14ac:dyDescent="0.2">
      <c r="B4120" s="203"/>
      <c r="C4120" s="237"/>
      <c r="D4120" s="202"/>
      <c r="E4120" s="202"/>
      <c r="U4120" s="204"/>
    </row>
    <row r="4121" spans="2:21" x14ac:dyDescent="0.2">
      <c r="B4121" s="203"/>
      <c r="C4121" s="237"/>
      <c r="D4121" s="202"/>
      <c r="E4121" s="202"/>
      <c r="U4121" s="204"/>
    </row>
    <row r="4122" spans="2:21" x14ac:dyDescent="0.2">
      <c r="B4122" s="203"/>
      <c r="C4122" s="237"/>
      <c r="D4122" s="202"/>
      <c r="E4122" s="202"/>
      <c r="U4122" s="204"/>
    </row>
    <row r="4123" spans="2:21" x14ac:dyDescent="0.2">
      <c r="B4123" s="203"/>
      <c r="C4123" s="237"/>
      <c r="D4123" s="202"/>
      <c r="E4123" s="202"/>
      <c r="U4123" s="204"/>
    </row>
    <row r="4124" spans="2:21" x14ac:dyDescent="0.2">
      <c r="B4124" s="203"/>
      <c r="C4124" s="237"/>
      <c r="D4124" s="202"/>
      <c r="E4124" s="202"/>
      <c r="U4124" s="204"/>
    </row>
    <row r="4125" spans="2:21" x14ac:dyDescent="0.2">
      <c r="B4125" s="203"/>
      <c r="C4125" s="237"/>
      <c r="D4125" s="202"/>
      <c r="E4125" s="202"/>
      <c r="U4125" s="204"/>
    </row>
    <row r="4126" spans="2:21" x14ac:dyDescent="0.2">
      <c r="B4126" s="203"/>
      <c r="C4126" s="237"/>
      <c r="D4126" s="202"/>
      <c r="E4126" s="202"/>
      <c r="U4126" s="204"/>
    </row>
    <row r="4127" spans="2:21" x14ac:dyDescent="0.2">
      <c r="B4127" s="203"/>
      <c r="C4127" s="237"/>
      <c r="D4127" s="202"/>
      <c r="E4127" s="202"/>
      <c r="U4127" s="204"/>
    </row>
    <row r="4128" spans="2:21" x14ac:dyDescent="0.2">
      <c r="B4128" s="203"/>
      <c r="C4128" s="237"/>
      <c r="D4128" s="202"/>
      <c r="E4128" s="202"/>
      <c r="U4128" s="204"/>
    </row>
    <row r="4129" spans="2:21" x14ac:dyDescent="0.2">
      <c r="B4129" s="203"/>
      <c r="C4129" s="237"/>
      <c r="D4129" s="202"/>
      <c r="E4129" s="202"/>
      <c r="U4129" s="204"/>
    </row>
    <row r="4130" spans="2:21" x14ac:dyDescent="0.2">
      <c r="B4130" s="203"/>
      <c r="C4130" s="237"/>
      <c r="D4130" s="202"/>
      <c r="E4130" s="202"/>
      <c r="U4130" s="204"/>
    </row>
    <row r="4131" spans="2:21" x14ac:dyDescent="0.2">
      <c r="B4131" s="203"/>
      <c r="C4131" s="237"/>
      <c r="D4131" s="202"/>
      <c r="E4131" s="202"/>
      <c r="U4131" s="204"/>
    </row>
    <row r="4132" spans="2:21" x14ac:dyDescent="0.2">
      <c r="B4132" s="203"/>
      <c r="C4132" s="237"/>
      <c r="D4132" s="202"/>
      <c r="E4132" s="202"/>
      <c r="U4132" s="204"/>
    </row>
    <row r="4133" spans="2:21" x14ac:dyDescent="0.2">
      <c r="B4133" s="203"/>
      <c r="C4133" s="237"/>
      <c r="D4133" s="202"/>
      <c r="E4133" s="202"/>
      <c r="U4133" s="204"/>
    </row>
    <row r="4134" spans="2:21" x14ac:dyDescent="0.2">
      <c r="B4134" s="203"/>
      <c r="C4134" s="237"/>
      <c r="D4134" s="202"/>
      <c r="E4134" s="202"/>
      <c r="U4134" s="204"/>
    </row>
    <row r="4135" spans="2:21" x14ac:dyDescent="0.2">
      <c r="B4135" s="203"/>
      <c r="C4135" s="237"/>
      <c r="D4135" s="202"/>
      <c r="E4135" s="202"/>
      <c r="U4135" s="204"/>
    </row>
    <row r="4136" spans="2:21" x14ac:dyDescent="0.2">
      <c r="B4136" s="203"/>
      <c r="C4136" s="237"/>
      <c r="D4136" s="202"/>
      <c r="E4136" s="202"/>
      <c r="U4136" s="204"/>
    </row>
    <row r="4137" spans="2:21" x14ac:dyDescent="0.2">
      <c r="B4137" s="203"/>
      <c r="C4137" s="237"/>
      <c r="D4137" s="202"/>
      <c r="E4137" s="202"/>
      <c r="U4137" s="204"/>
    </row>
    <row r="4138" spans="2:21" x14ac:dyDescent="0.2">
      <c r="B4138" s="203"/>
      <c r="C4138" s="237"/>
      <c r="D4138" s="202"/>
      <c r="E4138" s="202"/>
      <c r="U4138" s="204"/>
    </row>
    <row r="4139" spans="2:21" x14ac:dyDescent="0.2">
      <c r="B4139" s="203"/>
      <c r="C4139" s="237"/>
      <c r="D4139" s="202"/>
      <c r="E4139" s="202"/>
      <c r="U4139" s="204"/>
    </row>
    <row r="4140" spans="2:21" x14ac:dyDescent="0.2">
      <c r="B4140" s="203"/>
      <c r="C4140" s="237"/>
      <c r="D4140" s="202"/>
      <c r="E4140" s="202"/>
      <c r="U4140" s="204"/>
    </row>
    <row r="4141" spans="2:21" x14ac:dyDescent="0.2">
      <c r="B4141" s="203"/>
      <c r="C4141" s="237"/>
      <c r="D4141" s="202"/>
      <c r="E4141" s="202"/>
      <c r="U4141" s="204"/>
    </row>
    <row r="4142" spans="2:21" x14ac:dyDescent="0.2">
      <c r="B4142" s="203"/>
      <c r="C4142" s="237"/>
      <c r="D4142" s="202"/>
      <c r="E4142" s="202"/>
      <c r="U4142" s="204"/>
    </row>
    <row r="4143" spans="2:21" x14ac:dyDescent="0.2">
      <c r="B4143" s="203"/>
      <c r="C4143" s="237"/>
      <c r="D4143" s="202"/>
      <c r="E4143" s="202"/>
      <c r="U4143" s="204"/>
    </row>
    <row r="4144" spans="2:21" x14ac:dyDescent="0.2">
      <c r="B4144" s="203"/>
      <c r="C4144" s="237"/>
      <c r="D4144" s="202"/>
      <c r="E4144" s="202"/>
      <c r="U4144" s="204"/>
    </row>
    <row r="4145" spans="2:21" x14ac:dyDescent="0.2">
      <c r="B4145" s="203"/>
      <c r="C4145" s="237"/>
      <c r="D4145" s="202"/>
      <c r="E4145" s="202"/>
      <c r="U4145" s="204"/>
    </row>
    <row r="4146" spans="2:21" x14ac:dyDescent="0.2">
      <c r="B4146" s="203"/>
      <c r="C4146" s="237"/>
      <c r="D4146" s="202"/>
      <c r="E4146" s="202"/>
      <c r="U4146" s="204"/>
    </row>
    <row r="4147" spans="2:21" x14ac:dyDescent="0.2">
      <c r="B4147" s="203"/>
      <c r="C4147" s="237"/>
      <c r="D4147" s="202"/>
      <c r="E4147" s="202"/>
      <c r="U4147" s="204"/>
    </row>
    <row r="4148" spans="2:21" x14ac:dyDescent="0.2">
      <c r="B4148" s="203"/>
      <c r="C4148" s="237"/>
      <c r="D4148" s="202"/>
      <c r="E4148" s="202"/>
      <c r="U4148" s="204"/>
    </row>
    <row r="4149" spans="2:21" x14ac:dyDescent="0.2">
      <c r="B4149" s="203"/>
      <c r="C4149" s="237"/>
      <c r="D4149" s="202"/>
      <c r="E4149" s="202"/>
      <c r="U4149" s="204"/>
    </row>
    <row r="4150" spans="2:21" x14ac:dyDescent="0.2">
      <c r="B4150" s="203"/>
      <c r="C4150" s="237"/>
      <c r="D4150" s="202"/>
      <c r="E4150" s="202"/>
      <c r="U4150" s="204"/>
    </row>
    <row r="4151" spans="2:21" x14ac:dyDescent="0.2">
      <c r="B4151" s="203"/>
      <c r="C4151" s="237"/>
      <c r="D4151" s="202"/>
      <c r="E4151" s="202"/>
      <c r="U4151" s="204"/>
    </row>
    <row r="4152" spans="2:21" x14ac:dyDescent="0.2">
      <c r="B4152" s="203"/>
      <c r="C4152" s="237"/>
      <c r="D4152" s="202"/>
      <c r="E4152" s="202"/>
      <c r="U4152" s="204"/>
    </row>
    <row r="4153" spans="2:21" x14ac:dyDescent="0.2">
      <c r="B4153" s="203"/>
      <c r="C4153" s="237"/>
      <c r="D4153" s="202"/>
      <c r="E4153" s="202"/>
      <c r="U4153" s="204"/>
    </row>
    <row r="4154" spans="2:21" x14ac:dyDescent="0.2">
      <c r="B4154" s="203"/>
      <c r="C4154" s="237"/>
      <c r="D4154" s="202"/>
      <c r="E4154" s="202"/>
      <c r="U4154" s="204"/>
    </row>
    <row r="4155" spans="2:21" x14ac:dyDescent="0.2">
      <c r="B4155" s="203"/>
      <c r="C4155" s="237"/>
      <c r="D4155" s="202"/>
      <c r="E4155" s="202"/>
      <c r="U4155" s="204"/>
    </row>
    <row r="4156" spans="2:21" x14ac:dyDescent="0.2">
      <c r="B4156" s="203"/>
      <c r="C4156" s="237"/>
      <c r="D4156" s="202"/>
      <c r="E4156" s="202"/>
      <c r="U4156" s="204"/>
    </row>
    <row r="4157" spans="2:21" x14ac:dyDescent="0.2">
      <c r="B4157" s="203"/>
      <c r="C4157" s="237"/>
      <c r="D4157" s="202"/>
      <c r="E4157" s="202"/>
      <c r="U4157" s="204"/>
    </row>
    <row r="4158" spans="2:21" x14ac:dyDescent="0.2">
      <c r="B4158" s="203"/>
      <c r="C4158" s="237"/>
      <c r="D4158" s="202"/>
      <c r="E4158" s="202"/>
      <c r="U4158" s="204"/>
    </row>
    <row r="4159" spans="2:21" x14ac:dyDescent="0.2">
      <c r="B4159" s="203"/>
      <c r="C4159" s="237"/>
      <c r="D4159" s="202"/>
      <c r="E4159" s="202"/>
      <c r="U4159" s="204"/>
    </row>
    <row r="4160" spans="2:21" x14ac:dyDescent="0.2">
      <c r="B4160" s="203"/>
      <c r="C4160" s="237"/>
      <c r="D4160" s="202"/>
      <c r="E4160" s="202"/>
      <c r="U4160" s="204"/>
    </row>
    <row r="4161" spans="2:21" x14ac:dyDescent="0.2">
      <c r="B4161" s="203"/>
      <c r="C4161" s="237"/>
      <c r="D4161" s="202"/>
      <c r="E4161" s="202"/>
      <c r="U4161" s="204"/>
    </row>
    <row r="4162" spans="2:21" x14ac:dyDescent="0.2">
      <c r="B4162" s="203"/>
      <c r="C4162" s="237"/>
      <c r="D4162" s="202"/>
      <c r="E4162" s="202"/>
      <c r="U4162" s="204"/>
    </row>
    <row r="4163" spans="2:21" x14ac:dyDescent="0.2">
      <c r="B4163" s="203"/>
      <c r="C4163" s="237"/>
      <c r="D4163" s="202"/>
      <c r="E4163" s="202"/>
      <c r="U4163" s="204"/>
    </row>
    <row r="4164" spans="2:21" x14ac:dyDescent="0.2">
      <c r="B4164" s="203"/>
      <c r="C4164" s="237"/>
      <c r="D4164" s="202"/>
      <c r="E4164" s="202"/>
      <c r="U4164" s="204"/>
    </row>
    <row r="4165" spans="2:21" x14ac:dyDescent="0.2">
      <c r="B4165" s="203"/>
      <c r="C4165" s="237"/>
      <c r="D4165" s="202"/>
      <c r="E4165" s="202"/>
      <c r="U4165" s="204"/>
    </row>
    <row r="4166" spans="2:21" x14ac:dyDescent="0.2">
      <c r="B4166" s="203"/>
      <c r="C4166" s="237"/>
      <c r="D4166" s="202"/>
      <c r="E4166" s="202"/>
      <c r="U4166" s="204"/>
    </row>
    <row r="4167" spans="2:21" x14ac:dyDescent="0.2">
      <c r="B4167" s="203"/>
      <c r="C4167" s="237"/>
      <c r="D4167" s="202"/>
      <c r="E4167" s="202"/>
      <c r="U4167" s="204"/>
    </row>
    <row r="4168" spans="2:21" x14ac:dyDescent="0.2">
      <c r="B4168" s="203"/>
      <c r="C4168" s="237"/>
      <c r="D4168" s="202"/>
      <c r="E4168" s="202"/>
      <c r="U4168" s="204"/>
    </row>
    <row r="4169" spans="2:21" x14ac:dyDescent="0.2">
      <c r="B4169" s="203"/>
      <c r="C4169" s="237"/>
      <c r="D4169" s="202"/>
      <c r="E4169" s="202"/>
      <c r="U4169" s="204"/>
    </row>
    <row r="4170" spans="2:21" x14ac:dyDescent="0.2">
      <c r="B4170" s="203"/>
      <c r="C4170" s="237"/>
      <c r="D4170" s="202"/>
      <c r="E4170" s="202"/>
      <c r="U4170" s="204"/>
    </row>
    <row r="4171" spans="2:21" x14ac:dyDescent="0.2">
      <c r="B4171" s="203"/>
      <c r="C4171" s="237"/>
      <c r="D4171" s="202"/>
      <c r="E4171" s="202"/>
      <c r="U4171" s="204"/>
    </row>
    <row r="4172" spans="2:21" x14ac:dyDescent="0.2">
      <c r="B4172" s="203"/>
      <c r="C4172" s="237"/>
      <c r="D4172" s="202"/>
      <c r="E4172" s="202"/>
      <c r="U4172" s="204"/>
    </row>
    <row r="4173" spans="2:21" x14ac:dyDescent="0.2">
      <c r="B4173" s="203"/>
      <c r="C4173" s="237"/>
      <c r="D4173" s="202"/>
      <c r="E4173" s="202"/>
      <c r="U4173" s="204"/>
    </row>
    <row r="4174" spans="2:21" x14ac:dyDescent="0.2">
      <c r="B4174" s="203"/>
      <c r="C4174" s="237"/>
      <c r="D4174" s="202"/>
      <c r="E4174" s="202"/>
      <c r="U4174" s="204"/>
    </row>
    <row r="4175" spans="2:21" x14ac:dyDescent="0.2">
      <c r="B4175" s="203"/>
      <c r="C4175" s="237"/>
      <c r="D4175" s="202"/>
      <c r="E4175" s="202"/>
      <c r="U4175" s="204"/>
    </row>
    <row r="4176" spans="2:21" x14ac:dyDescent="0.2">
      <c r="B4176" s="203"/>
      <c r="C4176" s="237"/>
      <c r="D4176" s="202"/>
      <c r="E4176" s="202"/>
      <c r="U4176" s="204"/>
    </row>
    <row r="4177" spans="2:21" x14ac:dyDescent="0.2">
      <c r="B4177" s="203"/>
      <c r="C4177" s="237"/>
      <c r="D4177" s="202"/>
      <c r="E4177" s="202"/>
      <c r="U4177" s="204"/>
    </row>
    <row r="4178" spans="2:21" x14ac:dyDescent="0.2">
      <c r="B4178" s="203"/>
      <c r="C4178" s="237"/>
      <c r="D4178" s="202"/>
      <c r="E4178" s="202"/>
      <c r="U4178" s="204"/>
    </row>
    <row r="4179" spans="2:21" x14ac:dyDescent="0.2">
      <c r="B4179" s="203"/>
      <c r="C4179" s="237"/>
      <c r="D4179" s="202"/>
      <c r="E4179" s="202"/>
      <c r="U4179" s="204"/>
    </row>
    <row r="4180" spans="2:21" x14ac:dyDescent="0.2">
      <c r="B4180" s="203"/>
      <c r="C4180" s="237"/>
      <c r="D4180" s="202"/>
      <c r="E4180" s="202"/>
      <c r="U4180" s="204"/>
    </row>
    <row r="4181" spans="2:21" x14ac:dyDescent="0.2">
      <c r="B4181" s="203"/>
      <c r="C4181" s="237"/>
      <c r="D4181" s="202"/>
      <c r="E4181" s="202"/>
      <c r="U4181" s="204"/>
    </row>
    <row r="4182" spans="2:21" x14ac:dyDescent="0.2">
      <c r="B4182" s="203"/>
      <c r="C4182" s="237"/>
      <c r="D4182" s="202"/>
      <c r="E4182" s="202"/>
      <c r="U4182" s="204"/>
    </row>
    <row r="4183" spans="2:21" x14ac:dyDescent="0.2">
      <c r="B4183" s="203"/>
      <c r="C4183" s="237"/>
      <c r="D4183" s="202"/>
      <c r="E4183" s="202"/>
      <c r="U4183" s="204"/>
    </row>
    <row r="4184" spans="2:21" x14ac:dyDescent="0.2">
      <c r="B4184" s="203"/>
      <c r="C4184" s="237"/>
      <c r="D4184" s="202"/>
      <c r="E4184" s="202"/>
      <c r="U4184" s="204"/>
    </row>
    <row r="4185" spans="2:21" x14ac:dyDescent="0.2">
      <c r="B4185" s="203"/>
      <c r="C4185" s="237"/>
      <c r="D4185" s="202"/>
      <c r="E4185" s="202"/>
      <c r="U4185" s="204"/>
    </row>
    <row r="4186" spans="2:21" x14ac:dyDescent="0.2">
      <c r="B4186" s="203"/>
      <c r="C4186" s="237"/>
      <c r="D4186" s="202"/>
      <c r="E4186" s="202"/>
      <c r="U4186" s="204"/>
    </row>
    <row r="4187" spans="2:21" x14ac:dyDescent="0.2">
      <c r="B4187" s="203"/>
      <c r="C4187" s="237"/>
      <c r="D4187" s="202"/>
      <c r="E4187" s="202"/>
      <c r="U4187" s="204"/>
    </row>
    <row r="4188" spans="2:21" x14ac:dyDescent="0.2">
      <c r="B4188" s="203"/>
      <c r="C4188" s="237"/>
      <c r="D4188" s="202"/>
      <c r="E4188" s="202"/>
      <c r="U4188" s="204"/>
    </row>
    <row r="4189" spans="2:21" x14ac:dyDescent="0.2">
      <c r="B4189" s="203"/>
      <c r="C4189" s="237"/>
      <c r="D4189" s="202"/>
      <c r="E4189" s="202"/>
      <c r="U4189" s="204"/>
    </row>
    <row r="4190" spans="2:21" x14ac:dyDescent="0.2">
      <c r="B4190" s="203"/>
      <c r="C4190" s="237"/>
      <c r="D4190" s="202"/>
      <c r="E4190" s="202"/>
      <c r="U4190" s="204"/>
    </row>
    <row r="4191" spans="2:21" x14ac:dyDescent="0.2">
      <c r="B4191" s="203"/>
      <c r="C4191" s="237"/>
      <c r="D4191" s="202"/>
      <c r="E4191" s="202"/>
      <c r="U4191" s="204"/>
    </row>
    <row r="4192" spans="2:21" x14ac:dyDescent="0.2">
      <c r="B4192" s="203"/>
      <c r="C4192" s="237"/>
      <c r="D4192" s="202"/>
      <c r="E4192" s="202"/>
      <c r="U4192" s="204"/>
    </row>
    <row r="4193" spans="2:21" x14ac:dyDescent="0.2">
      <c r="B4193" s="203"/>
      <c r="C4193" s="237"/>
      <c r="D4193" s="202"/>
      <c r="E4193" s="202"/>
      <c r="U4193" s="204"/>
    </row>
    <row r="4194" spans="2:21" x14ac:dyDescent="0.2">
      <c r="B4194" s="203"/>
      <c r="C4194" s="237"/>
      <c r="D4194" s="202"/>
      <c r="E4194" s="202"/>
      <c r="U4194" s="204"/>
    </row>
    <row r="4195" spans="2:21" x14ac:dyDescent="0.2">
      <c r="B4195" s="203"/>
      <c r="C4195" s="237"/>
      <c r="D4195" s="202"/>
      <c r="E4195" s="202"/>
      <c r="U4195" s="204"/>
    </row>
    <row r="4196" spans="2:21" x14ac:dyDescent="0.2">
      <c r="B4196" s="203"/>
      <c r="C4196" s="237"/>
      <c r="D4196" s="202"/>
      <c r="E4196" s="202"/>
      <c r="U4196" s="204"/>
    </row>
    <row r="4197" spans="2:21" x14ac:dyDescent="0.2">
      <c r="B4197" s="203"/>
      <c r="C4197" s="237"/>
      <c r="D4197" s="202"/>
      <c r="E4197" s="202"/>
      <c r="U4197" s="204"/>
    </row>
    <row r="4198" spans="2:21" x14ac:dyDescent="0.2">
      <c r="B4198" s="203"/>
      <c r="C4198" s="237"/>
      <c r="D4198" s="202"/>
      <c r="E4198" s="202"/>
      <c r="U4198" s="204"/>
    </row>
    <row r="4199" spans="2:21" x14ac:dyDescent="0.2">
      <c r="B4199" s="203"/>
      <c r="C4199" s="237"/>
      <c r="D4199" s="202"/>
      <c r="E4199" s="202"/>
      <c r="U4199" s="204"/>
    </row>
    <row r="4200" spans="2:21" x14ac:dyDescent="0.2">
      <c r="B4200" s="203"/>
      <c r="C4200" s="237"/>
      <c r="D4200" s="202"/>
      <c r="E4200" s="202"/>
      <c r="U4200" s="204"/>
    </row>
    <row r="4201" spans="2:21" x14ac:dyDescent="0.2">
      <c r="B4201" s="203"/>
      <c r="C4201" s="237"/>
      <c r="D4201" s="202"/>
      <c r="E4201" s="202"/>
      <c r="U4201" s="204"/>
    </row>
    <row r="4202" spans="2:21" x14ac:dyDescent="0.2">
      <c r="B4202" s="203"/>
      <c r="C4202" s="237"/>
      <c r="D4202" s="202"/>
      <c r="E4202" s="202"/>
      <c r="U4202" s="204"/>
    </row>
    <row r="4203" spans="2:21" x14ac:dyDescent="0.2">
      <c r="B4203" s="203"/>
      <c r="C4203" s="237"/>
      <c r="D4203" s="202"/>
      <c r="E4203" s="202"/>
      <c r="U4203" s="204"/>
    </row>
    <row r="4204" spans="2:21" x14ac:dyDescent="0.2">
      <c r="B4204" s="203"/>
      <c r="C4204" s="237"/>
      <c r="D4204" s="202"/>
      <c r="E4204" s="202"/>
      <c r="U4204" s="204"/>
    </row>
    <row r="4205" spans="2:21" x14ac:dyDescent="0.2">
      <c r="B4205" s="203"/>
      <c r="C4205" s="237"/>
      <c r="D4205" s="202"/>
      <c r="E4205" s="202"/>
      <c r="U4205" s="204"/>
    </row>
    <row r="4206" spans="2:21" x14ac:dyDescent="0.2">
      <c r="B4206" s="203"/>
      <c r="C4206" s="237"/>
      <c r="D4206" s="202"/>
      <c r="E4206" s="202"/>
      <c r="U4206" s="204"/>
    </row>
    <row r="4207" spans="2:21" x14ac:dyDescent="0.2">
      <c r="B4207" s="203"/>
      <c r="C4207" s="237"/>
      <c r="D4207" s="202"/>
      <c r="E4207" s="202"/>
      <c r="U4207" s="204"/>
    </row>
    <row r="4208" spans="2:21" x14ac:dyDescent="0.2">
      <c r="B4208" s="203"/>
      <c r="C4208" s="237"/>
      <c r="D4208" s="202"/>
      <c r="E4208" s="202"/>
      <c r="U4208" s="204"/>
    </row>
    <row r="4209" spans="2:21" x14ac:dyDescent="0.2">
      <c r="B4209" s="203"/>
      <c r="C4209" s="237"/>
      <c r="D4209" s="202"/>
      <c r="E4209" s="202"/>
      <c r="U4209" s="204"/>
    </row>
    <row r="4210" spans="2:21" x14ac:dyDescent="0.2">
      <c r="B4210" s="203"/>
      <c r="C4210" s="237"/>
      <c r="D4210" s="202"/>
      <c r="E4210" s="202"/>
      <c r="U4210" s="204"/>
    </row>
    <row r="4211" spans="2:21" x14ac:dyDescent="0.2">
      <c r="B4211" s="203"/>
      <c r="C4211" s="237"/>
      <c r="D4211" s="202"/>
      <c r="E4211" s="202"/>
      <c r="U4211" s="204"/>
    </row>
    <row r="4212" spans="2:21" x14ac:dyDescent="0.2">
      <c r="B4212" s="203"/>
      <c r="C4212" s="237"/>
      <c r="D4212" s="202"/>
      <c r="E4212" s="202"/>
      <c r="U4212" s="204"/>
    </row>
    <row r="4213" spans="2:21" x14ac:dyDescent="0.2">
      <c r="B4213" s="203"/>
      <c r="C4213" s="237"/>
      <c r="D4213" s="202"/>
      <c r="E4213" s="202"/>
      <c r="U4213" s="204"/>
    </row>
    <row r="4214" spans="2:21" x14ac:dyDescent="0.2">
      <c r="B4214" s="203"/>
      <c r="C4214" s="237"/>
      <c r="D4214" s="202"/>
      <c r="E4214" s="202"/>
      <c r="U4214" s="204"/>
    </row>
    <row r="4215" spans="2:21" x14ac:dyDescent="0.2">
      <c r="B4215" s="203"/>
      <c r="C4215" s="237"/>
      <c r="D4215" s="202"/>
      <c r="E4215" s="202"/>
      <c r="U4215" s="204"/>
    </row>
    <row r="4216" spans="2:21" x14ac:dyDescent="0.2">
      <c r="B4216" s="203"/>
      <c r="C4216" s="237"/>
      <c r="D4216" s="202"/>
      <c r="E4216" s="202"/>
      <c r="U4216" s="204"/>
    </row>
    <row r="4217" spans="2:21" x14ac:dyDescent="0.2">
      <c r="B4217" s="203"/>
      <c r="C4217" s="237"/>
      <c r="D4217" s="202"/>
      <c r="E4217" s="202"/>
      <c r="U4217" s="204"/>
    </row>
    <row r="4218" spans="2:21" x14ac:dyDescent="0.2">
      <c r="B4218" s="203"/>
      <c r="C4218" s="237"/>
      <c r="D4218" s="202"/>
      <c r="E4218" s="202"/>
      <c r="U4218" s="204"/>
    </row>
    <row r="4219" spans="2:21" x14ac:dyDescent="0.2">
      <c r="B4219" s="203"/>
      <c r="C4219" s="237"/>
      <c r="D4219" s="202"/>
      <c r="E4219" s="202"/>
      <c r="U4219" s="204"/>
    </row>
    <row r="4220" spans="2:21" x14ac:dyDescent="0.2">
      <c r="B4220" s="203"/>
      <c r="C4220" s="237"/>
      <c r="D4220" s="202"/>
      <c r="E4220" s="202"/>
      <c r="U4220" s="204"/>
    </row>
    <row r="4221" spans="2:21" x14ac:dyDescent="0.2">
      <c r="B4221" s="203"/>
      <c r="C4221" s="237"/>
      <c r="D4221" s="202"/>
      <c r="E4221" s="202"/>
      <c r="U4221" s="204"/>
    </row>
    <row r="4222" spans="2:21" x14ac:dyDescent="0.2">
      <c r="B4222" s="203"/>
      <c r="C4222" s="237"/>
      <c r="D4222" s="202"/>
      <c r="E4222" s="202"/>
      <c r="U4222" s="204"/>
    </row>
    <row r="4223" spans="2:21" x14ac:dyDescent="0.2">
      <c r="B4223" s="203"/>
      <c r="C4223" s="237"/>
      <c r="D4223" s="202"/>
      <c r="E4223" s="202"/>
      <c r="U4223" s="204"/>
    </row>
    <row r="4224" spans="2:21" x14ac:dyDescent="0.2">
      <c r="B4224" s="203"/>
      <c r="C4224" s="237"/>
      <c r="D4224" s="202"/>
      <c r="E4224" s="202"/>
      <c r="U4224" s="204"/>
    </row>
    <row r="4225" spans="2:21" x14ac:dyDescent="0.2">
      <c r="B4225" s="203"/>
      <c r="C4225" s="237"/>
      <c r="D4225" s="202"/>
      <c r="E4225" s="202"/>
      <c r="U4225" s="204"/>
    </row>
    <row r="4226" spans="2:21" x14ac:dyDescent="0.2">
      <c r="B4226" s="203"/>
      <c r="C4226" s="237"/>
      <c r="D4226" s="202"/>
      <c r="E4226" s="202"/>
      <c r="U4226" s="204"/>
    </row>
    <row r="4227" spans="2:21" x14ac:dyDescent="0.2">
      <c r="B4227" s="203"/>
      <c r="C4227" s="237"/>
      <c r="D4227" s="202"/>
      <c r="E4227" s="202"/>
      <c r="U4227" s="204"/>
    </row>
    <row r="4228" spans="2:21" x14ac:dyDescent="0.2">
      <c r="B4228" s="203"/>
      <c r="C4228" s="237"/>
      <c r="D4228" s="202"/>
      <c r="E4228" s="202"/>
      <c r="U4228" s="204"/>
    </row>
    <row r="4229" spans="2:21" x14ac:dyDescent="0.2">
      <c r="B4229" s="203"/>
      <c r="C4229" s="237"/>
      <c r="D4229" s="202"/>
      <c r="E4229" s="202"/>
      <c r="U4229" s="204"/>
    </row>
    <row r="4230" spans="2:21" x14ac:dyDescent="0.2">
      <c r="B4230" s="203"/>
      <c r="C4230" s="237"/>
      <c r="D4230" s="202"/>
      <c r="E4230" s="202"/>
      <c r="U4230" s="204"/>
    </row>
    <row r="4231" spans="2:21" x14ac:dyDescent="0.2">
      <c r="B4231" s="203"/>
      <c r="C4231" s="237"/>
      <c r="D4231" s="202"/>
      <c r="E4231" s="202"/>
      <c r="U4231" s="204"/>
    </row>
    <row r="4232" spans="2:21" x14ac:dyDescent="0.2">
      <c r="B4232" s="203"/>
      <c r="C4232" s="237"/>
      <c r="D4232" s="202"/>
      <c r="E4232" s="202"/>
      <c r="U4232" s="204"/>
    </row>
    <row r="4233" spans="2:21" x14ac:dyDescent="0.2">
      <c r="B4233" s="203"/>
      <c r="C4233" s="237"/>
      <c r="D4233" s="202"/>
      <c r="E4233" s="202"/>
      <c r="U4233" s="204"/>
    </row>
    <row r="4234" spans="2:21" x14ac:dyDescent="0.2">
      <c r="B4234" s="203"/>
      <c r="C4234" s="237"/>
      <c r="D4234" s="202"/>
      <c r="E4234" s="202"/>
      <c r="U4234" s="204"/>
    </row>
    <row r="4235" spans="2:21" x14ac:dyDescent="0.2">
      <c r="B4235" s="203"/>
      <c r="C4235" s="237"/>
      <c r="D4235" s="202"/>
      <c r="E4235" s="202"/>
      <c r="U4235" s="204"/>
    </row>
    <row r="4236" spans="2:21" x14ac:dyDescent="0.2">
      <c r="B4236" s="203"/>
      <c r="C4236" s="237"/>
      <c r="D4236" s="202"/>
      <c r="E4236" s="202"/>
      <c r="U4236" s="204"/>
    </row>
    <row r="4237" spans="2:21" x14ac:dyDescent="0.2">
      <c r="B4237" s="203"/>
      <c r="C4237" s="237"/>
      <c r="D4237" s="202"/>
      <c r="E4237" s="202"/>
      <c r="U4237" s="204"/>
    </row>
    <row r="4238" spans="2:21" x14ac:dyDescent="0.2">
      <c r="B4238" s="203"/>
      <c r="C4238" s="237"/>
      <c r="D4238" s="202"/>
      <c r="E4238" s="202"/>
      <c r="U4238" s="204"/>
    </row>
    <row r="4239" spans="2:21" x14ac:dyDescent="0.2">
      <c r="B4239" s="203"/>
      <c r="C4239" s="237"/>
      <c r="D4239" s="202"/>
      <c r="E4239" s="202"/>
      <c r="U4239" s="204"/>
    </row>
    <row r="4240" spans="2:21" x14ac:dyDescent="0.2">
      <c r="B4240" s="203"/>
      <c r="C4240" s="237"/>
      <c r="D4240" s="202"/>
      <c r="E4240" s="202"/>
      <c r="U4240" s="204"/>
    </row>
    <row r="4241" spans="2:21" x14ac:dyDescent="0.2">
      <c r="B4241" s="203"/>
      <c r="C4241" s="237"/>
      <c r="D4241" s="202"/>
      <c r="E4241" s="202"/>
      <c r="U4241" s="204"/>
    </row>
    <row r="4242" spans="2:21" x14ac:dyDescent="0.2">
      <c r="B4242" s="203"/>
      <c r="C4242" s="237"/>
      <c r="D4242" s="202"/>
      <c r="E4242" s="202"/>
      <c r="U4242" s="204"/>
    </row>
    <row r="4243" spans="2:21" x14ac:dyDescent="0.2">
      <c r="B4243" s="203"/>
      <c r="C4243" s="237"/>
      <c r="D4243" s="202"/>
      <c r="E4243" s="202"/>
      <c r="U4243" s="204"/>
    </row>
    <row r="4244" spans="2:21" x14ac:dyDescent="0.2">
      <c r="B4244" s="203"/>
      <c r="C4244" s="237"/>
      <c r="D4244" s="202"/>
      <c r="E4244" s="202"/>
      <c r="U4244" s="204"/>
    </row>
    <row r="4245" spans="2:21" x14ac:dyDescent="0.2">
      <c r="B4245" s="203"/>
      <c r="C4245" s="237"/>
      <c r="D4245" s="202"/>
      <c r="E4245" s="202"/>
      <c r="U4245" s="204"/>
    </row>
    <row r="4246" spans="2:21" x14ac:dyDescent="0.2">
      <c r="B4246" s="203"/>
      <c r="C4246" s="237"/>
      <c r="D4246" s="202"/>
      <c r="E4246" s="202"/>
      <c r="U4246" s="204"/>
    </row>
    <row r="4247" spans="2:21" x14ac:dyDescent="0.2">
      <c r="B4247" s="203"/>
      <c r="C4247" s="237"/>
      <c r="D4247" s="202"/>
      <c r="E4247" s="202"/>
      <c r="U4247" s="204"/>
    </row>
    <row r="4248" spans="2:21" x14ac:dyDescent="0.2">
      <c r="B4248" s="203"/>
      <c r="C4248" s="237"/>
      <c r="D4248" s="202"/>
      <c r="E4248" s="202"/>
      <c r="U4248" s="204"/>
    </row>
    <row r="4249" spans="2:21" x14ac:dyDescent="0.2">
      <c r="B4249" s="203"/>
      <c r="C4249" s="237"/>
      <c r="D4249" s="202"/>
      <c r="E4249" s="202"/>
      <c r="U4249" s="204"/>
    </row>
    <row r="4250" spans="2:21" x14ac:dyDescent="0.2">
      <c r="B4250" s="203"/>
      <c r="C4250" s="237"/>
      <c r="D4250" s="202"/>
      <c r="E4250" s="202"/>
      <c r="U4250" s="204"/>
    </row>
    <row r="4251" spans="2:21" x14ac:dyDescent="0.2">
      <c r="B4251" s="203"/>
      <c r="C4251" s="237"/>
      <c r="D4251" s="202"/>
      <c r="E4251" s="202"/>
      <c r="U4251" s="204"/>
    </row>
    <row r="4252" spans="2:21" x14ac:dyDescent="0.2">
      <c r="B4252" s="203"/>
      <c r="C4252" s="237"/>
      <c r="D4252" s="202"/>
      <c r="E4252" s="202"/>
      <c r="U4252" s="204"/>
    </row>
    <row r="4253" spans="2:21" x14ac:dyDescent="0.2">
      <c r="B4253" s="203"/>
      <c r="C4253" s="237"/>
      <c r="D4253" s="202"/>
      <c r="E4253" s="202"/>
      <c r="U4253" s="204"/>
    </row>
    <row r="4254" spans="2:21" x14ac:dyDescent="0.2">
      <c r="B4254" s="203"/>
      <c r="C4254" s="237"/>
      <c r="D4254" s="202"/>
      <c r="E4254" s="202"/>
      <c r="U4254" s="204"/>
    </row>
    <row r="4255" spans="2:21" x14ac:dyDescent="0.2">
      <c r="B4255" s="203"/>
      <c r="C4255" s="237"/>
      <c r="D4255" s="202"/>
      <c r="E4255" s="202"/>
      <c r="U4255" s="204"/>
    </row>
    <row r="4256" spans="2:21" x14ac:dyDescent="0.2">
      <c r="B4256" s="203"/>
      <c r="C4256" s="237"/>
      <c r="D4256" s="202"/>
      <c r="E4256" s="202"/>
      <c r="U4256" s="204"/>
    </row>
    <row r="4257" spans="2:21" x14ac:dyDescent="0.2">
      <c r="B4257" s="203"/>
      <c r="C4257" s="237"/>
      <c r="D4257" s="202"/>
      <c r="E4257" s="202"/>
      <c r="U4257" s="204"/>
    </row>
    <row r="4258" spans="2:21" x14ac:dyDescent="0.2">
      <c r="B4258" s="203"/>
      <c r="C4258" s="237"/>
      <c r="D4258" s="202"/>
      <c r="E4258" s="202"/>
      <c r="U4258" s="204"/>
    </row>
    <row r="4259" spans="2:21" x14ac:dyDescent="0.2">
      <c r="B4259" s="203"/>
      <c r="C4259" s="237"/>
      <c r="D4259" s="202"/>
      <c r="E4259" s="202"/>
      <c r="U4259" s="204"/>
    </row>
    <row r="4260" spans="2:21" x14ac:dyDescent="0.2">
      <c r="B4260" s="203"/>
      <c r="C4260" s="237"/>
      <c r="D4260" s="202"/>
      <c r="E4260" s="202"/>
      <c r="U4260" s="204"/>
    </row>
    <row r="4261" spans="2:21" x14ac:dyDescent="0.2">
      <c r="B4261" s="203"/>
      <c r="C4261" s="237"/>
      <c r="D4261" s="202"/>
      <c r="E4261" s="202"/>
      <c r="U4261" s="204"/>
    </row>
    <row r="4262" spans="2:21" x14ac:dyDescent="0.2">
      <c r="B4262" s="203"/>
      <c r="C4262" s="237"/>
      <c r="D4262" s="202"/>
      <c r="E4262" s="202"/>
      <c r="U4262" s="204"/>
    </row>
    <row r="4263" spans="2:21" x14ac:dyDescent="0.2">
      <c r="B4263" s="203"/>
      <c r="C4263" s="237"/>
      <c r="D4263" s="202"/>
      <c r="E4263" s="202"/>
      <c r="U4263" s="204"/>
    </row>
    <row r="4264" spans="2:21" x14ac:dyDescent="0.2">
      <c r="B4264" s="203"/>
      <c r="C4264" s="237"/>
      <c r="D4264" s="202"/>
      <c r="E4264" s="202"/>
      <c r="U4264" s="204"/>
    </row>
    <row r="4265" spans="2:21" x14ac:dyDescent="0.2">
      <c r="B4265" s="203"/>
      <c r="C4265" s="237"/>
      <c r="D4265" s="202"/>
      <c r="E4265" s="202"/>
      <c r="U4265" s="204"/>
    </row>
    <row r="4266" spans="2:21" x14ac:dyDescent="0.2">
      <c r="B4266" s="203"/>
      <c r="C4266" s="237"/>
      <c r="D4266" s="202"/>
      <c r="E4266" s="202"/>
      <c r="U4266" s="204"/>
    </row>
    <row r="4267" spans="2:21" x14ac:dyDescent="0.2">
      <c r="B4267" s="203"/>
      <c r="C4267" s="237"/>
      <c r="D4267" s="202"/>
      <c r="E4267" s="202"/>
      <c r="U4267" s="204"/>
    </row>
    <row r="4268" spans="2:21" x14ac:dyDescent="0.2">
      <c r="B4268" s="203"/>
      <c r="C4268" s="237"/>
      <c r="D4268" s="202"/>
      <c r="E4268" s="202"/>
      <c r="U4268" s="204"/>
    </row>
    <row r="4269" spans="2:21" x14ac:dyDescent="0.2">
      <c r="B4269" s="203"/>
      <c r="C4269" s="237"/>
      <c r="D4269" s="202"/>
      <c r="E4269" s="202"/>
      <c r="U4269" s="204"/>
    </row>
    <row r="4270" spans="2:21" x14ac:dyDescent="0.2">
      <c r="B4270" s="203"/>
      <c r="C4270" s="237"/>
      <c r="D4270" s="202"/>
      <c r="E4270" s="202"/>
      <c r="U4270" s="204"/>
    </row>
    <row r="4271" spans="2:21" x14ac:dyDescent="0.2">
      <c r="B4271" s="203"/>
      <c r="C4271" s="237"/>
      <c r="D4271" s="202"/>
      <c r="E4271" s="202"/>
      <c r="U4271" s="204"/>
    </row>
    <row r="4272" spans="2:21" x14ac:dyDescent="0.2">
      <c r="B4272" s="203"/>
      <c r="C4272" s="237"/>
      <c r="D4272" s="202"/>
      <c r="E4272" s="202"/>
      <c r="U4272" s="204"/>
    </row>
    <row r="4273" spans="2:21" x14ac:dyDescent="0.2">
      <c r="B4273" s="203"/>
      <c r="C4273" s="237"/>
      <c r="D4273" s="202"/>
      <c r="E4273" s="202"/>
      <c r="U4273" s="204"/>
    </row>
    <row r="4274" spans="2:21" x14ac:dyDescent="0.2">
      <c r="B4274" s="203"/>
      <c r="C4274" s="237"/>
      <c r="D4274" s="202"/>
      <c r="E4274" s="202"/>
      <c r="U4274" s="204"/>
    </row>
    <row r="4275" spans="2:21" x14ac:dyDescent="0.2">
      <c r="B4275" s="203"/>
      <c r="C4275" s="237"/>
      <c r="D4275" s="202"/>
      <c r="E4275" s="202"/>
      <c r="U4275" s="204"/>
    </row>
    <row r="4276" spans="2:21" x14ac:dyDescent="0.2">
      <c r="B4276" s="203"/>
      <c r="C4276" s="237"/>
      <c r="D4276" s="202"/>
      <c r="E4276" s="202"/>
      <c r="U4276" s="204"/>
    </row>
    <row r="4277" spans="2:21" x14ac:dyDescent="0.2">
      <c r="B4277" s="203"/>
      <c r="C4277" s="237"/>
      <c r="D4277" s="202"/>
      <c r="E4277" s="202"/>
      <c r="U4277" s="204"/>
    </row>
    <row r="4278" spans="2:21" x14ac:dyDescent="0.2">
      <c r="B4278" s="203"/>
      <c r="C4278" s="237"/>
      <c r="D4278" s="202"/>
      <c r="E4278" s="202"/>
      <c r="U4278" s="204"/>
    </row>
    <row r="4279" spans="2:21" x14ac:dyDescent="0.2">
      <c r="B4279" s="203"/>
      <c r="C4279" s="237"/>
      <c r="D4279" s="202"/>
      <c r="E4279" s="202"/>
      <c r="U4279" s="204"/>
    </row>
    <row r="4280" spans="2:21" x14ac:dyDescent="0.2">
      <c r="B4280" s="203"/>
      <c r="C4280" s="237"/>
      <c r="D4280" s="202"/>
      <c r="E4280" s="202"/>
      <c r="U4280" s="204"/>
    </row>
    <row r="4281" spans="2:21" x14ac:dyDescent="0.2">
      <c r="B4281" s="203"/>
      <c r="C4281" s="237"/>
      <c r="D4281" s="202"/>
      <c r="E4281" s="202"/>
      <c r="U4281" s="204"/>
    </row>
    <row r="4282" spans="2:21" x14ac:dyDescent="0.2">
      <c r="B4282" s="203"/>
      <c r="C4282" s="237"/>
      <c r="D4282" s="202"/>
      <c r="E4282" s="202"/>
      <c r="U4282" s="204"/>
    </row>
    <row r="4283" spans="2:21" x14ac:dyDescent="0.2">
      <c r="B4283" s="203"/>
      <c r="C4283" s="237"/>
      <c r="D4283" s="202"/>
      <c r="E4283" s="202"/>
      <c r="U4283" s="204"/>
    </row>
    <row r="4284" spans="2:21" x14ac:dyDescent="0.2">
      <c r="B4284" s="203"/>
      <c r="C4284" s="237"/>
      <c r="D4284" s="202"/>
      <c r="E4284" s="202"/>
      <c r="U4284" s="204"/>
    </row>
    <row r="4285" spans="2:21" x14ac:dyDescent="0.2">
      <c r="B4285" s="203"/>
      <c r="C4285" s="237"/>
      <c r="D4285" s="202"/>
      <c r="E4285" s="202"/>
      <c r="U4285" s="204"/>
    </row>
    <row r="4286" spans="2:21" x14ac:dyDescent="0.2">
      <c r="B4286" s="203"/>
      <c r="C4286" s="237"/>
      <c r="D4286" s="202"/>
      <c r="E4286" s="202"/>
      <c r="U4286" s="204"/>
    </row>
    <row r="4287" spans="2:21" x14ac:dyDescent="0.2">
      <c r="B4287" s="203"/>
      <c r="C4287" s="237"/>
      <c r="D4287" s="202"/>
      <c r="E4287" s="202"/>
      <c r="U4287" s="204"/>
    </row>
    <row r="4288" spans="2:21" x14ac:dyDescent="0.2">
      <c r="B4288" s="203"/>
      <c r="C4288" s="237"/>
      <c r="D4288" s="202"/>
      <c r="E4288" s="202"/>
      <c r="U4288" s="204"/>
    </row>
    <row r="4289" spans="2:21" x14ac:dyDescent="0.2">
      <c r="B4289" s="203"/>
      <c r="C4289" s="237"/>
      <c r="D4289" s="202"/>
      <c r="E4289" s="202"/>
      <c r="U4289" s="204"/>
    </row>
    <row r="4290" spans="2:21" x14ac:dyDescent="0.2">
      <c r="B4290" s="203"/>
      <c r="C4290" s="237"/>
      <c r="D4290" s="202"/>
      <c r="E4290" s="202"/>
      <c r="U4290" s="204"/>
    </row>
    <row r="4291" spans="2:21" x14ac:dyDescent="0.2">
      <c r="B4291" s="203"/>
      <c r="C4291" s="237"/>
      <c r="D4291" s="202"/>
      <c r="E4291" s="202"/>
      <c r="U4291" s="204"/>
    </row>
    <row r="4292" spans="2:21" x14ac:dyDescent="0.2">
      <c r="B4292" s="203"/>
      <c r="C4292" s="237"/>
      <c r="D4292" s="202"/>
      <c r="E4292" s="202"/>
      <c r="U4292" s="204"/>
    </row>
    <row r="4293" spans="2:21" x14ac:dyDescent="0.2">
      <c r="B4293" s="203"/>
      <c r="C4293" s="237"/>
      <c r="D4293" s="202"/>
      <c r="E4293" s="202"/>
      <c r="U4293" s="204"/>
    </row>
    <row r="4294" spans="2:21" x14ac:dyDescent="0.2">
      <c r="B4294" s="203"/>
      <c r="C4294" s="237"/>
      <c r="D4294" s="202"/>
      <c r="E4294" s="202"/>
      <c r="U4294" s="204"/>
    </row>
    <row r="4295" spans="2:21" x14ac:dyDescent="0.2">
      <c r="B4295" s="203"/>
      <c r="C4295" s="237"/>
      <c r="D4295" s="202"/>
      <c r="E4295" s="202"/>
      <c r="U4295" s="204"/>
    </row>
    <row r="4296" spans="2:21" x14ac:dyDescent="0.2">
      <c r="B4296" s="203"/>
      <c r="C4296" s="237"/>
      <c r="D4296" s="202"/>
      <c r="E4296" s="202"/>
      <c r="U4296" s="204"/>
    </row>
    <row r="4297" spans="2:21" x14ac:dyDescent="0.2">
      <c r="B4297" s="203"/>
      <c r="C4297" s="237"/>
      <c r="D4297" s="202"/>
      <c r="E4297" s="202"/>
      <c r="U4297" s="204"/>
    </row>
    <row r="4298" spans="2:21" x14ac:dyDescent="0.2">
      <c r="B4298" s="203"/>
      <c r="C4298" s="237"/>
      <c r="D4298" s="202"/>
      <c r="E4298" s="202"/>
      <c r="U4298" s="204"/>
    </row>
    <row r="4299" spans="2:21" x14ac:dyDescent="0.2">
      <c r="B4299" s="203"/>
      <c r="C4299" s="237"/>
      <c r="D4299" s="202"/>
      <c r="E4299" s="202"/>
      <c r="U4299" s="204"/>
    </row>
    <row r="4300" spans="2:21" x14ac:dyDescent="0.2">
      <c r="B4300" s="203"/>
      <c r="C4300" s="237"/>
      <c r="D4300" s="202"/>
      <c r="E4300" s="202"/>
      <c r="U4300" s="204"/>
    </row>
    <row r="4301" spans="2:21" x14ac:dyDescent="0.2">
      <c r="B4301" s="203"/>
      <c r="C4301" s="237"/>
      <c r="D4301" s="202"/>
      <c r="E4301" s="202"/>
      <c r="U4301" s="204"/>
    </row>
    <row r="4302" spans="2:21" x14ac:dyDescent="0.2">
      <c r="B4302" s="203"/>
      <c r="C4302" s="237"/>
      <c r="D4302" s="202"/>
      <c r="E4302" s="202"/>
      <c r="U4302" s="204"/>
    </row>
    <row r="4303" spans="2:21" x14ac:dyDescent="0.2">
      <c r="B4303" s="203"/>
      <c r="C4303" s="237"/>
      <c r="D4303" s="202"/>
      <c r="E4303" s="202"/>
      <c r="U4303" s="204"/>
    </row>
    <row r="4304" spans="2:21" x14ac:dyDescent="0.2">
      <c r="B4304" s="203"/>
      <c r="C4304" s="237"/>
      <c r="D4304" s="202"/>
      <c r="E4304" s="202"/>
      <c r="U4304" s="204"/>
    </row>
    <row r="4305" spans="2:21" x14ac:dyDescent="0.2">
      <c r="B4305" s="203"/>
      <c r="C4305" s="237"/>
      <c r="D4305" s="202"/>
      <c r="E4305" s="202"/>
      <c r="U4305" s="204"/>
    </row>
    <row r="4306" spans="2:21" x14ac:dyDescent="0.2">
      <c r="B4306" s="203"/>
      <c r="C4306" s="237"/>
      <c r="D4306" s="202"/>
      <c r="E4306" s="202"/>
      <c r="U4306" s="204"/>
    </row>
    <row r="4307" spans="2:21" x14ac:dyDescent="0.2">
      <c r="B4307" s="203"/>
      <c r="C4307" s="237"/>
      <c r="D4307" s="202"/>
      <c r="E4307" s="202"/>
      <c r="U4307" s="204"/>
    </row>
    <row r="4308" spans="2:21" x14ac:dyDescent="0.2">
      <c r="B4308" s="203"/>
      <c r="C4308" s="237"/>
      <c r="D4308" s="202"/>
      <c r="E4308" s="202"/>
      <c r="U4308" s="204"/>
    </row>
    <row r="4309" spans="2:21" x14ac:dyDescent="0.2">
      <c r="B4309" s="203"/>
      <c r="C4309" s="237"/>
      <c r="D4309" s="202"/>
      <c r="E4309" s="202"/>
      <c r="U4309" s="204"/>
    </row>
    <row r="4310" spans="2:21" x14ac:dyDescent="0.2">
      <c r="B4310" s="203"/>
      <c r="C4310" s="237"/>
      <c r="D4310" s="202"/>
      <c r="E4310" s="202"/>
      <c r="U4310" s="204"/>
    </row>
    <row r="4311" spans="2:21" x14ac:dyDescent="0.2">
      <c r="B4311" s="203"/>
      <c r="C4311" s="237"/>
      <c r="D4311" s="202"/>
      <c r="E4311" s="202"/>
      <c r="U4311" s="204"/>
    </row>
    <row r="4312" spans="2:21" x14ac:dyDescent="0.2">
      <c r="B4312" s="203"/>
      <c r="C4312" s="237"/>
      <c r="D4312" s="202"/>
      <c r="E4312" s="202"/>
      <c r="U4312" s="204"/>
    </row>
    <row r="4313" spans="2:21" x14ac:dyDescent="0.2">
      <c r="B4313" s="203"/>
      <c r="C4313" s="237"/>
      <c r="D4313" s="202"/>
      <c r="E4313" s="202"/>
      <c r="U4313" s="204"/>
    </row>
    <row r="4314" spans="2:21" x14ac:dyDescent="0.2">
      <c r="B4314" s="203"/>
      <c r="C4314" s="237"/>
      <c r="D4314" s="202"/>
      <c r="E4314" s="202"/>
      <c r="U4314" s="204"/>
    </row>
    <row r="4315" spans="2:21" x14ac:dyDescent="0.2">
      <c r="B4315" s="203"/>
      <c r="C4315" s="237"/>
      <c r="D4315" s="202"/>
      <c r="E4315" s="202"/>
      <c r="U4315" s="204"/>
    </row>
    <row r="4316" spans="2:21" x14ac:dyDescent="0.2">
      <c r="B4316" s="203"/>
      <c r="C4316" s="237"/>
      <c r="D4316" s="202"/>
      <c r="E4316" s="202"/>
      <c r="U4316" s="204"/>
    </row>
    <row r="4317" spans="2:21" x14ac:dyDescent="0.2">
      <c r="B4317" s="203"/>
      <c r="C4317" s="237"/>
      <c r="D4317" s="202"/>
      <c r="E4317" s="202"/>
      <c r="U4317" s="204"/>
    </row>
    <row r="4318" spans="2:21" x14ac:dyDescent="0.2">
      <c r="B4318" s="203"/>
      <c r="C4318" s="237"/>
      <c r="D4318" s="202"/>
      <c r="E4318" s="202"/>
      <c r="U4318" s="204"/>
    </row>
    <row r="4319" spans="2:21" x14ac:dyDescent="0.2">
      <c r="B4319" s="203"/>
      <c r="C4319" s="237"/>
      <c r="D4319" s="202"/>
      <c r="E4319" s="202"/>
      <c r="U4319" s="204"/>
    </row>
    <row r="4320" spans="2:21" x14ac:dyDescent="0.2">
      <c r="B4320" s="203"/>
      <c r="C4320" s="237"/>
      <c r="D4320" s="202"/>
      <c r="E4320" s="202"/>
      <c r="U4320" s="204"/>
    </row>
    <row r="4321" spans="2:21" x14ac:dyDescent="0.2">
      <c r="B4321" s="203"/>
      <c r="C4321" s="237"/>
      <c r="D4321" s="202"/>
      <c r="E4321" s="202"/>
      <c r="U4321" s="204"/>
    </row>
    <row r="4322" spans="2:21" x14ac:dyDescent="0.2">
      <c r="B4322" s="203"/>
      <c r="C4322" s="237"/>
      <c r="D4322" s="202"/>
      <c r="E4322" s="202"/>
      <c r="U4322" s="204"/>
    </row>
    <row r="4323" spans="2:21" x14ac:dyDescent="0.2">
      <c r="B4323" s="203"/>
      <c r="C4323" s="237"/>
      <c r="D4323" s="202"/>
      <c r="E4323" s="202"/>
      <c r="U4323" s="204"/>
    </row>
    <row r="4324" spans="2:21" x14ac:dyDescent="0.2">
      <c r="B4324" s="203"/>
      <c r="C4324" s="237"/>
      <c r="D4324" s="202"/>
      <c r="E4324" s="202"/>
      <c r="U4324" s="204"/>
    </row>
    <row r="4325" spans="2:21" x14ac:dyDescent="0.2">
      <c r="B4325" s="203"/>
      <c r="C4325" s="237"/>
      <c r="D4325" s="202"/>
      <c r="E4325" s="202"/>
      <c r="U4325" s="204"/>
    </row>
    <row r="4326" spans="2:21" x14ac:dyDescent="0.2">
      <c r="B4326" s="203"/>
      <c r="C4326" s="237"/>
      <c r="D4326" s="202"/>
      <c r="E4326" s="202"/>
      <c r="U4326" s="204"/>
    </row>
    <row r="4327" spans="2:21" x14ac:dyDescent="0.2">
      <c r="B4327" s="203"/>
      <c r="C4327" s="237"/>
      <c r="D4327" s="202"/>
      <c r="E4327" s="202"/>
      <c r="U4327" s="204"/>
    </row>
    <row r="4328" spans="2:21" x14ac:dyDescent="0.2">
      <c r="B4328" s="203"/>
      <c r="C4328" s="237"/>
      <c r="D4328" s="202"/>
      <c r="E4328" s="202"/>
      <c r="U4328" s="204"/>
    </row>
    <row r="4329" spans="2:21" x14ac:dyDescent="0.2">
      <c r="B4329" s="203"/>
      <c r="C4329" s="237"/>
      <c r="D4329" s="202"/>
      <c r="E4329" s="202"/>
      <c r="U4329" s="204"/>
    </row>
    <row r="4330" spans="2:21" x14ac:dyDescent="0.2">
      <c r="B4330" s="203"/>
      <c r="C4330" s="237"/>
      <c r="D4330" s="202"/>
      <c r="E4330" s="202"/>
      <c r="U4330" s="204"/>
    </row>
    <row r="4331" spans="2:21" x14ac:dyDescent="0.2">
      <c r="B4331" s="203"/>
      <c r="C4331" s="237"/>
      <c r="D4331" s="202"/>
      <c r="E4331" s="202"/>
      <c r="U4331" s="204"/>
    </row>
    <row r="4332" spans="2:21" x14ac:dyDescent="0.2">
      <c r="B4332" s="203"/>
      <c r="C4332" s="237"/>
      <c r="D4332" s="202"/>
      <c r="E4332" s="202"/>
      <c r="U4332" s="204"/>
    </row>
    <row r="4333" spans="2:21" x14ac:dyDescent="0.2">
      <c r="B4333" s="203"/>
      <c r="C4333" s="237"/>
      <c r="D4333" s="202"/>
      <c r="E4333" s="202"/>
      <c r="U4333" s="204"/>
    </row>
    <row r="4334" spans="2:21" x14ac:dyDescent="0.2">
      <c r="B4334" s="203"/>
      <c r="C4334" s="237"/>
      <c r="D4334" s="202"/>
      <c r="E4334" s="202"/>
      <c r="U4334" s="204"/>
    </row>
    <row r="4335" spans="2:21" x14ac:dyDescent="0.2">
      <c r="B4335" s="203"/>
      <c r="C4335" s="237"/>
      <c r="D4335" s="202"/>
      <c r="E4335" s="202"/>
      <c r="U4335" s="204"/>
    </row>
    <row r="4336" spans="2:21" x14ac:dyDescent="0.2">
      <c r="B4336" s="203"/>
      <c r="C4336" s="237"/>
      <c r="D4336" s="202"/>
      <c r="E4336" s="202"/>
      <c r="U4336" s="204"/>
    </row>
    <row r="4337" spans="2:21" x14ac:dyDescent="0.2">
      <c r="B4337" s="203"/>
      <c r="C4337" s="237"/>
      <c r="D4337" s="202"/>
      <c r="E4337" s="202"/>
      <c r="U4337" s="204"/>
    </row>
    <row r="4338" spans="2:21" x14ac:dyDescent="0.2">
      <c r="B4338" s="203"/>
      <c r="C4338" s="237"/>
      <c r="D4338" s="202"/>
      <c r="E4338" s="202"/>
      <c r="U4338" s="204"/>
    </row>
    <row r="4339" spans="2:21" x14ac:dyDescent="0.2">
      <c r="B4339" s="203"/>
      <c r="C4339" s="237"/>
      <c r="D4339" s="202"/>
      <c r="E4339" s="202"/>
      <c r="U4339" s="204"/>
    </row>
    <row r="4340" spans="2:21" x14ac:dyDescent="0.2">
      <c r="B4340" s="203"/>
      <c r="C4340" s="237"/>
      <c r="D4340" s="202"/>
      <c r="E4340" s="202"/>
      <c r="U4340" s="204"/>
    </row>
    <row r="4341" spans="2:21" x14ac:dyDescent="0.2">
      <c r="B4341" s="203"/>
      <c r="C4341" s="237"/>
      <c r="D4341" s="202"/>
      <c r="E4341" s="202"/>
      <c r="U4341" s="204"/>
    </row>
    <row r="4342" spans="2:21" x14ac:dyDescent="0.2">
      <c r="B4342" s="203"/>
      <c r="C4342" s="237"/>
      <c r="D4342" s="202"/>
      <c r="E4342" s="202"/>
      <c r="U4342" s="204"/>
    </row>
    <row r="4343" spans="2:21" x14ac:dyDescent="0.2">
      <c r="B4343" s="203"/>
      <c r="C4343" s="237"/>
      <c r="D4343" s="202"/>
      <c r="E4343" s="202"/>
      <c r="U4343" s="204"/>
    </row>
    <row r="4344" spans="2:21" x14ac:dyDescent="0.2">
      <c r="B4344" s="203"/>
      <c r="C4344" s="237"/>
      <c r="D4344" s="202"/>
      <c r="E4344" s="202"/>
      <c r="U4344" s="204"/>
    </row>
    <row r="4345" spans="2:21" x14ac:dyDescent="0.2">
      <c r="B4345" s="203"/>
      <c r="C4345" s="237"/>
      <c r="D4345" s="202"/>
      <c r="E4345" s="202"/>
      <c r="U4345" s="204"/>
    </row>
    <row r="4346" spans="2:21" x14ac:dyDescent="0.2">
      <c r="B4346" s="203"/>
      <c r="C4346" s="237"/>
      <c r="D4346" s="202"/>
      <c r="E4346" s="202"/>
      <c r="U4346" s="204"/>
    </row>
    <row r="4347" spans="2:21" x14ac:dyDescent="0.2">
      <c r="B4347" s="203"/>
      <c r="C4347" s="237"/>
      <c r="D4347" s="202"/>
      <c r="E4347" s="202"/>
      <c r="U4347" s="204"/>
    </row>
    <row r="4348" spans="2:21" x14ac:dyDescent="0.2">
      <c r="B4348" s="203"/>
      <c r="C4348" s="237"/>
      <c r="D4348" s="202"/>
      <c r="E4348" s="202"/>
      <c r="U4348" s="204"/>
    </row>
    <row r="4349" spans="2:21" x14ac:dyDescent="0.2">
      <c r="B4349" s="203"/>
      <c r="C4349" s="237"/>
      <c r="D4349" s="202"/>
      <c r="E4349" s="202"/>
      <c r="U4349" s="204"/>
    </row>
    <row r="4350" spans="2:21" x14ac:dyDescent="0.2">
      <c r="B4350" s="203"/>
      <c r="C4350" s="237"/>
      <c r="D4350" s="202"/>
      <c r="E4350" s="202"/>
      <c r="U4350" s="204"/>
    </row>
    <row r="4351" spans="2:21" x14ac:dyDescent="0.2">
      <c r="B4351" s="203"/>
      <c r="C4351" s="237"/>
      <c r="D4351" s="202"/>
      <c r="E4351" s="202"/>
      <c r="U4351" s="204"/>
    </row>
    <row r="4352" spans="2:21" x14ac:dyDescent="0.2">
      <c r="B4352" s="203"/>
      <c r="C4352" s="237"/>
      <c r="D4352" s="202"/>
      <c r="E4352" s="202"/>
      <c r="U4352" s="204"/>
    </row>
    <row r="4353" spans="2:21" x14ac:dyDescent="0.2">
      <c r="B4353" s="203"/>
      <c r="C4353" s="237"/>
      <c r="D4353" s="202"/>
      <c r="E4353" s="202"/>
      <c r="U4353" s="204"/>
    </row>
    <row r="4354" spans="2:21" x14ac:dyDescent="0.2">
      <c r="B4354" s="203"/>
      <c r="C4354" s="237"/>
      <c r="D4354" s="202"/>
      <c r="E4354" s="202"/>
      <c r="U4354" s="204"/>
    </row>
    <row r="4355" spans="2:21" x14ac:dyDescent="0.2">
      <c r="B4355" s="203"/>
      <c r="C4355" s="237"/>
      <c r="D4355" s="202"/>
      <c r="E4355" s="202"/>
      <c r="U4355" s="204"/>
    </row>
    <row r="4356" spans="2:21" x14ac:dyDescent="0.2">
      <c r="B4356" s="203"/>
      <c r="C4356" s="237"/>
      <c r="D4356" s="202"/>
      <c r="E4356" s="202"/>
      <c r="U4356" s="204"/>
    </row>
    <row r="4357" spans="2:21" x14ac:dyDescent="0.2">
      <c r="B4357" s="203"/>
      <c r="C4357" s="237"/>
      <c r="D4357" s="202"/>
      <c r="E4357" s="202"/>
      <c r="U4357" s="204"/>
    </row>
    <row r="4358" spans="2:21" x14ac:dyDescent="0.2">
      <c r="B4358" s="203"/>
      <c r="C4358" s="237"/>
      <c r="D4358" s="202"/>
      <c r="E4358" s="202"/>
      <c r="U4358" s="204"/>
    </row>
    <row r="4359" spans="2:21" x14ac:dyDescent="0.2">
      <c r="B4359" s="203"/>
      <c r="C4359" s="237"/>
      <c r="D4359" s="202"/>
      <c r="E4359" s="202"/>
      <c r="U4359" s="204"/>
    </row>
    <row r="4360" spans="2:21" x14ac:dyDescent="0.2">
      <c r="B4360" s="203"/>
      <c r="C4360" s="237"/>
      <c r="D4360" s="202"/>
      <c r="E4360" s="202"/>
      <c r="U4360" s="204"/>
    </row>
    <row r="4361" spans="2:21" x14ac:dyDescent="0.2">
      <c r="B4361" s="203"/>
      <c r="C4361" s="237"/>
      <c r="D4361" s="202"/>
      <c r="E4361" s="202"/>
      <c r="U4361" s="204"/>
    </row>
    <row r="4362" spans="2:21" x14ac:dyDescent="0.2">
      <c r="B4362" s="203"/>
      <c r="C4362" s="237"/>
      <c r="D4362" s="202"/>
      <c r="E4362" s="202"/>
      <c r="U4362" s="204"/>
    </row>
    <row r="4363" spans="2:21" x14ac:dyDescent="0.2">
      <c r="B4363" s="203"/>
      <c r="C4363" s="237"/>
      <c r="D4363" s="202"/>
      <c r="E4363" s="202"/>
      <c r="U4363" s="204"/>
    </row>
    <row r="4364" spans="2:21" x14ac:dyDescent="0.2">
      <c r="B4364" s="203"/>
      <c r="C4364" s="237"/>
      <c r="D4364" s="202"/>
      <c r="E4364" s="202"/>
      <c r="U4364" s="204"/>
    </row>
    <row r="4365" spans="2:21" x14ac:dyDescent="0.2">
      <c r="B4365" s="203"/>
      <c r="C4365" s="237"/>
      <c r="D4365" s="202"/>
      <c r="E4365" s="202"/>
      <c r="U4365" s="204"/>
    </row>
    <row r="4366" spans="2:21" x14ac:dyDescent="0.2">
      <c r="B4366" s="203"/>
      <c r="C4366" s="237"/>
      <c r="D4366" s="202"/>
      <c r="E4366" s="202"/>
      <c r="U4366" s="204"/>
    </row>
    <row r="4367" spans="2:21" x14ac:dyDescent="0.2">
      <c r="B4367" s="203"/>
      <c r="C4367" s="237"/>
      <c r="D4367" s="202"/>
      <c r="E4367" s="202"/>
      <c r="U4367" s="204"/>
    </row>
    <row r="4368" spans="2:21" x14ac:dyDescent="0.2">
      <c r="B4368" s="203"/>
      <c r="C4368" s="237"/>
      <c r="D4368" s="202"/>
      <c r="E4368" s="202"/>
      <c r="U4368" s="204"/>
    </row>
    <row r="4369" spans="2:21" x14ac:dyDescent="0.2">
      <c r="B4369" s="203"/>
      <c r="C4369" s="237"/>
      <c r="D4369" s="202"/>
      <c r="E4369" s="202"/>
      <c r="U4369" s="204"/>
    </row>
    <row r="4370" spans="2:21" x14ac:dyDescent="0.2">
      <c r="B4370" s="203"/>
      <c r="C4370" s="237"/>
      <c r="D4370" s="202"/>
      <c r="E4370" s="202"/>
      <c r="U4370" s="204"/>
    </row>
    <row r="4371" spans="2:21" x14ac:dyDescent="0.2">
      <c r="B4371" s="203"/>
      <c r="C4371" s="237"/>
      <c r="D4371" s="202"/>
      <c r="E4371" s="202"/>
      <c r="U4371" s="204"/>
    </row>
    <row r="4372" spans="2:21" x14ac:dyDescent="0.2">
      <c r="B4372" s="203"/>
      <c r="C4372" s="237"/>
      <c r="D4372" s="202"/>
      <c r="E4372" s="202"/>
      <c r="U4372" s="204"/>
    </row>
    <row r="4373" spans="2:21" x14ac:dyDescent="0.2">
      <c r="B4373" s="203"/>
      <c r="C4373" s="237"/>
      <c r="D4373" s="202"/>
      <c r="E4373" s="202"/>
      <c r="U4373" s="204"/>
    </row>
    <row r="4374" spans="2:21" x14ac:dyDescent="0.2">
      <c r="B4374" s="203"/>
      <c r="C4374" s="237"/>
      <c r="D4374" s="202"/>
      <c r="E4374" s="202"/>
      <c r="U4374" s="204"/>
    </row>
    <row r="4375" spans="2:21" x14ac:dyDescent="0.2">
      <c r="B4375" s="203"/>
      <c r="C4375" s="237"/>
      <c r="D4375" s="202"/>
      <c r="E4375" s="202"/>
      <c r="U4375" s="204"/>
    </row>
    <row r="4376" spans="2:21" x14ac:dyDescent="0.2">
      <c r="B4376" s="203"/>
      <c r="C4376" s="237"/>
      <c r="D4376" s="202"/>
      <c r="E4376" s="202"/>
      <c r="U4376" s="204"/>
    </row>
    <row r="4377" spans="2:21" x14ac:dyDescent="0.2">
      <c r="B4377" s="203"/>
      <c r="C4377" s="237"/>
      <c r="D4377" s="202"/>
      <c r="E4377" s="202"/>
      <c r="U4377" s="204"/>
    </row>
    <row r="4378" spans="2:21" x14ac:dyDescent="0.2">
      <c r="B4378" s="203"/>
      <c r="C4378" s="237"/>
      <c r="D4378" s="202"/>
      <c r="E4378" s="202"/>
      <c r="U4378" s="204"/>
    </row>
    <row r="4379" spans="2:21" x14ac:dyDescent="0.2">
      <c r="B4379" s="203"/>
      <c r="C4379" s="237"/>
      <c r="D4379" s="202"/>
      <c r="E4379" s="202"/>
      <c r="U4379" s="204"/>
    </row>
    <row r="4380" spans="2:21" x14ac:dyDescent="0.2">
      <c r="B4380" s="203"/>
      <c r="C4380" s="237"/>
      <c r="D4380" s="202"/>
      <c r="E4380" s="202"/>
      <c r="U4380" s="204"/>
    </row>
    <row r="4381" spans="2:21" x14ac:dyDescent="0.2">
      <c r="B4381" s="203"/>
      <c r="C4381" s="237"/>
      <c r="D4381" s="202"/>
      <c r="E4381" s="202"/>
      <c r="U4381" s="204"/>
    </row>
    <row r="4382" spans="2:21" x14ac:dyDescent="0.2">
      <c r="B4382" s="203"/>
      <c r="C4382" s="237"/>
      <c r="D4382" s="202"/>
      <c r="E4382" s="202"/>
      <c r="U4382" s="204"/>
    </row>
    <row r="4383" spans="2:21" x14ac:dyDescent="0.2">
      <c r="B4383" s="203"/>
      <c r="C4383" s="237"/>
      <c r="D4383" s="202"/>
      <c r="E4383" s="202"/>
      <c r="U4383" s="204"/>
    </row>
    <row r="4384" spans="2:21" x14ac:dyDescent="0.2">
      <c r="B4384" s="203"/>
      <c r="C4384" s="237"/>
      <c r="D4384" s="202"/>
      <c r="E4384" s="202"/>
      <c r="U4384" s="204"/>
    </row>
    <row r="4385" spans="2:21" x14ac:dyDescent="0.2">
      <c r="B4385" s="203"/>
      <c r="C4385" s="237"/>
      <c r="D4385" s="202"/>
      <c r="E4385" s="202"/>
      <c r="U4385" s="204"/>
    </row>
    <row r="4386" spans="2:21" x14ac:dyDescent="0.2">
      <c r="B4386" s="203"/>
      <c r="C4386" s="237"/>
      <c r="D4386" s="202"/>
      <c r="E4386" s="202"/>
      <c r="U4386" s="204"/>
    </row>
    <row r="4387" spans="2:21" x14ac:dyDescent="0.2">
      <c r="B4387" s="203"/>
      <c r="C4387" s="237"/>
      <c r="D4387" s="202"/>
      <c r="E4387" s="202"/>
      <c r="U4387" s="204"/>
    </row>
    <row r="4388" spans="2:21" x14ac:dyDescent="0.2">
      <c r="B4388" s="203"/>
      <c r="C4388" s="237"/>
      <c r="D4388" s="202"/>
      <c r="E4388" s="202"/>
      <c r="U4388" s="204"/>
    </row>
    <row r="4389" spans="2:21" x14ac:dyDescent="0.2">
      <c r="B4389" s="203"/>
      <c r="C4389" s="237"/>
      <c r="D4389" s="202"/>
      <c r="E4389" s="202"/>
      <c r="U4389" s="204"/>
    </row>
    <row r="4390" spans="2:21" x14ac:dyDescent="0.2">
      <c r="B4390" s="203"/>
      <c r="C4390" s="237"/>
      <c r="D4390" s="202"/>
      <c r="E4390" s="202"/>
      <c r="U4390" s="204"/>
    </row>
    <row r="4391" spans="2:21" x14ac:dyDescent="0.2">
      <c r="B4391" s="203"/>
      <c r="C4391" s="237"/>
      <c r="D4391" s="202"/>
      <c r="E4391" s="202"/>
      <c r="U4391" s="204"/>
    </row>
    <row r="4392" spans="2:21" x14ac:dyDescent="0.2">
      <c r="B4392" s="203"/>
      <c r="C4392" s="237"/>
      <c r="D4392" s="202"/>
      <c r="E4392" s="202"/>
      <c r="U4392" s="204"/>
    </row>
    <row r="4393" spans="2:21" x14ac:dyDescent="0.2">
      <c r="B4393" s="203"/>
      <c r="C4393" s="237"/>
      <c r="D4393" s="202"/>
      <c r="E4393" s="202"/>
      <c r="U4393" s="204"/>
    </row>
    <row r="4394" spans="2:21" x14ac:dyDescent="0.2">
      <c r="B4394" s="203"/>
      <c r="C4394" s="237"/>
      <c r="D4394" s="202"/>
      <c r="E4394" s="202"/>
      <c r="U4394" s="204"/>
    </row>
    <row r="4395" spans="2:21" x14ac:dyDescent="0.2">
      <c r="B4395" s="203"/>
      <c r="C4395" s="237"/>
      <c r="D4395" s="202"/>
      <c r="E4395" s="202"/>
      <c r="U4395" s="204"/>
    </row>
    <row r="4396" spans="2:21" x14ac:dyDescent="0.2">
      <c r="B4396" s="203"/>
      <c r="C4396" s="237"/>
      <c r="D4396" s="202"/>
      <c r="E4396" s="202"/>
      <c r="U4396" s="204"/>
    </row>
    <row r="4397" spans="2:21" x14ac:dyDescent="0.2">
      <c r="B4397" s="203"/>
      <c r="C4397" s="237"/>
      <c r="D4397" s="202"/>
      <c r="E4397" s="202"/>
      <c r="U4397" s="204"/>
    </row>
    <row r="4398" spans="2:21" x14ac:dyDescent="0.2">
      <c r="B4398" s="203"/>
      <c r="C4398" s="237"/>
      <c r="D4398" s="202"/>
      <c r="E4398" s="202"/>
      <c r="U4398" s="204"/>
    </row>
    <row r="4399" spans="2:21" x14ac:dyDescent="0.2">
      <c r="B4399" s="203"/>
      <c r="C4399" s="237"/>
      <c r="D4399" s="202"/>
      <c r="E4399" s="202"/>
      <c r="U4399" s="204"/>
    </row>
    <row r="4400" spans="2:21" x14ac:dyDescent="0.2">
      <c r="B4400" s="203"/>
      <c r="C4400" s="237"/>
      <c r="D4400" s="202"/>
      <c r="E4400" s="202"/>
      <c r="U4400" s="204"/>
    </row>
    <row r="4401" spans="2:21" x14ac:dyDescent="0.2">
      <c r="B4401" s="203"/>
      <c r="C4401" s="237"/>
      <c r="D4401" s="202"/>
      <c r="E4401" s="202"/>
      <c r="U4401" s="204"/>
    </row>
    <row r="4402" spans="2:21" x14ac:dyDescent="0.2">
      <c r="B4402" s="203"/>
      <c r="C4402" s="237"/>
      <c r="D4402" s="202"/>
      <c r="E4402" s="202"/>
      <c r="U4402" s="204"/>
    </row>
    <row r="4403" spans="2:21" x14ac:dyDescent="0.2">
      <c r="B4403" s="203"/>
      <c r="C4403" s="237"/>
      <c r="D4403" s="202"/>
      <c r="E4403" s="202"/>
      <c r="U4403" s="204"/>
    </row>
    <row r="4404" spans="2:21" x14ac:dyDescent="0.2">
      <c r="B4404" s="203"/>
      <c r="C4404" s="237"/>
      <c r="D4404" s="202"/>
      <c r="E4404" s="202"/>
      <c r="U4404" s="204"/>
    </row>
    <row r="4405" spans="2:21" x14ac:dyDescent="0.2">
      <c r="B4405" s="203"/>
      <c r="C4405" s="237"/>
      <c r="D4405" s="202"/>
      <c r="E4405" s="202"/>
      <c r="U4405" s="204"/>
    </row>
    <row r="4406" spans="2:21" x14ac:dyDescent="0.2">
      <c r="B4406" s="203"/>
      <c r="C4406" s="237"/>
      <c r="D4406" s="202"/>
      <c r="E4406" s="202"/>
      <c r="U4406" s="204"/>
    </row>
    <row r="4407" spans="2:21" x14ac:dyDescent="0.2">
      <c r="B4407" s="203"/>
      <c r="C4407" s="237"/>
      <c r="D4407" s="202"/>
      <c r="E4407" s="202"/>
      <c r="U4407" s="204"/>
    </row>
    <row r="4408" spans="2:21" x14ac:dyDescent="0.2">
      <c r="B4408" s="203"/>
      <c r="C4408" s="237"/>
      <c r="D4408" s="202"/>
      <c r="E4408" s="202"/>
      <c r="U4408" s="204"/>
    </row>
    <row r="4409" spans="2:21" x14ac:dyDescent="0.2">
      <c r="B4409" s="203"/>
      <c r="C4409" s="237"/>
      <c r="D4409" s="202"/>
      <c r="E4409" s="202"/>
      <c r="U4409" s="204"/>
    </row>
    <row r="4410" spans="2:21" x14ac:dyDescent="0.2">
      <c r="B4410" s="203"/>
      <c r="C4410" s="237"/>
      <c r="D4410" s="202"/>
      <c r="E4410" s="202"/>
      <c r="U4410" s="204"/>
    </row>
    <row r="4411" spans="2:21" x14ac:dyDescent="0.2">
      <c r="B4411" s="203"/>
      <c r="C4411" s="237"/>
      <c r="D4411" s="202"/>
      <c r="E4411" s="202"/>
      <c r="U4411" s="204"/>
    </row>
    <row r="4412" spans="2:21" x14ac:dyDescent="0.2">
      <c r="B4412" s="203"/>
      <c r="C4412" s="237"/>
      <c r="D4412" s="202"/>
      <c r="E4412" s="202"/>
      <c r="U4412" s="204"/>
    </row>
    <row r="4413" spans="2:21" x14ac:dyDescent="0.2">
      <c r="B4413" s="203"/>
      <c r="C4413" s="237"/>
      <c r="D4413" s="202"/>
      <c r="E4413" s="202"/>
      <c r="U4413" s="204"/>
    </row>
    <row r="4414" spans="2:21" x14ac:dyDescent="0.2">
      <c r="B4414" s="203"/>
      <c r="C4414" s="237"/>
      <c r="D4414" s="202"/>
      <c r="E4414" s="202"/>
      <c r="U4414" s="204"/>
    </row>
    <row r="4415" spans="2:21" x14ac:dyDescent="0.2">
      <c r="B4415" s="203"/>
      <c r="C4415" s="237"/>
      <c r="D4415" s="202"/>
      <c r="E4415" s="202"/>
      <c r="U4415" s="204"/>
    </row>
    <row r="4416" spans="2:21" x14ac:dyDescent="0.2">
      <c r="B4416" s="203"/>
      <c r="C4416" s="237"/>
      <c r="D4416" s="202"/>
      <c r="E4416" s="202"/>
      <c r="U4416" s="204"/>
    </row>
    <row r="4417" spans="2:21" x14ac:dyDescent="0.2">
      <c r="B4417" s="203"/>
      <c r="C4417" s="237"/>
      <c r="D4417" s="202"/>
      <c r="E4417" s="202"/>
      <c r="U4417" s="204"/>
    </row>
    <row r="4418" spans="2:21" x14ac:dyDescent="0.2">
      <c r="B4418" s="203"/>
      <c r="C4418" s="237"/>
      <c r="D4418" s="202"/>
      <c r="E4418" s="202"/>
      <c r="U4418" s="204"/>
    </row>
    <row r="4419" spans="2:21" x14ac:dyDescent="0.2">
      <c r="B4419" s="203"/>
      <c r="C4419" s="237"/>
      <c r="D4419" s="202"/>
      <c r="E4419" s="202"/>
      <c r="U4419" s="204"/>
    </row>
    <row r="4420" spans="2:21" x14ac:dyDescent="0.2">
      <c r="B4420" s="203"/>
      <c r="C4420" s="237"/>
      <c r="D4420" s="202"/>
      <c r="E4420" s="202"/>
      <c r="U4420" s="204"/>
    </row>
    <row r="4421" spans="2:21" x14ac:dyDescent="0.2">
      <c r="B4421" s="203"/>
      <c r="C4421" s="237"/>
      <c r="D4421" s="202"/>
      <c r="E4421" s="202"/>
      <c r="U4421" s="204"/>
    </row>
    <row r="4422" spans="2:21" x14ac:dyDescent="0.2">
      <c r="B4422" s="203"/>
      <c r="C4422" s="237"/>
      <c r="D4422" s="202"/>
      <c r="E4422" s="202"/>
      <c r="U4422" s="204"/>
    </row>
    <row r="4423" spans="2:21" x14ac:dyDescent="0.2">
      <c r="B4423" s="203"/>
      <c r="C4423" s="237"/>
      <c r="D4423" s="202"/>
      <c r="E4423" s="202"/>
      <c r="U4423" s="204"/>
    </row>
    <row r="4424" spans="2:21" x14ac:dyDescent="0.2">
      <c r="B4424" s="203"/>
      <c r="C4424" s="237"/>
      <c r="D4424" s="202"/>
      <c r="E4424" s="202"/>
      <c r="U4424" s="204"/>
    </row>
    <row r="4425" spans="2:21" x14ac:dyDescent="0.2">
      <c r="B4425" s="203"/>
      <c r="C4425" s="237"/>
      <c r="D4425" s="202"/>
      <c r="E4425" s="202"/>
      <c r="U4425" s="204"/>
    </row>
    <row r="4426" spans="2:21" x14ac:dyDescent="0.2">
      <c r="B4426" s="203"/>
      <c r="C4426" s="237"/>
      <c r="D4426" s="202"/>
      <c r="E4426" s="202"/>
      <c r="U4426" s="204"/>
    </row>
    <row r="4427" spans="2:21" x14ac:dyDescent="0.2">
      <c r="B4427" s="203"/>
      <c r="C4427" s="237"/>
      <c r="D4427" s="202"/>
      <c r="E4427" s="202"/>
      <c r="U4427" s="204"/>
    </row>
    <row r="4428" spans="2:21" x14ac:dyDescent="0.2">
      <c r="B4428" s="203"/>
      <c r="C4428" s="237"/>
      <c r="D4428" s="202"/>
      <c r="E4428" s="202"/>
      <c r="U4428" s="204"/>
    </row>
    <row r="4429" spans="2:21" x14ac:dyDescent="0.2">
      <c r="B4429" s="203"/>
      <c r="C4429" s="237"/>
      <c r="D4429" s="202"/>
      <c r="E4429" s="202"/>
      <c r="U4429" s="204"/>
    </row>
    <row r="4430" spans="2:21" x14ac:dyDescent="0.2">
      <c r="B4430" s="203"/>
      <c r="C4430" s="237"/>
      <c r="D4430" s="202"/>
      <c r="E4430" s="202"/>
      <c r="U4430" s="204"/>
    </row>
    <row r="4431" spans="2:21" x14ac:dyDescent="0.2">
      <c r="B4431" s="203"/>
      <c r="C4431" s="237"/>
      <c r="D4431" s="202"/>
      <c r="E4431" s="202"/>
      <c r="U4431" s="204"/>
    </row>
    <row r="4432" spans="2:21" x14ac:dyDescent="0.2">
      <c r="B4432" s="203"/>
      <c r="C4432" s="237"/>
      <c r="D4432" s="202"/>
      <c r="E4432" s="202"/>
      <c r="U4432" s="204"/>
    </row>
    <row r="4433" spans="2:21" x14ac:dyDescent="0.2">
      <c r="B4433" s="203"/>
      <c r="C4433" s="237"/>
      <c r="D4433" s="202"/>
      <c r="E4433" s="202"/>
      <c r="U4433" s="204"/>
    </row>
    <row r="4434" spans="2:21" x14ac:dyDescent="0.2">
      <c r="B4434" s="203"/>
      <c r="C4434" s="237"/>
      <c r="D4434" s="202"/>
      <c r="E4434" s="202"/>
      <c r="U4434" s="204"/>
    </row>
    <row r="4435" spans="2:21" x14ac:dyDescent="0.2">
      <c r="B4435" s="203"/>
      <c r="C4435" s="237"/>
      <c r="D4435" s="202"/>
      <c r="E4435" s="202"/>
      <c r="U4435" s="204"/>
    </row>
    <row r="4436" spans="2:21" x14ac:dyDescent="0.2">
      <c r="B4436" s="203"/>
      <c r="C4436" s="237"/>
      <c r="D4436" s="202"/>
      <c r="E4436" s="202"/>
      <c r="U4436" s="204"/>
    </row>
    <row r="4437" spans="2:21" x14ac:dyDescent="0.2">
      <c r="B4437" s="203"/>
      <c r="C4437" s="237"/>
      <c r="D4437" s="202"/>
      <c r="E4437" s="202"/>
      <c r="U4437" s="204"/>
    </row>
    <row r="4438" spans="2:21" x14ac:dyDescent="0.2">
      <c r="B4438" s="203"/>
      <c r="C4438" s="237"/>
      <c r="D4438" s="202"/>
      <c r="E4438" s="202"/>
      <c r="U4438" s="204"/>
    </row>
    <row r="4439" spans="2:21" x14ac:dyDescent="0.2">
      <c r="B4439" s="203"/>
      <c r="C4439" s="237"/>
      <c r="D4439" s="202"/>
      <c r="E4439" s="202"/>
      <c r="U4439" s="204"/>
    </row>
    <row r="4440" spans="2:21" x14ac:dyDescent="0.2">
      <c r="B4440" s="203"/>
      <c r="C4440" s="237"/>
      <c r="D4440" s="202"/>
      <c r="E4440" s="202"/>
      <c r="U4440" s="204"/>
    </row>
    <row r="4441" spans="2:21" x14ac:dyDescent="0.2">
      <c r="B4441" s="203"/>
      <c r="C4441" s="237"/>
      <c r="D4441" s="202"/>
      <c r="E4441" s="202"/>
      <c r="U4441" s="204"/>
    </row>
    <row r="4442" spans="2:21" x14ac:dyDescent="0.2">
      <c r="B4442" s="203"/>
      <c r="C4442" s="237"/>
      <c r="D4442" s="202"/>
      <c r="E4442" s="202"/>
      <c r="U4442" s="204"/>
    </row>
    <row r="4443" spans="2:21" x14ac:dyDescent="0.2">
      <c r="B4443" s="203"/>
      <c r="C4443" s="237"/>
      <c r="D4443" s="202"/>
      <c r="E4443" s="202"/>
      <c r="U4443" s="204"/>
    </row>
    <row r="4444" spans="2:21" x14ac:dyDescent="0.2">
      <c r="B4444" s="203"/>
      <c r="C4444" s="237"/>
      <c r="D4444" s="202"/>
      <c r="E4444" s="202"/>
      <c r="U4444" s="204"/>
    </row>
    <row r="4445" spans="2:21" x14ac:dyDescent="0.2">
      <c r="B4445" s="203"/>
      <c r="C4445" s="237"/>
      <c r="D4445" s="202"/>
      <c r="E4445" s="202"/>
      <c r="U4445" s="204"/>
    </row>
    <row r="4446" spans="2:21" x14ac:dyDescent="0.2">
      <c r="B4446" s="203"/>
      <c r="C4446" s="237"/>
      <c r="D4446" s="202"/>
      <c r="E4446" s="202"/>
      <c r="U4446" s="204"/>
    </row>
    <row r="4447" spans="2:21" x14ac:dyDescent="0.2">
      <c r="B4447" s="203"/>
      <c r="C4447" s="237"/>
      <c r="D4447" s="202"/>
      <c r="E4447" s="202"/>
      <c r="U4447" s="204"/>
    </row>
    <row r="4448" spans="2:21" x14ac:dyDescent="0.2">
      <c r="B4448" s="203"/>
      <c r="C4448" s="237"/>
      <c r="D4448" s="202"/>
      <c r="E4448" s="202"/>
      <c r="U4448" s="204"/>
    </row>
    <row r="4449" spans="2:21" x14ac:dyDescent="0.2">
      <c r="B4449" s="203"/>
      <c r="C4449" s="237"/>
      <c r="D4449" s="202"/>
      <c r="E4449" s="202"/>
      <c r="U4449" s="204"/>
    </row>
    <row r="4450" spans="2:21" x14ac:dyDescent="0.2">
      <c r="B4450" s="203"/>
      <c r="C4450" s="237"/>
      <c r="D4450" s="202"/>
      <c r="E4450" s="202"/>
      <c r="U4450" s="204"/>
    </row>
    <row r="4451" spans="2:21" x14ac:dyDescent="0.2">
      <c r="B4451" s="203"/>
      <c r="C4451" s="237"/>
      <c r="D4451" s="202"/>
      <c r="E4451" s="202"/>
      <c r="U4451" s="204"/>
    </row>
    <row r="4452" spans="2:21" x14ac:dyDescent="0.2">
      <c r="B4452" s="203"/>
      <c r="C4452" s="237"/>
      <c r="D4452" s="202"/>
      <c r="E4452" s="202"/>
      <c r="U4452" s="204"/>
    </row>
    <row r="4453" spans="2:21" x14ac:dyDescent="0.2">
      <c r="B4453" s="203"/>
      <c r="C4453" s="237"/>
      <c r="D4453" s="202"/>
      <c r="E4453" s="202"/>
      <c r="U4453" s="204"/>
    </row>
    <row r="4454" spans="2:21" x14ac:dyDescent="0.2">
      <c r="B4454" s="203"/>
      <c r="C4454" s="237"/>
      <c r="D4454" s="202"/>
      <c r="E4454" s="202"/>
      <c r="U4454" s="204"/>
    </row>
    <row r="4455" spans="2:21" x14ac:dyDescent="0.2">
      <c r="B4455" s="203"/>
      <c r="C4455" s="237"/>
      <c r="D4455" s="202"/>
      <c r="E4455" s="202"/>
      <c r="U4455" s="204"/>
    </row>
    <row r="4456" spans="2:21" x14ac:dyDescent="0.2">
      <c r="B4456" s="203"/>
      <c r="C4456" s="237"/>
      <c r="D4456" s="202"/>
      <c r="E4456" s="202"/>
      <c r="U4456" s="204"/>
    </row>
    <row r="4457" spans="2:21" x14ac:dyDescent="0.2">
      <c r="B4457" s="203"/>
      <c r="C4457" s="237"/>
      <c r="D4457" s="202"/>
      <c r="E4457" s="202"/>
      <c r="U4457" s="204"/>
    </row>
    <row r="4458" spans="2:21" x14ac:dyDescent="0.2">
      <c r="B4458" s="203"/>
      <c r="C4458" s="237"/>
      <c r="D4458" s="202"/>
      <c r="E4458" s="202"/>
      <c r="U4458" s="204"/>
    </row>
    <row r="4459" spans="2:21" x14ac:dyDescent="0.2">
      <c r="B4459" s="203"/>
      <c r="C4459" s="237"/>
      <c r="D4459" s="202"/>
      <c r="E4459" s="202"/>
      <c r="U4459" s="204"/>
    </row>
    <row r="4460" spans="2:21" x14ac:dyDescent="0.2">
      <c r="B4460" s="203"/>
      <c r="C4460" s="237"/>
      <c r="D4460" s="202"/>
      <c r="E4460" s="202"/>
      <c r="U4460" s="204"/>
    </row>
    <row r="4461" spans="2:21" x14ac:dyDescent="0.2">
      <c r="B4461" s="203"/>
      <c r="C4461" s="237"/>
      <c r="D4461" s="202"/>
      <c r="E4461" s="202"/>
      <c r="U4461" s="204"/>
    </row>
    <row r="4462" spans="2:21" x14ac:dyDescent="0.2">
      <c r="B4462" s="203"/>
      <c r="C4462" s="237"/>
      <c r="D4462" s="202"/>
      <c r="E4462" s="202"/>
      <c r="U4462" s="204"/>
    </row>
    <row r="4463" spans="2:21" x14ac:dyDescent="0.2">
      <c r="B4463" s="203"/>
      <c r="C4463" s="237"/>
      <c r="D4463" s="202"/>
      <c r="E4463" s="202"/>
      <c r="U4463" s="204"/>
    </row>
    <row r="4464" spans="2:21" x14ac:dyDescent="0.2">
      <c r="B4464" s="203"/>
      <c r="C4464" s="237"/>
      <c r="D4464" s="202"/>
      <c r="E4464" s="202"/>
      <c r="U4464" s="204"/>
    </row>
    <row r="4465" spans="2:21" x14ac:dyDescent="0.2">
      <c r="B4465" s="203"/>
      <c r="C4465" s="237"/>
      <c r="D4465" s="202"/>
      <c r="E4465" s="202"/>
      <c r="U4465" s="204"/>
    </row>
    <row r="4466" spans="2:21" x14ac:dyDescent="0.2">
      <c r="B4466" s="203"/>
      <c r="C4466" s="237"/>
      <c r="D4466" s="202"/>
      <c r="E4466" s="202"/>
      <c r="U4466" s="204"/>
    </row>
    <row r="4467" spans="2:21" x14ac:dyDescent="0.2">
      <c r="B4467" s="203"/>
      <c r="C4467" s="237"/>
      <c r="D4467" s="202"/>
      <c r="E4467" s="202"/>
      <c r="U4467" s="204"/>
    </row>
    <row r="4468" spans="2:21" x14ac:dyDescent="0.2">
      <c r="B4468" s="203"/>
      <c r="C4468" s="237"/>
      <c r="D4468" s="202"/>
      <c r="E4468" s="202"/>
      <c r="U4468" s="204"/>
    </row>
    <row r="4469" spans="2:21" x14ac:dyDescent="0.2">
      <c r="B4469" s="203"/>
      <c r="C4469" s="237"/>
      <c r="D4469" s="202"/>
      <c r="E4469" s="202"/>
      <c r="U4469" s="204"/>
    </row>
    <row r="4470" spans="2:21" x14ac:dyDescent="0.2">
      <c r="B4470" s="203"/>
      <c r="C4470" s="237"/>
      <c r="D4470" s="202"/>
      <c r="E4470" s="202"/>
      <c r="U4470" s="204"/>
    </row>
    <row r="4471" spans="2:21" x14ac:dyDescent="0.2">
      <c r="B4471" s="203"/>
      <c r="C4471" s="237"/>
      <c r="D4471" s="202"/>
      <c r="E4471" s="202"/>
      <c r="U4471" s="204"/>
    </row>
    <row r="4472" spans="2:21" x14ac:dyDescent="0.2">
      <c r="B4472" s="203"/>
      <c r="C4472" s="237"/>
      <c r="D4472" s="202"/>
      <c r="E4472" s="202"/>
      <c r="U4472" s="204"/>
    </row>
    <row r="4473" spans="2:21" x14ac:dyDescent="0.2">
      <c r="B4473" s="203"/>
      <c r="C4473" s="237"/>
      <c r="D4473" s="202"/>
      <c r="E4473" s="202"/>
      <c r="U4473" s="204"/>
    </row>
    <row r="4474" spans="2:21" x14ac:dyDescent="0.2">
      <c r="B4474" s="203"/>
      <c r="C4474" s="237"/>
      <c r="D4474" s="202"/>
      <c r="E4474" s="202"/>
      <c r="U4474" s="204"/>
    </row>
    <row r="4475" spans="2:21" x14ac:dyDescent="0.2">
      <c r="B4475" s="203"/>
      <c r="C4475" s="237"/>
      <c r="D4475" s="202"/>
      <c r="E4475" s="202"/>
      <c r="U4475" s="204"/>
    </row>
    <row r="4476" spans="2:21" x14ac:dyDescent="0.2">
      <c r="B4476" s="203"/>
      <c r="C4476" s="237"/>
      <c r="D4476" s="202"/>
      <c r="E4476" s="202"/>
      <c r="U4476" s="204"/>
    </row>
    <row r="4477" spans="2:21" x14ac:dyDescent="0.2">
      <c r="B4477" s="203"/>
      <c r="C4477" s="237"/>
      <c r="D4477" s="202"/>
      <c r="E4477" s="202"/>
      <c r="U4477" s="204"/>
    </row>
    <row r="4478" spans="2:21" x14ac:dyDescent="0.2">
      <c r="B4478" s="203"/>
      <c r="C4478" s="237"/>
      <c r="D4478" s="202"/>
      <c r="E4478" s="202"/>
      <c r="U4478" s="204"/>
    </row>
    <row r="4479" spans="2:21" x14ac:dyDescent="0.2">
      <c r="B4479" s="203"/>
      <c r="C4479" s="237"/>
      <c r="D4479" s="202"/>
      <c r="E4479" s="202"/>
      <c r="U4479" s="204"/>
    </row>
    <row r="4480" spans="2:21" x14ac:dyDescent="0.2">
      <c r="B4480" s="203"/>
      <c r="C4480" s="237"/>
      <c r="D4480" s="202"/>
      <c r="E4480" s="202"/>
      <c r="U4480" s="204"/>
    </row>
    <row r="4481" spans="2:21" x14ac:dyDescent="0.2">
      <c r="B4481" s="203"/>
      <c r="C4481" s="237"/>
      <c r="D4481" s="202"/>
      <c r="E4481" s="202"/>
      <c r="U4481" s="204"/>
    </row>
    <row r="4482" spans="2:21" x14ac:dyDescent="0.2">
      <c r="B4482" s="203"/>
      <c r="C4482" s="237"/>
      <c r="D4482" s="202"/>
      <c r="E4482" s="202"/>
      <c r="U4482" s="204"/>
    </row>
    <row r="4483" spans="2:21" x14ac:dyDescent="0.2">
      <c r="B4483" s="203"/>
      <c r="C4483" s="237"/>
      <c r="D4483" s="202"/>
      <c r="E4483" s="202"/>
      <c r="U4483" s="204"/>
    </row>
    <row r="4484" spans="2:21" x14ac:dyDescent="0.2">
      <c r="B4484" s="203"/>
      <c r="C4484" s="237"/>
      <c r="D4484" s="202"/>
      <c r="E4484" s="202"/>
      <c r="U4484" s="204"/>
    </row>
    <row r="4485" spans="2:21" x14ac:dyDescent="0.2">
      <c r="B4485" s="203"/>
      <c r="C4485" s="237"/>
      <c r="D4485" s="202"/>
      <c r="E4485" s="202"/>
      <c r="U4485" s="204"/>
    </row>
    <row r="4486" spans="2:21" x14ac:dyDescent="0.2">
      <c r="B4486" s="203"/>
      <c r="C4486" s="237"/>
      <c r="D4486" s="202"/>
      <c r="E4486" s="202"/>
      <c r="U4486" s="204"/>
    </row>
    <row r="4487" spans="2:21" x14ac:dyDescent="0.2">
      <c r="B4487" s="203"/>
      <c r="C4487" s="237"/>
      <c r="D4487" s="202"/>
      <c r="E4487" s="202"/>
      <c r="U4487" s="204"/>
    </row>
    <row r="4488" spans="2:21" x14ac:dyDescent="0.2">
      <c r="B4488" s="203"/>
      <c r="C4488" s="237"/>
      <c r="D4488" s="202"/>
      <c r="E4488" s="202"/>
      <c r="U4488" s="204"/>
    </row>
    <row r="4489" spans="2:21" x14ac:dyDescent="0.2">
      <c r="B4489" s="203"/>
      <c r="C4489" s="237"/>
      <c r="D4489" s="202"/>
      <c r="E4489" s="202"/>
      <c r="U4489" s="204"/>
    </row>
    <row r="4490" spans="2:21" x14ac:dyDescent="0.2">
      <c r="B4490" s="203"/>
      <c r="C4490" s="237"/>
      <c r="D4490" s="202"/>
      <c r="E4490" s="202"/>
      <c r="U4490" s="204"/>
    </row>
    <row r="4491" spans="2:21" x14ac:dyDescent="0.2">
      <c r="B4491" s="203"/>
      <c r="C4491" s="237"/>
      <c r="D4491" s="202"/>
      <c r="E4491" s="202"/>
      <c r="U4491" s="204"/>
    </row>
    <row r="4492" spans="2:21" x14ac:dyDescent="0.2">
      <c r="B4492" s="203"/>
      <c r="C4492" s="237"/>
      <c r="D4492" s="202"/>
      <c r="E4492" s="202"/>
      <c r="U4492" s="204"/>
    </row>
    <row r="4493" spans="2:21" x14ac:dyDescent="0.2">
      <c r="B4493" s="203"/>
      <c r="C4493" s="237"/>
      <c r="D4493" s="202"/>
      <c r="E4493" s="202"/>
      <c r="U4493" s="204"/>
    </row>
    <row r="4494" spans="2:21" x14ac:dyDescent="0.2">
      <c r="B4494" s="203"/>
      <c r="C4494" s="237"/>
      <c r="D4494" s="202"/>
      <c r="E4494" s="202"/>
      <c r="U4494" s="204"/>
    </row>
    <row r="4495" spans="2:21" x14ac:dyDescent="0.2">
      <c r="B4495" s="203"/>
      <c r="C4495" s="237"/>
      <c r="D4495" s="202"/>
      <c r="E4495" s="202"/>
      <c r="U4495" s="204"/>
    </row>
    <row r="4496" spans="2:21" x14ac:dyDescent="0.2">
      <c r="B4496" s="203"/>
      <c r="C4496" s="237"/>
      <c r="D4496" s="202"/>
      <c r="E4496" s="202"/>
      <c r="U4496" s="204"/>
    </row>
    <row r="4497" spans="2:21" x14ac:dyDescent="0.2">
      <c r="B4497" s="203"/>
      <c r="C4497" s="237"/>
      <c r="D4497" s="202"/>
      <c r="E4497" s="202"/>
      <c r="U4497" s="204"/>
    </row>
    <row r="4498" spans="2:21" x14ac:dyDescent="0.2">
      <c r="B4498" s="203"/>
      <c r="C4498" s="237"/>
      <c r="D4498" s="202"/>
      <c r="E4498" s="202"/>
      <c r="U4498" s="204"/>
    </row>
    <row r="4499" spans="2:21" x14ac:dyDescent="0.2">
      <c r="B4499" s="203"/>
      <c r="C4499" s="237"/>
      <c r="D4499" s="202"/>
      <c r="E4499" s="202"/>
      <c r="U4499" s="204"/>
    </row>
    <row r="4500" spans="2:21" x14ac:dyDescent="0.2">
      <c r="B4500" s="203"/>
      <c r="C4500" s="237"/>
      <c r="D4500" s="202"/>
      <c r="E4500" s="202"/>
      <c r="U4500" s="204"/>
    </row>
    <row r="4501" spans="2:21" x14ac:dyDescent="0.2">
      <c r="B4501" s="203"/>
      <c r="C4501" s="237"/>
      <c r="D4501" s="202"/>
      <c r="E4501" s="202"/>
      <c r="U4501" s="204"/>
    </row>
    <row r="4502" spans="2:21" x14ac:dyDescent="0.2">
      <c r="B4502" s="203"/>
      <c r="C4502" s="237"/>
      <c r="D4502" s="202"/>
      <c r="E4502" s="202"/>
      <c r="U4502" s="204"/>
    </row>
    <row r="4503" spans="2:21" x14ac:dyDescent="0.2">
      <c r="B4503" s="203"/>
      <c r="C4503" s="237"/>
      <c r="D4503" s="202"/>
      <c r="E4503" s="202"/>
      <c r="U4503" s="204"/>
    </row>
    <row r="4504" spans="2:21" x14ac:dyDescent="0.2">
      <c r="B4504" s="203"/>
      <c r="C4504" s="237"/>
      <c r="D4504" s="202"/>
      <c r="E4504" s="202"/>
      <c r="U4504" s="204"/>
    </row>
    <row r="4505" spans="2:21" x14ac:dyDescent="0.2">
      <c r="B4505" s="203"/>
      <c r="C4505" s="237"/>
      <c r="D4505" s="202"/>
      <c r="E4505" s="202"/>
      <c r="U4505" s="204"/>
    </row>
    <row r="4506" spans="2:21" x14ac:dyDescent="0.2">
      <c r="B4506" s="203"/>
      <c r="C4506" s="237"/>
      <c r="D4506" s="202"/>
      <c r="E4506" s="202"/>
      <c r="U4506" s="204"/>
    </row>
    <row r="4507" spans="2:21" x14ac:dyDescent="0.2">
      <c r="B4507" s="203"/>
      <c r="C4507" s="237"/>
      <c r="D4507" s="202"/>
      <c r="E4507" s="202"/>
      <c r="U4507" s="204"/>
    </row>
    <row r="4508" spans="2:21" x14ac:dyDescent="0.2">
      <c r="B4508" s="203"/>
      <c r="C4508" s="237"/>
      <c r="D4508" s="202"/>
      <c r="E4508" s="202"/>
      <c r="U4508" s="204"/>
    </row>
    <row r="4509" spans="2:21" x14ac:dyDescent="0.2">
      <c r="B4509" s="203"/>
      <c r="C4509" s="237"/>
      <c r="D4509" s="202"/>
      <c r="E4509" s="202"/>
      <c r="U4509" s="204"/>
    </row>
    <row r="4510" spans="2:21" x14ac:dyDescent="0.2">
      <c r="B4510" s="203"/>
      <c r="C4510" s="237"/>
      <c r="D4510" s="202"/>
      <c r="E4510" s="202"/>
      <c r="U4510" s="204"/>
    </row>
    <row r="4511" spans="2:21" x14ac:dyDescent="0.2">
      <c r="B4511" s="203"/>
      <c r="C4511" s="237"/>
      <c r="D4511" s="202"/>
      <c r="E4511" s="202"/>
      <c r="U4511" s="204"/>
    </row>
    <row r="4512" spans="2:21" x14ac:dyDescent="0.2">
      <c r="B4512" s="203"/>
      <c r="C4512" s="237"/>
      <c r="D4512" s="202"/>
      <c r="E4512" s="202"/>
      <c r="U4512" s="204"/>
    </row>
    <row r="4513" spans="2:21" x14ac:dyDescent="0.2">
      <c r="B4513" s="203"/>
      <c r="C4513" s="237"/>
      <c r="D4513" s="202"/>
      <c r="E4513" s="202"/>
      <c r="U4513" s="204"/>
    </row>
    <row r="4514" spans="2:21" x14ac:dyDescent="0.2">
      <c r="B4514" s="203"/>
      <c r="C4514" s="237"/>
      <c r="D4514" s="202"/>
      <c r="E4514" s="202"/>
      <c r="U4514" s="204"/>
    </row>
    <row r="4515" spans="2:21" x14ac:dyDescent="0.2">
      <c r="B4515" s="203"/>
      <c r="C4515" s="237"/>
      <c r="D4515" s="202"/>
      <c r="E4515" s="202"/>
      <c r="U4515" s="204"/>
    </row>
    <row r="4516" spans="2:21" x14ac:dyDescent="0.2">
      <c r="B4516" s="203"/>
      <c r="C4516" s="237"/>
      <c r="D4516" s="202"/>
      <c r="E4516" s="202"/>
      <c r="U4516" s="204"/>
    </row>
    <row r="4517" spans="2:21" x14ac:dyDescent="0.2">
      <c r="B4517" s="203"/>
      <c r="C4517" s="237"/>
      <c r="D4517" s="202"/>
      <c r="E4517" s="202"/>
      <c r="U4517" s="204"/>
    </row>
    <row r="4518" spans="2:21" x14ac:dyDescent="0.2">
      <c r="B4518" s="203"/>
      <c r="C4518" s="237"/>
      <c r="D4518" s="202"/>
      <c r="E4518" s="202"/>
      <c r="U4518" s="204"/>
    </row>
    <row r="4519" spans="2:21" x14ac:dyDescent="0.2">
      <c r="B4519" s="203"/>
      <c r="C4519" s="237"/>
      <c r="D4519" s="202"/>
      <c r="E4519" s="202"/>
      <c r="U4519" s="204"/>
    </row>
    <row r="4520" spans="2:21" x14ac:dyDescent="0.2">
      <c r="B4520" s="203"/>
      <c r="C4520" s="237"/>
      <c r="D4520" s="202"/>
      <c r="E4520" s="202"/>
      <c r="U4520" s="204"/>
    </row>
    <row r="4521" spans="2:21" x14ac:dyDescent="0.2">
      <c r="B4521" s="203"/>
      <c r="C4521" s="237"/>
      <c r="D4521" s="202"/>
      <c r="E4521" s="202"/>
      <c r="U4521" s="204"/>
    </row>
    <row r="4522" spans="2:21" x14ac:dyDescent="0.2">
      <c r="B4522" s="203"/>
      <c r="C4522" s="237"/>
      <c r="D4522" s="202"/>
      <c r="E4522" s="202"/>
      <c r="U4522" s="204"/>
    </row>
    <row r="4523" spans="2:21" x14ac:dyDescent="0.2">
      <c r="B4523" s="203"/>
      <c r="C4523" s="237"/>
      <c r="D4523" s="202"/>
      <c r="E4523" s="202"/>
      <c r="U4523" s="204"/>
    </row>
    <row r="4524" spans="2:21" x14ac:dyDescent="0.2">
      <c r="B4524" s="203"/>
      <c r="C4524" s="237"/>
      <c r="D4524" s="202"/>
      <c r="E4524" s="202"/>
      <c r="U4524" s="204"/>
    </row>
    <row r="4525" spans="2:21" x14ac:dyDescent="0.2">
      <c r="B4525" s="203"/>
      <c r="C4525" s="237"/>
      <c r="D4525" s="202"/>
      <c r="E4525" s="202"/>
      <c r="U4525" s="204"/>
    </row>
    <row r="4526" spans="2:21" x14ac:dyDescent="0.2">
      <c r="B4526" s="203"/>
      <c r="C4526" s="237"/>
      <c r="D4526" s="202"/>
      <c r="E4526" s="202"/>
      <c r="U4526" s="204"/>
    </row>
    <row r="4527" spans="2:21" x14ac:dyDescent="0.2">
      <c r="B4527" s="203"/>
      <c r="C4527" s="237"/>
      <c r="D4527" s="202"/>
      <c r="E4527" s="202"/>
      <c r="U4527" s="204"/>
    </row>
    <row r="4528" spans="2:21" x14ac:dyDescent="0.2">
      <c r="B4528" s="203"/>
      <c r="C4528" s="237"/>
      <c r="D4528" s="202"/>
      <c r="E4528" s="202"/>
      <c r="U4528" s="204"/>
    </row>
    <row r="4529" spans="2:21" x14ac:dyDescent="0.2">
      <c r="B4529" s="203"/>
      <c r="C4529" s="237"/>
      <c r="D4529" s="202"/>
      <c r="E4529" s="202"/>
      <c r="U4529" s="204"/>
    </row>
    <row r="4530" spans="2:21" x14ac:dyDescent="0.2">
      <c r="B4530" s="203"/>
      <c r="C4530" s="237"/>
      <c r="D4530" s="202"/>
      <c r="E4530" s="202"/>
      <c r="U4530" s="204"/>
    </row>
    <row r="4531" spans="2:21" x14ac:dyDescent="0.2">
      <c r="B4531" s="203"/>
      <c r="C4531" s="237"/>
      <c r="D4531" s="202"/>
      <c r="E4531" s="202"/>
      <c r="U4531" s="204"/>
    </row>
    <row r="4532" spans="2:21" x14ac:dyDescent="0.2">
      <c r="B4532" s="203"/>
      <c r="C4532" s="237"/>
      <c r="D4532" s="202"/>
      <c r="E4532" s="202"/>
      <c r="U4532" s="204"/>
    </row>
    <row r="4533" spans="2:21" x14ac:dyDescent="0.2">
      <c r="B4533" s="203"/>
      <c r="C4533" s="237"/>
      <c r="D4533" s="202"/>
      <c r="E4533" s="202"/>
      <c r="U4533" s="204"/>
    </row>
    <row r="4534" spans="2:21" x14ac:dyDescent="0.2">
      <c r="B4534" s="203"/>
      <c r="C4534" s="237"/>
      <c r="D4534" s="202"/>
      <c r="E4534" s="202"/>
      <c r="U4534" s="204"/>
    </row>
    <row r="4535" spans="2:21" x14ac:dyDescent="0.2">
      <c r="B4535" s="203"/>
      <c r="C4535" s="237"/>
      <c r="D4535" s="202"/>
      <c r="E4535" s="202"/>
      <c r="U4535" s="204"/>
    </row>
    <row r="4536" spans="2:21" x14ac:dyDescent="0.2">
      <c r="B4536" s="203"/>
      <c r="C4536" s="237"/>
      <c r="D4536" s="202"/>
      <c r="E4536" s="202"/>
      <c r="U4536" s="204"/>
    </row>
    <row r="4537" spans="2:21" x14ac:dyDescent="0.2">
      <c r="B4537" s="203"/>
      <c r="C4537" s="237"/>
      <c r="D4537" s="202"/>
      <c r="E4537" s="202"/>
      <c r="U4537" s="204"/>
    </row>
    <row r="4538" spans="2:21" x14ac:dyDescent="0.2">
      <c r="B4538" s="203"/>
      <c r="C4538" s="237"/>
      <c r="D4538" s="202"/>
      <c r="E4538" s="202"/>
      <c r="U4538" s="204"/>
    </row>
    <row r="4539" spans="2:21" x14ac:dyDescent="0.2">
      <c r="B4539" s="203"/>
      <c r="C4539" s="237"/>
      <c r="D4539" s="202"/>
      <c r="E4539" s="202"/>
      <c r="U4539" s="204"/>
    </row>
    <row r="4540" spans="2:21" x14ac:dyDescent="0.2">
      <c r="B4540" s="203"/>
      <c r="C4540" s="237"/>
      <c r="D4540" s="202"/>
      <c r="E4540" s="202"/>
      <c r="U4540" s="204"/>
    </row>
    <row r="4541" spans="2:21" x14ac:dyDescent="0.2">
      <c r="B4541" s="203"/>
      <c r="C4541" s="237"/>
      <c r="D4541" s="202"/>
      <c r="E4541" s="202"/>
      <c r="U4541" s="204"/>
    </row>
    <row r="4542" spans="2:21" x14ac:dyDescent="0.2">
      <c r="B4542" s="203"/>
      <c r="C4542" s="237"/>
      <c r="D4542" s="202"/>
      <c r="E4542" s="202"/>
      <c r="U4542" s="204"/>
    </row>
    <row r="4543" spans="2:21" x14ac:dyDescent="0.2">
      <c r="B4543" s="203"/>
      <c r="C4543" s="237"/>
      <c r="D4543" s="202"/>
      <c r="E4543" s="202"/>
      <c r="U4543" s="204"/>
    </row>
    <row r="4544" spans="2:21" x14ac:dyDescent="0.2">
      <c r="B4544" s="203"/>
      <c r="C4544" s="237"/>
      <c r="D4544" s="202"/>
      <c r="E4544" s="202"/>
      <c r="U4544" s="204"/>
    </row>
    <row r="4545" spans="2:21" x14ac:dyDescent="0.2">
      <c r="B4545" s="203"/>
      <c r="C4545" s="237"/>
      <c r="D4545" s="202"/>
      <c r="E4545" s="202"/>
      <c r="U4545" s="204"/>
    </row>
    <row r="4546" spans="2:21" x14ac:dyDescent="0.2">
      <c r="B4546" s="203"/>
      <c r="C4546" s="237"/>
      <c r="D4546" s="202"/>
      <c r="E4546" s="202"/>
      <c r="U4546" s="204"/>
    </row>
    <row r="4547" spans="2:21" x14ac:dyDescent="0.2">
      <c r="B4547" s="203"/>
      <c r="C4547" s="237"/>
      <c r="D4547" s="202"/>
      <c r="E4547" s="202"/>
      <c r="U4547" s="204"/>
    </row>
    <row r="4548" spans="2:21" x14ac:dyDescent="0.2">
      <c r="B4548" s="203"/>
      <c r="C4548" s="237"/>
      <c r="D4548" s="202"/>
      <c r="E4548" s="202"/>
      <c r="U4548" s="204"/>
    </row>
    <row r="4549" spans="2:21" x14ac:dyDescent="0.2">
      <c r="B4549" s="203"/>
      <c r="C4549" s="237"/>
      <c r="D4549" s="202"/>
      <c r="E4549" s="202"/>
      <c r="U4549" s="204"/>
    </row>
    <row r="4550" spans="2:21" x14ac:dyDescent="0.2">
      <c r="B4550" s="203"/>
      <c r="C4550" s="237"/>
      <c r="D4550" s="202"/>
      <c r="E4550" s="202"/>
      <c r="U4550" s="204"/>
    </row>
    <row r="4551" spans="2:21" x14ac:dyDescent="0.2">
      <c r="B4551" s="203"/>
      <c r="C4551" s="237"/>
      <c r="D4551" s="202"/>
      <c r="E4551" s="202"/>
      <c r="U4551" s="204"/>
    </row>
    <row r="4552" spans="2:21" x14ac:dyDescent="0.2">
      <c r="B4552" s="203"/>
      <c r="C4552" s="237"/>
      <c r="D4552" s="202"/>
      <c r="E4552" s="202"/>
      <c r="U4552" s="204"/>
    </row>
    <row r="4553" spans="2:21" x14ac:dyDescent="0.2">
      <c r="B4553" s="203"/>
      <c r="C4553" s="237"/>
      <c r="D4553" s="202"/>
      <c r="E4553" s="202"/>
      <c r="U4553" s="204"/>
    </row>
    <row r="4554" spans="2:21" x14ac:dyDescent="0.2">
      <c r="B4554" s="203"/>
      <c r="C4554" s="237"/>
      <c r="D4554" s="202"/>
      <c r="E4554" s="202"/>
      <c r="U4554" s="204"/>
    </row>
    <row r="4555" spans="2:21" x14ac:dyDescent="0.2">
      <c r="B4555" s="203"/>
      <c r="C4555" s="237"/>
      <c r="D4555" s="202"/>
      <c r="E4555" s="202"/>
      <c r="U4555" s="204"/>
    </row>
    <row r="4556" spans="2:21" x14ac:dyDescent="0.2">
      <c r="B4556" s="203"/>
      <c r="C4556" s="237"/>
      <c r="D4556" s="202"/>
      <c r="E4556" s="202"/>
      <c r="U4556" s="204"/>
    </row>
    <row r="4557" spans="2:21" x14ac:dyDescent="0.2">
      <c r="B4557" s="203"/>
      <c r="C4557" s="237"/>
      <c r="D4557" s="202"/>
      <c r="E4557" s="202"/>
      <c r="U4557" s="204"/>
    </row>
    <row r="4558" spans="2:21" x14ac:dyDescent="0.2">
      <c r="B4558" s="203"/>
      <c r="C4558" s="237"/>
      <c r="D4558" s="202"/>
      <c r="E4558" s="202"/>
      <c r="U4558" s="204"/>
    </row>
    <row r="4559" spans="2:21" x14ac:dyDescent="0.2">
      <c r="B4559" s="203"/>
      <c r="C4559" s="237"/>
      <c r="D4559" s="202"/>
      <c r="E4559" s="202"/>
      <c r="U4559" s="204"/>
    </row>
    <row r="4560" spans="2:21" x14ac:dyDescent="0.2">
      <c r="B4560" s="203"/>
      <c r="C4560" s="237"/>
      <c r="D4560" s="202"/>
      <c r="E4560" s="202"/>
      <c r="U4560" s="204"/>
    </row>
    <row r="4561" spans="2:21" x14ac:dyDescent="0.2">
      <c r="B4561" s="203"/>
      <c r="C4561" s="237"/>
      <c r="D4561" s="202"/>
      <c r="E4561" s="202"/>
      <c r="U4561" s="204"/>
    </row>
    <row r="4562" spans="2:21" x14ac:dyDescent="0.2">
      <c r="B4562" s="203"/>
      <c r="C4562" s="237"/>
      <c r="D4562" s="202"/>
      <c r="E4562" s="202"/>
      <c r="U4562" s="204"/>
    </row>
    <row r="4563" spans="2:21" x14ac:dyDescent="0.2">
      <c r="B4563" s="203"/>
      <c r="C4563" s="237"/>
      <c r="D4563" s="202"/>
      <c r="E4563" s="202"/>
      <c r="U4563" s="204"/>
    </row>
    <row r="4564" spans="2:21" x14ac:dyDescent="0.2">
      <c r="B4564" s="203"/>
      <c r="C4564" s="237"/>
      <c r="D4564" s="202"/>
      <c r="E4564" s="202"/>
      <c r="U4564" s="204"/>
    </row>
    <row r="4565" spans="2:21" x14ac:dyDescent="0.2">
      <c r="B4565" s="203"/>
      <c r="C4565" s="237"/>
      <c r="D4565" s="202"/>
      <c r="E4565" s="202"/>
      <c r="U4565" s="204"/>
    </row>
    <row r="4566" spans="2:21" x14ac:dyDescent="0.2">
      <c r="B4566" s="203"/>
      <c r="C4566" s="237"/>
      <c r="D4566" s="202"/>
      <c r="E4566" s="202"/>
      <c r="U4566" s="204"/>
    </row>
    <row r="4567" spans="2:21" x14ac:dyDescent="0.2">
      <c r="B4567" s="203"/>
      <c r="C4567" s="237"/>
      <c r="D4567" s="202"/>
      <c r="E4567" s="202"/>
      <c r="U4567" s="204"/>
    </row>
    <row r="4568" spans="2:21" x14ac:dyDescent="0.2">
      <c r="B4568" s="203"/>
      <c r="C4568" s="237"/>
      <c r="D4568" s="202"/>
      <c r="E4568" s="202"/>
      <c r="U4568" s="204"/>
    </row>
    <row r="4569" spans="2:21" x14ac:dyDescent="0.2">
      <c r="B4569" s="203"/>
      <c r="C4569" s="237"/>
      <c r="D4569" s="202"/>
      <c r="E4569" s="202"/>
      <c r="U4569" s="204"/>
    </row>
    <row r="4570" spans="2:21" x14ac:dyDescent="0.2">
      <c r="B4570" s="203"/>
      <c r="C4570" s="237"/>
      <c r="D4570" s="202"/>
      <c r="E4570" s="202"/>
      <c r="U4570" s="204"/>
    </row>
    <row r="4571" spans="2:21" x14ac:dyDescent="0.2">
      <c r="B4571" s="203"/>
      <c r="C4571" s="237"/>
      <c r="D4571" s="202"/>
      <c r="E4571" s="202"/>
      <c r="U4571" s="204"/>
    </row>
    <row r="4572" spans="2:21" x14ac:dyDescent="0.2">
      <c r="B4572" s="203"/>
      <c r="C4572" s="237"/>
      <c r="D4572" s="202"/>
      <c r="E4572" s="202"/>
      <c r="U4572" s="204"/>
    </row>
    <row r="4573" spans="2:21" x14ac:dyDescent="0.2">
      <c r="B4573" s="203"/>
      <c r="C4573" s="237"/>
      <c r="D4573" s="202"/>
      <c r="E4573" s="202"/>
      <c r="U4573" s="204"/>
    </row>
    <row r="4574" spans="2:21" x14ac:dyDescent="0.2">
      <c r="B4574" s="203"/>
      <c r="C4574" s="237"/>
      <c r="D4574" s="202"/>
      <c r="E4574" s="202"/>
      <c r="U4574" s="204"/>
    </row>
    <row r="4575" spans="2:21" x14ac:dyDescent="0.2">
      <c r="B4575" s="203"/>
      <c r="C4575" s="237"/>
      <c r="D4575" s="202"/>
      <c r="E4575" s="202"/>
      <c r="U4575" s="204"/>
    </row>
    <row r="4576" spans="2:21" x14ac:dyDescent="0.2">
      <c r="B4576" s="203"/>
      <c r="C4576" s="237"/>
      <c r="D4576" s="202"/>
      <c r="E4576" s="202"/>
      <c r="U4576" s="204"/>
    </row>
    <row r="4577" spans="2:21" x14ac:dyDescent="0.2">
      <c r="B4577" s="203"/>
      <c r="C4577" s="237"/>
      <c r="D4577" s="202"/>
      <c r="E4577" s="202"/>
      <c r="U4577" s="204"/>
    </row>
    <row r="4578" spans="2:21" x14ac:dyDescent="0.2">
      <c r="B4578" s="203"/>
      <c r="C4578" s="237"/>
      <c r="D4578" s="202"/>
      <c r="E4578" s="202"/>
      <c r="U4578" s="204"/>
    </row>
    <row r="4579" spans="2:21" x14ac:dyDescent="0.2">
      <c r="B4579" s="203"/>
      <c r="C4579" s="237"/>
      <c r="D4579" s="202"/>
      <c r="E4579" s="202"/>
      <c r="U4579" s="204"/>
    </row>
    <row r="4580" spans="2:21" x14ac:dyDescent="0.2">
      <c r="B4580" s="203"/>
      <c r="C4580" s="237"/>
      <c r="D4580" s="202"/>
      <c r="E4580" s="202"/>
      <c r="U4580" s="204"/>
    </row>
    <row r="4581" spans="2:21" x14ac:dyDescent="0.2">
      <c r="B4581" s="203"/>
      <c r="C4581" s="237"/>
      <c r="D4581" s="202"/>
      <c r="E4581" s="202"/>
      <c r="U4581" s="204"/>
    </row>
    <row r="4582" spans="2:21" x14ac:dyDescent="0.2">
      <c r="B4582" s="203"/>
      <c r="C4582" s="237"/>
      <c r="D4582" s="202"/>
      <c r="E4582" s="202"/>
      <c r="U4582" s="204"/>
    </row>
    <row r="4583" spans="2:21" x14ac:dyDescent="0.2">
      <c r="B4583" s="203"/>
      <c r="C4583" s="237"/>
      <c r="D4583" s="202"/>
      <c r="E4583" s="202"/>
      <c r="U4583" s="204"/>
    </row>
    <row r="4584" spans="2:21" x14ac:dyDescent="0.2">
      <c r="B4584" s="203"/>
      <c r="C4584" s="237"/>
      <c r="D4584" s="202"/>
      <c r="E4584" s="202"/>
      <c r="U4584" s="204"/>
    </row>
    <row r="4585" spans="2:21" x14ac:dyDescent="0.2">
      <c r="B4585" s="203"/>
      <c r="C4585" s="237"/>
      <c r="D4585" s="202"/>
      <c r="E4585" s="202"/>
      <c r="U4585" s="204"/>
    </row>
    <row r="4586" spans="2:21" x14ac:dyDescent="0.2">
      <c r="B4586" s="203"/>
      <c r="C4586" s="237"/>
      <c r="D4586" s="202"/>
      <c r="E4586" s="202"/>
      <c r="U4586" s="204"/>
    </row>
    <row r="4587" spans="2:21" x14ac:dyDescent="0.2">
      <c r="B4587" s="203"/>
      <c r="C4587" s="237"/>
      <c r="D4587" s="202"/>
      <c r="E4587" s="202"/>
      <c r="U4587" s="204"/>
    </row>
    <row r="4588" spans="2:21" x14ac:dyDescent="0.2">
      <c r="B4588" s="203"/>
      <c r="C4588" s="237"/>
      <c r="D4588" s="202"/>
      <c r="E4588" s="202"/>
      <c r="U4588" s="204"/>
    </row>
    <row r="4589" spans="2:21" x14ac:dyDescent="0.2">
      <c r="B4589" s="203"/>
      <c r="C4589" s="237"/>
      <c r="D4589" s="202"/>
      <c r="E4589" s="202"/>
      <c r="U4589" s="204"/>
    </row>
    <row r="4590" spans="2:21" x14ac:dyDescent="0.2">
      <c r="B4590" s="203"/>
      <c r="C4590" s="237"/>
      <c r="D4590" s="202"/>
      <c r="E4590" s="202"/>
      <c r="U4590" s="204"/>
    </row>
    <row r="4591" spans="2:21" x14ac:dyDescent="0.2">
      <c r="B4591" s="203"/>
      <c r="C4591" s="237"/>
      <c r="D4591" s="202"/>
      <c r="E4591" s="202"/>
      <c r="U4591" s="204"/>
    </row>
    <row r="4592" spans="2:21" x14ac:dyDescent="0.2">
      <c r="B4592" s="203"/>
      <c r="C4592" s="237"/>
      <c r="D4592" s="202"/>
      <c r="E4592" s="202"/>
      <c r="U4592" s="204"/>
    </row>
    <row r="4593" spans="2:21" x14ac:dyDescent="0.2">
      <c r="B4593" s="203"/>
      <c r="C4593" s="237"/>
      <c r="D4593" s="202"/>
      <c r="E4593" s="202"/>
      <c r="U4593" s="204"/>
    </row>
    <row r="4594" spans="2:21" x14ac:dyDescent="0.2">
      <c r="B4594" s="203"/>
      <c r="C4594" s="237"/>
      <c r="D4594" s="202"/>
      <c r="E4594" s="202"/>
      <c r="U4594" s="204"/>
    </row>
    <row r="4595" spans="2:21" x14ac:dyDescent="0.2">
      <c r="B4595" s="203"/>
      <c r="C4595" s="237"/>
      <c r="D4595" s="202"/>
      <c r="E4595" s="202"/>
      <c r="U4595" s="204"/>
    </row>
    <row r="4596" spans="2:21" x14ac:dyDescent="0.2">
      <c r="B4596" s="203"/>
      <c r="C4596" s="237"/>
      <c r="D4596" s="202"/>
      <c r="E4596" s="202"/>
      <c r="U4596" s="204"/>
    </row>
    <row r="4597" spans="2:21" x14ac:dyDescent="0.2">
      <c r="B4597" s="203"/>
      <c r="C4597" s="237"/>
      <c r="D4597" s="202"/>
      <c r="E4597" s="202"/>
      <c r="U4597" s="204"/>
    </row>
    <row r="4598" spans="2:21" x14ac:dyDescent="0.2">
      <c r="B4598" s="203"/>
      <c r="C4598" s="237"/>
      <c r="D4598" s="202"/>
      <c r="E4598" s="202"/>
      <c r="U4598" s="204"/>
    </row>
    <row r="4599" spans="2:21" x14ac:dyDescent="0.2">
      <c r="B4599" s="203"/>
      <c r="C4599" s="237"/>
      <c r="D4599" s="202"/>
      <c r="E4599" s="202"/>
      <c r="U4599" s="204"/>
    </row>
    <row r="4600" spans="2:21" x14ac:dyDescent="0.2">
      <c r="B4600" s="203"/>
      <c r="C4600" s="237"/>
      <c r="D4600" s="202"/>
      <c r="E4600" s="202"/>
      <c r="U4600" s="204"/>
    </row>
    <row r="4601" spans="2:21" x14ac:dyDescent="0.2">
      <c r="B4601" s="203"/>
      <c r="C4601" s="237"/>
      <c r="D4601" s="202"/>
      <c r="E4601" s="202"/>
      <c r="U4601" s="204"/>
    </row>
    <row r="4602" spans="2:21" x14ac:dyDescent="0.2">
      <c r="B4602" s="203"/>
      <c r="C4602" s="237"/>
      <c r="D4602" s="202"/>
      <c r="E4602" s="202"/>
      <c r="U4602" s="204"/>
    </row>
    <row r="4603" spans="2:21" x14ac:dyDescent="0.2">
      <c r="B4603" s="203"/>
      <c r="C4603" s="237"/>
      <c r="D4603" s="202"/>
      <c r="E4603" s="202"/>
      <c r="U4603" s="204"/>
    </row>
    <row r="4604" spans="2:21" x14ac:dyDescent="0.2">
      <c r="B4604" s="203"/>
      <c r="C4604" s="237"/>
      <c r="D4604" s="202"/>
      <c r="E4604" s="202"/>
      <c r="U4604" s="204"/>
    </row>
    <row r="4605" spans="2:21" x14ac:dyDescent="0.2">
      <c r="B4605" s="203"/>
      <c r="C4605" s="237"/>
      <c r="D4605" s="202"/>
      <c r="E4605" s="202"/>
      <c r="U4605" s="204"/>
    </row>
    <row r="4606" spans="2:21" x14ac:dyDescent="0.2">
      <c r="B4606" s="203"/>
      <c r="C4606" s="237"/>
      <c r="D4606" s="202"/>
      <c r="E4606" s="202"/>
      <c r="U4606" s="204"/>
    </row>
    <row r="4607" spans="2:21" x14ac:dyDescent="0.2">
      <c r="B4607" s="203"/>
      <c r="C4607" s="237"/>
      <c r="D4607" s="202"/>
      <c r="E4607" s="202"/>
      <c r="U4607" s="204"/>
    </row>
    <row r="4608" spans="2:21" x14ac:dyDescent="0.2">
      <c r="B4608" s="203"/>
      <c r="C4608" s="237"/>
      <c r="D4608" s="202"/>
      <c r="E4608" s="202"/>
      <c r="U4608" s="204"/>
    </row>
    <row r="4609" spans="2:21" x14ac:dyDescent="0.2">
      <c r="B4609" s="203"/>
      <c r="C4609" s="237"/>
      <c r="D4609" s="202"/>
      <c r="E4609" s="202"/>
      <c r="U4609" s="204"/>
    </row>
    <row r="4610" spans="2:21" x14ac:dyDescent="0.2">
      <c r="B4610" s="203"/>
      <c r="C4610" s="237"/>
      <c r="D4610" s="202"/>
      <c r="E4610" s="202"/>
      <c r="U4610" s="204"/>
    </row>
    <row r="4611" spans="2:21" x14ac:dyDescent="0.2">
      <c r="B4611" s="203"/>
      <c r="C4611" s="237"/>
      <c r="D4611" s="202"/>
      <c r="E4611" s="202"/>
      <c r="U4611" s="204"/>
    </row>
    <row r="4612" spans="2:21" x14ac:dyDescent="0.2">
      <c r="B4612" s="203"/>
      <c r="C4612" s="237"/>
      <c r="D4612" s="202"/>
      <c r="E4612" s="202"/>
      <c r="U4612" s="204"/>
    </row>
    <row r="4613" spans="2:21" x14ac:dyDescent="0.2">
      <c r="B4613" s="203"/>
      <c r="C4613" s="237"/>
      <c r="D4613" s="202"/>
      <c r="E4613" s="202"/>
      <c r="U4613" s="204"/>
    </row>
    <row r="4614" spans="2:21" x14ac:dyDescent="0.2">
      <c r="B4614" s="203"/>
      <c r="C4614" s="237"/>
      <c r="D4614" s="202"/>
      <c r="E4614" s="202"/>
      <c r="U4614" s="204"/>
    </row>
    <row r="4615" spans="2:21" x14ac:dyDescent="0.2">
      <c r="B4615" s="203"/>
      <c r="C4615" s="237"/>
      <c r="D4615" s="202"/>
      <c r="E4615" s="202"/>
      <c r="U4615" s="204"/>
    </row>
    <row r="4616" spans="2:21" x14ac:dyDescent="0.2">
      <c r="B4616" s="203"/>
      <c r="C4616" s="237"/>
      <c r="D4616" s="202"/>
      <c r="E4616" s="202"/>
      <c r="U4616" s="204"/>
    </row>
    <row r="4617" spans="2:21" x14ac:dyDescent="0.2">
      <c r="B4617" s="203"/>
      <c r="C4617" s="237"/>
      <c r="D4617" s="202"/>
      <c r="E4617" s="202"/>
      <c r="U4617" s="204"/>
    </row>
    <row r="4618" spans="2:21" x14ac:dyDescent="0.2">
      <c r="B4618" s="203"/>
      <c r="C4618" s="237"/>
      <c r="D4618" s="202"/>
      <c r="E4618" s="202"/>
      <c r="U4618" s="204"/>
    </row>
    <row r="4619" spans="2:21" x14ac:dyDescent="0.2">
      <c r="B4619" s="203"/>
      <c r="C4619" s="237"/>
      <c r="D4619" s="202"/>
      <c r="E4619" s="202"/>
      <c r="U4619" s="204"/>
    </row>
    <row r="4620" spans="2:21" x14ac:dyDescent="0.2">
      <c r="B4620" s="203"/>
      <c r="C4620" s="237"/>
      <c r="D4620" s="202"/>
      <c r="E4620" s="202"/>
      <c r="U4620" s="204"/>
    </row>
    <row r="4621" spans="2:21" x14ac:dyDescent="0.2">
      <c r="B4621" s="203"/>
      <c r="C4621" s="237"/>
      <c r="D4621" s="202"/>
      <c r="E4621" s="202"/>
      <c r="U4621" s="204"/>
    </row>
    <row r="4622" spans="2:21" x14ac:dyDescent="0.2">
      <c r="B4622" s="203"/>
      <c r="C4622" s="237"/>
      <c r="D4622" s="202"/>
      <c r="E4622" s="202"/>
      <c r="U4622" s="204"/>
    </row>
    <row r="4623" spans="2:21" x14ac:dyDescent="0.2">
      <c r="B4623" s="203"/>
      <c r="C4623" s="237"/>
      <c r="D4623" s="202"/>
      <c r="E4623" s="202"/>
      <c r="U4623" s="204"/>
    </row>
    <row r="4624" spans="2:21" x14ac:dyDescent="0.2">
      <c r="B4624" s="203"/>
      <c r="C4624" s="237"/>
      <c r="D4624" s="202"/>
      <c r="E4624" s="202"/>
      <c r="U4624" s="204"/>
    </row>
    <row r="4625" spans="2:21" x14ac:dyDescent="0.2">
      <c r="B4625" s="203"/>
      <c r="C4625" s="237"/>
      <c r="D4625" s="202"/>
      <c r="E4625" s="202"/>
      <c r="U4625" s="204"/>
    </row>
    <row r="4626" spans="2:21" x14ac:dyDescent="0.2">
      <c r="B4626" s="203"/>
      <c r="C4626" s="237"/>
      <c r="D4626" s="202"/>
      <c r="E4626" s="202"/>
      <c r="U4626" s="204"/>
    </row>
    <row r="4627" spans="2:21" x14ac:dyDescent="0.2">
      <c r="B4627" s="203"/>
      <c r="C4627" s="237"/>
      <c r="D4627" s="202"/>
      <c r="E4627" s="202"/>
      <c r="U4627" s="204"/>
    </row>
    <row r="4628" spans="2:21" x14ac:dyDescent="0.2">
      <c r="B4628" s="203"/>
      <c r="C4628" s="237"/>
      <c r="D4628" s="202"/>
      <c r="E4628" s="202"/>
      <c r="U4628" s="204"/>
    </row>
    <row r="4629" spans="2:21" x14ac:dyDescent="0.2">
      <c r="B4629" s="203"/>
      <c r="C4629" s="237"/>
      <c r="D4629" s="202"/>
      <c r="E4629" s="202"/>
      <c r="U4629" s="204"/>
    </row>
    <row r="4630" spans="2:21" x14ac:dyDescent="0.2">
      <c r="B4630" s="203"/>
      <c r="C4630" s="237"/>
      <c r="D4630" s="202"/>
      <c r="E4630" s="202"/>
      <c r="U4630" s="204"/>
    </row>
    <row r="4631" spans="2:21" x14ac:dyDescent="0.2">
      <c r="B4631" s="203"/>
      <c r="C4631" s="237"/>
      <c r="D4631" s="202"/>
      <c r="E4631" s="202"/>
      <c r="U4631" s="204"/>
    </row>
    <row r="4632" spans="2:21" x14ac:dyDescent="0.2">
      <c r="B4632" s="203"/>
      <c r="C4632" s="237"/>
      <c r="D4632" s="202"/>
      <c r="E4632" s="202"/>
      <c r="U4632" s="204"/>
    </row>
    <row r="4633" spans="2:21" x14ac:dyDescent="0.2">
      <c r="B4633" s="203"/>
      <c r="C4633" s="237"/>
      <c r="D4633" s="202"/>
      <c r="E4633" s="202"/>
      <c r="U4633" s="204"/>
    </row>
    <row r="4634" spans="2:21" x14ac:dyDescent="0.2">
      <c r="B4634" s="203"/>
      <c r="C4634" s="237"/>
      <c r="D4634" s="202"/>
      <c r="E4634" s="202"/>
      <c r="U4634" s="204"/>
    </row>
    <row r="4635" spans="2:21" x14ac:dyDescent="0.2">
      <c r="B4635" s="203"/>
      <c r="C4635" s="237"/>
      <c r="D4635" s="202"/>
      <c r="E4635" s="202"/>
      <c r="U4635" s="204"/>
    </row>
    <row r="4636" spans="2:21" x14ac:dyDescent="0.2">
      <c r="B4636" s="203"/>
      <c r="C4636" s="237"/>
      <c r="D4636" s="202"/>
      <c r="E4636" s="202"/>
      <c r="U4636" s="204"/>
    </row>
    <row r="4637" spans="2:21" x14ac:dyDescent="0.2">
      <c r="B4637" s="203"/>
      <c r="C4637" s="237"/>
      <c r="D4637" s="202"/>
      <c r="E4637" s="202"/>
      <c r="U4637" s="204"/>
    </row>
    <row r="4638" spans="2:21" x14ac:dyDescent="0.2">
      <c r="B4638" s="203"/>
      <c r="C4638" s="237"/>
      <c r="D4638" s="202"/>
      <c r="E4638" s="202"/>
      <c r="U4638" s="204"/>
    </row>
    <row r="4639" spans="2:21" x14ac:dyDescent="0.2">
      <c r="B4639" s="203"/>
      <c r="C4639" s="237"/>
      <c r="D4639" s="202"/>
      <c r="E4639" s="202"/>
      <c r="U4639" s="204"/>
    </row>
    <row r="4640" spans="2:21" x14ac:dyDescent="0.2">
      <c r="B4640" s="203"/>
      <c r="C4640" s="237"/>
      <c r="D4640" s="202"/>
      <c r="E4640" s="202"/>
      <c r="U4640" s="204"/>
    </row>
    <row r="4641" spans="2:21" x14ac:dyDescent="0.2">
      <c r="B4641" s="203"/>
      <c r="C4641" s="237"/>
      <c r="D4641" s="202"/>
      <c r="E4641" s="202"/>
      <c r="U4641" s="204"/>
    </row>
    <row r="4642" spans="2:21" x14ac:dyDescent="0.2">
      <c r="B4642" s="203"/>
      <c r="C4642" s="237"/>
      <c r="D4642" s="202"/>
      <c r="E4642" s="202"/>
      <c r="U4642" s="204"/>
    </row>
    <row r="4643" spans="2:21" x14ac:dyDescent="0.2">
      <c r="B4643" s="203"/>
      <c r="C4643" s="237"/>
      <c r="D4643" s="202"/>
      <c r="E4643" s="202"/>
      <c r="U4643" s="204"/>
    </row>
    <row r="4644" spans="2:21" x14ac:dyDescent="0.2">
      <c r="B4644" s="203"/>
      <c r="C4644" s="237"/>
      <c r="D4644" s="202"/>
      <c r="E4644" s="202"/>
      <c r="U4644" s="204"/>
    </row>
    <row r="4645" spans="2:21" x14ac:dyDescent="0.2">
      <c r="B4645" s="203"/>
      <c r="C4645" s="237"/>
      <c r="D4645" s="202"/>
      <c r="E4645" s="202"/>
      <c r="U4645" s="204"/>
    </row>
    <row r="4646" spans="2:21" x14ac:dyDescent="0.2">
      <c r="B4646" s="203"/>
      <c r="C4646" s="237"/>
      <c r="D4646" s="202"/>
      <c r="E4646" s="202"/>
      <c r="U4646" s="204"/>
    </row>
    <row r="4647" spans="2:21" x14ac:dyDescent="0.2">
      <c r="B4647" s="203"/>
      <c r="C4647" s="237"/>
      <c r="D4647" s="202"/>
      <c r="E4647" s="202"/>
      <c r="U4647" s="204"/>
    </row>
    <row r="4648" spans="2:21" x14ac:dyDescent="0.2">
      <c r="B4648" s="203"/>
      <c r="C4648" s="237"/>
      <c r="D4648" s="202"/>
      <c r="E4648" s="202"/>
      <c r="U4648" s="204"/>
    </row>
    <row r="4649" spans="2:21" x14ac:dyDescent="0.2">
      <c r="B4649" s="203"/>
      <c r="C4649" s="237"/>
      <c r="D4649" s="202"/>
      <c r="E4649" s="202"/>
      <c r="U4649" s="204"/>
    </row>
    <row r="4650" spans="2:21" x14ac:dyDescent="0.2">
      <c r="B4650" s="203"/>
      <c r="C4650" s="237"/>
      <c r="D4650" s="202"/>
      <c r="E4650" s="202"/>
      <c r="U4650" s="204"/>
    </row>
    <row r="4651" spans="2:21" x14ac:dyDescent="0.2">
      <c r="B4651" s="203"/>
      <c r="C4651" s="237"/>
      <c r="D4651" s="202"/>
      <c r="E4651" s="202"/>
      <c r="U4651" s="204"/>
    </row>
    <row r="4652" spans="2:21" x14ac:dyDescent="0.2">
      <c r="B4652" s="203"/>
      <c r="C4652" s="237"/>
      <c r="D4652" s="202"/>
      <c r="E4652" s="202"/>
      <c r="U4652" s="204"/>
    </row>
    <row r="4653" spans="2:21" x14ac:dyDescent="0.2">
      <c r="B4653" s="203"/>
      <c r="C4653" s="237"/>
      <c r="D4653" s="202"/>
      <c r="E4653" s="202"/>
      <c r="U4653" s="204"/>
    </row>
    <row r="4654" spans="2:21" x14ac:dyDescent="0.2">
      <c r="B4654" s="203"/>
      <c r="C4654" s="237"/>
      <c r="D4654" s="202"/>
      <c r="E4654" s="202"/>
      <c r="U4654" s="204"/>
    </row>
    <row r="4655" spans="2:21" x14ac:dyDescent="0.2">
      <c r="B4655" s="203"/>
      <c r="C4655" s="237"/>
      <c r="D4655" s="202"/>
      <c r="E4655" s="202"/>
      <c r="U4655" s="204"/>
    </row>
    <row r="4656" spans="2:21" x14ac:dyDescent="0.2">
      <c r="B4656" s="203"/>
      <c r="C4656" s="237"/>
      <c r="D4656" s="202"/>
      <c r="E4656" s="202"/>
      <c r="U4656" s="204"/>
    </row>
    <row r="4657" spans="2:21" x14ac:dyDescent="0.2">
      <c r="B4657" s="203"/>
      <c r="C4657" s="237"/>
      <c r="D4657" s="202"/>
      <c r="E4657" s="202"/>
      <c r="U4657" s="204"/>
    </row>
    <row r="4658" spans="2:21" x14ac:dyDescent="0.2">
      <c r="B4658" s="203"/>
      <c r="C4658" s="237"/>
      <c r="D4658" s="202"/>
      <c r="E4658" s="202"/>
      <c r="U4658" s="204"/>
    </row>
    <row r="4659" spans="2:21" x14ac:dyDescent="0.2">
      <c r="B4659" s="203"/>
      <c r="C4659" s="237"/>
      <c r="D4659" s="202"/>
      <c r="E4659" s="202"/>
      <c r="U4659" s="204"/>
    </row>
    <row r="4660" spans="2:21" x14ac:dyDescent="0.2">
      <c r="B4660" s="203"/>
      <c r="C4660" s="237"/>
      <c r="D4660" s="202"/>
      <c r="E4660" s="202"/>
      <c r="U4660" s="204"/>
    </row>
    <row r="4661" spans="2:21" x14ac:dyDescent="0.2">
      <c r="B4661" s="203"/>
      <c r="C4661" s="237"/>
      <c r="D4661" s="202"/>
      <c r="E4661" s="202"/>
      <c r="U4661" s="204"/>
    </row>
    <row r="4662" spans="2:21" x14ac:dyDescent="0.2">
      <c r="B4662" s="203"/>
      <c r="C4662" s="237"/>
      <c r="D4662" s="202"/>
      <c r="E4662" s="202"/>
      <c r="U4662" s="204"/>
    </row>
    <row r="4663" spans="2:21" x14ac:dyDescent="0.2">
      <c r="B4663" s="203"/>
      <c r="C4663" s="237"/>
      <c r="D4663" s="202"/>
      <c r="E4663" s="202"/>
      <c r="U4663" s="204"/>
    </row>
    <row r="4664" spans="2:21" x14ac:dyDescent="0.2">
      <c r="B4664" s="203"/>
      <c r="C4664" s="237"/>
      <c r="D4664" s="202"/>
      <c r="E4664" s="202"/>
      <c r="U4664" s="204"/>
    </row>
    <row r="4665" spans="2:21" x14ac:dyDescent="0.2">
      <c r="B4665" s="203"/>
      <c r="C4665" s="237"/>
      <c r="D4665" s="202"/>
      <c r="E4665" s="202"/>
      <c r="U4665" s="204"/>
    </row>
    <row r="4666" spans="2:21" x14ac:dyDescent="0.2">
      <c r="B4666" s="203"/>
      <c r="C4666" s="237"/>
      <c r="D4666" s="202"/>
      <c r="E4666" s="202"/>
      <c r="U4666" s="204"/>
    </row>
    <row r="4667" spans="2:21" x14ac:dyDescent="0.2">
      <c r="B4667" s="203"/>
      <c r="C4667" s="237"/>
      <c r="D4667" s="202"/>
      <c r="E4667" s="202"/>
      <c r="U4667" s="204"/>
    </row>
    <row r="4668" spans="2:21" x14ac:dyDescent="0.2">
      <c r="B4668" s="203"/>
      <c r="C4668" s="237"/>
      <c r="D4668" s="202"/>
      <c r="E4668" s="202"/>
      <c r="U4668" s="204"/>
    </row>
    <row r="4669" spans="2:21" x14ac:dyDescent="0.2">
      <c r="B4669" s="203"/>
      <c r="C4669" s="237"/>
      <c r="D4669" s="202"/>
      <c r="E4669" s="202"/>
      <c r="U4669" s="204"/>
    </row>
    <row r="4670" spans="2:21" x14ac:dyDescent="0.2">
      <c r="B4670" s="203"/>
      <c r="C4670" s="237"/>
      <c r="D4670" s="202"/>
      <c r="E4670" s="202"/>
      <c r="U4670" s="204"/>
    </row>
    <row r="4671" spans="2:21" x14ac:dyDescent="0.2">
      <c r="B4671" s="203"/>
      <c r="C4671" s="237"/>
      <c r="D4671" s="202"/>
      <c r="E4671" s="202"/>
      <c r="U4671" s="204"/>
    </row>
    <row r="4672" spans="2:21" x14ac:dyDescent="0.2">
      <c r="B4672" s="203"/>
      <c r="C4672" s="237"/>
      <c r="D4672" s="202"/>
      <c r="E4672" s="202"/>
      <c r="U4672" s="204"/>
    </row>
    <row r="4673" spans="2:21" x14ac:dyDescent="0.2">
      <c r="B4673" s="203"/>
      <c r="C4673" s="237"/>
      <c r="D4673" s="202"/>
      <c r="E4673" s="202"/>
      <c r="U4673" s="204"/>
    </row>
    <row r="4674" spans="2:21" x14ac:dyDescent="0.2">
      <c r="B4674" s="203"/>
      <c r="C4674" s="237"/>
      <c r="D4674" s="202"/>
      <c r="E4674" s="202"/>
      <c r="U4674" s="204"/>
    </row>
    <row r="4675" spans="2:21" x14ac:dyDescent="0.2">
      <c r="B4675" s="203"/>
      <c r="C4675" s="237"/>
      <c r="D4675" s="202"/>
      <c r="E4675" s="202"/>
      <c r="U4675" s="204"/>
    </row>
    <row r="4676" spans="2:21" x14ac:dyDescent="0.2">
      <c r="B4676" s="203"/>
      <c r="C4676" s="237"/>
      <c r="D4676" s="202"/>
      <c r="E4676" s="202"/>
      <c r="U4676" s="204"/>
    </row>
    <row r="4677" spans="2:21" x14ac:dyDescent="0.2">
      <c r="B4677" s="203"/>
      <c r="C4677" s="237"/>
      <c r="D4677" s="202"/>
      <c r="E4677" s="202"/>
      <c r="U4677" s="204"/>
    </row>
    <row r="4678" spans="2:21" x14ac:dyDescent="0.2">
      <c r="B4678" s="203"/>
      <c r="C4678" s="237"/>
      <c r="D4678" s="202"/>
      <c r="E4678" s="202"/>
      <c r="U4678" s="204"/>
    </row>
    <row r="4679" spans="2:21" x14ac:dyDescent="0.2">
      <c r="B4679" s="203"/>
      <c r="C4679" s="237"/>
      <c r="D4679" s="202"/>
      <c r="E4679" s="202"/>
      <c r="U4679" s="204"/>
    </row>
    <row r="4680" spans="2:21" x14ac:dyDescent="0.2">
      <c r="B4680" s="203"/>
      <c r="C4680" s="237"/>
      <c r="D4680" s="202"/>
      <c r="E4680" s="202"/>
      <c r="U4680" s="204"/>
    </row>
    <row r="4681" spans="2:21" x14ac:dyDescent="0.2">
      <c r="B4681" s="203"/>
      <c r="C4681" s="237"/>
      <c r="D4681" s="202"/>
      <c r="E4681" s="202"/>
      <c r="U4681" s="204"/>
    </row>
    <row r="4682" spans="2:21" x14ac:dyDescent="0.2">
      <c r="B4682" s="203"/>
      <c r="C4682" s="237"/>
      <c r="D4682" s="202"/>
      <c r="E4682" s="202"/>
      <c r="U4682" s="204"/>
    </row>
    <row r="4683" spans="2:21" x14ac:dyDescent="0.2">
      <c r="B4683" s="203"/>
      <c r="C4683" s="237"/>
      <c r="D4683" s="202"/>
      <c r="E4683" s="202"/>
      <c r="U4683" s="204"/>
    </row>
    <row r="4684" spans="2:21" x14ac:dyDescent="0.2">
      <c r="B4684" s="203"/>
      <c r="C4684" s="237"/>
      <c r="D4684" s="202"/>
      <c r="E4684" s="202"/>
      <c r="U4684" s="204"/>
    </row>
    <row r="4685" spans="2:21" x14ac:dyDescent="0.2">
      <c r="B4685" s="203"/>
      <c r="C4685" s="237"/>
      <c r="D4685" s="202"/>
      <c r="E4685" s="202"/>
      <c r="U4685" s="204"/>
    </row>
    <row r="4686" spans="2:21" x14ac:dyDescent="0.2">
      <c r="B4686" s="203"/>
      <c r="C4686" s="237"/>
      <c r="D4686" s="202"/>
      <c r="E4686" s="202"/>
      <c r="U4686" s="204"/>
    </row>
    <row r="4687" spans="2:21" x14ac:dyDescent="0.2">
      <c r="B4687" s="203"/>
      <c r="C4687" s="237"/>
      <c r="D4687" s="202"/>
      <c r="E4687" s="202"/>
      <c r="U4687" s="204"/>
    </row>
    <row r="4688" spans="2:21" x14ac:dyDescent="0.2">
      <c r="B4688" s="203"/>
      <c r="C4688" s="237"/>
      <c r="D4688" s="202"/>
      <c r="E4688" s="202"/>
      <c r="U4688" s="204"/>
    </row>
    <row r="4689" spans="2:21" x14ac:dyDescent="0.2">
      <c r="B4689" s="203"/>
      <c r="C4689" s="237"/>
      <c r="D4689" s="202"/>
      <c r="E4689" s="202"/>
      <c r="U4689" s="204"/>
    </row>
    <row r="4690" spans="2:21" x14ac:dyDescent="0.2">
      <c r="B4690" s="203"/>
      <c r="C4690" s="237"/>
      <c r="D4690" s="202"/>
      <c r="E4690" s="202"/>
      <c r="U4690" s="204"/>
    </row>
    <row r="4691" spans="2:21" x14ac:dyDescent="0.2">
      <c r="B4691" s="203"/>
      <c r="C4691" s="237"/>
      <c r="D4691" s="202"/>
      <c r="E4691" s="202"/>
      <c r="U4691" s="204"/>
    </row>
    <row r="4692" spans="2:21" x14ac:dyDescent="0.2">
      <c r="B4692" s="203"/>
      <c r="C4692" s="237"/>
      <c r="D4692" s="202"/>
      <c r="E4692" s="202"/>
      <c r="U4692" s="204"/>
    </row>
    <row r="4693" spans="2:21" x14ac:dyDescent="0.2">
      <c r="B4693" s="203"/>
      <c r="C4693" s="237"/>
      <c r="D4693" s="202"/>
      <c r="E4693" s="202"/>
      <c r="U4693" s="204"/>
    </row>
    <row r="4694" spans="2:21" x14ac:dyDescent="0.2">
      <c r="B4694" s="203"/>
      <c r="C4694" s="237"/>
      <c r="D4694" s="202"/>
      <c r="E4694" s="202"/>
      <c r="U4694" s="204"/>
    </row>
    <row r="4695" spans="2:21" x14ac:dyDescent="0.2">
      <c r="B4695" s="203"/>
      <c r="C4695" s="237"/>
      <c r="D4695" s="202"/>
      <c r="E4695" s="202"/>
      <c r="U4695" s="204"/>
    </row>
    <row r="4696" spans="2:21" x14ac:dyDescent="0.2">
      <c r="B4696" s="203"/>
      <c r="C4696" s="237"/>
      <c r="D4696" s="202"/>
      <c r="E4696" s="202"/>
      <c r="U4696" s="204"/>
    </row>
    <row r="4697" spans="2:21" x14ac:dyDescent="0.2">
      <c r="B4697" s="203"/>
      <c r="C4697" s="237"/>
      <c r="D4697" s="202"/>
      <c r="E4697" s="202"/>
      <c r="U4697" s="204"/>
    </row>
    <row r="4698" spans="2:21" x14ac:dyDescent="0.2">
      <c r="B4698" s="203"/>
      <c r="C4698" s="237"/>
      <c r="D4698" s="202"/>
      <c r="E4698" s="202"/>
      <c r="U4698" s="204"/>
    </row>
    <row r="4699" spans="2:21" x14ac:dyDescent="0.2">
      <c r="B4699" s="203"/>
      <c r="C4699" s="237"/>
      <c r="D4699" s="202"/>
      <c r="E4699" s="202"/>
      <c r="U4699" s="204"/>
    </row>
    <row r="4700" spans="2:21" x14ac:dyDescent="0.2">
      <c r="B4700" s="203"/>
      <c r="C4700" s="237"/>
      <c r="D4700" s="202"/>
      <c r="E4700" s="202"/>
      <c r="U4700" s="204"/>
    </row>
    <row r="4701" spans="2:21" x14ac:dyDescent="0.2">
      <c r="B4701" s="203"/>
      <c r="C4701" s="237"/>
      <c r="D4701" s="202"/>
      <c r="E4701" s="202"/>
      <c r="U4701" s="204"/>
    </row>
    <row r="4702" spans="2:21" x14ac:dyDescent="0.2">
      <c r="B4702" s="203"/>
      <c r="C4702" s="237"/>
      <c r="D4702" s="202"/>
      <c r="E4702" s="202"/>
      <c r="U4702" s="204"/>
    </row>
    <row r="4703" spans="2:21" x14ac:dyDescent="0.2">
      <c r="B4703" s="203"/>
      <c r="C4703" s="237"/>
      <c r="D4703" s="202"/>
      <c r="E4703" s="202"/>
      <c r="U4703" s="204"/>
    </row>
    <row r="4704" spans="2:21" x14ac:dyDescent="0.2">
      <c r="B4704" s="203"/>
      <c r="C4704" s="237"/>
      <c r="D4704" s="202"/>
      <c r="E4704" s="202"/>
      <c r="U4704" s="204"/>
    </row>
    <row r="4705" spans="2:21" x14ac:dyDescent="0.2">
      <c r="B4705" s="203"/>
      <c r="C4705" s="237"/>
      <c r="D4705" s="202"/>
      <c r="E4705" s="202"/>
      <c r="U4705" s="204"/>
    </row>
    <row r="4706" spans="2:21" x14ac:dyDescent="0.2">
      <c r="B4706" s="203"/>
      <c r="C4706" s="237"/>
      <c r="D4706" s="202"/>
      <c r="E4706" s="202"/>
      <c r="U4706" s="204"/>
    </row>
    <row r="4707" spans="2:21" x14ac:dyDescent="0.2">
      <c r="B4707" s="203"/>
      <c r="C4707" s="237"/>
      <c r="D4707" s="202"/>
      <c r="E4707" s="202"/>
      <c r="U4707" s="204"/>
    </row>
    <row r="4708" spans="2:21" x14ac:dyDescent="0.2">
      <c r="B4708" s="203"/>
      <c r="C4708" s="237"/>
      <c r="D4708" s="202"/>
      <c r="E4708" s="202"/>
      <c r="U4708" s="204"/>
    </row>
    <row r="4709" spans="2:21" x14ac:dyDescent="0.2">
      <c r="B4709" s="203"/>
      <c r="C4709" s="237"/>
      <c r="D4709" s="202"/>
      <c r="E4709" s="202"/>
      <c r="U4709" s="204"/>
    </row>
    <row r="4710" spans="2:21" x14ac:dyDescent="0.2">
      <c r="B4710" s="203"/>
      <c r="C4710" s="237"/>
      <c r="D4710" s="202"/>
      <c r="E4710" s="202"/>
      <c r="U4710" s="204"/>
    </row>
    <row r="4711" spans="2:21" x14ac:dyDescent="0.2">
      <c r="B4711" s="203"/>
      <c r="C4711" s="237"/>
      <c r="D4711" s="202"/>
      <c r="E4711" s="202"/>
      <c r="U4711" s="204"/>
    </row>
    <row r="4712" spans="2:21" x14ac:dyDescent="0.2">
      <c r="B4712" s="203"/>
      <c r="C4712" s="237"/>
      <c r="D4712" s="202"/>
      <c r="E4712" s="202"/>
      <c r="U4712" s="204"/>
    </row>
    <row r="4713" spans="2:21" x14ac:dyDescent="0.2">
      <c r="B4713" s="203"/>
      <c r="C4713" s="237"/>
      <c r="D4713" s="202"/>
      <c r="E4713" s="202"/>
      <c r="U4713" s="204"/>
    </row>
    <row r="4714" spans="2:21" x14ac:dyDescent="0.2">
      <c r="B4714" s="203"/>
      <c r="C4714" s="237"/>
      <c r="D4714" s="202"/>
      <c r="E4714" s="202"/>
      <c r="U4714" s="204"/>
    </row>
    <row r="4715" spans="2:21" x14ac:dyDescent="0.2">
      <c r="B4715" s="203"/>
      <c r="C4715" s="237"/>
      <c r="D4715" s="202"/>
      <c r="E4715" s="202"/>
      <c r="U4715" s="204"/>
    </row>
    <row r="4716" spans="2:21" x14ac:dyDescent="0.2">
      <c r="B4716" s="203"/>
      <c r="C4716" s="237"/>
      <c r="D4716" s="202"/>
      <c r="E4716" s="202"/>
      <c r="U4716" s="204"/>
    </row>
    <row r="4717" spans="2:21" x14ac:dyDescent="0.2">
      <c r="B4717" s="203"/>
      <c r="C4717" s="237"/>
      <c r="D4717" s="202"/>
      <c r="E4717" s="202"/>
      <c r="U4717" s="204"/>
    </row>
    <row r="4718" spans="2:21" x14ac:dyDescent="0.2">
      <c r="B4718" s="203"/>
      <c r="C4718" s="237"/>
      <c r="D4718" s="202"/>
      <c r="E4718" s="202"/>
      <c r="U4718" s="204"/>
    </row>
    <row r="4719" spans="2:21" x14ac:dyDescent="0.2">
      <c r="B4719" s="203"/>
      <c r="C4719" s="237"/>
      <c r="D4719" s="202"/>
      <c r="E4719" s="202"/>
      <c r="U4719" s="204"/>
    </row>
    <row r="4720" spans="2:21" x14ac:dyDescent="0.2">
      <c r="B4720" s="203"/>
      <c r="C4720" s="237"/>
      <c r="D4720" s="202"/>
      <c r="E4720" s="202"/>
      <c r="U4720" s="204"/>
    </row>
    <row r="4721" spans="2:21" x14ac:dyDescent="0.2">
      <c r="B4721" s="203"/>
      <c r="C4721" s="237"/>
      <c r="D4721" s="202"/>
      <c r="E4721" s="202"/>
      <c r="U4721" s="204"/>
    </row>
    <row r="4722" spans="2:21" x14ac:dyDescent="0.2">
      <c r="B4722" s="203"/>
      <c r="C4722" s="237"/>
      <c r="D4722" s="202"/>
      <c r="E4722" s="202"/>
      <c r="U4722" s="204"/>
    </row>
    <row r="4723" spans="2:21" x14ac:dyDescent="0.2">
      <c r="B4723" s="203"/>
      <c r="C4723" s="237"/>
      <c r="D4723" s="202"/>
      <c r="E4723" s="202"/>
      <c r="U4723" s="204"/>
    </row>
    <row r="4724" spans="2:21" x14ac:dyDescent="0.2">
      <c r="B4724" s="203"/>
      <c r="C4724" s="237"/>
      <c r="D4724" s="202"/>
      <c r="E4724" s="202"/>
      <c r="U4724" s="204"/>
    </row>
    <row r="4725" spans="2:21" x14ac:dyDescent="0.2">
      <c r="B4725" s="203"/>
      <c r="C4725" s="237"/>
      <c r="D4725" s="202"/>
      <c r="E4725" s="202"/>
      <c r="U4725" s="204"/>
    </row>
    <row r="4726" spans="2:21" x14ac:dyDescent="0.2">
      <c r="B4726" s="203"/>
      <c r="C4726" s="237"/>
      <c r="D4726" s="202"/>
      <c r="E4726" s="202"/>
      <c r="U4726" s="204"/>
    </row>
    <row r="4727" spans="2:21" x14ac:dyDescent="0.2">
      <c r="B4727" s="203"/>
      <c r="C4727" s="237"/>
      <c r="D4727" s="202"/>
      <c r="E4727" s="202"/>
      <c r="U4727" s="204"/>
    </row>
    <row r="4728" spans="2:21" x14ac:dyDescent="0.2">
      <c r="B4728" s="203"/>
      <c r="C4728" s="237"/>
      <c r="D4728" s="202"/>
      <c r="E4728" s="202"/>
      <c r="U4728" s="204"/>
    </row>
    <row r="4729" spans="2:21" x14ac:dyDescent="0.2">
      <c r="B4729" s="203"/>
      <c r="C4729" s="237"/>
      <c r="D4729" s="202"/>
      <c r="E4729" s="202"/>
      <c r="U4729" s="204"/>
    </row>
    <row r="4730" spans="2:21" x14ac:dyDescent="0.2">
      <c r="B4730" s="203"/>
      <c r="C4730" s="237"/>
      <c r="D4730" s="202"/>
      <c r="E4730" s="202"/>
      <c r="U4730" s="204"/>
    </row>
    <row r="4731" spans="2:21" x14ac:dyDescent="0.2">
      <c r="B4731" s="203"/>
      <c r="C4731" s="237"/>
      <c r="D4731" s="202"/>
      <c r="E4731" s="202"/>
      <c r="U4731" s="204"/>
    </row>
    <row r="4732" spans="2:21" x14ac:dyDescent="0.2">
      <c r="B4732" s="203"/>
      <c r="C4732" s="237"/>
      <c r="D4732" s="202"/>
      <c r="E4732" s="202"/>
      <c r="U4732" s="204"/>
    </row>
    <row r="4733" spans="2:21" x14ac:dyDescent="0.2">
      <c r="B4733" s="203"/>
      <c r="C4733" s="237"/>
      <c r="D4733" s="202"/>
      <c r="E4733" s="202"/>
      <c r="U4733" s="204"/>
    </row>
    <row r="4734" spans="2:21" x14ac:dyDescent="0.2">
      <c r="B4734" s="203"/>
      <c r="C4734" s="237"/>
      <c r="D4734" s="202"/>
      <c r="E4734" s="202"/>
      <c r="U4734" s="204"/>
    </row>
    <row r="4735" spans="2:21" x14ac:dyDescent="0.2">
      <c r="B4735" s="203"/>
      <c r="C4735" s="237"/>
      <c r="D4735" s="202"/>
      <c r="E4735" s="202"/>
      <c r="U4735" s="204"/>
    </row>
    <row r="4736" spans="2:21" x14ac:dyDescent="0.2">
      <c r="B4736" s="203"/>
      <c r="C4736" s="237"/>
      <c r="D4736" s="202"/>
      <c r="E4736" s="202"/>
      <c r="U4736" s="204"/>
    </row>
    <row r="4737" spans="2:21" x14ac:dyDescent="0.2">
      <c r="B4737" s="203"/>
      <c r="C4737" s="237"/>
      <c r="D4737" s="202"/>
      <c r="E4737" s="202"/>
      <c r="U4737" s="204"/>
    </row>
    <row r="4738" spans="2:21" x14ac:dyDescent="0.2">
      <c r="B4738" s="203"/>
      <c r="C4738" s="237"/>
      <c r="D4738" s="202"/>
      <c r="E4738" s="202"/>
      <c r="U4738" s="204"/>
    </row>
    <row r="4739" spans="2:21" x14ac:dyDescent="0.2">
      <c r="B4739" s="203"/>
      <c r="C4739" s="237"/>
      <c r="D4739" s="202"/>
      <c r="E4739" s="202"/>
      <c r="U4739" s="204"/>
    </row>
    <row r="4740" spans="2:21" x14ac:dyDescent="0.2">
      <c r="B4740" s="203"/>
      <c r="C4740" s="237"/>
      <c r="D4740" s="202"/>
      <c r="E4740" s="202"/>
      <c r="U4740" s="204"/>
    </row>
    <row r="4741" spans="2:21" x14ac:dyDescent="0.2">
      <c r="B4741" s="203"/>
      <c r="C4741" s="237"/>
      <c r="D4741" s="202"/>
      <c r="E4741" s="202"/>
      <c r="U4741" s="204"/>
    </row>
    <row r="4742" spans="2:21" x14ac:dyDescent="0.2">
      <c r="B4742" s="203"/>
      <c r="C4742" s="237"/>
      <c r="D4742" s="202"/>
      <c r="E4742" s="202"/>
      <c r="U4742" s="204"/>
    </row>
    <row r="4743" spans="2:21" x14ac:dyDescent="0.2">
      <c r="B4743" s="203"/>
      <c r="C4743" s="237"/>
      <c r="D4743" s="202"/>
      <c r="E4743" s="202"/>
      <c r="U4743" s="204"/>
    </row>
    <row r="4744" spans="2:21" x14ac:dyDescent="0.2">
      <c r="B4744" s="203"/>
      <c r="C4744" s="237"/>
      <c r="D4744" s="202"/>
      <c r="E4744" s="202"/>
      <c r="U4744" s="204"/>
    </row>
    <row r="4745" spans="2:21" x14ac:dyDescent="0.2">
      <c r="B4745" s="203"/>
      <c r="C4745" s="237"/>
      <c r="D4745" s="202"/>
      <c r="E4745" s="202"/>
      <c r="U4745" s="204"/>
    </row>
    <row r="4746" spans="2:21" x14ac:dyDescent="0.2">
      <c r="B4746" s="203"/>
      <c r="C4746" s="237"/>
      <c r="D4746" s="202"/>
      <c r="E4746" s="202"/>
      <c r="U4746" s="204"/>
    </row>
    <row r="4747" spans="2:21" x14ac:dyDescent="0.2">
      <c r="B4747" s="203"/>
      <c r="C4747" s="237"/>
      <c r="D4747" s="202"/>
      <c r="E4747" s="202"/>
      <c r="U4747" s="204"/>
    </row>
    <row r="4748" spans="2:21" x14ac:dyDescent="0.2">
      <c r="B4748" s="203"/>
      <c r="C4748" s="237"/>
      <c r="D4748" s="202"/>
      <c r="E4748" s="202"/>
      <c r="U4748" s="204"/>
    </row>
    <row r="4749" spans="2:21" x14ac:dyDescent="0.2">
      <c r="B4749" s="203"/>
      <c r="C4749" s="237"/>
      <c r="D4749" s="202"/>
      <c r="E4749" s="202"/>
      <c r="U4749" s="204"/>
    </row>
    <row r="4750" spans="2:21" x14ac:dyDescent="0.2">
      <c r="B4750" s="203"/>
      <c r="C4750" s="237"/>
      <c r="D4750" s="202"/>
      <c r="E4750" s="202"/>
      <c r="U4750" s="204"/>
    </row>
    <row r="4751" spans="2:21" x14ac:dyDescent="0.2">
      <c r="B4751" s="203"/>
      <c r="C4751" s="237"/>
      <c r="D4751" s="202"/>
      <c r="E4751" s="202"/>
      <c r="U4751" s="204"/>
    </row>
    <row r="4752" spans="2:21" x14ac:dyDescent="0.2">
      <c r="B4752" s="203"/>
      <c r="C4752" s="237"/>
      <c r="D4752" s="202"/>
      <c r="E4752" s="202"/>
      <c r="U4752" s="204"/>
    </row>
    <row r="4753" spans="2:21" x14ac:dyDescent="0.2">
      <c r="B4753" s="203"/>
      <c r="C4753" s="237"/>
      <c r="D4753" s="202"/>
      <c r="E4753" s="202"/>
      <c r="U4753" s="204"/>
    </row>
    <row r="4754" spans="2:21" x14ac:dyDescent="0.2">
      <c r="B4754" s="203"/>
      <c r="C4754" s="237"/>
      <c r="D4754" s="202"/>
      <c r="E4754" s="202"/>
      <c r="U4754" s="204"/>
    </row>
    <row r="4755" spans="2:21" x14ac:dyDescent="0.2">
      <c r="B4755" s="203"/>
      <c r="C4755" s="237"/>
      <c r="D4755" s="202"/>
      <c r="E4755" s="202"/>
      <c r="U4755" s="204"/>
    </row>
    <row r="4756" spans="2:21" x14ac:dyDescent="0.2">
      <c r="B4756" s="203"/>
      <c r="C4756" s="237"/>
      <c r="D4756" s="202"/>
      <c r="E4756" s="202"/>
      <c r="U4756" s="204"/>
    </row>
    <row r="4757" spans="2:21" x14ac:dyDescent="0.2">
      <c r="B4757" s="203"/>
      <c r="C4757" s="237"/>
      <c r="D4757" s="202"/>
      <c r="E4757" s="202"/>
      <c r="U4757" s="204"/>
    </row>
    <row r="4758" spans="2:21" x14ac:dyDescent="0.2">
      <c r="B4758" s="203"/>
      <c r="C4758" s="237"/>
      <c r="D4758" s="202"/>
      <c r="E4758" s="202"/>
      <c r="U4758" s="204"/>
    </row>
    <row r="4759" spans="2:21" x14ac:dyDescent="0.2">
      <c r="B4759" s="203"/>
      <c r="C4759" s="237"/>
      <c r="D4759" s="202"/>
      <c r="E4759" s="202"/>
      <c r="U4759" s="204"/>
    </row>
    <row r="4760" spans="2:21" x14ac:dyDescent="0.2">
      <c r="B4760" s="203"/>
      <c r="C4760" s="237"/>
      <c r="D4760" s="202"/>
      <c r="E4760" s="202"/>
      <c r="U4760" s="204"/>
    </row>
    <row r="4761" spans="2:21" x14ac:dyDescent="0.2">
      <c r="B4761" s="203"/>
      <c r="C4761" s="237"/>
      <c r="D4761" s="202"/>
      <c r="E4761" s="202"/>
      <c r="U4761" s="204"/>
    </row>
    <row r="4762" spans="2:21" x14ac:dyDescent="0.2">
      <c r="B4762" s="203"/>
      <c r="C4762" s="237"/>
      <c r="D4762" s="202"/>
      <c r="E4762" s="202"/>
      <c r="U4762" s="204"/>
    </row>
    <row r="4763" spans="2:21" x14ac:dyDescent="0.2">
      <c r="B4763" s="203"/>
      <c r="C4763" s="237"/>
      <c r="D4763" s="202"/>
      <c r="E4763" s="202"/>
      <c r="U4763" s="204"/>
    </row>
    <row r="4764" spans="2:21" x14ac:dyDescent="0.2">
      <c r="B4764" s="203"/>
      <c r="C4764" s="237"/>
      <c r="D4764" s="202"/>
      <c r="E4764" s="202"/>
      <c r="U4764" s="204"/>
    </row>
    <row r="4765" spans="2:21" x14ac:dyDescent="0.2">
      <c r="B4765" s="203"/>
      <c r="C4765" s="237"/>
      <c r="D4765" s="202"/>
      <c r="E4765" s="202"/>
      <c r="U4765" s="204"/>
    </row>
    <row r="4766" spans="2:21" x14ac:dyDescent="0.2">
      <c r="B4766" s="203"/>
      <c r="C4766" s="237"/>
      <c r="D4766" s="202"/>
      <c r="E4766" s="202"/>
      <c r="U4766" s="204"/>
    </row>
    <row r="4767" spans="2:21" x14ac:dyDescent="0.2">
      <c r="B4767" s="203"/>
      <c r="C4767" s="237"/>
      <c r="D4767" s="202"/>
      <c r="E4767" s="202"/>
      <c r="U4767" s="204"/>
    </row>
    <row r="4768" spans="2:21" x14ac:dyDescent="0.2">
      <c r="B4768" s="203"/>
      <c r="C4768" s="237"/>
      <c r="D4768" s="202"/>
      <c r="E4768" s="202"/>
      <c r="U4768" s="204"/>
    </row>
    <row r="4769" spans="2:21" x14ac:dyDescent="0.2">
      <c r="B4769" s="203"/>
      <c r="C4769" s="237"/>
      <c r="D4769" s="202"/>
      <c r="E4769" s="202"/>
      <c r="U4769" s="204"/>
    </row>
    <row r="4770" spans="2:21" x14ac:dyDescent="0.2">
      <c r="B4770" s="203"/>
      <c r="C4770" s="237"/>
      <c r="D4770" s="202"/>
      <c r="E4770" s="202"/>
      <c r="U4770" s="204"/>
    </row>
    <row r="4771" spans="2:21" x14ac:dyDescent="0.2">
      <c r="B4771" s="203"/>
      <c r="C4771" s="237"/>
      <c r="D4771" s="202"/>
      <c r="E4771" s="202"/>
      <c r="U4771" s="204"/>
    </row>
    <row r="4772" spans="2:21" x14ac:dyDescent="0.2">
      <c r="B4772" s="203"/>
      <c r="C4772" s="237"/>
      <c r="D4772" s="202"/>
      <c r="E4772" s="202"/>
      <c r="U4772" s="204"/>
    </row>
    <row r="4773" spans="2:21" x14ac:dyDescent="0.2">
      <c r="B4773" s="203"/>
      <c r="C4773" s="237"/>
      <c r="D4773" s="202"/>
      <c r="E4773" s="202"/>
      <c r="U4773" s="204"/>
    </row>
    <row r="4774" spans="2:21" x14ac:dyDescent="0.2">
      <c r="B4774" s="203"/>
      <c r="C4774" s="237"/>
      <c r="D4774" s="202"/>
      <c r="E4774" s="202"/>
      <c r="U4774" s="204"/>
    </row>
    <row r="4775" spans="2:21" x14ac:dyDescent="0.2">
      <c r="B4775" s="203"/>
      <c r="C4775" s="237"/>
      <c r="D4775" s="202"/>
      <c r="E4775" s="202"/>
      <c r="U4775" s="204"/>
    </row>
    <row r="4776" spans="2:21" x14ac:dyDescent="0.2">
      <c r="B4776" s="203"/>
      <c r="C4776" s="237"/>
      <c r="D4776" s="202"/>
      <c r="E4776" s="202"/>
      <c r="U4776" s="204"/>
    </row>
    <row r="4777" spans="2:21" x14ac:dyDescent="0.2">
      <c r="B4777" s="203"/>
      <c r="C4777" s="237"/>
      <c r="D4777" s="202"/>
      <c r="E4777" s="202"/>
      <c r="U4777" s="204"/>
    </row>
    <row r="4778" spans="2:21" x14ac:dyDescent="0.2">
      <c r="B4778" s="203"/>
      <c r="C4778" s="237"/>
      <c r="D4778" s="202"/>
      <c r="E4778" s="202"/>
      <c r="U4778" s="204"/>
    </row>
    <row r="4779" spans="2:21" x14ac:dyDescent="0.2">
      <c r="B4779" s="203"/>
      <c r="C4779" s="237"/>
      <c r="D4779" s="202"/>
      <c r="E4779" s="202"/>
      <c r="U4779" s="204"/>
    </row>
    <row r="4780" spans="2:21" x14ac:dyDescent="0.2">
      <c r="B4780" s="203"/>
      <c r="C4780" s="237"/>
      <c r="D4780" s="202"/>
      <c r="E4780" s="202"/>
      <c r="U4780" s="204"/>
    </row>
    <row r="4781" spans="2:21" x14ac:dyDescent="0.2">
      <c r="B4781" s="203"/>
      <c r="C4781" s="237"/>
      <c r="D4781" s="202"/>
      <c r="E4781" s="202"/>
      <c r="U4781" s="204"/>
    </row>
    <row r="4782" spans="2:21" x14ac:dyDescent="0.2">
      <c r="B4782" s="203"/>
      <c r="C4782" s="237"/>
      <c r="D4782" s="202"/>
      <c r="E4782" s="202"/>
      <c r="U4782" s="204"/>
    </row>
    <row r="4783" spans="2:21" x14ac:dyDescent="0.2">
      <c r="B4783" s="203"/>
      <c r="C4783" s="237"/>
      <c r="D4783" s="202"/>
      <c r="E4783" s="202"/>
      <c r="U4783" s="204"/>
    </row>
    <row r="4784" spans="2:21" x14ac:dyDescent="0.2">
      <c r="B4784" s="203"/>
      <c r="C4784" s="237"/>
      <c r="D4784" s="202"/>
      <c r="E4784" s="202"/>
      <c r="U4784" s="204"/>
    </row>
    <row r="4785" spans="2:21" x14ac:dyDescent="0.2">
      <c r="B4785" s="203"/>
      <c r="C4785" s="237"/>
      <c r="D4785" s="202"/>
      <c r="E4785" s="202"/>
      <c r="U4785" s="204"/>
    </row>
    <row r="4786" spans="2:21" x14ac:dyDescent="0.2">
      <c r="B4786" s="203"/>
      <c r="C4786" s="237"/>
      <c r="D4786" s="202"/>
      <c r="E4786" s="202"/>
      <c r="U4786" s="204"/>
    </row>
    <row r="4787" spans="2:21" x14ac:dyDescent="0.2">
      <c r="B4787" s="203"/>
      <c r="C4787" s="237"/>
      <c r="D4787" s="202"/>
      <c r="E4787" s="202"/>
      <c r="U4787" s="204"/>
    </row>
    <row r="4788" spans="2:21" x14ac:dyDescent="0.2">
      <c r="B4788" s="203"/>
      <c r="C4788" s="237"/>
      <c r="D4788" s="202"/>
      <c r="E4788" s="202"/>
      <c r="U4788" s="204"/>
    </row>
    <row r="4789" spans="2:21" x14ac:dyDescent="0.2">
      <c r="B4789" s="203"/>
      <c r="C4789" s="237"/>
      <c r="D4789" s="202"/>
      <c r="E4789" s="202"/>
      <c r="U4789" s="204"/>
    </row>
    <row r="4790" spans="2:21" x14ac:dyDescent="0.2">
      <c r="B4790" s="203"/>
      <c r="C4790" s="237"/>
      <c r="D4790" s="202"/>
      <c r="E4790" s="202"/>
      <c r="U4790" s="204"/>
    </row>
    <row r="4791" spans="2:21" x14ac:dyDescent="0.2">
      <c r="B4791" s="203"/>
      <c r="C4791" s="237"/>
      <c r="D4791" s="202"/>
      <c r="E4791" s="202"/>
      <c r="U4791" s="204"/>
    </row>
    <row r="4792" spans="2:21" x14ac:dyDescent="0.2">
      <c r="B4792" s="203"/>
      <c r="C4792" s="237"/>
      <c r="D4792" s="202"/>
      <c r="E4792" s="202"/>
      <c r="U4792" s="204"/>
    </row>
    <row r="4793" spans="2:21" x14ac:dyDescent="0.2">
      <c r="B4793" s="203"/>
      <c r="C4793" s="237"/>
      <c r="D4793" s="202"/>
      <c r="E4793" s="202"/>
      <c r="U4793" s="204"/>
    </row>
    <row r="4794" spans="2:21" x14ac:dyDescent="0.2">
      <c r="B4794" s="203"/>
      <c r="C4794" s="237"/>
      <c r="D4794" s="202"/>
      <c r="E4794" s="202"/>
      <c r="U4794" s="204"/>
    </row>
    <row r="4795" spans="2:21" x14ac:dyDescent="0.2">
      <c r="B4795" s="203"/>
      <c r="C4795" s="237"/>
      <c r="D4795" s="202"/>
      <c r="E4795" s="202"/>
      <c r="U4795" s="204"/>
    </row>
    <row r="4796" spans="2:21" x14ac:dyDescent="0.2">
      <c r="B4796" s="203"/>
      <c r="C4796" s="237"/>
      <c r="D4796" s="202"/>
      <c r="E4796" s="202"/>
      <c r="U4796" s="204"/>
    </row>
    <row r="4797" spans="2:21" x14ac:dyDescent="0.2">
      <c r="B4797" s="203"/>
      <c r="C4797" s="237"/>
      <c r="D4797" s="202"/>
      <c r="E4797" s="202"/>
      <c r="U4797" s="204"/>
    </row>
    <row r="4798" spans="2:21" x14ac:dyDescent="0.2">
      <c r="B4798" s="203"/>
      <c r="C4798" s="237"/>
      <c r="D4798" s="202"/>
      <c r="E4798" s="202"/>
      <c r="U4798" s="204"/>
    </row>
    <row r="4799" spans="2:21" x14ac:dyDescent="0.2">
      <c r="B4799" s="203"/>
      <c r="C4799" s="237"/>
      <c r="D4799" s="202"/>
      <c r="E4799" s="202"/>
      <c r="U4799" s="204"/>
    </row>
    <row r="4800" spans="2:21" x14ac:dyDescent="0.2">
      <c r="B4800" s="203"/>
      <c r="C4800" s="237"/>
      <c r="D4800" s="202"/>
      <c r="E4800" s="202"/>
      <c r="U4800" s="204"/>
    </row>
    <row r="4801" spans="2:21" x14ac:dyDescent="0.2">
      <c r="B4801" s="203"/>
      <c r="C4801" s="237"/>
      <c r="D4801" s="202"/>
      <c r="E4801" s="202"/>
      <c r="U4801" s="204"/>
    </row>
    <row r="4802" spans="2:21" x14ac:dyDescent="0.2">
      <c r="B4802" s="203"/>
      <c r="C4802" s="237"/>
      <c r="D4802" s="202"/>
      <c r="E4802" s="202"/>
      <c r="U4802" s="204"/>
    </row>
    <row r="4803" spans="2:21" x14ac:dyDescent="0.2">
      <c r="B4803" s="203"/>
      <c r="C4803" s="237"/>
      <c r="D4803" s="202"/>
      <c r="E4803" s="202"/>
      <c r="U4803" s="204"/>
    </row>
    <row r="4804" spans="2:21" x14ac:dyDescent="0.2">
      <c r="B4804" s="203"/>
      <c r="C4804" s="237"/>
      <c r="D4804" s="202"/>
      <c r="E4804" s="202"/>
      <c r="U4804" s="204"/>
    </row>
    <row r="4805" spans="2:21" x14ac:dyDescent="0.2">
      <c r="B4805" s="203"/>
      <c r="C4805" s="237"/>
      <c r="D4805" s="202"/>
      <c r="E4805" s="202"/>
      <c r="U4805" s="204"/>
    </row>
    <row r="4806" spans="2:21" x14ac:dyDescent="0.2">
      <c r="B4806" s="203"/>
      <c r="C4806" s="237"/>
      <c r="D4806" s="202"/>
      <c r="E4806" s="202"/>
      <c r="U4806" s="204"/>
    </row>
    <row r="4807" spans="2:21" x14ac:dyDescent="0.2">
      <c r="B4807" s="203"/>
      <c r="C4807" s="237"/>
      <c r="D4807" s="202"/>
      <c r="E4807" s="202"/>
      <c r="U4807" s="204"/>
    </row>
    <row r="4808" spans="2:21" x14ac:dyDescent="0.2">
      <c r="B4808" s="203"/>
      <c r="C4808" s="237"/>
      <c r="D4808" s="202"/>
      <c r="E4808" s="202"/>
      <c r="U4808" s="204"/>
    </row>
    <row r="4809" spans="2:21" x14ac:dyDescent="0.2">
      <c r="B4809" s="203"/>
      <c r="C4809" s="237"/>
      <c r="D4809" s="202"/>
      <c r="E4809" s="202"/>
      <c r="U4809" s="204"/>
    </row>
    <row r="4810" spans="2:21" x14ac:dyDescent="0.2">
      <c r="B4810" s="203"/>
      <c r="C4810" s="237"/>
      <c r="D4810" s="202"/>
      <c r="E4810" s="202"/>
      <c r="U4810" s="204"/>
    </row>
    <row r="4811" spans="2:21" x14ac:dyDescent="0.2">
      <c r="B4811" s="203"/>
      <c r="C4811" s="237"/>
      <c r="D4811" s="202"/>
      <c r="E4811" s="202"/>
      <c r="U4811" s="204"/>
    </row>
    <row r="4812" spans="2:21" x14ac:dyDescent="0.2">
      <c r="B4812" s="203"/>
      <c r="C4812" s="237"/>
      <c r="D4812" s="202"/>
      <c r="E4812" s="202"/>
      <c r="U4812" s="204"/>
    </row>
    <row r="4813" spans="2:21" x14ac:dyDescent="0.2">
      <c r="B4813" s="203"/>
      <c r="C4813" s="237"/>
      <c r="D4813" s="202"/>
      <c r="E4813" s="202"/>
      <c r="U4813" s="204"/>
    </row>
    <row r="4814" spans="2:21" x14ac:dyDescent="0.2">
      <c r="B4814" s="203"/>
      <c r="C4814" s="237"/>
      <c r="D4814" s="202"/>
      <c r="E4814" s="202"/>
      <c r="U4814" s="204"/>
    </row>
    <row r="4815" spans="2:21" x14ac:dyDescent="0.2">
      <c r="B4815" s="203"/>
      <c r="C4815" s="237"/>
      <c r="D4815" s="202"/>
      <c r="E4815" s="202"/>
      <c r="U4815" s="204"/>
    </row>
    <row r="4816" spans="2:21" x14ac:dyDescent="0.2">
      <c r="B4816" s="203"/>
      <c r="C4816" s="237"/>
      <c r="D4816" s="202"/>
      <c r="E4816" s="202"/>
      <c r="U4816" s="204"/>
    </row>
    <row r="4817" spans="2:21" x14ac:dyDescent="0.2">
      <c r="B4817" s="203"/>
      <c r="C4817" s="237"/>
      <c r="D4817" s="202"/>
      <c r="E4817" s="202"/>
      <c r="U4817" s="204"/>
    </row>
    <row r="4818" spans="2:21" x14ac:dyDescent="0.2">
      <c r="B4818" s="203"/>
      <c r="C4818" s="237"/>
      <c r="D4818" s="202"/>
      <c r="E4818" s="202"/>
      <c r="U4818" s="204"/>
    </row>
    <row r="4819" spans="2:21" x14ac:dyDescent="0.2">
      <c r="B4819" s="203"/>
      <c r="C4819" s="237"/>
      <c r="D4819" s="202"/>
      <c r="E4819" s="202"/>
      <c r="U4819" s="204"/>
    </row>
    <row r="4820" spans="2:21" x14ac:dyDescent="0.2">
      <c r="B4820" s="203"/>
      <c r="C4820" s="237"/>
      <c r="D4820" s="202"/>
      <c r="E4820" s="202"/>
      <c r="U4820" s="204"/>
    </row>
    <row r="4821" spans="2:21" x14ac:dyDescent="0.2">
      <c r="B4821" s="203"/>
      <c r="C4821" s="237"/>
      <c r="D4821" s="202"/>
      <c r="E4821" s="202"/>
      <c r="U4821" s="204"/>
    </row>
    <row r="4822" spans="2:21" x14ac:dyDescent="0.2">
      <c r="B4822" s="203"/>
      <c r="C4822" s="237"/>
      <c r="D4822" s="202"/>
      <c r="E4822" s="202"/>
      <c r="U4822" s="204"/>
    </row>
    <row r="4823" spans="2:21" x14ac:dyDescent="0.2">
      <c r="B4823" s="203"/>
      <c r="C4823" s="237"/>
      <c r="D4823" s="202"/>
      <c r="E4823" s="202"/>
      <c r="U4823" s="204"/>
    </row>
    <row r="4824" spans="2:21" x14ac:dyDescent="0.2">
      <c r="B4824" s="203"/>
      <c r="C4824" s="237"/>
      <c r="D4824" s="202"/>
      <c r="E4824" s="202"/>
      <c r="U4824" s="204"/>
    </row>
    <row r="4825" spans="2:21" x14ac:dyDescent="0.2">
      <c r="B4825" s="203"/>
      <c r="C4825" s="237"/>
      <c r="D4825" s="202"/>
      <c r="E4825" s="202"/>
      <c r="U4825" s="204"/>
    </row>
    <row r="4826" spans="2:21" x14ac:dyDescent="0.2">
      <c r="B4826" s="203"/>
      <c r="C4826" s="237"/>
      <c r="D4826" s="202"/>
      <c r="E4826" s="202"/>
      <c r="U4826" s="204"/>
    </row>
    <row r="4827" spans="2:21" x14ac:dyDescent="0.2">
      <c r="B4827" s="203"/>
      <c r="C4827" s="237"/>
      <c r="D4827" s="202"/>
      <c r="E4827" s="202"/>
      <c r="U4827" s="204"/>
    </row>
    <row r="4828" spans="2:21" x14ac:dyDescent="0.2">
      <c r="B4828" s="203"/>
      <c r="C4828" s="237"/>
      <c r="D4828" s="202"/>
      <c r="E4828" s="202"/>
      <c r="U4828" s="204"/>
    </row>
    <row r="4829" spans="2:21" x14ac:dyDescent="0.2">
      <c r="B4829" s="203"/>
      <c r="C4829" s="237"/>
      <c r="D4829" s="202"/>
      <c r="E4829" s="202"/>
      <c r="U4829" s="204"/>
    </row>
    <row r="4830" spans="2:21" x14ac:dyDescent="0.2">
      <c r="B4830" s="203"/>
      <c r="C4830" s="237"/>
      <c r="D4830" s="202"/>
      <c r="E4830" s="202"/>
      <c r="U4830" s="204"/>
    </row>
    <row r="4831" spans="2:21" x14ac:dyDescent="0.2">
      <c r="B4831" s="203"/>
      <c r="C4831" s="237"/>
      <c r="D4831" s="202"/>
      <c r="E4831" s="202"/>
      <c r="U4831" s="204"/>
    </row>
    <row r="4832" spans="2:21" x14ac:dyDescent="0.2">
      <c r="B4832" s="203"/>
      <c r="C4832" s="237"/>
      <c r="D4832" s="202"/>
      <c r="E4832" s="202"/>
      <c r="U4832" s="204"/>
    </row>
    <row r="4833" spans="2:21" x14ac:dyDescent="0.2">
      <c r="B4833" s="203"/>
      <c r="C4833" s="237"/>
      <c r="D4833" s="202"/>
      <c r="E4833" s="202"/>
      <c r="U4833" s="204"/>
    </row>
    <row r="4834" spans="2:21" x14ac:dyDescent="0.2">
      <c r="B4834" s="203"/>
      <c r="C4834" s="237"/>
      <c r="D4834" s="202"/>
      <c r="E4834" s="202"/>
      <c r="U4834" s="204"/>
    </row>
    <row r="4835" spans="2:21" x14ac:dyDescent="0.2">
      <c r="B4835" s="203"/>
      <c r="C4835" s="237"/>
      <c r="D4835" s="202"/>
      <c r="E4835" s="202"/>
      <c r="U4835" s="204"/>
    </row>
    <row r="4836" spans="2:21" x14ac:dyDescent="0.2">
      <c r="B4836" s="203"/>
      <c r="C4836" s="237"/>
      <c r="D4836" s="202"/>
      <c r="E4836" s="202"/>
      <c r="U4836" s="204"/>
    </row>
    <row r="4837" spans="2:21" x14ac:dyDescent="0.2">
      <c r="B4837" s="203"/>
      <c r="C4837" s="237"/>
      <c r="D4837" s="202"/>
      <c r="E4837" s="202"/>
      <c r="U4837" s="204"/>
    </row>
    <row r="4838" spans="2:21" x14ac:dyDescent="0.2">
      <c r="B4838" s="203"/>
      <c r="C4838" s="237"/>
      <c r="D4838" s="202"/>
      <c r="E4838" s="202"/>
      <c r="U4838" s="204"/>
    </row>
    <row r="4839" spans="2:21" x14ac:dyDescent="0.2">
      <c r="B4839" s="203"/>
      <c r="C4839" s="237"/>
      <c r="D4839" s="202"/>
      <c r="E4839" s="202"/>
      <c r="U4839" s="204"/>
    </row>
    <row r="4840" spans="2:21" x14ac:dyDescent="0.2">
      <c r="B4840" s="203"/>
      <c r="C4840" s="237"/>
      <c r="D4840" s="202"/>
      <c r="E4840" s="202"/>
      <c r="U4840" s="204"/>
    </row>
    <row r="4841" spans="2:21" x14ac:dyDescent="0.2">
      <c r="B4841" s="203"/>
      <c r="C4841" s="237"/>
      <c r="D4841" s="202"/>
      <c r="E4841" s="202"/>
      <c r="U4841" s="204"/>
    </row>
    <row r="4842" spans="2:21" x14ac:dyDescent="0.2">
      <c r="B4842" s="203"/>
      <c r="C4842" s="237"/>
      <c r="D4842" s="202"/>
      <c r="E4842" s="202"/>
      <c r="U4842" s="204"/>
    </row>
    <row r="4843" spans="2:21" x14ac:dyDescent="0.2">
      <c r="B4843" s="203"/>
      <c r="C4843" s="237"/>
      <c r="D4843" s="202"/>
      <c r="E4843" s="202"/>
      <c r="U4843" s="204"/>
    </row>
    <row r="4844" spans="2:21" x14ac:dyDescent="0.2">
      <c r="B4844" s="203"/>
      <c r="C4844" s="237"/>
      <c r="D4844" s="202"/>
      <c r="E4844" s="202"/>
      <c r="U4844" s="204"/>
    </row>
    <row r="4845" spans="2:21" x14ac:dyDescent="0.2">
      <c r="B4845" s="203"/>
      <c r="C4845" s="237"/>
      <c r="D4845" s="202"/>
      <c r="E4845" s="202"/>
      <c r="U4845" s="204"/>
    </row>
    <row r="4846" spans="2:21" x14ac:dyDescent="0.2">
      <c r="B4846" s="203"/>
      <c r="C4846" s="237"/>
      <c r="D4846" s="202"/>
      <c r="E4846" s="202"/>
      <c r="U4846" s="204"/>
    </row>
    <row r="4847" spans="2:21" x14ac:dyDescent="0.2">
      <c r="B4847" s="203"/>
      <c r="C4847" s="237"/>
      <c r="D4847" s="202"/>
      <c r="E4847" s="202"/>
      <c r="U4847" s="204"/>
    </row>
    <row r="4848" spans="2:21" x14ac:dyDescent="0.2">
      <c r="B4848" s="203"/>
      <c r="C4848" s="237"/>
      <c r="D4848" s="202"/>
      <c r="E4848" s="202"/>
      <c r="U4848" s="204"/>
    </row>
    <row r="4849" spans="2:21" x14ac:dyDescent="0.2">
      <c r="B4849" s="203"/>
      <c r="C4849" s="237"/>
      <c r="D4849" s="202"/>
      <c r="E4849" s="202"/>
      <c r="U4849" s="204"/>
    </row>
    <row r="4850" spans="2:21" x14ac:dyDescent="0.2">
      <c r="B4850" s="203"/>
      <c r="C4850" s="237"/>
      <c r="D4850" s="202"/>
      <c r="E4850" s="202"/>
      <c r="U4850" s="204"/>
    </row>
    <row r="4851" spans="2:21" x14ac:dyDescent="0.2">
      <c r="B4851" s="203"/>
      <c r="C4851" s="237"/>
      <c r="D4851" s="202"/>
      <c r="E4851" s="202"/>
      <c r="U4851" s="204"/>
    </row>
    <row r="4852" spans="2:21" x14ac:dyDescent="0.2">
      <c r="B4852" s="203"/>
      <c r="C4852" s="237"/>
      <c r="D4852" s="202"/>
      <c r="E4852" s="202"/>
      <c r="U4852" s="204"/>
    </row>
    <row r="4853" spans="2:21" x14ac:dyDescent="0.2">
      <c r="B4853" s="203"/>
      <c r="C4853" s="237"/>
      <c r="D4853" s="202"/>
      <c r="E4853" s="202"/>
      <c r="U4853" s="204"/>
    </row>
    <row r="4854" spans="2:21" x14ac:dyDescent="0.2">
      <c r="B4854" s="203"/>
      <c r="C4854" s="237"/>
      <c r="D4854" s="202"/>
      <c r="E4854" s="202"/>
      <c r="U4854" s="204"/>
    </row>
    <row r="4855" spans="2:21" x14ac:dyDescent="0.2">
      <c r="B4855" s="203"/>
      <c r="C4855" s="237"/>
      <c r="D4855" s="202"/>
      <c r="E4855" s="202"/>
      <c r="U4855" s="204"/>
    </row>
    <row r="4856" spans="2:21" x14ac:dyDescent="0.2">
      <c r="B4856" s="203"/>
      <c r="C4856" s="237"/>
      <c r="D4856" s="202"/>
      <c r="E4856" s="202"/>
      <c r="U4856" s="204"/>
    </row>
    <row r="4857" spans="2:21" x14ac:dyDescent="0.2">
      <c r="B4857" s="203"/>
      <c r="C4857" s="237"/>
      <c r="D4857" s="202"/>
      <c r="E4857" s="202"/>
      <c r="U4857" s="204"/>
    </row>
    <row r="4858" spans="2:21" x14ac:dyDescent="0.2">
      <c r="B4858" s="203"/>
      <c r="C4858" s="237"/>
      <c r="D4858" s="202"/>
      <c r="E4858" s="202"/>
      <c r="U4858" s="204"/>
    </row>
    <row r="4859" spans="2:21" x14ac:dyDescent="0.2">
      <c r="B4859" s="203"/>
      <c r="C4859" s="237"/>
      <c r="D4859" s="202"/>
      <c r="E4859" s="202"/>
      <c r="U4859" s="204"/>
    </row>
    <row r="4860" spans="2:21" x14ac:dyDescent="0.2">
      <c r="B4860" s="203"/>
      <c r="C4860" s="237"/>
      <c r="D4860" s="202"/>
      <c r="E4860" s="202"/>
      <c r="U4860" s="204"/>
    </row>
    <row r="4861" spans="2:21" x14ac:dyDescent="0.2">
      <c r="B4861" s="203"/>
      <c r="C4861" s="237"/>
      <c r="D4861" s="202"/>
      <c r="E4861" s="202"/>
      <c r="U4861" s="204"/>
    </row>
    <row r="4862" spans="2:21" x14ac:dyDescent="0.2">
      <c r="B4862" s="203"/>
      <c r="C4862" s="237"/>
      <c r="D4862" s="202"/>
      <c r="E4862" s="202"/>
      <c r="U4862" s="204"/>
    </row>
    <row r="4863" spans="2:21" x14ac:dyDescent="0.2">
      <c r="B4863" s="203"/>
      <c r="C4863" s="237"/>
      <c r="D4863" s="202"/>
      <c r="E4863" s="202"/>
      <c r="U4863" s="204"/>
    </row>
    <row r="4864" spans="2:21" x14ac:dyDescent="0.2">
      <c r="B4864" s="203"/>
      <c r="C4864" s="237"/>
      <c r="D4864" s="202"/>
      <c r="E4864" s="202"/>
      <c r="U4864" s="204"/>
    </row>
    <row r="4865" spans="2:21" x14ac:dyDescent="0.2">
      <c r="B4865" s="203"/>
      <c r="C4865" s="237"/>
      <c r="D4865" s="202"/>
      <c r="E4865" s="202"/>
      <c r="U4865" s="204"/>
    </row>
    <row r="4866" spans="2:21" x14ac:dyDescent="0.2">
      <c r="B4866" s="203"/>
      <c r="C4866" s="237"/>
      <c r="D4866" s="202"/>
      <c r="E4866" s="202"/>
      <c r="U4866" s="204"/>
    </row>
    <row r="4867" spans="2:21" x14ac:dyDescent="0.2">
      <c r="B4867" s="203"/>
      <c r="C4867" s="237"/>
      <c r="D4867" s="202"/>
      <c r="E4867" s="202"/>
      <c r="U4867" s="204"/>
    </row>
    <row r="4868" spans="2:21" x14ac:dyDescent="0.2">
      <c r="B4868" s="203"/>
      <c r="C4868" s="237"/>
      <c r="D4868" s="202"/>
      <c r="E4868" s="202"/>
      <c r="U4868" s="204"/>
    </row>
    <row r="4869" spans="2:21" x14ac:dyDescent="0.2">
      <c r="B4869" s="203"/>
      <c r="C4869" s="237"/>
      <c r="D4869" s="202"/>
      <c r="E4869" s="202"/>
      <c r="U4869" s="204"/>
    </row>
    <row r="4870" spans="2:21" x14ac:dyDescent="0.2">
      <c r="B4870" s="203"/>
      <c r="C4870" s="237"/>
      <c r="D4870" s="202"/>
      <c r="E4870" s="202"/>
      <c r="U4870" s="204"/>
    </row>
    <row r="4871" spans="2:21" x14ac:dyDescent="0.2">
      <c r="B4871" s="203"/>
      <c r="C4871" s="237"/>
      <c r="D4871" s="202"/>
      <c r="E4871" s="202"/>
      <c r="U4871" s="204"/>
    </row>
    <row r="4872" spans="2:21" x14ac:dyDescent="0.2">
      <c r="B4872" s="203"/>
      <c r="C4872" s="237"/>
      <c r="D4872" s="202"/>
      <c r="E4872" s="202"/>
      <c r="U4872" s="204"/>
    </row>
    <row r="4873" spans="2:21" x14ac:dyDescent="0.2">
      <c r="B4873" s="203"/>
      <c r="C4873" s="237"/>
      <c r="D4873" s="202"/>
      <c r="E4873" s="202"/>
      <c r="U4873" s="204"/>
    </row>
    <row r="4874" spans="2:21" x14ac:dyDescent="0.2">
      <c r="B4874" s="203"/>
      <c r="C4874" s="237"/>
      <c r="D4874" s="202"/>
      <c r="E4874" s="202"/>
      <c r="U4874" s="204"/>
    </row>
    <row r="4875" spans="2:21" x14ac:dyDescent="0.2">
      <c r="B4875" s="203"/>
      <c r="C4875" s="237"/>
      <c r="D4875" s="202"/>
      <c r="E4875" s="202"/>
      <c r="U4875" s="204"/>
    </row>
    <row r="4876" spans="2:21" x14ac:dyDescent="0.2">
      <c r="B4876" s="203"/>
      <c r="C4876" s="237"/>
      <c r="D4876" s="202"/>
      <c r="E4876" s="202"/>
      <c r="U4876" s="204"/>
    </row>
    <row r="4877" spans="2:21" x14ac:dyDescent="0.2">
      <c r="B4877" s="203"/>
      <c r="C4877" s="237"/>
      <c r="D4877" s="202"/>
      <c r="E4877" s="202"/>
      <c r="U4877" s="204"/>
    </row>
    <row r="4878" spans="2:21" x14ac:dyDescent="0.2">
      <c r="B4878" s="203"/>
      <c r="C4878" s="237"/>
      <c r="D4878" s="202"/>
      <c r="E4878" s="202"/>
      <c r="U4878" s="204"/>
    </row>
    <row r="4879" spans="2:21" x14ac:dyDescent="0.2">
      <c r="B4879" s="203"/>
      <c r="C4879" s="237"/>
      <c r="D4879" s="202"/>
      <c r="E4879" s="202"/>
      <c r="U4879" s="204"/>
    </row>
    <row r="4880" spans="2:21" x14ac:dyDescent="0.2">
      <c r="B4880" s="203"/>
      <c r="C4880" s="237"/>
      <c r="D4880" s="202"/>
      <c r="E4880" s="202"/>
      <c r="U4880" s="204"/>
    </row>
    <row r="4881" spans="2:21" x14ac:dyDescent="0.2">
      <c r="B4881" s="203"/>
      <c r="C4881" s="237"/>
      <c r="D4881" s="202"/>
      <c r="E4881" s="202"/>
      <c r="U4881" s="204"/>
    </row>
    <row r="4882" spans="2:21" x14ac:dyDescent="0.2">
      <c r="B4882" s="203"/>
      <c r="C4882" s="237"/>
      <c r="D4882" s="202"/>
      <c r="E4882" s="202"/>
      <c r="U4882" s="204"/>
    </row>
    <row r="4883" spans="2:21" x14ac:dyDescent="0.2">
      <c r="B4883" s="203"/>
      <c r="C4883" s="237"/>
      <c r="D4883" s="202"/>
      <c r="E4883" s="202"/>
      <c r="U4883" s="204"/>
    </row>
    <row r="4884" spans="2:21" x14ac:dyDescent="0.2">
      <c r="B4884" s="203"/>
      <c r="C4884" s="237"/>
      <c r="D4884" s="202"/>
      <c r="E4884" s="202"/>
      <c r="U4884" s="204"/>
    </row>
    <row r="4885" spans="2:21" x14ac:dyDescent="0.2">
      <c r="B4885" s="203"/>
      <c r="C4885" s="237"/>
      <c r="D4885" s="202"/>
      <c r="E4885" s="202"/>
      <c r="U4885" s="204"/>
    </row>
    <row r="4886" spans="2:21" x14ac:dyDescent="0.2">
      <c r="B4886" s="203"/>
      <c r="C4886" s="237"/>
      <c r="D4886" s="202"/>
      <c r="E4886" s="202"/>
      <c r="U4886" s="204"/>
    </row>
    <row r="4887" spans="2:21" x14ac:dyDescent="0.2">
      <c r="B4887" s="203"/>
      <c r="C4887" s="237"/>
      <c r="D4887" s="202"/>
      <c r="E4887" s="202"/>
      <c r="U4887" s="204"/>
    </row>
    <row r="4888" spans="2:21" x14ac:dyDescent="0.2">
      <c r="B4888" s="203"/>
      <c r="C4888" s="237"/>
      <c r="D4888" s="202"/>
      <c r="E4888" s="202"/>
      <c r="U4888" s="204"/>
    </row>
    <row r="4889" spans="2:21" x14ac:dyDescent="0.2">
      <c r="B4889" s="203"/>
      <c r="C4889" s="237"/>
      <c r="D4889" s="202"/>
      <c r="E4889" s="202"/>
      <c r="U4889" s="204"/>
    </row>
    <row r="4890" spans="2:21" x14ac:dyDescent="0.2">
      <c r="B4890" s="203"/>
      <c r="C4890" s="237"/>
      <c r="D4890" s="202"/>
      <c r="E4890" s="202"/>
      <c r="U4890" s="204"/>
    </row>
    <row r="4891" spans="2:21" x14ac:dyDescent="0.2">
      <c r="B4891" s="203"/>
      <c r="C4891" s="237"/>
      <c r="D4891" s="202"/>
      <c r="E4891" s="202"/>
      <c r="U4891" s="204"/>
    </row>
    <row r="4892" spans="2:21" x14ac:dyDescent="0.2">
      <c r="B4892" s="203"/>
      <c r="C4892" s="237"/>
      <c r="D4892" s="202"/>
      <c r="E4892" s="202"/>
      <c r="U4892" s="204"/>
    </row>
    <row r="4893" spans="2:21" x14ac:dyDescent="0.2">
      <c r="B4893" s="203"/>
      <c r="C4893" s="237"/>
      <c r="D4893" s="202"/>
      <c r="E4893" s="202"/>
      <c r="U4893" s="204"/>
    </row>
    <row r="4894" spans="2:21" x14ac:dyDescent="0.2">
      <c r="B4894" s="203"/>
      <c r="C4894" s="237"/>
      <c r="D4894" s="202"/>
      <c r="E4894" s="202"/>
      <c r="U4894" s="204"/>
    </row>
    <row r="4895" spans="2:21" x14ac:dyDescent="0.2">
      <c r="B4895" s="203"/>
      <c r="C4895" s="237"/>
      <c r="D4895" s="202"/>
      <c r="E4895" s="202"/>
      <c r="U4895" s="204"/>
    </row>
    <row r="4896" spans="2:21" x14ac:dyDescent="0.2">
      <c r="B4896" s="203"/>
      <c r="C4896" s="237"/>
      <c r="D4896" s="202"/>
      <c r="E4896" s="202"/>
      <c r="U4896" s="204"/>
    </row>
    <row r="4897" spans="2:21" x14ac:dyDescent="0.2">
      <c r="B4897" s="203"/>
      <c r="C4897" s="237"/>
      <c r="D4897" s="202"/>
      <c r="E4897" s="202"/>
      <c r="U4897" s="204"/>
    </row>
    <row r="4898" spans="2:21" x14ac:dyDescent="0.2">
      <c r="B4898" s="203"/>
      <c r="C4898" s="237"/>
      <c r="D4898" s="202"/>
      <c r="E4898" s="202"/>
      <c r="U4898" s="204"/>
    </row>
    <row r="4899" spans="2:21" x14ac:dyDescent="0.2">
      <c r="B4899" s="203"/>
      <c r="C4899" s="237"/>
      <c r="D4899" s="202"/>
      <c r="E4899" s="202"/>
      <c r="U4899" s="204"/>
    </row>
    <row r="4900" spans="2:21" x14ac:dyDescent="0.2">
      <c r="B4900" s="203"/>
      <c r="C4900" s="237"/>
      <c r="D4900" s="202"/>
      <c r="E4900" s="202"/>
      <c r="U4900" s="204"/>
    </row>
    <row r="4901" spans="2:21" x14ac:dyDescent="0.2">
      <c r="B4901" s="203"/>
      <c r="C4901" s="237"/>
      <c r="D4901" s="202"/>
      <c r="E4901" s="202"/>
      <c r="U4901" s="204"/>
    </row>
    <row r="4902" spans="2:21" x14ac:dyDescent="0.2">
      <c r="B4902" s="203"/>
      <c r="C4902" s="237"/>
      <c r="D4902" s="202"/>
      <c r="E4902" s="202"/>
      <c r="U4902" s="204"/>
    </row>
    <row r="4903" spans="2:21" x14ac:dyDescent="0.2">
      <c r="B4903" s="203"/>
      <c r="C4903" s="237"/>
      <c r="D4903" s="202"/>
      <c r="E4903" s="202"/>
      <c r="U4903" s="204"/>
    </row>
    <row r="4904" spans="2:21" x14ac:dyDescent="0.2">
      <c r="B4904" s="203"/>
      <c r="C4904" s="237"/>
      <c r="D4904" s="202"/>
      <c r="E4904" s="202"/>
      <c r="U4904" s="204"/>
    </row>
    <row r="4905" spans="2:21" x14ac:dyDescent="0.2">
      <c r="B4905" s="203"/>
      <c r="C4905" s="237"/>
      <c r="D4905" s="202"/>
      <c r="E4905" s="202"/>
      <c r="U4905" s="204"/>
    </row>
    <row r="4906" spans="2:21" x14ac:dyDescent="0.2">
      <c r="B4906" s="203"/>
      <c r="C4906" s="237"/>
      <c r="D4906" s="202"/>
      <c r="E4906" s="202"/>
      <c r="U4906" s="204"/>
    </row>
    <row r="4907" spans="2:21" x14ac:dyDescent="0.2">
      <c r="B4907" s="203"/>
      <c r="C4907" s="237"/>
      <c r="D4907" s="202"/>
      <c r="E4907" s="202"/>
      <c r="U4907" s="204"/>
    </row>
    <row r="4908" spans="2:21" x14ac:dyDescent="0.2">
      <c r="B4908" s="203"/>
      <c r="C4908" s="237"/>
      <c r="D4908" s="202"/>
      <c r="E4908" s="202"/>
      <c r="U4908" s="204"/>
    </row>
    <row r="4909" spans="2:21" x14ac:dyDescent="0.2">
      <c r="B4909" s="203"/>
      <c r="C4909" s="237"/>
      <c r="D4909" s="202"/>
      <c r="E4909" s="202"/>
      <c r="U4909" s="204"/>
    </row>
    <row r="4910" spans="2:21" x14ac:dyDescent="0.2">
      <c r="B4910" s="203"/>
      <c r="C4910" s="237"/>
      <c r="D4910" s="202"/>
      <c r="E4910" s="202"/>
      <c r="U4910" s="204"/>
    </row>
    <row r="4911" spans="2:21" x14ac:dyDescent="0.2">
      <c r="B4911" s="203"/>
      <c r="C4911" s="237"/>
      <c r="D4911" s="202"/>
      <c r="E4911" s="202"/>
      <c r="U4911" s="204"/>
    </row>
    <row r="4912" spans="2:21" x14ac:dyDescent="0.2">
      <c r="B4912" s="203"/>
      <c r="C4912" s="237"/>
      <c r="D4912" s="202"/>
      <c r="E4912" s="202"/>
      <c r="U4912" s="204"/>
    </row>
    <row r="4913" spans="2:21" x14ac:dyDescent="0.2">
      <c r="B4913" s="203"/>
      <c r="C4913" s="237"/>
      <c r="D4913" s="202"/>
      <c r="E4913" s="202"/>
      <c r="U4913" s="204"/>
    </row>
    <row r="4914" spans="2:21" x14ac:dyDescent="0.2">
      <c r="B4914" s="203"/>
      <c r="C4914" s="237"/>
      <c r="D4914" s="202"/>
      <c r="E4914" s="202"/>
      <c r="U4914" s="204"/>
    </row>
    <row r="4915" spans="2:21" x14ac:dyDescent="0.2">
      <c r="B4915" s="203"/>
      <c r="C4915" s="237"/>
      <c r="D4915" s="202"/>
      <c r="E4915" s="202"/>
      <c r="U4915" s="204"/>
    </row>
    <row r="4916" spans="2:21" x14ac:dyDescent="0.2">
      <c r="B4916" s="203"/>
      <c r="C4916" s="237"/>
      <c r="D4916" s="202"/>
      <c r="E4916" s="202"/>
      <c r="U4916" s="204"/>
    </row>
    <row r="4917" spans="2:21" x14ac:dyDescent="0.2">
      <c r="B4917" s="203"/>
      <c r="C4917" s="237"/>
      <c r="D4917" s="202"/>
      <c r="E4917" s="202"/>
      <c r="U4917" s="204"/>
    </row>
    <row r="4918" spans="2:21" x14ac:dyDescent="0.2">
      <c r="B4918" s="203"/>
      <c r="C4918" s="237"/>
      <c r="D4918" s="202"/>
      <c r="E4918" s="202"/>
      <c r="U4918" s="204"/>
    </row>
    <row r="4919" spans="2:21" x14ac:dyDescent="0.2">
      <c r="B4919" s="203"/>
      <c r="C4919" s="237"/>
      <c r="D4919" s="202"/>
      <c r="E4919" s="202"/>
      <c r="U4919" s="204"/>
    </row>
    <row r="4920" spans="2:21" x14ac:dyDescent="0.2">
      <c r="B4920" s="203"/>
      <c r="C4920" s="237"/>
      <c r="D4920" s="202"/>
      <c r="E4920" s="202"/>
      <c r="U4920" s="204"/>
    </row>
    <row r="4921" spans="2:21" x14ac:dyDescent="0.2">
      <c r="B4921" s="203"/>
      <c r="C4921" s="237"/>
      <c r="D4921" s="202"/>
      <c r="E4921" s="202"/>
      <c r="U4921" s="204"/>
    </row>
    <row r="4922" spans="2:21" x14ac:dyDescent="0.2">
      <c r="B4922" s="203"/>
      <c r="C4922" s="237"/>
      <c r="D4922" s="202"/>
      <c r="E4922" s="202"/>
      <c r="U4922" s="204"/>
    </row>
    <row r="4923" spans="2:21" x14ac:dyDescent="0.2">
      <c r="B4923" s="203"/>
      <c r="C4923" s="237"/>
      <c r="D4923" s="202"/>
      <c r="E4923" s="202"/>
      <c r="U4923" s="204"/>
    </row>
    <row r="4924" spans="2:21" x14ac:dyDescent="0.2">
      <c r="B4924" s="203"/>
      <c r="C4924" s="237"/>
      <c r="D4924" s="202"/>
      <c r="E4924" s="202"/>
      <c r="U4924" s="204"/>
    </row>
    <row r="4925" spans="2:21" x14ac:dyDescent="0.2">
      <c r="B4925" s="203"/>
      <c r="C4925" s="237"/>
      <c r="D4925" s="202"/>
      <c r="E4925" s="202"/>
      <c r="U4925" s="204"/>
    </row>
    <row r="4926" spans="2:21" x14ac:dyDescent="0.2">
      <c r="B4926" s="203"/>
      <c r="C4926" s="237"/>
      <c r="D4926" s="202"/>
      <c r="E4926" s="202"/>
      <c r="U4926" s="204"/>
    </row>
    <row r="4927" spans="2:21" x14ac:dyDescent="0.2">
      <c r="B4927" s="203"/>
      <c r="C4927" s="237"/>
      <c r="D4927" s="202"/>
      <c r="E4927" s="202"/>
      <c r="U4927" s="204"/>
    </row>
    <row r="4928" spans="2:21" x14ac:dyDescent="0.2">
      <c r="B4928" s="203"/>
      <c r="C4928" s="237"/>
      <c r="D4928" s="202"/>
      <c r="E4928" s="202"/>
      <c r="U4928" s="204"/>
    </row>
    <row r="4929" spans="2:21" x14ac:dyDescent="0.2">
      <c r="B4929" s="203"/>
      <c r="C4929" s="237"/>
      <c r="D4929" s="202"/>
      <c r="E4929" s="202"/>
      <c r="U4929" s="204"/>
    </row>
    <row r="4930" spans="2:21" x14ac:dyDescent="0.2">
      <c r="B4930" s="203"/>
      <c r="C4930" s="237"/>
      <c r="D4930" s="202"/>
      <c r="E4930" s="202"/>
      <c r="U4930" s="204"/>
    </row>
    <row r="4931" spans="2:21" x14ac:dyDescent="0.2">
      <c r="B4931" s="203"/>
      <c r="C4931" s="237"/>
      <c r="D4931" s="202"/>
      <c r="E4931" s="202"/>
      <c r="U4931" s="204"/>
    </row>
    <row r="4932" spans="2:21" x14ac:dyDescent="0.2">
      <c r="B4932" s="203"/>
      <c r="C4932" s="237"/>
      <c r="D4932" s="202"/>
      <c r="E4932" s="202"/>
      <c r="U4932" s="204"/>
    </row>
    <row r="4933" spans="2:21" x14ac:dyDescent="0.2">
      <c r="B4933" s="203"/>
      <c r="C4933" s="237"/>
      <c r="D4933" s="202"/>
      <c r="E4933" s="202"/>
      <c r="U4933" s="204"/>
    </row>
    <row r="4934" spans="2:21" x14ac:dyDescent="0.2">
      <c r="B4934" s="203"/>
      <c r="C4934" s="237"/>
      <c r="D4934" s="202"/>
      <c r="E4934" s="202"/>
      <c r="U4934" s="204"/>
    </row>
    <row r="4935" spans="2:21" x14ac:dyDescent="0.2">
      <c r="B4935" s="203"/>
      <c r="C4935" s="237"/>
      <c r="D4935" s="202"/>
      <c r="E4935" s="202"/>
      <c r="U4935" s="204"/>
    </row>
    <row r="4936" spans="2:21" x14ac:dyDescent="0.2">
      <c r="B4936" s="203"/>
      <c r="C4936" s="237"/>
      <c r="D4936" s="202"/>
      <c r="E4936" s="202"/>
      <c r="U4936" s="204"/>
    </row>
    <row r="4937" spans="2:21" x14ac:dyDescent="0.2">
      <c r="B4937" s="203"/>
      <c r="C4937" s="237"/>
      <c r="D4937" s="202"/>
      <c r="E4937" s="202"/>
      <c r="U4937" s="204"/>
    </row>
    <row r="4938" spans="2:21" x14ac:dyDescent="0.2">
      <c r="B4938" s="203"/>
      <c r="C4938" s="237"/>
      <c r="D4938" s="202"/>
      <c r="E4938" s="202"/>
      <c r="U4938" s="204"/>
    </row>
    <row r="4939" spans="2:21" x14ac:dyDescent="0.2">
      <c r="B4939" s="203"/>
      <c r="C4939" s="237"/>
      <c r="D4939" s="202"/>
      <c r="E4939" s="202"/>
      <c r="U4939" s="204"/>
    </row>
    <row r="4940" spans="2:21" x14ac:dyDescent="0.2">
      <c r="B4940" s="203"/>
      <c r="C4940" s="237"/>
      <c r="D4940" s="202"/>
      <c r="E4940" s="202"/>
      <c r="U4940" s="204"/>
    </row>
    <row r="4941" spans="2:21" x14ac:dyDescent="0.2">
      <c r="B4941" s="203"/>
      <c r="C4941" s="237"/>
      <c r="D4941" s="202"/>
      <c r="E4941" s="202"/>
      <c r="U4941" s="204"/>
    </row>
    <row r="4942" spans="2:21" x14ac:dyDescent="0.2">
      <c r="B4942" s="203"/>
      <c r="C4942" s="237"/>
      <c r="D4942" s="202"/>
      <c r="E4942" s="202"/>
      <c r="U4942" s="204"/>
    </row>
    <row r="4943" spans="2:21" x14ac:dyDescent="0.2">
      <c r="B4943" s="203"/>
      <c r="C4943" s="237"/>
      <c r="D4943" s="202"/>
      <c r="E4943" s="202"/>
      <c r="U4943" s="204"/>
    </row>
    <row r="4944" spans="2:21" x14ac:dyDescent="0.2">
      <c r="B4944" s="203"/>
      <c r="C4944" s="237"/>
      <c r="D4944" s="202"/>
      <c r="E4944" s="202"/>
      <c r="U4944" s="204"/>
    </row>
    <row r="4945" spans="2:21" x14ac:dyDescent="0.2">
      <c r="B4945" s="203"/>
      <c r="C4945" s="237"/>
      <c r="D4945" s="202"/>
      <c r="E4945" s="202"/>
      <c r="U4945" s="204"/>
    </row>
    <row r="4946" spans="2:21" x14ac:dyDescent="0.2">
      <c r="B4946" s="203"/>
      <c r="C4946" s="237"/>
      <c r="D4946" s="202"/>
      <c r="E4946" s="202"/>
      <c r="U4946" s="204"/>
    </row>
    <row r="4947" spans="2:21" x14ac:dyDescent="0.2">
      <c r="B4947" s="203"/>
      <c r="C4947" s="237"/>
      <c r="D4947" s="202"/>
      <c r="E4947" s="202"/>
      <c r="U4947" s="204"/>
    </row>
    <row r="4948" spans="2:21" x14ac:dyDescent="0.2">
      <c r="B4948" s="203"/>
      <c r="C4948" s="237"/>
      <c r="D4948" s="202"/>
      <c r="E4948" s="202"/>
      <c r="U4948" s="204"/>
    </row>
    <row r="4949" spans="2:21" x14ac:dyDescent="0.2">
      <c r="B4949" s="203"/>
      <c r="C4949" s="237"/>
      <c r="D4949" s="202"/>
      <c r="E4949" s="202"/>
      <c r="U4949" s="204"/>
    </row>
    <row r="4950" spans="2:21" x14ac:dyDescent="0.2">
      <c r="B4950" s="203"/>
      <c r="C4950" s="237"/>
      <c r="D4950" s="202"/>
      <c r="E4950" s="202"/>
      <c r="U4950" s="204"/>
    </row>
    <row r="4951" spans="2:21" x14ac:dyDescent="0.2">
      <c r="B4951" s="203"/>
      <c r="C4951" s="237"/>
      <c r="D4951" s="202"/>
      <c r="E4951" s="202"/>
      <c r="U4951" s="204"/>
    </row>
    <row r="4952" spans="2:21" x14ac:dyDescent="0.2">
      <c r="B4952" s="203"/>
      <c r="C4952" s="237"/>
      <c r="D4952" s="202"/>
      <c r="E4952" s="202"/>
      <c r="U4952" s="204"/>
    </row>
    <row r="4953" spans="2:21" x14ac:dyDescent="0.2">
      <c r="B4953" s="203"/>
      <c r="C4953" s="237"/>
      <c r="D4953" s="202"/>
      <c r="E4953" s="202"/>
      <c r="U4953" s="204"/>
    </row>
    <row r="4954" spans="2:21" x14ac:dyDescent="0.2">
      <c r="B4954" s="203"/>
      <c r="C4954" s="237"/>
      <c r="D4954" s="202"/>
      <c r="E4954" s="202"/>
      <c r="U4954" s="204"/>
    </row>
    <row r="4955" spans="2:21" x14ac:dyDescent="0.2">
      <c r="B4955" s="203"/>
      <c r="C4955" s="237"/>
      <c r="D4955" s="202"/>
      <c r="E4955" s="202"/>
      <c r="U4955" s="204"/>
    </row>
    <row r="4956" spans="2:21" x14ac:dyDescent="0.2">
      <c r="B4956" s="203"/>
      <c r="C4956" s="237"/>
      <c r="D4956" s="202"/>
      <c r="E4956" s="202"/>
      <c r="U4956" s="204"/>
    </row>
    <row r="4957" spans="2:21" x14ac:dyDescent="0.2">
      <c r="B4957" s="203"/>
      <c r="C4957" s="237"/>
      <c r="D4957" s="202"/>
      <c r="E4957" s="202"/>
      <c r="U4957" s="204"/>
    </row>
    <row r="4958" spans="2:21" x14ac:dyDescent="0.2">
      <c r="B4958" s="203"/>
      <c r="C4958" s="237"/>
      <c r="D4958" s="202"/>
      <c r="E4958" s="202"/>
      <c r="U4958" s="204"/>
    </row>
    <row r="4959" spans="2:21" x14ac:dyDescent="0.2">
      <c r="B4959" s="203"/>
      <c r="C4959" s="237"/>
      <c r="D4959" s="202"/>
      <c r="E4959" s="202"/>
      <c r="U4959" s="204"/>
    </row>
    <row r="4960" spans="2:21" x14ac:dyDescent="0.2">
      <c r="B4960" s="203"/>
      <c r="C4960" s="237"/>
      <c r="D4960" s="202"/>
      <c r="E4960" s="202"/>
      <c r="U4960" s="204"/>
    </row>
    <row r="4961" spans="2:21" x14ac:dyDescent="0.2">
      <c r="B4961" s="203"/>
      <c r="C4961" s="237"/>
      <c r="D4961" s="202"/>
      <c r="E4961" s="202"/>
      <c r="U4961" s="204"/>
    </row>
    <row r="4962" spans="2:21" x14ac:dyDescent="0.2">
      <c r="B4962" s="203"/>
      <c r="C4962" s="237"/>
      <c r="D4962" s="202"/>
      <c r="E4962" s="202"/>
      <c r="U4962" s="204"/>
    </row>
    <row r="4963" spans="2:21" x14ac:dyDescent="0.2">
      <c r="B4963" s="203"/>
      <c r="C4963" s="237"/>
      <c r="D4963" s="202"/>
      <c r="E4963" s="202"/>
      <c r="U4963" s="204"/>
    </row>
    <row r="4964" spans="2:21" x14ac:dyDescent="0.2">
      <c r="B4964" s="203"/>
      <c r="C4964" s="237"/>
      <c r="D4964" s="202"/>
      <c r="E4964" s="202"/>
      <c r="U4964" s="204"/>
    </row>
    <row r="4965" spans="2:21" x14ac:dyDescent="0.2">
      <c r="B4965" s="203"/>
      <c r="C4965" s="237"/>
      <c r="D4965" s="202"/>
      <c r="E4965" s="202"/>
      <c r="U4965" s="204"/>
    </row>
    <row r="4966" spans="2:21" x14ac:dyDescent="0.2">
      <c r="B4966" s="203"/>
      <c r="C4966" s="237"/>
      <c r="D4966" s="202"/>
      <c r="E4966" s="202"/>
      <c r="U4966" s="204"/>
    </row>
    <row r="4967" spans="2:21" x14ac:dyDescent="0.2">
      <c r="B4967" s="203"/>
      <c r="C4967" s="237"/>
      <c r="D4967" s="202"/>
      <c r="E4967" s="202"/>
      <c r="U4967" s="204"/>
    </row>
    <row r="4968" spans="2:21" x14ac:dyDescent="0.2">
      <c r="B4968" s="203"/>
      <c r="C4968" s="237"/>
      <c r="D4968" s="202"/>
      <c r="E4968" s="202"/>
      <c r="U4968" s="204"/>
    </row>
    <row r="4969" spans="2:21" x14ac:dyDescent="0.2">
      <c r="B4969" s="203"/>
      <c r="C4969" s="237"/>
      <c r="D4969" s="202"/>
      <c r="E4969" s="202"/>
      <c r="U4969" s="204"/>
    </row>
    <row r="4970" spans="2:21" x14ac:dyDescent="0.2">
      <c r="B4970" s="203"/>
      <c r="C4970" s="237"/>
      <c r="D4970" s="202"/>
      <c r="E4970" s="202"/>
      <c r="U4970" s="204"/>
    </row>
    <row r="4971" spans="2:21" x14ac:dyDescent="0.2">
      <c r="B4971" s="203"/>
      <c r="C4971" s="237"/>
      <c r="D4971" s="202"/>
      <c r="E4971" s="202"/>
      <c r="U4971" s="204"/>
    </row>
    <row r="4972" spans="2:21" x14ac:dyDescent="0.2">
      <c r="B4972" s="203"/>
      <c r="C4972" s="237"/>
      <c r="D4972" s="202"/>
      <c r="E4972" s="202"/>
      <c r="U4972" s="204"/>
    </row>
    <row r="4973" spans="2:21" x14ac:dyDescent="0.2">
      <c r="B4973" s="203"/>
      <c r="C4973" s="237"/>
      <c r="D4973" s="202"/>
      <c r="E4973" s="202"/>
      <c r="U4973" s="204"/>
    </row>
    <row r="4974" spans="2:21" x14ac:dyDescent="0.2">
      <c r="B4974" s="203"/>
      <c r="C4974" s="237"/>
      <c r="D4974" s="202"/>
      <c r="E4974" s="202"/>
      <c r="U4974" s="204"/>
    </row>
    <row r="4975" spans="2:21" x14ac:dyDescent="0.2">
      <c r="B4975" s="203"/>
      <c r="C4975" s="237"/>
      <c r="D4975" s="202"/>
      <c r="E4975" s="202"/>
      <c r="U4975" s="204"/>
    </row>
    <row r="4976" spans="2:21" x14ac:dyDescent="0.2">
      <c r="B4976" s="203"/>
      <c r="C4976" s="237"/>
      <c r="D4976" s="202"/>
      <c r="E4976" s="202"/>
      <c r="U4976" s="204"/>
    </row>
    <row r="4977" spans="2:21" x14ac:dyDescent="0.2">
      <c r="B4977" s="203"/>
      <c r="C4977" s="237"/>
      <c r="D4977" s="202"/>
      <c r="E4977" s="202"/>
      <c r="U4977" s="204"/>
    </row>
    <row r="4978" spans="2:21" x14ac:dyDescent="0.2">
      <c r="B4978" s="203"/>
      <c r="C4978" s="237"/>
      <c r="D4978" s="202"/>
      <c r="E4978" s="202"/>
      <c r="U4978" s="204"/>
    </row>
    <row r="4979" spans="2:21" x14ac:dyDescent="0.2">
      <c r="B4979" s="203"/>
      <c r="C4979" s="237"/>
      <c r="D4979" s="202"/>
      <c r="E4979" s="202"/>
      <c r="U4979" s="204"/>
    </row>
    <row r="4980" spans="2:21" x14ac:dyDescent="0.2">
      <c r="B4980" s="203"/>
      <c r="C4980" s="237"/>
      <c r="D4980" s="202"/>
      <c r="E4980" s="202"/>
      <c r="U4980" s="204"/>
    </row>
    <row r="4981" spans="2:21" x14ac:dyDescent="0.2">
      <c r="B4981" s="203"/>
      <c r="C4981" s="237"/>
      <c r="D4981" s="202"/>
      <c r="E4981" s="202"/>
      <c r="U4981" s="204"/>
    </row>
    <row r="4982" spans="2:21" x14ac:dyDescent="0.2">
      <c r="B4982" s="203"/>
      <c r="C4982" s="237"/>
      <c r="D4982" s="202"/>
      <c r="E4982" s="202"/>
      <c r="U4982" s="204"/>
    </row>
    <row r="4983" spans="2:21" x14ac:dyDescent="0.2">
      <c r="B4983" s="203"/>
      <c r="C4983" s="237"/>
      <c r="D4983" s="202"/>
      <c r="E4983" s="202"/>
      <c r="U4983" s="204"/>
    </row>
    <row r="4984" spans="2:21" x14ac:dyDescent="0.2">
      <c r="B4984" s="203"/>
      <c r="C4984" s="237"/>
      <c r="D4984" s="202"/>
      <c r="E4984" s="202"/>
      <c r="U4984" s="204"/>
    </row>
    <row r="4985" spans="2:21" x14ac:dyDescent="0.2">
      <c r="B4985" s="203"/>
      <c r="C4985" s="237"/>
      <c r="D4985" s="202"/>
      <c r="E4985" s="202"/>
      <c r="U4985" s="204"/>
    </row>
    <row r="4986" spans="2:21" x14ac:dyDescent="0.2">
      <c r="B4986" s="203"/>
      <c r="C4986" s="237"/>
      <c r="D4986" s="202"/>
      <c r="E4986" s="202"/>
      <c r="U4986" s="204"/>
    </row>
    <row r="4987" spans="2:21" x14ac:dyDescent="0.2">
      <c r="B4987" s="203"/>
      <c r="C4987" s="237"/>
      <c r="D4987" s="202"/>
      <c r="E4987" s="202"/>
      <c r="U4987" s="204"/>
    </row>
    <row r="4988" spans="2:21" x14ac:dyDescent="0.2">
      <c r="B4988" s="203"/>
      <c r="C4988" s="237"/>
      <c r="D4988" s="202"/>
      <c r="E4988" s="202"/>
      <c r="U4988" s="204"/>
    </row>
    <row r="4989" spans="2:21" x14ac:dyDescent="0.2">
      <c r="B4989" s="203"/>
      <c r="C4989" s="237"/>
      <c r="D4989" s="202"/>
      <c r="E4989" s="202"/>
      <c r="U4989" s="204"/>
    </row>
    <row r="4990" spans="2:21" x14ac:dyDescent="0.2">
      <c r="B4990" s="203"/>
      <c r="C4990" s="237"/>
      <c r="D4990" s="202"/>
      <c r="E4990" s="202"/>
      <c r="U4990" s="204"/>
    </row>
    <row r="4991" spans="2:21" x14ac:dyDescent="0.2">
      <c r="B4991" s="203"/>
      <c r="C4991" s="237"/>
      <c r="D4991" s="202"/>
      <c r="E4991" s="202"/>
      <c r="U4991" s="204"/>
    </row>
    <row r="4992" spans="2:21" x14ac:dyDescent="0.2">
      <c r="B4992" s="203"/>
      <c r="C4992" s="237"/>
      <c r="D4992" s="202"/>
      <c r="E4992" s="202"/>
      <c r="U4992" s="204"/>
    </row>
    <row r="4993" spans="2:21" x14ac:dyDescent="0.2">
      <c r="B4993" s="203"/>
      <c r="C4993" s="237"/>
      <c r="D4993" s="202"/>
      <c r="E4993" s="202"/>
      <c r="U4993" s="204"/>
    </row>
    <row r="4994" spans="2:21" x14ac:dyDescent="0.2">
      <c r="B4994" s="203"/>
      <c r="C4994" s="237"/>
      <c r="D4994" s="202"/>
      <c r="E4994" s="202"/>
      <c r="U4994" s="204"/>
    </row>
    <row r="4995" spans="2:21" x14ac:dyDescent="0.2">
      <c r="B4995" s="203"/>
      <c r="C4995" s="237"/>
      <c r="D4995" s="202"/>
      <c r="E4995" s="202"/>
      <c r="U4995" s="204"/>
    </row>
    <row r="4996" spans="2:21" x14ac:dyDescent="0.2">
      <c r="B4996" s="203"/>
      <c r="C4996" s="237"/>
      <c r="D4996" s="202"/>
      <c r="E4996" s="202"/>
      <c r="U4996" s="204"/>
    </row>
    <row r="4997" spans="2:21" x14ac:dyDescent="0.2">
      <c r="B4997" s="203"/>
      <c r="C4997" s="237"/>
      <c r="D4997" s="202"/>
      <c r="E4997" s="202"/>
      <c r="U4997" s="204"/>
    </row>
    <row r="4998" spans="2:21" x14ac:dyDescent="0.2">
      <c r="B4998" s="203"/>
      <c r="C4998" s="237"/>
      <c r="D4998" s="202"/>
      <c r="E4998" s="202"/>
      <c r="U4998" s="204"/>
    </row>
    <row r="4999" spans="2:21" x14ac:dyDescent="0.2">
      <c r="B4999" s="203"/>
      <c r="C4999" s="237"/>
      <c r="D4999" s="202"/>
      <c r="E4999" s="202"/>
      <c r="U4999" s="204"/>
    </row>
    <row r="5000" spans="2:21" x14ac:dyDescent="0.2">
      <c r="B5000" s="203"/>
      <c r="C5000" s="237"/>
      <c r="D5000" s="202"/>
      <c r="E5000" s="202"/>
      <c r="U5000" s="204"/>
    </row>
    <row r="5001" spans="2:21" x14ac:dyDescent="0.2">
      <c r="B5001" s="203"/>
      <c r="C5001" s="237"/>
      <c r="D5001" s="202"/>
      <c r="E5001" s="202"/>
      <c r="U5001" s="204"/>
    </row>
    <row r="5002" spans="2:21" x14ac:dyDescent="0.2">
      <c r="B5002" s="203"/>
      <c r="C5002" s="237"/>
      <c r="D5002" s="202"/>
      <c r="E5002" s="202"/>
      <c r="U5002" s="204"/>
    </row>
    <row r="5003" spans="2:21" x14ac:dyDescent="0.2">
      <c r="B5003" s="203"/>
      <c r="C5003" s="237"/>
      <c r="D5003" s="202"/>
      <c r="E5003" s="202"/>
      <c r="U5003" s="204"/>
    </row>
    <row r="5004" spans="2:21" x14ac:dyDescent="0.2">
      <c r="B5004" s="203"/>
      <c r="C5004" s="237"/>
      <c r="D5004" s="202"/>
      <c r="E5004" s="202"/>
      <c r="U5004" s="204"/>
    </row>
    <row r="5005" spans="2:21" x14ac:dyDescent="0.2">
      <c r="B5005" s="203"/>
      <c r="C5005" s="237"/>
      <c r="D5005" s="202"/>
      <c r="E5005" s="202"/>
      <c r="U5005" s="204"/>
    </row>
    <row r="5006" spans="2:21" x14ac:dyDescent="0.2">
      <c r="B5006" s="203"/>
      <c r="C5006" s="237"/>
      <c r="D5006" s="202"/>
      <c r="E5006" s="202"/>
      <c r="U5006" s="204"/>
    </row>
    <row r="5007" spans="2:21" x14ac:dyDescent="0.2">
      <c r="B5007" s="203"/>
      <c r="C5007" s="237"/>
      <c r="D5007" s="202"/>
      <c r="E5007" s="202"/>
      <c r="U5007" s="204"/>
    </row>
    <row r="5008" spans="2:21" x14ac:dyDescent="0.2">
      <c r="B5008" s="203"/>
      <c r="C5008" s="237"/>
      <c r="D5008" s="202"/>
      <c r="E5008" s="202"/>
      <c r="U5008" s="204"/>
    </row>
    <row r="5009" spans="2:21" x14ac:dyDescent="0.2">
      <c r="B5009" s="203"/>
      <c r="C5009" s="237"/>
      <c r="D5009" s="202"/>
      <c r="E5009" s="202"/>
      <c r="U5009" s="204"/>
    </row>
    <row r="5010" spans="2:21" x14ac:dyDescent="0.2">
      <c r="B5010" s="203"/>
      <c r="C5010" s="237"/>
      <c r="D5010" s="202"/>
      <c r="E5010" s="202"/>
      <c r="U5010" s="204"/>
    </row>
    <row r="5011" spans="2:21" x14ac:dyDescent="0.2">
      <c r="B5011" s="203"/>
      <c r="C5011" s="237"/>
      <c r="D5011" s="202"/>
      <c r="E5011" s="202"/>
      <c r="U5011" s="204"/>
    </row>
    <row r="5012" spans="2:21" x14ac:dyDescent="0.2">
      <c r="B5012" s="203"/>
      <c r="C5012" s="237"/>
      <c r="D5012" s="202"/>
      <c r="E5012" s="202"/>
      <c r="U5012" s="204"/>
    </row>
    <row r="5013" spans="2:21" x14ac:dyDescent="0.2">
      <c r="B5013" s="203"/>
      <c r="C5013" s="237"/>
      <c r="D5013" s="202"/>
      <c r="E5013" s="202"/>
      <c r="U5013" s="204"/>
    </row>
    <row r="5014" spans="2:21" x14ac:dyDescent="0.2">
      <c r="B5014" s="203"/>
      <c r="C5014" s="237"/>
      <c r="D5014" s="202"/>
      <c r="E5014" s="202"/>
      <c r="U5014" s="204"/>
    </row>
    <row r="5015" spans="2:21" x14ac:dyDescent="0.2">
      <c r="B5015" s="203"/>
      <c r="C5015" s="237"/>
      <c r="D5015" s="202"/>
      <c r="E5015" s="202"/>
      <c r="U5015" s="204"/>
    </row>
    <row r="5016" spans="2:21" x14ac:dyDescent="0.2">
      <c r="B5016" s="203"/>
      <c r="C5016" s="237"/>
      <c r="D5016" s="202"/>
      <c r="E5016" s="202"/>
      <c r="U5016" s="204"/>
    </row>
    <row r="5017" spans="2:21" x14ac:dyDescent="0.2">
      <c r="B5017" s="203"/>
      <c r="C5017" s="237"/>
      <c r="D5017" s="202"/>
      <c r="E5017" s="202"/>
      <c r="U5017" s="204"/>
    </row>
    <row r="5018" spans="2:21" x14ac:dyDescent="0.2">
      <c r="B5018" s="203"/>
      <c r="C5018" s="237"/>
      <c r="D5018" s="202"/>
      <c r="E5018" s="202"/>
      <c r="U5018" s="204"/>
    </row>
    <row r="5019" spans="2:21" x14ac:dyDescent="0.2">
      <c r="B5019" s="203"/>
      <c r="C5019" s="237"/>
      <c r="D5019" s="202"/>
      <c r="E5019" s="202"/>
      <c r="U5019" s="204"/>
    </row>
    <row r="5020" spans="2:21" x14ac:dyDescent="0.2">
      <c r="B5020" s="203"/>
      <c r="C5020" s="237"/>
      <c r="D5020" s="202"/>
      <c r="E5020" s="202"/>
      <c r="U5020" s="204"/>
    </row>
    <row r="5021" spans="2:21" x14ac:dyDescent="0.2">
      <c r="B5021" s="203"/>
      <c r="C5021" s="237"/>
      <c r="D5021" s="202"/>
      <c r="E5021" s="202"/>
      <c r="U5021" s="204"/>
    </row>
    <row r="5022" spans="2:21" x14ac:dyDescent="0.2">
      <c r="B5022" s="203"/>
      <c r="C5022" s="237"/>
      <c r="D5022" s="202"/>
      <c r="E5022" s="202"/>
      <c r="U5022" s="204"/>
    </row>
    <row r="5023" spans="2:21" x14ac:dyDescent="0.2">
      <c r="B5023" s="203"/>
      <c r="C5023" s="237"/>
      <c r="D5023" s="202"/>
      <c r="E5023" s="202"/>
      <c r="U5023" s="204"/>
    </row>
    <row r="5024" spans="2:21" x14ac:dyDescent="0.2">
      <c r="B5024" s="203"/>
      <c r="C5024" s="237"/>
      <c r="D5024" s="202"/>
      <c r="E5024" s="202"/>
      <c r="U5024" s="204"/>
    </row>
    <row r="5025" spans="2:21" x14ac:dyDescent="0.2">
      <c r="B5025" s="203"/>
      <c r="C5025" s="237"/>
      <c r="D5025" s="202"/>
      <c r="E5025" s="202"/>
      <c r="U5025" s="204"/>
    </row>
    <row r="5026" spans="2:21" x14ac:dyDescent="0.2">
      <c r="B5026" s="203"/>
      <c r="C5026" s="237"/>
      <c r="D5026" s="202"/>
      <c r="E5026" s="202"/>
      <c r="U5026" s="204"/>
    </row>
    <row r="5027" spans="2:21" x14ac:dyDescent="0.2">
      <c r="B5027" s="203"/>
      <c r="C5027" s="237"/>
      <c r="D5027" s="202"/>
      <c r="E5027" s="202"/>
      <c r="U5027" s="204"/>
    </row>
    <row r="5028" spans="2:21" x14ac:dyDescent="0.2">
      <c r="B5028" s="203"/>
      <c r="C5028" s="237"/>
      <c r="D5028" s="202"/>
      <c r="E5028" s="202"/>
      <c r="U5028" s="204"/>
    </row>
    <row r="5029" spans="2:21" x14ac:dyDescent="0.2">
      <c r="B5029" s="203"/>
      <c r="C5029" s="237"/>
      <c r="D5029" s="202"/>
      <c r="E5029" s="202"/>
      <c r="U5029" s="204"/>
    </row>
    <row r="5030" spans="2:21" x14ac:dyDescent="0.2">
      <c r="B5030" s="203"/>
      <c r="C5030" s="237"/>
      <c r="D5030" s="202"/>
      <c r="E5030" s="202"/>
      <c r="U5030" s="204"/>
    </row>
    <row r="5031" spans="2:21" x14ac:dyDescent="0.2">
      <c r="B5031" s="203"/>
      <c r="C5031" s="237"/>
      <c r="D5031" s="202"/>
      <c r="E5031" s="202"/>
      <c r="U5031" s="204"/>
    </row>
    <row r="5032" spans="2:21" x14ac:dyDescent="0.2">
      <c r="B5032" s="203"/>
      <c r="C5032" s="237"/>
      <c r="D5032" s="202"/>
      <c r="E5032" s="202"/>
      <c r="U5032" s="204"/>
    </row>
    <row r="5033" spans="2:21" x14ac:dyDescent="0.2">
      <c r="B5033" s="203"/>
      <c r="C5033" s="237"/>
      <c r="D5033" s="202"/>
      <c r="E5033" s="202"/>
      <c r="U5033" s="204"/>
    </row>
    <row r="5034" spans="2:21" x14ac:dyDescent="0.2">
      <c r="B5034" s="203"/>
      <c r="C5034" s="237"/>
      <c r="D5034" s="202"/>
      <c r="E5034" s="202"/>
      <c r="U5034" s="204"/>
    </row>
    <row r="5035" spans="2:21" x14ac:dyDescent="0.2">
      <c r="B5035" s="203"/>
      <c r="C5035" s="237"/>
      <c r="D5035" s="202"/>
      <c r="E5035" s="202"/>
      <c r="U5035" s="204"/>
    </row>
    <row r="5036" spans="2:21" x14ac:dyDescent="0.2">
      <c r="B5036" s="203"/>
      <c r="C5036" s="237"/>
      <c r="D5036" s="202"/>
      <c r="E5036" s="202"/>
      <c r="U5036" s="204"/>
    </row>
    <row r="5037" spans="2:21" x14ac:dyDescent="0.2">
      <c r="B5037" s="203"/>
      <c r="C5037" s="237"/>
      <c r="D5037" s="202"/>
      <c r="E5037" s="202"/>
      <c r="U5037" s="204"/>
    </row>
    <row r="5038" spans="2:21" x14ac:dyDescent="0.2">
      <c r="B5038" s="203"/>
      <c r="C5038" s="237"/>
      <c r="D5038" s="202"/>
      <c r="E5038" s="202"/>
      <c r="U5038" s="204"/>
    </row>
    <row r="5039" spans="2:21" x14ac:dyDescent="0.2">
      <c r="B5039" s="203"/>
      <c r="C5039" s="237"/>
      <c r="D5039" s="202"/>
      <c r="E5039" s="202"/>
      <c r="U5039" s="204"/>
    </row>
    <row r="5040" spans="2:21" x14ac:dyDescent="0.2">
      <c r="B5040" s="203"/>
      <c r="C5040" s="237"/>
      <c r="D5040" s="202"/>
      <c r="E5040" s="202"/>
      <c r="U5040" s="204"/>
    </row>
    <row r="5041" spans="2:21" x14ac:dyDescent="0.2">
      <c r="B5041" s="203"/>
      <c r="C5041" s="237"/>
      <c r="D5041" s="202"/>
      <c r="E5041" s="202"/>
      <c r="U5041" s="204"/>
    </row>
    <row r="5042" spans="2:21" x14ac:dyDescent="0.2">
      <c r="B5042" s="203"/>
      <c r="C5042" s="237"/>
      <c r="D5042" s="202"/>
      <c r="E5042" s="202"/>
      <c r="U5042" s="204"/>
    </row>
    <row r="5043" spans="2:21" x14ac:dyDescent="0.2">
      <c r="B5043" s="203"/>
      <c r="C5043" s="237"/>
      <c r="D5043" s="202"/>
      <c r="E5043" s="202"/>
      <c r="U5043" s="204"/>
    </row>
    <row r="5044" spans="2:21" x14ac:dyDescent="0.2">
      <c r="B5044" s="203"/>
      <c r="C5044" s="237"/>
      <c r="D5044" s="202"/>
      <c r="E5044" s="202"/>
      <c r="U5044" s="204"/>
    </row>
    <row r="5045" spans="2:21" x14ac:dyDescent="0.2">
      <c r="B5045" s="203"/>
      <c r="C5045" s="237"/>
      <c r="D5045" s="202"/>
      <c r="E5045" s="202"/>
      <c r="U5045" s="204"/>
    </row>
    <row r="5046" spans="2:21" x14ac:dyDescent="0.2">
      <c r="B5046" s="203"/>
      <c r="C5046" s="237"/>
      <c r="D5046" s="202"/>
      <c r="E5046" s="202"/>
      <c r="U5046" s="204"/>
    </row>
    <row r="5047" spans="2:21" x14ac:dyDescent="0.2">
      <c r="B5047" s="203"/>
      <c r="C5047" s="237"/>
      <c r="D5047" s="202"/>
      <c r="E5047" s="202"/>
      <c r="U5047" s="204"/>
    </row>
    <row r="5048" spans="2:21" x14ac:dyDescent="0.2">
      <c r="B5048" s="203"/>
      <c r="C5048" s="237"/>
      <c r="D5048" s="202"/>
      <c r="E5048" s="202"/>
      <c r="U5048" s="204"/>
    </row>
    <row r="5049" spans="2:21" x14ac:dyDescent="0.2">
      <c r="B5049" s="203"/>
      <c r="C5049" s="237"/>
      <c r="D5049" s="202"/>
      <c r="E5049" s="202"/>
      <c r="U5049" s="204"/>
    </row>
    <row r="5050" spans="2:21" x14ac:dyDescent="0.2">
      <c r="B5050" s="203"/>
      <c r="C5050" s="237"/>
      <c r="D5050" s="202"/>
      <c r="E5050" s="202"/>
      <c r="U5050" s="204"/>
    </row>
    <row r="5051" spans="2:21" x14ac:dyDescent="0.2">
      <c r="B5051" s="203"/>
      <c r="C5051" s="237"/>
      <c r="D5051" s="202"/>
      <c r="E5051" s="202"/>
      <c r="U5051" s="204"/>
    </row>
    <row r="5052" spans="2:21" x14ac:dyDescent="0.2">
      <c r="B5052" s="203"/>
      <c r="C5052" s="237"/>
      <c r="D5052" s="202"/>
      <c r="E5052" s="202"/>
      <c r="U5052" s="204"/>
    </row>
    <row r="5053" spans="2:21" x14ac:dyDescent="0.2">
      <c r="B5053" s="203"/>
      <c r="C5053" s="237"/>
      <c r="D5053" s="202"/>
      <c r="E5053" s="202"/>
      <c r="U5053" s="204"/>
    </row>
    <row r="5054" spans="2:21" x14ac:dyDescent="0.2">
      <c r="B5054" s="203"/>
      <c r="C5054" s="237"/>
      <c r="D5054" s="202"/>
      <c r="E5054" s="202"/>
      <c r="U5054" s="204"/>
    </row>
    <row r="5055" spans="2:21" x14ac:dyDescent="0.2">
      <c r="B5055" s="203"/>
      <c r="C5055" s="237"/>
      <c r="D5055" s="202"/>
      <c r="E5055" s="202"/>
      <c r="U5055" s="204"/>
    </row>
    <row r="5056" spans="2:21" x14ac:dyDescent="0.2">
      <c r="B5056" s="203"/>
      <c r="C5056" s="237"/>
      <c r="D5056" s="202"/>
      <c r="E5056" s="202"/>
      <c r="U5056" s="204"/>
    </row>
    <row r="5057" spans="2:21" x14ac:dyDescent="0.2">
      <c r="B5057" s="203"/>
      <c r="C5057" s="237"/>
      <c r="D5057" s="202"/>
      <c r="E5057" s="202"/>
      <c r="U5057" s="204"/>
    </row>
    <row r="5058" spans="2:21" x14ac:dyDescent="0.2">
      <c r="B5058" s="203"/>
      <c r="C5058" s="237"/>
      <c r="D5058" s="202"/>
      <c r="E5058" s="202"/>
      <c r="U5058" s="204"/>
    </row>
    <row r="5059" spans="2:21" x14ac:dyDescent="0.2">
      <c r="B5059" s="203"/>
      <c r="C5059" s="237"/>
      <c r="D5059" s="202"/>
      <c r="E5059" s="202"/>
      <c r="U5059" s="204"/>
    </row>
    <row r="5060" spans="2:21" x14ac:dyDescent="0.2">
      <c r="B5060" s="203"/>
      <c r="C5060" s="237"/>
      <c r="D5060" s="202"/>
      <c r="E5060" s="202"/>
      <c r="U5060" s="204"/>
    </row>
    <row r="5061" spans="2:21" x14ac:dyDescent="0.2">
      <c r="B5061" s="203"/>
      <c r="C5061" s="237"/>
      <c r="D5061" s="202"/>
      <c r="E5061" s="202"/>
      <c r="U5061" s="204"/>
    </row>
    <row r="5062" spans="2:21" x14ac:dyDescent="0.2">
      <c r="B5062" s="203"/>
      <c r="C5062" s="237"/>
      <c r="D5062" s="202"/>
      <c r="E5062" s="202"/>
      <c r="U5062" s="204"/>
    </row>
    <row r="5063" spans="2:21" x14ac:dyDescent="0.2">
      <c r="B5063" s="203"/>
      <c r="C5063" s="237"/>
      <c r="D5063" s="202"/>
      <c r="E5063" s="202"/>
      <c r="U5063" s="204"/>
    </row>
    <row r="5064" spans="2:21" x14ac:dyDescent="0.2">
      <c r="B5064" s="203"/>
      <c r="C5064" s="237"/>
      <c r="D5064" s="202"/>
      <c r="E5064" s="202"/>
      <c r="U5064" s="204"/>
    </row>
    <row r="5065" spans="2:21" x14ac:dyDescent="0.2">
      <c r="B5065" s="203"/>
      <c r="C5065" s="237"/>
      <c r="D5065" s="202"/>
      <c r="E5065" s="202"/>
      <c r="U5065" s="204"/>
    </row>
    <row r="5066" spans="2:21" x14ac:dyDescent="0.2">
      <c r="B5066" s="203"/>
      <c r="C5066" s="237"/>
      <c r="D5066" s="202"/>
      <c r="E5066" s="202"/>
      <c r="U5066" s="204"/>
    </row>
    <row r="5067" spans="2:21" x14ac:dyDescent="0.2">
      <c r="B5067" s="203"/>
      <c r="C5067" s="237"/>
      <c r="D5067" s="202"/>
      <c r="E5067" s="202"/>
      <c r="U5067" s="204"/>
    </row>
    <row r="5068" spans="2:21" x14ac:dyDescent="0.2">
      <c r="B5068" s="203"/>
      <c r="C5068" s="237"/>
      <c r="D5068" s="202"/>
      <c r="E5068" s="202"/>
      <c r="U5068" s="204"/>
    </row>
    <row r="5069" spans="2:21" x14ac:dyDescent="0.2">
      <c r="B5069" s="203"/>
      <c r="C5069" s="237"/>
      <c r="D5069" s="202"/>
      <c r="E5069" s="202"/>
      <c r="U5069" s="204"/>
    </row>
    <row r="5070" spans="2:21" x14ac:dyDescent="0.2">
      <c r="B5070" s="203"/>
      <c r="C5070" s="237"/>
      <c r="D5070" s="202"/>
      <c r="E5070" s="202"/>
      <c r="U5070" s="204"/>
    </row>
    <row r="5071" spans="2:21" x14ac:dyDescent="0.2">
      <c r="B5071" s="203"/>
      <c r="C5071" s="237"/>
      <c r="D5071" s="202"/>
      <c r="E5071" s="202"/>
      <c r="U5071" s="204"/>
    </row>
    <row r="5072" spans="2:21" x14ac:dyDescent="0.2">
      <c r="B5072" s="203"/>
      <c r="C5072" s="237"/>
      <c r="D5072" s="202"/>
      <c r="E5072" s="202"/>
      <c r="U5072" s="204"/>
    </row>
    <row r="5073" spans="2:21" x14ac:dyDescent="0.2">
      <c r="B5073" s="203"/>
      <c r="C5073" s="237"/>
      <c r="D5073" s="202"/>
      <c r="E5073" s="202"/>
      <c r="U5073" s="204"/>
    </row>
    <row r="5074" spans="2:21" x14ac:dyDescent="0.2">
      <c r="B5074" s="203"/>
      <c r="C5074" s="237"/>
      <c r="D5074" s="202"/>
      <c r="E5074" s="202"/>
      <c r="U5074" s="204"/>
    </row>
    <row r="5075" spans="2:21" x14ac:dyDescent="0.2">
      <c r="B5075" s="203"/>
      <c r="C5075" s="237"/>
      <c r="D5075" s="202"/>
      <c r="E5075" s="202"/>
      <c r="U5075" s="204"/>
    </row>
    <row r="5076" spans="2:21" x14ac:dyDescent="0.2">
      <c r="B5076" s="203"/>
      <c r="C5076" s="237"/>
      <c r="D5076" s="202"/>
      <c r="E5076" s="202"/>
      <c r="U5076" s="204"/>
    </row>
    <row r="5077" spans="2:21" x14ac:dyDescent="0.2">
      <c r="B5077" s="203"/>
      <c r="C5077" s="237"/>
      <c r="D5077" s="202"/>
      <c r="E5077" s="202"/>
      <c r="U5077" s="204"/>
    </row>
    <row r="5078" spans="2:21" x14ac:dyDescent="0.2">
      <c r="B5078" s="203"/>
      <c r="C5078" s="237"/>
      <c r="D5078" s="202"/>
      <c r="E5078" s="202"/>
      <c r="U5078" s="204"/>
    </row>
    <row r="5079" spans="2:21" x14ac:dyDescent="0.2">
      <c r="B5079" s="203"/>
      <c r="C5079" s="237"/>
      <c r="D5079" s="202"/>
      <c r="E5079" s="202"/>
      <c r="U5079" s="204"/>
    </row>
    <row r="5080" spans="2:21" x14ac:dyDescent="0.2">
      <c r="B5080" s="203"/>
      <c r="C5080" s="237"/>
      <c r="D5080" s="202"/>
      <c r="E5080" s="202"/>
      <c r="U5080" s="204"/>
    </row>
    <row r="5081" spans="2:21" x14ac:dyDescent="0.2">
      <c r="B5081" s="203"/>
      <c r="C5081" s="237"/>
      <c r="D5081" s="202"/>
      <c r="E5081" s="202"/>
      <c r="U5081" s="204"/>
    </row>
    <row r="5082" spans="2:21" x14ac:dyDescent="0.2">
      <c r="B5082" s="203"/>
      <c r="C5082" s="237"/>
      <c r="D5082" s="202"/>
      <c r="E5082" s="202"/>
      <c r="U5082" s="204"/>
    </row>
    <row r="5083" spans="2:21" x14ac:dyDescent="0.2">
      <c r="B5083" s="203"/>
      <c r="C5083" s="237"/>
      <c r="D5083" s="202"/>
      <c r="E5083" s="202"/>
      <c r="U5083" s="204"/>
    </row>
    <row r="5084" spans="2:21" x14ac:dyDescent="0.2">
      <c r="B5084" s="203"/>
      <c r="C5084" s="237"/>
      <c r="D5084" s="202"/>
      <c r="E5084" s="202"/>
      <c r="U5084" s="204"/>
    </row>
    <row r="5085" spans="2:21" x14ac:dyDescent="0.2">
      <c r="B5085" s="203"/>
      <c r="C5085" s="237"/>
      <c r="D5085" s="202"/>
      <c r="E5085" s="202"/>
      <c r="U5085" s="204"/>
    </row>
    <row r="5086" spans="2:21" x14ac:dyDescent="0.2">
      <c r="B5086" s="203"/>
      <c r="C5086" s="237"/>
      <c r="D5086" s="202"/>
      <c r="E5086" s="202"/>
      <c r="U5086" s="204"/>
    </row>
    <row r="5087" spans="2:21" x14ac:dyDescent="0.2">
      <c r="B5087" s="203"/>
      <c r="C5087" s="237"/>
      <c r="D5087" s="202"/>
      <c r="E5087" s="202"/>
      <c r="U5087" s="204"/>
    </row>
    <row r="5088" spans="2:21" x14ac:dyDescent="0.2">
      <c r="B5088" s="203"/>
      <c r="C5088" s="237"/>
      <c r="D5088" s="202"/>
      <c r="E5088" s="202"/>
      <c r="U5088" s="204"/>
    </row>
    <row r="5089" spans="2:21" x14ac:dyDescent="0.2">
      <c r="B5089" s="203"/>
      <c r="C5089" s="237"/>
      <c r="D5089" s="202"/>
      <c r="E5089" s="202"/>
      <c r="U5089" s="204"/>
    </row>
    <row r="5090" spans="2:21" x14ac:dyDescent="0.2">
      <c r="B5090" s="203"/>
      <c r="C5090" s="237"/>
      <c r="D5090" s="202"/>
      <c r="E5090" s="202"/>
      <c r="U5090" s="204"/>
    </row>
    <row r="5091" spans="2:21" x14ac:dyDescent="0.2">
      <c r="B5091" s="203"/>
      <c r="C5091" s="237"/>
      <c r="D5091" s="202"/>
      <c r="E5091" s="202"/>
      <c r="U5091" s="204"/>
    </row>
    <row r="5092" spans="2:21" x14ac:dyDescent="0.2">
      <c r="B5092" s="203"/>
      <c r="C5092" s="237"/>
      <c r="D5092" s="202"/>
      <c r="E5092" s="202"/>
      <c r="U5092" s="204"/>
    </row>
    <row r="5093" spans="2:21" x14ac:dyDescent="0.2">
      <c r="B5093" s="203"/>
      <c r="C5093" s="237"/>
      <c r="D5093" s="202"/>
      <c r="E5093" s="202"/>
      <c r="U5093" s="204"/>
    </row>
    <row r="5094" spans="2:21" x14ac:dyDescent="0.2">
      <c r="B5094" s="203"/>
      <c r="C5094" s="237"/>
      <c r="D5094" s="202"/>
      <c r="E5094" s="202"/>
      <c r="U5094" s="204"/>
    </row>
    <row r="5095" spans="2:21" x14ac:dyDescent="0.2">
      <c r="B5095" s="203"/>
      <c r="C5095" s="237"/>
      <c r="D5095" s="202"/>
      <c r="E5095" s="202"/>
      <c r="U5095" s="204"/>
    </row>
    <row r="5096" spans="2:21" x14ac:dyDescent="0.2">
      <c r="B5096" s="203"/>
      <c r="C5096" s="237"/>
      <c r="D5096" s="202"/>
      <c r="E5096" s="202"/>
      <c r="U5096" s="204"/>
    </row>
    <row r="5097" spans="2:21" x14ac:dyDescent="0.2">
      <c r="B5097" s="203"/>
      <c r="C5097" s="237"/>
      <c r="D5097" s="202"/>
      <c r="E5097" s="202"/>
      <c r="U5097" s="204"/>
    </row>
    <row r="5098" spans="2:21" x14ac:dyDescent="0.2">
      <c r="B5098" s="203"/>
      <c r="C5098" s="237"/>
      <c r="D5098" s="202"/>
      <c r="E5098" s="202"/>
      <c r="U5098" s="204"/>
    </row>
    <row r="5099" spans="2:21" x14ac:dyDescent="0.2">
      <c r="B5099" s="203"/>
      <c r="C5099" s="237"/>
      <c r="D5099" s="202"/>
      <c r="E5099" s="202"/>
      <c r="U5099" s="204"/>
    </row>
    <row r="5100" spans="2:21" x14ac:dyDescent="0.2">
      <c r="B5100" s="203"/>
      <c r="C5100" s="237"/>
      <c r="D5100" s="202"/>
      <c r="E5100" s="202"/>
      <c r="U5100" s="204"/>
    </row>
    <row r="5101" spans="2:21" x14ac:dyDescent="0.2">
      <c r="B5101" s="203"/>
      <c r="C5101" s="237"/>
      <c r="D5101" s="202"/>
      <c r="E5101" s="202"/>
      <c r="U5101" s="204"/>
    </row>
    <row r="5102" spans="2:21" x14ac:dyDescent="0.2">
      <c r="B5102" s="203"/>
      <c r="C5102" s="237"/>
      <c r="D5102" s="202"/>
      <c r="E5102" s="202"/>
      <c r="U5102" s="204"/>
    </row>
    <row r="5103" spans="2:21" x14ac:dyDescent="0.2">
      <c r="B5103" s="203"/>
      <c r="C5103" s="237"/>
      <c r="D5103" s="202"/>
      <c r="E5103" s="202"/>
      <c r="U5103" s="204"/>
    </row>
    <row r="5104" spans="2:21" x14ac:dyDescent="0.2">
      <c r="B5104" s="203"/>
      <c r="C5104" s="237"/>
      <c r="D5104" s="202"/>
      <c r="E5104" s="202"/>
      <c r="U5104" s="204"/>
    </row>
    <row r="5105" spans="2:21" x14ac:dyDescent="0.2">
      <c r="B5105" s="203"/>
      <c r="C5105" s="237"/>
      <c r="D5105" s="202"/>
      <c r="E5105" s="202"/>
      <c r="U5105" s="204"/>
    </row>
    <row r="5106" spans="2:21" x14ac:dyDescent="0.2">
      <c r="B5106" s="203"/>
      <c r="C5106" s="237"/>
      <c r="D5106" s="202"/>
      <c r="E5106" s="202"/>
      <c r="U5106" s="204"/>
    </row>
    <row r="5107" spans="2:21" x14ac:dyDescent="0.2">
      <c r="B5107" s="203"/>
      <c r="C5107" s="237"/>
      <c r="D5107" s="202"/>
      <c r="E5107" s="202"/>
      <c r="U5107" s="204"/>
    </row>
    <row r="5108" spans="2:21" x14ac:dyDescent="0.2">
      <c r="B5108" s="203"/>
      <c r="C5108" s="237"/>
      <c r="D5108" s="202"/>
      <c r="E5108" s="202"/>
      <c r="U5108" s="204"/>
    </row>
    <row r="5109" spans="2:21" x14ac:dyDescent="0.2">
      <c r="B5109" s="203"/>
      <c r="C5109" s="237"/>
      <c r="D5109" s="202"/>
      <c r="E5109" s="202"/>
      <c r="U5109" s="204"/>
    </row>
    <row r="5110" spans="2:21" x14ac:dyDescent="0.2">
      <c r="B5110" s="203"/>
      <c r="C5110" s="237"/>
      <c r="D5110" s="202"/>
      <c r="E5110" s="202"/>
      <c r="U5110" s="204"/>
    </row>
    <row r="5111" spans="2:21" x14ac:dyDescent="0.2">
      <c r="B5111" s="203"/>
      <c r="C5111" s="237"/>
      <c r="D5111" s="202"/>
      <c r="E5111" s="202"/>
      <c r="U5111" s="204"/>
    </row>
    <row r="5112" spans="2:21" x14ac:dyDescent="0.2">
      <c r="B5112" s="203"/>
      <c r="C5112" s="237"/>
      <c r="D5112" s="202"/>
      <c r="E5112" s="202"/>
      <c r="U5112" s="204"/>
    </row>
    <row r="5113" spans="2:21" x14ac:dyDescent="0.2">
      <c r="B5113" s="203"/>
      <c r="C5113" s="237"/>
      <c r="D5113" s="202"/>
      <c r="E5113" s="202"/>
      <c r="U5113" s="204"/>
    </row>
    <row r="5114" spans="2:21" x14ac:dyDescent="0.2">
      <c r="B5114" s="203"/>
      <c r="C5114" s="237"/>
      <c r="D5114" s="202"/>
      <c r="E5114" s="202"/>
      <c r="U5114" s="204"/>
    </row>
    <row r="5115" spans="2:21" x14ac:dyDescent="0.2">
      <c r="B5115" s="203"/>
      <c r="C5115" s="237"/>
      <c r="D5115" s="202"/>
      <c r="E5115" s="202"/>
      <c r="U5115" s="204"/>
    </row>
    <row r="5116" spans="2:21" x14ac:dyDescent="0.2">
      <c r="B5116" s="203"/>
      <c r="C5116" s="237"/>
      <c r="D5116" s="202"/>
      <c r="E5116" s="202"/>
      <c r="U5116" s="204"/>
    </row>
    <row r="5117" spans="2:21" x14ac:dyDescent="0.2">
      <c r="B5117" s="203"/>
      <c r="C5117" s="237"/>
      <c r="D5117" s="202"/>
      <c r="E5117" s="202"/>
      <c r="U5117" s="204"/>
    </row>
    <row r="5118" spans="2:21" x14ac:dyDescent="0.2">
      <c r="B5118" s="203"/>
      <c r="C5118" s="237"/>
      <c r="D5118" s="202"/>
      <c r="E5118" s="202"/>
      <c r="U5118" s="204"/>
    </row>
    <row r="5119" spans="2:21" x14ac:dyDescent="0.2">
      <c r="B5119" s="203"/>
      <c r="C5119" s="237"/>
      <c r="D5119" s="202"/>
      <c r="E5119" s="202"/>
      <c r="U5119" s="204"/>
    </row>
    <row r="5120" spans="2:21" x14ac:dyDescent="0.2">
      <c r="B5120" s="203"/>
      <c r="C5120" s="237"/>
      <c r="D5120" s="202"/>
      <c r="E5120" s="202"/>
      <c r="U5120" s="204"/>
    </row>
    <row r="5121" spans="2:21" x14ac:dyDescent="0.2">
      <c r="B5121" s="203"/>
      <c r="C5121" s="237"/>
      <c r="D5121" s="202"/>
      <c r="E5121" s="202"/>
      <c r="U5121" s="204"/>
    </row>
    <row r="5122" spans="2:21" x14ac:dyDescent="0.2">
      <c r="B5122" s="203"/>
      <c r="C5122" s="237"/>
      <c r="D5122" s="202"/>
      <c r="E5122" s="202"/>
      <c r="U5122" s="204"/>
    </row>
    <row r="5123" spans="2:21" x14ac:dyDescent="0.2">
      <c r="B5123" s="203"/>
      <c r="C5123" s="237"/>
      <c r="D5123" s="202"/>
      <c r="E5123" s="202"/>
      <c r="U5123" s="204"/>
    </row>
    <row r="5124" spans="2:21" x14ac:dyDescent="0.2">
      <c r="B5124" s="203"/>
      <c r="C5124" s="237"/>
      <c r="D5124" s="202"/>
      <c r="E5124" s="202"/>
      <c r="U5124" s="204"/>
    </row>
    <row r="5125" spans="2:21" x14ac:dyDescent="0.2">
      <c r="B5125" s="203"/>
      <c r="C5125" s="237"/>
      <c r="D5125" s="202"/>
      <c r="E5125" s="202"/>
      <c r="U5125" s="204"/>
    </row>
    <row r="5126" spans="2:21" x14ac:dyDescent="0.2">
      <c r="B5126" s="203"/>
      <c r="C5126" s="237"/>
      <c r="D5126" s="202"/>
      <c r="E5126" s="202"/>
      <c r="U5126" s="204"/>
    </row>
    <row r="5127" spans="2:21" x14ac:dyDescent="0.2">
      <c r="B5127" s="203"/>
      <c r="C5127" s="237"/>
      <c r="D5127" s="202"/>
      <c r="E5127" s="202"/>
      <c r="U5127" s="204"/>
    </row>
    <row r="5128" spans="2:21" x14ac:dyDescent="0.2">
      <c r="B5128" s="203"/>
      <c r="C5128" s="237"/>
      <c r="D5128" s="202"/>
      <c r="E5128" s="202"/>
      <c r="U5128" s="204"/>
    </row>
    <row r="5129" spans="2:21" x14ac:dyDescent="0.2">
      <c r="B5129" s="203"/>
      <c r="C5129" s="237"/>
      <c r="D5129" s="202"/>
      <c r="E5129" s="202"/>
      <c r="U5129" s="204"/>
    </row>
    <row r="5130" spans="2:21" x14ac:dyDescent="0.2">
      <c r="B5130" s="203"/>
      <c r="C5130" s="237"/>
      <c r="D5130" s="202"/>
      <c r="E5130" s="202"/>
      <c r="U5130" s="204"/>
    </row>
    <row r="5131" spans="2:21" x14ac:dyDescent="0.2">
      <c r="B5131" s="203"/>
      <c r="C5131" s="237"/>
      <c r="D5131" s="202"/>
      <c r="E5131" s="202"/>
      <c r="U5131" s="204"/>
    </row>
    <row r="5132" spans="2:21" x14ac:dyDescent="0.2">
      <c r="B5132" s="203"/>
      <c r="C5132" s="237"/>
      <c r="D5132" s="202"/>
      <c r="E5132" s="202"/>
      <c r="U5132" s="204"/>
    </row>
    <row r="5133" spans="2:21" x14ac:dyDescent="0.2">
      <c r="B5133" s="203"/>
      <c r="C5133" s="237"/>
      <c r="D5133" s="202"/>
      <c r="E5133" s="202"/>
      <c r="U5133" s="204"/>
    </row>
    <row r="5134" spans="2:21" x14ac:dyDescent="0.2">
      <c r="B5134" s="203"/>
      <c r="C5134" s="237"/>
      <c r="D5134" s="202"/>
      <c r="E5134" s="202"/>
      <c r="U5134" s="204"/>
    </row>
    <row r="5135" spans="2:21" x14ac:dyDescent="0.2">
      <c r="B5135" s="203"/>
      <c r="C5135" s="237"/>
      <c r="D5135" s="202"/>
      <c r="E5135" s="202"/>
      <c r="U5135" s="204"/>
    </row>
    <row r="5136" spans="2:21" x14ac:dyDescent="0.2">
      <c r="B5136" s="203"/>
      <c r="C5136" s="237"/>
      <c r="D5136" s="202"/>
      <c r="E5136" s="202"/>
      <c r="U5136" s="204"/>
    </row>
    <row r="5137" spans="2:21" x14ac:dyDescent="0.2">
      <c r="B5137" s="203"/>
      <c r="C5137" s="237"/>
      <c r="D5137" s="202"/>
      <c r="E5137" s="202"/>
      <c r="U5137" s="204"/>
    </row>
    <row r="5138" spans="2:21" x14ac:dyDescent="0.2">
      <c r="B5138" s="203"/>
      <c r="C5138" s="237"/>
      <c r="D5138" s="202"/>
      <c r="E5138" s="202"/>
      <c r="U5138" s="204"/>
    </row>
    <row r="5139" spans="2:21" x14ac:dyDescent="0.2">
      <c r="B5139" s="203"/>
      <c r="C5139" s="237"/>
      <c r="D5139" s="202"/>
      <c r="E5139" s="202"/>
      <c r="U5139" s="204"/>
    </row>
    <row r="5140" spans="2:21" x14ac:dyDescent="0.2">
      <c r="B5140" s="203"/>
      <c r="C5140" s="237"/>
      <c r="D5140" s="202"/>
      <c r="E5140" s="202"/>
      <c r="U5140" s="204"/>
    </row>
    <row r="5141" spans="2:21" x14ac:dyDescent="0.2">
      <c r="B5141" s="203"/>
      <c r="C5141" s="237"/>
      <c r="D5141" s="202"/>
      <c r="E5141" s="202"/>
      <c r="U5141" s="204"/>
    </row>
    <row r="5142" spans="2:21" x14ac:dyDescent="0.2">
      <c r="B5142" s="203"/>
      <c r="C5142" s="237"/>
      <c r="D5142" s="202"/>
      <c r="E5142" s="202"/>
      <c r="U5142" s="204"/>
    </row>
    <row r="5143" spans="2:21" x14ac:dyDescent="0.2">
      <c r="B5143" s="203"/>
      <c r="C5143" s="237"/>
      <c r="D5143" s="202"/>
      <c r="E5143" s="202"/>
      <c r="U5143" s="204"/>
    </row>
    <row r="5144" spans="2:21" x14ac:dyDescent="0.2">
      <c r="B5144" s="203"/>
      <c r="C5144" s="237"/>
      <c r="D5144" s="202"/>
      <c r="E5144" s="202"/>
      <c r="U5144" s="204"/>
    </row>
    <row r="5145" spans="2:21" x14ac:dyDescent="0.2">
      <c r="B5145" s="203"/>
      <c r="C5145" s="237"/>
      <c r="D5145" s="202"/>
      <c r="E5145" s="202"/>
      <c r="U5145" s="204"/>
    </row>
    <row r="5146" spans="2:21" x14ac:dyDescent="0.2">
      <c r="B5146" s="203"/>
      <c r="C5146" s="237"/>
      <c r="D5146" s="202"/>
      <c r="E5146" s="202"/>
      <c r="U5146" s="204"/>
    </row>
    <row r="5147" spans="2:21" x14ac:dyDescent="0.2">
      <c r="B5147" s="203"/>
      <c r="C5147" s="237"/>
      <c r="D5147" s="202"/>
      <c r="E5147" s="202"/>
      <c r="U5147" s="204"/>
    </row>
    <row r="5148" spans="2:21" x14ac:dyDescent="0.2">
      <c r="B5148" s="203"/>
      <c r="C5148" s="237"/>
      <c r="D5148" s="202"/>
      <c r="E5148" s="202"/>
      <c r="U5148" s="204"/>
    </row>
    <row r="5149" spans="2:21" x14ac:dyDescent="0.2">
      <c r="B5149" s="203"/>
      <c r="C5149" s="237"/>
      <c r="D5149" s="202"/>
      <c r="E5149" s="202"/>
      <c r="U5149" s="204"/>
    </row>
    <row r="5150" spans="2:21" x14ac:dyDescent="0.2">
      <c r="B5150" s="203"/>
      <c r="C5150" s="237"/>
      <c r="D5150" s="202"/>
      <c r="E5150" s="202"/>
      <c r="U5150" s="204"/>
    </row>
    <row r="5151" spans="2:21" x14ac:dyDescent="0.2">
      <c r="B5151" s="203"/>
      <c r="C5151" s="237"/>
      <c r="D5151" s="202"/>
      <c r="E5151" s="202"/>
      <c r="U5151" s="204"/>
    </row>
    <row r="5152" spans="2:21" x14ac:dyDescent="0.2">
      <c r="B5152" s="203"/>
      <c r="C5152" s="237"/>
      <c r="D5152" s="202"/>
      <c r="E5152" s="202"/>
      <c r="U5152" s="204"/>
    </row>
    <row r="5153" spans="2:21" x14ac:dyDescent="0.2">
      <c r="B5153" s="203"/>
      <c r="C5153" s="237"/>
      <c r="D5153" s="202"/>
      <c r="E5153" s="202"/>
      <c r="U5153" s="204"/>
    </row>
    <row r="5154" spans="2:21" x14ac:dyDescent="0.2">
      <c r="B5154" s="203"/>
      <c r="C5154" s="237"/>
      <c r="D5154" s="202"/>
      <c r="E5154" s="202"/>
      <c r="U5154" s="204"/>
    </row>
    <row r="5155" spans="2:21" x14ac:dyDescent="0.2">
      <c r="B5155" s="203"/>
      <c r="C5155" s="237"/>
      <c r="D5155" s="202"/>
      <c r="E5155" s="202"/>
      <c r="U5155" s="204"/>
    </row>
    <row r="5156" spans="2:21" x14ac:dyDescent="0.2">
      <c r="B5156" s="203"/>
      <c r="C5156" s="237"/>
      <c r="D5156" s="202"/>
      <c r="E5156" s="202"/>
      <c r="U5156" s="204"/>
    </row>
    <row r="5157" spans="2:21" x14ac:dyDescent="0.2">
      <c r="B5157" s="203"/>
      <c r="C5157" s="237"/>
      <c r="D5157" s="202"/>
      <c r="E5157" s="202"/>
      <c r="U5157" s="204"/>
    </row>
    <row r="5158" spans="2:21" x14ac:dyDescent="0.2">
      <c r="B5158" s="203"/>
      <c r="C5158" s="237"/>
      <c r="D5158" s="202"/>
      <c r="E5158" s="202"/>
      <c r="U5158" s="204"/>
    </row>
    <row r="5159" spans="2:21" x14ac:dyDescent="0.2">
      <c r="B5159" s="203"/>
      <c r="C5159" s="237"/>
      <c r="D5159" s="202"/>
      <c r="E5159" s="202"/>
      <c r="U5159" s="204"/>
    </row>
    <row r="5160" spans="2:21" x14ac:dyDescent="0.2">
      <c r="B5160" s="203"/>
      <c r="C5160" s="237"/>
      <c r="D5160" s="202"/>
      <c r="E5160" s="202"/>
      <c r="U5160" s="204"/>
    </row>
    <row r="5161" spans="2:21" x14ac:dyDescent="0.2">
      <c r="B5161" s="203"/>
      <c r="C5161" s="237"/>
      <c r="D5161" s="202"/>
      <c r="E5161" s="202"/>
      <c r="U5161" s="204"/>
    </row>
    <row r="5162" spans="2:21" x14ac:dyDescent="0.2">
      <c r="B5162" s="203"/>
      <c r="C5162" s="237"/>
      <c r="D5162" s="202"/>
      <c r="E5162" s="202"/>
      <c r="U5162" s="204"/>
    </row>
    <row r="5163" spans="2:21" x14ac:dyDescent="0.2">
      <c r="B5163" s="203"/>
      <c r="C5163" s="237"/>
      <c r="D5163" s="202"/>
      <c r="E5163" s="202"/>
      <c r="U5163" s="204"/>
    </row>
    <row r="5164" spans="2:21" x14ac:dyDescent="0.2">
      <c r="B5164" s="203"/>
      <c r="C5164" s="237"/>
      <c r="D5164" s="202"/>
      <c r="E5164" s="202"/>
      <c r="U5164" s="204"/>
    </row>
    <row r="5165" spans="2:21" x14ac:dyDescent="0.2">
      <c r="B5165" s="203"/>
      <c r="C5165" s="237"/>
      <c r="D5165" s="202"/>
      <c r="E5165" s="202"/>
      <c r="U5165" s="204"/>
    </row>
    <row r="5166" spans="2:21" x14ac:dyDescent="0.2">
      <c r="B5166" s="203"/>
      <c r="C5166" s="237"/>
      <c r="D5166" s="202"/>
      <c r="E5166" s="202"/>
      <c r="U5166" s="204"/>
    </row>
    <row r="5167" spans="2:21" x14ac:dyDescent="0.2">
      <c r="B5167" s="203"/>
      <c r="C5167" s="237"/>
      <c r="D5167" s="202"/>
      <c r="E5167" s="202"/>
      <c r="U5167" s="204"/>
    </row>
    <row r="5168" spans="2:21" x14ac:dyDescent="0.2">
      <c r="B5168" s="203"/>
      <c r="C5168" s="237"/>
      <c r="D5168" s="202"/>
      <c r="E5168" s="202"/>
      <c r="U5168" s="204"/>
    </row>
    <row r="5169" spans="2:21" x14ac:dyDescent="0.2">
      <c r="B5169" s="203"/>
      <c r="C5169" s="237"/>
      <c r="D5169" s="202"/>
      <c r="E5169" s="202"/>
      <c r="U5169" s="204"/>
    </row>
    <row r="5170" spans="2:21" x14ac:dyDescent="0.2">
      <c r="B5170" s="203"/>
      <c r="C5170" s="237"/>
      <c r="D5170" s="202"/>
      <c r="E5170" s="202"/>
      <c r="U5170" s="204"/>
    </row>
    <row r="5171" spans="2:21" x14ac:dyDescent="0.2">
      <c r="B5171" s="203"/>
      <c r="C5171" s="237"/>
      <c r="D5171" s="202"/>
      <c r="E5171" s="202"/>
      <c r="U5171" s="204"/>
    </row>
    <row r="5172" spans="2:21" x14ac:dyDescent="0.2">
      <c r="B5172" s="203"/>
      <c r="C5172" s="237"/>
      <c r="D5172" s="202"/>
      <c r="E5172" s="202"/>
      <c r="U5172" s="204"/>
    </row>
    <row r="5173" spans="2:21" x14ac:dyDescent="0.2">
      <c r="B5173" s="203"/>
      <c r="C5173" s="237"/>
      <c r="D5173" s="202"/>
      <c r="E5173" s="202"/>
      <c r="U5173" s="204"/>
    </row>
    <row r="5174" spans="2:21" x14ac:dyDescent="0.2">
      <c r="B5174" s="203"/>
      <c r="C5174" s="237"/>
      <c r="D5174" s="202"/>
      <c r="E5174" s="202"/>
      <c r="U5174" s="204"/>
    </row>
    <row r="5175" spans="2:21" x14ac:dyDescent="0.2">
      <c r="B5175" s="203"/>
      <c r="C5175" s="237"/>
      <c r="D5175" s="202"/>
      <c r="E5175" s="202"/>
      <c r="U5175" s="204"/>
    </row>
    <row r="5176" spans="2:21" x14ac:dyDescent="0.2">
      <c r="B5176" s="203"/>
      <c r="C5176" s="237"/>
      <c r="D5176" s="202"/>
      <c r="E5176" s="202"/>
      <c r="U5176" s="204"/>
    </row>
    <row r="5177" spans="2:21" x14ac:dyDescent="0.2">
      <c r="B5177" s="203"/>
      <c r="C5177" s="237"/>
      <c r="D5177" s="202"/>
      <c r="E5177" s="202"/>
      <c r="U5177" s="204"/>
    </row>
    <row r="5178" spans="2:21" x14ac:dyDescent="0.2">
      <c r="B5178" s="203"/>
      <c r="C5178" s="237"/>
      <c r="D5178" s="202"/>
      <c r="E5178" s="202"/>
      <c r="U5178" s="204"/>
    </row>
    <row r="5179" spans="2:21" x14ac:dyDescent="0.2">
      <c r="B5179" s="203"/>
      <c r="C5179" s="237"/>
      <c r="D5179" s="202"/>
      <c r="E5179" s="202"/>
      <c r="U5179" s="204"/>
    </row>
    <row r="5180" spans="2:21" x14ac:dyDescent="0.2">
      <c r="B5180" s="203"/>
      <c r="C5180" s="237"/>
      <c r="D5180" s="202"/>
      <c r="E5180" s="202"/>
      <c r="U5180" s="204"/>
    </row>
    <row r="5181" spans="2:21" x14ac:dyDescent="0.2">
      <c r="B5181" s="203"/>
      <c r="C5181" s="237"/>
      <c r="D5181" s="202"/>
      <c r="E5181" s="202"/>
      <c r="U5181" s="204"/>
    </row>
    <row r="5182" spans="2:21" x14ac:dyDescent="0.2">
      <c r="B5182" s="203"/>
      <c r="C5182" s="237"/>
      <c r="D5182" s="202"/>
      <c r="E5182" s="202"/>
      <c r="U5182" s="204"/>
    </row>
    <row r="5183" spans="2:21" x14ac:dyDescent="0.2">
      <c r="B5183" s="203"/>
      <c r="C5183" s="237"/>
      <c r="D5183" s="202"/>
      <c r="E5183" s="202"/>
      <c r="U5183" s="204"/>
    </row>
    <row r="5184" spans="2:21" x14ac:dyDescent="0.2">
      <c r="B5184" s="203"/>
      <c r="C5184" s="237"/>
      <c r="D5184" s="202"/>
      <c r="E5184" s="202"/>
      <c r="U5184" s="204"/>
    </row>
    <row r="5185" spans="2:21" x14ac:dyDescent="0.2">
      <c r="B5185" s="203"/>
      <c r="C5185" s="237"/>
      <c r="D5185" s="202"/>
      <c r="E5185" s="202"/>
      <c r="U5185" s="204"/>
    </row>
    <row r="5186" spans="2:21" x14ac:dyDescent="0.2">
      <c r="B5186" s="203"/>
      <c r="C5186" s="237"/>
      <c r="D5186" s="202"/>
      <c r="E5186" s="202"/>
      <c r="U5186" s="204"/>
    </row>
    <row r="5187" spans="2:21" x14ac:dyDescent="0.2">
      <c r="B5187" s="203"/>
      <c r="C5187" s="237"/>
      <c r="D5187" s="202"/>
      <c r="E5187" s="202"/>
      <c r="U5187" s="204"/>
    </row>
    <row r="5188" spans="2:21" x14ac:dyDescent="0.2">
      <c r="B5188" s="203"/>
      <c r="C5188" s="237"/>
      <c r="D5188" s="202"/>
      <c r="E5188" s="202"/>
      <c r="U5188" s="204"/>
    </row>
    <row r="5189" spans="2:21" x14ac:dyDescent="0.2">
      <c r="B5189" s="203"/>
      <c r="C5189" s="237"/>
      <c r="D5189" s="202"/>
      <c r="E5189" s="202"/>
      <c r="U5189" s="204"/>
    </row>
    <row r="5190" spans="2:21" x14ac:dyDescent="0.2">
      <c r="B5190" s="203"/>
      <c r="C5190" s="237"/>
      <c r="D5190" s="202"/>
      <c r="E5190" s="202"/>
      <c r="U5190" s="204"/>
    </row>
    <row r="5191" spans="2:21" x14ac:dyDescent="0.2">
      <c r="B5191" s="203"/>
      <c r="C5191" s="237"/>
      <c r="D5191" s="202"/>
      <c r="E5191" s="202"/>
      <c r="U5191" s="204"/>
    </row>
    <row r="5192" spans="2:21" x14ac:dyDescent="0.2">
      <c r="B5192" s="203"/>
      <c r="C5192" s="237"/>
      <c r="D5192" s="202"/>
      <c r="E5192" s="202"/>
      <c r="U5192" s="204"/>
    </row>
    <row r="5193" spans="2:21" x14ac:dyDescent="0.2">
      <c r="B5193" s="203"/>
      <c r="C5193" s="237"/>
      <c r="D5193" s="202"/>
      <c r="E5193" s="202"/>
      <c r="U5193" s="204"/>
    </row>
    <row r="5194" spans="2:21" x14ac:dyDescent="0.2">
      <c r="B5194" s="203"/>
      <c r="C5194" s="237"/>
      <c r="D5194" s="202"/>
      <c r="E5194" s="202"/>
      <c r="U5194" s="204"/>
    </row>
    <row r="5195" spans="2:21" x14ac:dyDescent="0.2">
      <c r="B5195" s="203"/>
      <c r="C5195" s="237"/>
      <c r="D5195" s="202"/>
      <c r="E5195" s="202"/>
      <c r="U5195" s="204"/>
    </row>
    <row r="5196" spans="2:21" x14ac:dyDescent="0.2">
      <c r="B5196" s="203"/>
      <c r="C5196" s="237"/>
      <c r="D5196" s="202"/>
      <c r="E5196" s="202"/>
      <c r="U5196" s="204"/>
    </row>
    <row r="5197" spans="2:21" x14ac:dyDescent="0.2">
      <c r="B5197" s="203"/>
      <c r="C5197" s="237"/>
      <c r="D5197" s="202"/>
      <c r="E5197" s="202"/>
      <c r="U5197" s="204"/>
    </row>
    <row r="5198" spans="2:21" x14ac:dyDescent="0.2">
      <c r="B5198" s="203"/>
      <c r="C5198" s="237"/>
      <c r="D5198" s="202"/>
      <c r="E5198" s="202"/>
      <c r="U5198" s="204"/>
    </row>
    <row r="5199" spans="2:21" x14ac:dyDescent="0.2">
      <c r="B5199" s="203"/>
      <c r="C5199" s="237"/>
      <c r="D5199" s="202"/>
      <c r="E5199" s="202"/>
      <c r="U5199" s="204"/>
    </row>
    <row r="5200" spans="2:21" x14ac:dyDescent="0.2">
      <c r="B5200" s="203"/>
      <c r="C5200" s="237"/>
      <c r="D5200" s="202"/>
      <c r="E5200" s="202"/>
      <c r="U5200" s="204"/>
    </row>
    <row r="5201" spans="2:21" x14ac:dyDescent="0.2">
      <c r="B5201" s="203"/>
      <c r="C5201" s="237"/>
      <c r="D5201" s="202"/>
      <c r="E5201" s="202"/>
      <c r="U5201" s="204"/>
    </row>
    <row r="5202" spans="2:21" x14ac:dyDescent="0.2">
      <c r="B5202" s="203"/>
      <c r="C5202" s="237"/>
      <c r="D5202" s="202"/>
      <c r="E5202" s="202"/>
      <c r="U5202" s="204"/>
    </row>
    <row r="5203" spans="2:21" x14ac:dyDescent="0.2">
      <c r="B5203" s="203"/>
      <c r="C5203" s="237"/>
      <c r="D5203" s="202"/>
      <c r="E5203" s="202"/>
      <c r="U5203" s="204"/>
    </row>
    <row r="5204" spans="2:21" x14ac:dyDescent="0.2">
      <c r="B5204" s="203"/>
      <c r="C5204" s="237"/>
      <c r="D5204" s="202"/>
      <c r="E5204" s="202"/>
      <c r="U5204" s="204"/>
    </row>
    <row r="5205" spans="2:21" x14ac:dyDescent="0.2">
      <c r="B5205" s="203"/>
      <c r="C5205" s="237"/>
      <c r="D5205" s="202"/>
      <c r="E5205" s="202"/>
      <c r="U5205" s="204"/>
    </row>
    <row r="5206" spans="2:21" x14ac:dyDescent="0.2">
      <c r="B5206" s="203"/>
      <c r="C5206" s="237"/>
      <c r="D5206" s="202"/>
      <c r="E5206" s="202"/>
      <c r="U5206" s="204"/>
    </row>
    <row r="5207" spans="2:21" x14ac:dyDescent="0.2">
      <c r="B5207" s="203"/>
      <c r="C5207" s="237"/>
      <c r="D5207" s="202"/>
      <c r="E5207" s="202"/>
      <c r="U5207" s="204"/>
    </row>
    <row r="5208" spans="2:21" x14ac:dyDescent="0.2">
      <c r="B5208" s="203"/>
      <c r="C5208" s="237"/>
      <c r="D5208" s="202"/>
      <c r="E5208" s="202"/>
      <c r="U5208" s="204"/>
    </row>
    <row r="5209" spans="2:21" x14ac:dyDescent="0.2">
      <c r="B5209" s="203"/>
      <c r="C5209" s="237"/>
      <c r="D5209" s="202"/>
      <c r="E5209" s="202"/>
      <c r="U5209" s="204"/>
    </row>
    <row r="5210" spans="2:21" x14ac:dyDescent="0.2">
      <c r="B5210" s="203"/>
      <c r="C5210" s="237"/>
      <c r="D5210" s="202"/>
      <c r="E5210" s="202"/>
      <c r="U5210" s="204"/>
    </row>
    <row r="5211" spans="2:21" x14ac:dyDescent="0.2">
      <c r="B5211" s="203"/>
      <c r="C5211" s="237"/>
      <c r="D5211" s="202"/>
      <c r="E5211" s="202"/>
      <c r="U5211" s="204"/>
    </row>
    <row r="5212" spans="2:21" x14ac:dyDescent="0.2">
      <c r="B5212" s="203"/>
      <c r="C5212" s="237"/>
      <c r="D5212" s="202"/>
      <c r="E5212" s="202"/>
      <c r="U5212" s="204"/>
    </row>
    <row r="5213" spans="2:21" x14ac:dyDescent="0.2">
      <c r="B5213" s="203"/>
      <c r="C5213" s="237"/>
      <c r="D5213" s="202"/>
      <c r="E5213" s="202"/>
      <c r="U5213" s="204"/>
    </row>
    <row r="5214" spans="2:21" x14ac:dyDescent="0.2">
      <c r="B5214" s="203"/>
      <c r="C5214" s="237"/>
      <c r="D5214" s="202"/>
      <c r="E5214" s="202"/>
      <c r="U5214" s="204"/>
    </row>
    <row r="5215" spans="2:21" x14ac:dyDescent="0.2">
      <c r="B5215" s="203"/>
      <c r="C5215" s="237"/>
      <c r="D5215" s="202"/>
      <c r="E5215" s="202"/>
      <c r="U5215" s="204"/>
    </row>
    <row r="5216" spans="2:21" x14ac:dyDescent="0.2">
      <c r="B5216" s="203"/>
      <c r="C5216" s="237"/>
      <c r="D5216" s="202"/>
      <c r="E5216" s="202"/>
      <c r="U5216" s="204"/>
    </row>
    <row r="5217" spans="2:21" x14ac:dyDescent="0.2">
      <c r="B5217" s="203"/>
      <c r="C5217" s="237"/>
      <c r="D5217" s="202"/>
      <c r="E5217" s="202"/>
      <c r="U5217" s="204"/>
    </row>
    <row r="5218" spans="2:21" x14ac:dyDescent="0.2">
      <c r="B5218" s="203"/>
      <c r="C5218" s="237"/>
      <c r="D5218" s="202"/>
      <c r="E5218" s="202"/>
      <c r="U5218" s="204"/>
    </row>
    <row r="5219" spans="2:21" x14ac:dyDescent="0.2">
      <c r="B5219" s="203"/>
      <c r="C5219" s="237"/>
      <c r="D5219" s="202"/>
      <c r="E5219" s="202"/>
      <c r="U5219" s="204"/>
    </row>
    <row r="5220" spans="2:21" x14ac:dyDescent="0.2">
      <c r="B5220" s="203"/>
      <c r="C5220" s="237"/>
      <c r="D5220" s="202"/>
      <c r="E5220" s="202"/>
      <c r="U5220" s="204"/>
    </row>
    <row r="5221" spans="2:21" x14ac:dyDescent="0.2">
      <c r="B5221" s="203"/>
      <c r="C5221" s="237"/>
      <c r="D5221" s="202"/>
      <c r="E5221" s="202"/>
      <c r="U5221" s="204"/>
    </row>
    <row r="5222" spans="2:21" x14ac:dyDescent="0.2">
      <c r="B5222" s="203"/>
      <c r="C5222" s="237"/>
      <c r="D5222" s="202"/>
      <c r="E5222" s="202"/>
      <c r="U5222" s="204"/>
    </row>
    <row r="5223" spans="2:21" x14ac:dyDescent="0.2">
      <c r="B5223" s="203"/>
      <c r="C5223" s="237"/>
      <c r="D5223" s="202"/>
      <c r="E5223" s="202"/>
      <c r="U5223" s="204"/>
    </row>
    <row r="5224" spans="2:21" x14ac:dyDescent="0.2">
      <c r="B5224" s="203"/>
      <c r="C5224" s="237"/>
      <c r="D5224" s="202"/>
      <c r="E5224" s="202"/>
      <c r="U5224" s="204"/>
    </row>
    <row r="5225" spans="2:21" x14ac:dyDescent="0.2">
      <c r="B5225" s="203"/>
      <c r="C5225" s="237"/>
      <c r="D5225" s="202"/>
      <c r="E5225" s="202"/>
      <c r="U5225" s="204"/>
    </row>
    <row r="5226" spans="2:21" x14ac:dyDescent="0.2">
      <c r="B5226" s="203"/>
      <c r="C5226" s="237"/>
      <c r="D5226" s="202"/>
      <c r="E5226" s="202"/>
      <c r="U5226" s="204"/>
    </row>
    <row r="5227" spans="2:21" x14ac:dyDescent="0.2">
      <c r="B5227" s="203"/>
      <c r="C5227" s="237"/>
      <c r="D5227" s="202"/>
      <c r="E5227" s="202"/>
      <c r="U5227" s="204"/>
    </row>
    <row r="5228" spans="2:21" x14ac:dyDescent="0.2">
      <c r="B5228" s="203"/>
      <c r="C5228" s="237"/>
      <c r="D5228" s="202"/>
      <c r="E5228" s="202"/>
      <c r="U5228" s="204"/>
    </row>
    <row r="5229" spans="2:21" x14ac:dyDescent="0.2">
      <c r="B5229" s="203"/>
      <c r="C5229" s="237"/>
      <c r="D5229" s="202"/>
      <c r="E5229" s="202"/>
      <c r="U5229" s="204"/>
    </row>
    <row r="5230" spans="2:21" x14ac:dyDescent="0.2">
      <c r="B5230" s="203"/>
      <c r="C5230" s="237"/>
      <c r="D5230" s="202"/>
      <c r="E5230" s="202"/>
      <c r="U5230" s="204"/>
    </row>
    <row r="5231" spans="2:21" x14ac:dyDescent="0.2">
      <c r="B5231" s="203"/>
      <c r="C5231" s="237"/>
      <c r="D5231" s="202"/>
      <c r="E5231" s="202"/>
      <c r="U5231" s="204"/>
    </row>
    <row r="5232" spans="2:21" x14ac:dyDescent="0.2">
      <c r="B5232" s="203"/>
      <c r="C5232" s="237"/>
      <c r="D5232" s="202"/>
      <c r="E5232" s="202"/>
      <c r="U5232" s="204"/>
    </row>
    <row r="5233" spans="2:21" x14ac:dyDescent="0.2">
      <c r="B5233" s="203"/>
      <c r="C5233" s="237"/>
      <c r="D5233" s="202"/>
      <c r="E5233" s="202"/>
      <c r="U5233" s="204"/>
    </row>
    <row r="5234" spans="2:21" x14ac:dyDescent="0.2">
      <c r="B5234" s="203"/>
      <c r="C5234" s="237"/>
      <c r="D5234" s="202"/>
      <c r="E5234" s="202"/>
      <c r="U5234" s="204"/>
    </row>
    <row r="5235" spans="2:21" x14ac:dyDescent="0.2">
      <c r="B5235" s="203"/>
      <c r="C5235" s="237"/>
      <c r="D5235" s="202"/>
      <c r="E5235" s="202"/>
      <c r="U5235" s="204"/>
    </row>
    <row r="5236" spans="2:21" x14ac:dyDescent="0.2">
      <c r="B5236" s="203"/>
      <c r="C5236" s="237"/>
      <c r="D5236" s="202"/>
      <c r="E5236" s="202"/>
      <c r="U5236" s="204"/>
    </row>
    <row r="5237" spans="2:21" x14ac:dyDescent="0.2">
      <c r="B5237" s="203"/>
      <c r="C5237" s="237"/>
      <c r="D5237" s="202"/>
      <c r="E5237" s="202"/>
      <c r="U5237" s="204"/>
    </row>
    <row r="5238" spans="2:21" x14ac:dyDescent="0.2">
      <c r="B5238" s="203"/>
      <c r="C5238" s="237"/>
      <c r="D5238" s="202"/>
      <c r="E5238" s="202"/>
      <c r="U5238" s="204"/>
    </row>
    <row r="5239" spans="2:21" x14ac:dyDescent="0.2">
      <c r="B5239" s="203"/>
      <c r="C5239" s="237"/>
      <c r="D5239" s="202"/>
      <c r="E5239" s="202"/>
      <c r="U5239" s="204"/>
    </row>
    <row r="5240" spans="2:21" x14ac:dyDescent="0.2">
      <c r="B5240" s="203"/>
      <c r="C5240" s="237"/>
      <c r="D5240" s="202"/>
      <c r="E5240" s="202"/>
      <c r="U5240" s="204"/>
    </row>
    <row r="5241" spans="2:21" x14ac:dyDescent="0.2">
      <c r="B5241" s="203"/>
      <c r="C5241" s="237"/>
      <c r="D5241" s="202"/>
      <c r="E5241" s="202"/>
      <c r="U5241" s="204"/>
    </row>
    <row r="5242" spans="2:21" x14ac:dyDescent="0.2">
      <c r="B5242" s="203"/>
      <c r="C5242" s="237"/>
      <c r="D5242" s="202"/>
      <c r="E5242" s="202"/>
      <c r="U5242" s="204"/>
    </row>
    <row r="5243" spans="2:21" x14ac:dyDescent="0.2">
      <c r="B5243" s="203"/>
      <c r="C5243" s="237"/>
      <c r="D5243" s="202"/>
      <c r="E5243" s="202"/>
      <c r="U5243" s="204"/>
    </row>
    <row r="5244" spans="2:21" x14ac:dyDescent="0.2">
      <c r="B5244" s="203"/>
      <c r="C5244" s="237"/>
      <c r="D5244" s="202"/>
      <c r="E5244" s="202"/>
      <c r="U5244" s="204"/>
    </row>
    <row r="5245" spans="2:21" x14ac:dyDescent="0.2">
      <c r="B5245" s="203"/>
      <c r="C5245" s="237"/>
      <c r="D5245" s="202"/>
      <c r="E5245" s="202"/>
      <c r="U5245" s="204"/>
    </row>
    <row r="5246" spans="2:21" x14ac:dyDescent="0.2">
      <c r="B5246" s="203"/>
      <c r="C5246" s="237"/>
      <c r="D5246" s="202"/>
      <c r="E5246" s="202"/>
      <c r="U5246" s="204"/>
    </row>
    <row r="5247" spans="2:21" x14ac:dyDescent="0.2">
      <c r="B5247" s="203"/>
      <c r="C5247" s="237"/>
      <c r="D5247" s="202"/>
      <c r="E5247" s="202"/>
      <c r="U5247" s="204"/>
    </row>
    <row r="5248" spans="2:21" x14ac:dyDescent="0.2">
      <c r="B5248" s="203"/>
      <c r="C5248" s="237"/>
      <c r="D5248" s="202"/>
      <c r="E5248" s="202"/>
      <c r="U5248" s="204"/>
    </row>
    <row r="5249" spans="2:21" x14ac:dyDescent="0.2">
      <c r="B5249" s="203"/>
      <c r="C5249" s="237"/>
      <c r="D5249" s="202"/>
      <c r="E5249" s="202"/>
      <c r="U5249" s="204"/>
    </row>
    <row r="5250" spans="2:21" x14ac:dyDescent="0.2">
      <c r="B5250" s="203"/>
      <c r="C5250" s="237"/>
      <c r="D5250" s="202"/>
      <c r="E5250" s="202"/>
      <c r="U5250" s="204"/>
    </row>
    <row r="5251" spans="2:21" x14ac:dyDescent="0.2">
      <c r="B5251" s="203"/>
      <c r="C5251" s="237"/>
      <c r="D5251" s="202"/>
      <c r="E5251" s="202"/>
      <c r="U5251" s="204"/>
    </row>
    <row r="5252" spans="2:21" x14ac:dyDescent="0.2">
      <c r="B5252" s="203"/>
      <c r="C5252" s="237"/>
      <c r="D5252" s="202"/>
      <c r="E5252" s="202"/>
      <c r="U5252" s="204"/>
    </row>
    <row r="5253" spans="2:21" x14ac:dyDescent="0.2">
      <c r="B5253" s="203"/>
      <c r="C5253" s="237"/>
      <c r="D5253" s="202"/>
      <c r="E5253" s="202"/>
      <c r="U5253" s="204"/>
    </row>
    <row r="5254" spans="2:21" x14ac:dyDescent="0.2">
      <c r="B5254" s="203"/>
      <c r="C5254" s="237"/>
      <c r="D5254" s="202"/>
      <c r="E5254" s="202"/>
      <c r="U5254" s="204"/>
    </row>
    <row r="5255" spans="2:21" x14ac:dyDescent="0.2">
      <c r="B5255" s="203"/>
      <c r="C5255" s="237"/>
      <c r="D5255" s="202"/>
      <c r="E5255" s="202"/>
      <c r="U5255" s="204"/>
    </row>
    <row r="5256" spans="2:21" x14ac:dyDescent="0.2">
      <c r="B5256" s="203"/>
      <c r="C5256" s="237"/>
      <c r="D5256" s="202"/>
      <c r="E5256" s="202"/>
      <c r="U5256" s="204"/>
    </row>
    <row r="5257" spans="2:21" x14ac:dyDescent="0.2">
      <c r="B5257" s="203"/>
      <c r="C5257" s="237"/>
      <c r="D5257" s="202"/>
      <c r="E5257" s="202"/>
      <c r="U5257" s="204"/>
    </row>
    <row r="5258" spans="2:21" x14ac:dyDescent="0.2">
      <c r="B5258" s="203"/>
      <c r="C5258" s="237"/>
      <c r="D5258" s="202"/>
      <c r="E5258" s="202"/>
      <c r="U5258" s="204"/>
    </row>
    <row r="5259" spans="2:21" x14ac:dyDescent="0.2">
      <c r="B5259" s="203"/>
      <c r="C5259" s="237"/>
      <c r="D5259" s="202"/>
      <c r="E5259" s="202"/>
      <c r="U5259" s="204"/>
    </row>
    <row r="5260" spans="2:21" x14ac:dyDescent="0.2">
      <c r="B5260" s="203"/>
      <c r="C5260" s="237"/>
      <c r="D5260" s="202"/>
      <c r="E5260" s="202"/>
      <c r="U5260" s="204"/>
    </row>
    <row r="5261" spans="2:21" x14ac:dyDescent="0.2">
      <c r="B5261" s="203"/>
      <c r="C5261" s="237"/>
      <c r="D5261" s="202"/>
      <c r="E5261" s="202"/>
      <c r="U5261" s="204"/>
    </row>
    <row r="5262" spans="2:21" x14ac:dyDescent="0.2">
      <c r="B5262" s="203"/>
      <c r="C5262" s="237"/>
      <c r="D5262" s="202"/>
      <c r="E5262" s="202"/>
      <c r="U5262" s="204"/>
    </row>
    <row r="5263" spans="2:21" x14ac:dyDescent="0.2">
      <c r="B5263" s="203"/>
      <c r="C5263" s="237"/>
      <c r="D5263" s="202"/>
      <c r="E5263" s="202"/>
      <c r="U5263" s="204"/>
    </row>
    <row r="5264" spans="2:21" x14ac:dyDescent="0.2">
      <c r="B5264" s="203"/>
      <c r="C5264" s="237"/>
      <c r="D5264" s="202"/>
      <c r="E5264" s="202"/>
      <c r="U5264" s="204"/>
    </row>
    <row r="5265" spans="2:21" x14ac:dyDescent="0.2">
      <c r="B5265" s="203"/>
      <c r="C5265" s="237"/>
      <c r="D5265" s="202"/>
      <c r="E5265" s="202"/>
      <c r="U5265" s="204"/>
    </row>
    <row r="5266" spans="2:21" x14ac:dyDescent="0.2">
      <c r="B5266" s="203"/>
      <c r="C5266" s="237"/>
      <c r="D5266" s="202"/>
      <c r="E5266" s="202"/>
      <c r="U5266" s="204"/>
    </row>
    <row r="5267" spans="2:21" x14ac:dyDescent="0.2">
      <c r="B5267" s="203"/>
      <c r="C5267" s="237"/>
      <c r="D5267" s="202"/>
      <c r="E5267" s="202"/>
      <c r="U5267" s="204"/>
    </row>
    <row r="5268" spans="2:21" x14ac:dyDescent="0.2">
      <c r="B5268" s="203"/>
      <c r="C5268" s="237"/>
      <c r="D5268" s="202"/>
      <c r="E5268" s="202"/>
      <c r="U5268" s="204"/>
    </row>
    <row r="5269" spans="2:21" x14ac:dyDescent="0.2">
      <c r="B5269" s="203"/>
      <c r="C5269" s="237"/>
      <c r="D5269" s="202"/>
      <c r="E5269" s="202"/>
      <c r="U5269" s="204"/>
    </row>
    <row r="5270" spans="2:21" x14ac:dyDescent="0.2">
      <c r="B5270" s="203"/>
      <c r="C5270" s="237"/>
      <c r="D5270" s="202"/>
      <c r="E5270" s="202"/>
      <c r="U5270" s="204"/>
    </row>
    <row r="5271" spans="2:21" x14ac:dyDescent="0.2">
      <c r="B5271" s="203"/>
      <c r="C5271" s="237"/>
      <c r="D5271" s="202"/>
      <c r="E5271" s="202"/>
      <c r="U5271" s="204"/>
    </row>
    <row r="5272" spans="2:21" x14ac:dyDescent="0.2">
      <c r="B5272" s="203"/>
      <c r="C5272" s="237"/>
      <c r="D5272" s="202"/>
      <c r="E5272" s="202"/>
      <c r="U5272" s="204"/>
    </row>
    <row r="5273" spans="2:21" x14ac:dyDescent="0.2">
      <c r="B5273" s="203"/>
      <c r="C5273" s="237"/>
      <c r="D5273" s="202"/>
      <c r="E5273" s="202"/>
      <c r="U5273" s="204"/>
    </row>
    <row r="5274" spans="2:21" x14ac:dyDescent="0.2">
      <c r="B5274" s="203"/>
      <c r="C5274" s="237"/>
      <c r="D5274" s="202"/>
      <c r="E5274" s="202"/>
      <c r="U5274" s="204"/>
    </row>
    <row r="5275" spans="2:21" x14ac:dyDescent="0.2">
      <c r="B5275" s="203"/>
      <c r="C5275" s="237"/>
      <c r="D5275" s="202"/>
      <c r="E5275" s="202"/>
      <c r="U5275" s="204"/>
    </row>
    <row r="5276" spans="2:21" x14ac:dyDescent="0.2">
      <c r="B5276" s="203"/>
      <c r="C5276" s="237"/>
      <c r="D5276" s="202"/>
      <c r="E5276" s="202"/>
      <c r="U5276" s="204"/>
    </row>
    <row r="5277" spans="2:21" x14ac:dyDescent="0.2">
      <c r="B5277" s="203"/>
      <c r="C5277" s="237"/>
      <c r="D5277" s="202"/>
      <c r="E5277" s="202"/>
      <c r="U5277" s="204"/>
    </row>
    <row r="5278" spans="2:21" x14ac:dyDescent="0.2">
      <c r="B5278" s="203"/>
      <c r="C5278" s="237"/>
      <c r="D5278" s="202"/>
      <c r="E5278" s="202"/>
      <c r="U5278" s="204"/>
    </row>
    <row r="5279" spans="2:21" x14ac:dyDescent="0.2">
      <c r="B5279" s="203"/>
      <c r="C5279" s="237"/>
      <c r="D5279" s="202"/>
      <c r="E5279" s="202"/>
      <c r="U5279" s="204"/>
    </row>
    <row r="5280" spans="2:21" x14ac:dyDescent="0.2">
      <c r="B5280" s="203"/>
      <c r="C5280" s="237"/>
      <c r="D5280" s="202"/>
      <c r="E5280" s="202"/>
      <c r="U5280" s="204"/>
    </row>
    <row r="5281" spans="2:21" x14ac:dyDescent="0.2">
      <c r="B5281" s="203"/>
      <c r="C5281" s="237"/>
      <c r="D5281" s="202"/>
      <c r="E5281" s="202"/>
      <c r="U5281" s="204"/>
    </row>
    <row r="5282" spans="2:21" x14ac:dyDescent="0.2">
      <c r="B5282" s="203"/>
      <c r="C5282" s="237"/>
      <c r="D5282" s="202"/>
      <c r="E5282" s="202"/>
      <c r="U5282" s="204"/>
    </row>
    <row r="5283" spans="2:21" x14ac:dyDescent="0.2">
      <c r="B5283" s="203"/>
      <c r="C5283" s="237"/>
      <c r="D5283" s="202"/>
      <c r="E5283" s="202"/>
      <c r="U5283" s="204"/>
    </row>
    <row r="5284" spans="2:21" x14ac:dyDescent="0.2">
      <c r="B5284" s="203"/>
      <c r="C5284" s="237"/>
      <c r="D5284" s="202"/>
      <c r="E5284" s="202"/>
      <c r="U5284" s="204"/>
    </row>
    <row r="5285" spans="2:21" x14ac:dyDescent="0.2">
      <c r="B5285" s="203"/>
      <c r="C5285" s="237"/>
      <c r="D5285" s="202"/>
      <c r="E5285" s="202"/>
      <c r="U5285" s="204"/>
    </row>
    <row r="5286" spans="2:21" x14ac:dyDescent="0.2">
      <c r="B5286" s="203"/>
      <c r="C5286" s="237"/>
      <c r="D5286" s="202"/>
      <c r="E5286" s="202"/>
      <c r="U5286" s="204"/>
    </row>
    <row r="5287" spans="2:21" x14ac:dyDescent="0.2">
      <c r="B5287" s="203"/>
      <c r="C5287" s="237"/>
      <c r="D5287" s="202"/>
      <c r="E5287" s="202"/>
      <c r="U5287" s="204"/>
    </row>
    <row r="5288" spans="2:21" x14ac:dyDescent="0.2">
      <c r="B5288" s="203"/>
      <c r="C5288" s="237"/>
      <c r="D5288" s="202"/>
      <c r="E5288" s="202"/>
      <c r="U5288" s="204"/>
    </row>
    <row r="5289" spans="2:21" x14ac:dyDescent="0.2">
      <c r="B5289" s="203"/>
      <c r="C5289" s="237"/>
      <c r="D5289" s="202"/>
      <c r="E5289" s="202"/>
      <c r="U5289" s="204"/>
    </row>
    <row r="5290" spans="2:21" x14ac:dyDescent="0.2">
      <c r="B5290" s="203"/>
      <c r="C5290" s="237"/>
      <c r="D5290" s="202"/>
      <c r="E5290" s="202"/>
      <c r="U5290" s="204"/>
    </row>
    <row r="5291" spans="2:21" x14ac:dyDescent="0.2">
      <c r="B5291" s="203"/>
      <c r="C5291" s="237"/>
      <c r="D5291" s="202"/>
      <c r="E5291" s="202"/>
      <c r="U5291" s="204"/>
    </row>
    <row r="5292" spans="2:21" x14ac:dyDescent="0.2">
      <c r="B5292" s="203"/>
      <c r="C5292" s="237"/>
      <c r="D5292" s="202"/>
      <c r="E5292" s="202"/>
      <c r="U5292" s="204"/>
    </row>
    <row r="5293" spans="2:21" x14ac:dyDescent="0.2">
      <c r="B5293" s="203"/>
      <c r="C5293" s="237"/>
      <c r="D5293" s="202"/>
      <c r="E5293" s="202"/>
      <c r="U5293" s="204"/>
    </row>
    <row r="5294" spans="2:21" x14ac:dyDescent="0.2">
      <c r="B5294" s="203"/>
      <c r="C5294" s="237"/>
      <c r="D5294" s="202"/>
      <c r="E5294" s="202"/>
      <c r="U5294" s="204"/>
    </row>
    <row r="5295" spans="2:21" x14ac:dyDescent="0.2">
      <c r="B5295" s="203"/>
      <c r="C5295" s="237"/>
      <c r="D5295" s="202"/>
      <c r="E5295" s="202"/>
      <c r="U5295" s="204"/>
    </row>
    <row r="5296" spans="2:21" x14ac:dyDescent="0.2">
      <c r="B5296" s="203"/>
      <c r="C5296" s="237"/>
      <c r="D5296" s="202"/>
      <c r="E5296" s="202"/>
      <c r="U5296" s="204"/>
    </row>
    <row r="5297" spans="2:21" x14ac:dyDescent="0.2">
      <c r="B5297" s="203"/>
      <c r="C5297" s="237"/>
      <c r="D5297" s="202"/>
      <c r="E5297" s="202"/>
      <c r="U5297" s="204"/>
    </row>
    <row r="5298" spans="2:21" x14ac:dyDescent="0.2">
      <c r="B5298" s="203"/>
      <c r="C5298" s="237"/>
      <c r="D5298" s="202"/>
      <c r="E5298" s="202"/>
      <c r="U5298" s="204"/>
    </row>
    <row r="5299" spans="2:21" x14ac:dyDescent="0.2">
      <c r="B5299" s="203"/>
      <c r="C5299" s="237"/>
      <c r="D5299" s="202"/>
      <c r="E5299" s="202"/>
      <c r="U5299" s="204"/>
    </row>
    <row r="5300" spans="2:21" x14ac:dyDescent="0.2">
      <c r="B5300" s="203"/>
      <c r="C5300" s="237"/>
      <c r="D5300" s="202"/>
      <c r="E5300" s="202"/>
      <c r="U5300" s="204"/>
    </row>
    <row r="5301" spans="2:21" x14ac:dyDescent="0.2">
      <c r="B5301" s="203"/>
      <c r="C5301" s="237"/>
      <c r="D5301" s="202"/>
      <c r="E5301" s="202"/>
      <c r="U5301" s="204"/>
    </row>
    <row r="5302" spans="2:21" x14ac:dyDescent="0.2">
      <c r="B5302" s="203"/>
      <c r="C5302" s="237"/>
      <c r="D5302" s="202"/>
      <c r="E5302" s="202"/>
      <c r="U5302" s="204"/>
    </row>
    <row r="5303" spans="2:21" x14ac:dyDescent="0.2">
      <c r="B5303" s="203"/>
      <c r="C5303" s="237"/>
      <c r="D5303" s="202"/>
      <c r="E5303" s="202"/>
      <c r="U5303" s="204"/>
    </row>
    <row r="5304" spans="2:21" x14ac:dyDescent="0.2">
      <c r="B5304" s="203"/>
      <c r="C5304" s="237"/>
      <c r="D5304" s="202"/>
      <c r="E5304" s="202"/>
      <c r="U5304" s="204"/>
    </row>
    <row r="5305" spans="2:21" x14ac:dyDescent="0.2">
      <c r="B5305" s="203"/>
      <c r="C5305" s="237"/>
      <c r="D5305" s="202"/>
      <c r="E5305" s="202"/>
      <c r="U5305" s="204"/>
    </row>
    <row r="5306" spans="2:21" x14ac:dyDescent="0.2">
      <c r="B5306" s="203"/>
      <c r="C5306" s="237"/>
      <c r="D5306" s="202"/>
      <c r="E5306" s="202"/>
      <c r="U5306" s="204"/>
    </row>
    <row r="5307" spans="2:21" x14ac:dyDescent="0.2">
      <c r="B5307" s="203"/>
      <c r="C5307" s="237"/>
      <c r="D5307" s="202"/>
      <c r="E5307" s="202"/>
      <c r="U5307" s="204"/>
    </row>
    <row r="5308" spans="2:21" x14ac:dyDescent="0.2">
      <c r="B5308" s="203"/>
      <c r="C5308" s="237"/>
      <c r="D5308" s="202"/>
      <c r="E5308" s="202"/>
      <c r="U5308" s="204"/>
    </row>
    <row r="5309" spans="2:21" x14ac:dyDescent="0.2">
      <c r="B5309" s="203"/>
      <c r="C5309" s="237"/>
      <c r="D5309" s="202"/>
      <c r="E5309" s="202"/>
      <c r="U5309" s="204"/>
    </row>
    <row r="5310" spans="2:21" x14ac:dyDescent="0.2">
      <c r="B5310" s="203"/>
      <c r="C5310" s="237"/>
      <c r="D5310" s="202"/>
      <c r="E5310" s="202"/>
      <c r="U5310" s="204"/>
    </row>
    <row r="5311" spans="2:21" x14ac:dyDescent="0.2">
      <c r="B5311" s="203"/>
      <c r="C5311" s="237"/>
      <c r="D5311" s="202"/>
      <c r="E5311" s="202"/>
      <c r="U5311" s="204"/>
    </row>
    <row r="5312" spans="2:21" x14ac:dyDescent="0.2">
      <c r="B5312" s="203"/>
      <c r="C5312" s="237"/>
      <c r="D5312" s="202"/>
      <c r="E5312" s="202"/>
      <c r="U5312" s="204"/>
    </row>
    <row r="5313" spans="2:21" x14ac:dyDescent="0.2">
      <c r="B5313" s="203"/>
      <c r="C5313" s="237"/>
      <c r="D5313" s="202"/>
      <c r="E5313" s="202"/>
      <c r="U5313" s="204"/>
    </row>
    <row r="5314" spans="2:21" x14ac:dyDescent="0.2">
      <c r="B5314" s="203"/>
      <c r="C5314" s="237"/>
      <c r="D5314" s="202"/>
      <c r="E5314" s="202"/>
      <c r="U5314" s="204"/>
    </row>
    <row r="5315" spans="2:21" x14ac:dyDescent="0.2">
      <c r="B5315" s="203"/>
      <c r="C5315" s="237"/>
      <c r="D5315" s="202"/>
      <c r="E5315" s="202"/>
      <c r="U5315" s="204"/>
    </row>
    <row r="5316" spans="2:21" x14ac:dyDescent="0.2">
      <c r="B5316" s="203"/>
      <c r="C5316" s="237"/>
      <c r="D5316" s="202"/>
      <c r="E5316" s="202"/>
      <c r="U5316" s="204"/>
    </row>
    <row r="5317" spans="2:21" x14ac:dyDescent="0.2">
      <c r="B5317" s="203"/>
      <c r="C5317" s="237"/>
      <c r="D5317" s="202"/>
      <c r="E5317" s="202"/>
      <c r="U5317" s="204"/>
    </row>
    <row r="5318" spans="2:21" x14ac:dyDescent="0.2">
      <c r="B5318" s="203"/>
      <c r="C5318" s="237"/>
      <c r="D5318" s="202"/>
      <c r="E5318" s="202"/>
      <c r="U5318" s="204"/>
    </row>
    <row r="5319" spans="2:21" x14ac:dyDescent="0.2">
      <c r="B5319" s="203"/>
      <c r="C5319" s="237"/>
      <c r="D5319" s="202"/>
      <c r="E5319" s="202"/>
      <c r="U5319" s="204"/>
    </row>
    <row r="5320" spans="2:21" x14ac:dyDescent="0.2">
      <c r="B5320" s="203"/>
      <c r="C5320" s="237"/>
      <c r="D5320" s="202"/>
      <c r="E5320" s="202"/>
      <c r="U5320" s="204"/>
    </row>
    <row r="5321" spans="2:21" x14ac:dyDescent="0.2">
      <c r="B5321" s="203"/>
      <c r="C5321" s="237"/>
      <c r="D5321" s="202"/>
      <c r="E5321" s="202"/>
      <c r="U5321" s="204"/>
    </row>
    <row r="5322" spans="2:21" x14ac:dyDescent="0.2">
      <c r="B5322" s="203"/>
      <c r="C5322" s="237"/>
      <c r="D5322" s="202"/>
      <c r="E5322" s="202"/>
      <c r="U5322" s="204"/>
    </row>
    <row r="5323" spans="2:21" x14ac:dyDescent="0.2">
      <c r="B5323" s="203"/>
      <c r="C5323" s="237"/>
      <c r="D5323" s="202"/>
      <c r="E5323" s="202"/>
      <c r="U5323" s="204"/>
    </row>
    <row r="5324" spans="2:21" x14ac:dyDescent="0.2">
      <c r="B5324" s="203"/>
      <c r="C5324" s="237"/>
      <c r="D5324" s="202"/>
      <c r="E5324" s="202"/>
      <c r="U5324" s="204"/>
    </row>
    <row r="5325" spans="2:21" x14ac:dyDescent="0.2">
      <c r="B5325" s="203"/>
      <c r="C5325" s="237"/>
      <c r="D5325" s="202"/>
      <c r="E5325" s="202"/>
      <c r="U5325" s="204"/>
    </row>
    <row r="5326" spans="2:21" x14ac:dyDescent="0.2">
      <c r="B5326" s="203"/>
      <c r="C5326" s="237"/>
      <c r="D5326" s="202"/>
      <c r="E5326" s="202"/>
      <c r="U5326" s="204"/>
    </row>
    <row r="5327" spans="2:21" x14ac:dyDescent="0.2">
      <c r="B5327" s="203"/>
      <c r="C5327" s="237"/>
      <c r="D5327" s="202"/>
      <c r="E5327" s="202"/>
      <c r="U5327" s="204"/>
    </row>
    <row r="5328" spans="2:21" x14ac:dyDescent="0.2">
      <c r="B5328" s="203"/>
      <c r="C5328" s="237"/>
      <c r="D5328" s="202"/>
      <c r="E5328" s="202"/>
      <c r="U5328" s="204"/>
    </row>
    <row r="5329" spans="2:21" x14ac:dyDescent="0.2">
      <c r="B5329" s="203"/>
      <c r="C5329" s="237"/>
      <c r="D5329" s="202"/>
      <c r="E5329" s="202"/>
      <c r="U5329" s="204"/>
    </row>
    <row r="5330" spans="2:21" x14ac:dyDescent="0.2">
      <c r="B5330" s="203"/>
      <c r="C5330" s="237"/>
      <c r="D5330" s="202"/>
      <c r="E5330" s="202"/>
      <c r="U5330" s="204"/>
    </row>
    <row r="5331" spans="2:21" x14ac:dyDescent="0.2">
      <c r="B5331" s="203"/>
      <c r="C5331" s="237"/>
      <c r="D5331" s="202"/>
      <c r="E5331" s="202"/>
      <c r="U5331" s="204"/>
    </row>
    <row r="5332" spans="2:21" x14ac:dyDescent="0.2">
      <c r="B5332" s="203"/>
      <c r="C5332" s="237"/>
      <c r="D5332" s="202"/>
      <c r="E5332" s="202"/>
      <c r="U5332" s="204"/>
    </row>
    <row r="5333" spans="2:21" x14ac:dyDescent="0.2">
      <c r="B5333" s="203"/>
      <c r="C5333" s="237"/>
      <c r="D5333" s="202"/>
      <c r="E5333" s="202"/>
      <c r="U5333" s="204"/>
    </row>
    <row r="5334" spans="2:21" x14ac:dyDescent="0.2">
      <c r="B5334" s="203"/>
      <c r="C5334" s="237"/>
      <c r="D5334" s="202"/>
      <c r="E5334" s="202"/>
      <c r="U5334" s="204"/>
    </row>
    <row r="5335" spans="2:21" x14ac:dyDescent="0.2">
      <c r="B5335" s="203"/>
      <c r="C5335" s="237"/>
      <c r="D5335" s="202"/>
      <c r="E5335" s="202"/>
      <c r="U5335" s="204"/>
    </row>
    <row r="5336" spans="2:21" x14ac:dyDescent="0.2">
      <c r="B5336" s="203"/>
      <c r="C5336" s="237"/>
      <c r="D5336" s="202"/>
      <c r="E5336" s="202"/>
      <c r="U5336" s="204"/>
    </row>
    <row r="5337" spans="2:21" x14ac:dyDescent="0.2">
      <c r="B5337" s="203"/>
      <c r="C5337" s="237"/>
      <c r="D5337" s="202"/>
      <c r="E5337" s="202"/>
      <c r="U5337" s="204"/>
    </row>
    <row r="5338" spans="2:21" x14ac:dyDescent="0.2">
      <c r="B5338" s="203"/>
      <c r="C5338" s="237"/>
      <c r="D5338" s="202"/>
      <c r="E5338" s="202"/>
      <c r="U5338" s="204"/>
    </row>
    <row r="5339" spans="2:21" x14ac:dyDescent="0.2">
      <c r="B5339" s="203"/>
      <c r="C5339" s="237"/>
      <c r="D5339" s="202"/>
      <c r="E5339" s="202"/>
      <c r="U5339" s="204"/>
    </row>
    <row r="5340" spans="2:21" x14ac:dyDescent="0.2">
      <c r="B5340" s="203"/>
      <c r="C5340" s="237"/>
      <c r="D5340" s="202"/>
      <c r="E5340" s="202"/>
      <c r="U5340" s="204"/>
    </row>
    <row r="5341" spans="2:21" x14ac:dyDescent="0.2">
      <c r="B5341" s="203"/>
      <c r="C5341" s="237"/>
      <c r="D5341" s="202"/>
      <c r="E5341" s="202"/>
      <c r="U5341" s="204"/>
    </row>
    <row r="5342" spans="2:21" x14ac:dyDescent="0.2">
      <c r="B5342" s="203"/>
      <c r="C5342" s="237"/>
      <c r="D5342" s="202"/>
      <c r="E5342" s="202"/>
      <c r="U5342" s="204"/>
    </row>
    <row r="5343" spans="2:21" x14ac:dyDescent="0.2">
      <c r="B5343" s="203"/>
      <c r="C5343" s="237"/>
      <c r="D5343" s="202"/>
      <c r="E5343" s="202"/>
      <c r="U5343" s="204"/>
    </row>
    <row r="5344" spans="2:21" x14ac:dyDescent="0.2">
      <c r="B5344" s="203"/>
      <c r="C5344" s="237"/>
      <c r="D5344" s="202"/>
      <c r="E5344" s="202"/>
      <c r="U5344" s="204"/>
    </row>
    <row r="5345" spans="2:21" x14ac:dyDescent="0.2">
      <c r="B5345" s="203"/>
      <c r="C5345" s="237"/>
      <c r="D5345" s="202"/>
      <c r="E5345" s="202"/>
      <c r="U5345" s="204"/>
    </row>
    <row r="5346" spans="2:21" x14ac:dyDescent="0.2">
      <c r="B5346" s="203"/>
      <c r="C5346" s="237"/>
      <c r="D5346" s="202"/>
      <c r="E5346" s="202"/>
      <c r="U5346" s="204"/>
    </row>
    <row r="5347" spans="2:21" x14ac:dyDescent="0.2">
      <c r="B5347" s="203"/>
      <c r="C5347" s="237"/>
      <c r="D5347" s="202"/>
      <c r="E5347" s="202"/>
      <c r="U5347" s="204"/>
    </row>
    <row r="5348" spans="2:21" x14ac:dyDescent="0.2">
      <c r="B5348" s="203"/>
      <c r="C5348" s="237"/>
      <c r="D5348" s="202"/>
      <c r="E5348" s="202"/>
      <c r="U5348" s="204"/>
    </row>
    <row r="5349" spans="2:21" x14ac:dyDescent="0.2">
      <c r="B5349" s="203"/>
      <c r="C5349" s="237"/>
      <c r="D5349" s="202"/>
      <c r="E5349" s="202"/>
      <c r="U5349" s="204"/>
    </row>
    <row r="5350" spans="2:21" x14ac:dyDescent="0.2">
      <c r="B5350" s="203"/>
      <c r="C5350" s="237"/>
      <c r="D5350" s="202"/>
      <c r="E5350" s="202"/>
      <c r="U5350" s="204"/>
    </row>
    <row r="5351" spans="2:21" x14ac:dyDescent="0.2">
      <c r="B5351" s="203"/>
      <c r="C5351" s="237"/>
      <c r="D5351" s="202"/>
      <c r="E5351" s="202"/>
      <c r="U5351" s="204"/>
    </row>
    <row r="5352" spans="2:21" x14ac:dyDescent="0.2">
      <c r="B5352" s="203"/>
      <c r="C5352" s="237"/>
      <c r="D5352" s="202"/>
      <c r="E5352" s="202"/>
      <c r="U5352" s="204"/>
    </row>
    <row r="5353" spans="2:21" x14ac:dyDescent="0.2">
      <c r="B5353" s="203"/>
      <c r="C5353" s="237"/>
      <c r="D5353" s="202"/>
      <c r="E5353" s="202"/>
      <c r="U5353" s="204"/>
    </row>
    <row r="5354" spans="2:21" x14ac:dyDescent="0.2">
      <c r="B5354" s="203"/>
      <c r="C5354" s="237"/>
      <c r="D5354" s="202"/>
      <c r="E5354" s="202"/>
      <c r="U5354" s="204"/>
    </row>
    <row r="5355" spans="2:21" x14ac:dyDescent="0.2">
      <c r="B5355" s="203"/>
      <c r="C5355" s="237"/>
      <c r="D5355" s="202"/>
      <c r="E5355" s="202"/>
      <c r="U5355" s="204"/>
    </row>
    <row r="5356" spans="2:21" x14ac:dyDescent="0.2">
      <c r="B5356" s="203"/>
      <c r="C5356" s="237"/>
      <c r="D5356" s="202"/>
      <c r="E5356" s="202"/>
      <c r="U5356" s="204"/>
    </row>
    <row r="5357" spans="2:21" x14ac:dyDescent="0.2">
      <c r="B5357" s="203"/>
      <c r="C5357" s="237"/>
      <c r="D5357" s="202"/>
      <c r="E5357" s="202"/>
      <c r="U5357" s="204"/>
    </row>
    <row r="5358" spans="2:21" x14ac:dyDescent="0.2">
      <c r="B5358" s="203"/>
      <c r="C5358" s="237"/>
      <c r="D5358" s="202"/>
      <c r="E5358" s="202"/>
      <c r="U5358" s="204"/>
    </row>
    <row r="5359" spans="2:21" x14ac:dyDescent="0.2">
      <c r="B5359" s="203"/>
      <c r="C5359" s="237"/>
      <c r="D5359" s="202"/>
      <c r="E5359" s="202"/>
      <c r="U5359" s="204"/>
    </row>
    <row r="5360" spans="2:21" x14ac:dyDescent="0.2">
      <c r="B5360" s="203"/>
      <c r="C5360" s="237"/>
      <c r="D5360" s="202"/>
      <c r="E5360" s="202"/>
      <c r="U5360" s="204"/>
    </row>
    <row r="5361" spans="2:21" x14ac:dyDescent="0.2">
      <c r="B5361" s="203"/>
      <c r="C5361" s="237"/>
      <c r="D5361" s="202"/>
      <c r="E5361" s="202"/>
      <c r="U5361" s="204"/>
    </row>
    <row r="5362" spans="2:21" x14ac:dyDescent="0.2">
      <c r="B5362" s="203"/>
      <c r="C5362" s="237"/>
      <c r="D5362" s="202"/>
      <c r="E5362" s="202"/>
      <c r="U5362" s="204"/>
    </row>
    <row r="5363" spans="2:21" x14ac:dyDescent="0.2">
      <c r="B5363" s="203"/>
      <c r="C5363" s="237"/>
      <c r="D5363" s="202"/>
      <c r="E5363" s="202"/>
      <c r="U5363" s="204"/>
    </row>
    <row r="5364" spans="2:21" x14ac:dyDescent="0.2">
      <c r="B5364" s="203"/>
      <c r="C5364" s="237"/>
      <c r="D5364" s="202"/>
      <c r="E5364" s="202"/>
      <c r="U5364" s="204"/>
    </row>
    <row r="5365" spans="2:21" x14ac:dyDescent="0.2">
      <c r="B5365" s="203"/>
      <c r="C5365" s="237"/>
      <c r="D5365" s="202"/>
      <c r="E5365" s="202"/>
      <c r="U5365" s="204"/>
    </row>
    <row r="5366" spans="2:21" x14ac:dyDescent="0.2">
      <c r="B5366" s="203"/>
      <c r="C5366" s="237"/>
      <c r="D5366" s="202"/>
      <c r="E5366" s="202"/>
      <c r="U5366" s="204"/>
    </row>
    <row r="5367" spans="2:21" x14ac:dyDescent="0.2">
      <c r="B5367" s="203"/>
      <c r="C5367" s="237"/>
      <c r="D5367" s="202"/>
      <c r="E5367" s="202"/>
      <c r="U5367" s="204"/>
    </row>
    <row r="5368" spans="2:21" x14ac:dyDescent="0.2">
      <c r="B5368" s="203"/>
      <c r="C5368" s="237"/>
      <c r="D5368" s="202"/>
      <c r="E5368" s="202"/>
      <c r="U5368" s="204"/>
    </row>
    <row r="5369" spans="2:21" x14ac:dyDescent="0.2">
      <c r="B5369" s="203"/>
      <c r="C5369" s="237"/>
      <c r="D5369" s="202"/>
      <c r="E5369" s="202"/>
      <c r="U5369" s="204"/>
    </row>
    <row r="5370" spans="2:21" x14ac:dyDescent="0.2">
      <c r="B5370" s="203"/>
      <c r="C5370" s="237"/>
      <c r="D5370" s="202"/>
      <c r="E5370" s="202"/>
      <c r="U5370" s="204"/>
    </row>
    <row r="5371" spans="2:21" x14ac:dyDescent="0.2">
      <c r="B5371" s="203"/>
      <c r="C5371" s="237"/>
      <c r="D5371" s="202"/>
      <c r="E5371" s="202"/>
      <c r="U5371" s="204"/>
    </row>
    <row r="5372" spans="2:21" x14ac:dyDescent="0.2">
      <c r="B5372" s="203"/>
      <c r="C5372" s="237"/>
      <c r="D5372" s="202"/>
      <c r="E5372" s="202"/>
      <c r="U5372" s="204"/>
    </row>
    <row r="5373" spans="2:21" x14ac:dyDescent="0.2">
      <c r="B5373" s="203"/>
      <c r="C5373" s="237"/>
      <c r="D5373" s="202"/>
      <c r="E5373" s="202"/>
      <c r="U5373" s="204"/>
    </row>
    <row r="5374" spans="2:21" x14ac:dyDescent="0.2">
      <c r="B5374" s="203"/>
      <c r="C5374" s="237"/>
      <c r="D5374" s="202"/>
      <c r="E5374" s="202"/>
      <c r="U5374" s="204"/>
    </row>
    <row r="5375" spans="2:21" x14ac:dyDescent="0.2">
      <c r="B5375" s="203"/>
      <c r="C5375" s="237"/>
      <c r="D5375" s="202"/>
      <c r="E5375" s="202"/>
      <c r="U5375" s="204"/>
    </row>
    <row r="5376" spans="2:21" x14ac:dyDescent="0.2">
      <c r="B5376" s="203"/>
      <c r="C5376" s="237"/>
      <c r="D5376" s="202"/>
      <c r="E5376" s="202"/>
      <c r="U5376" s="204"/>
    </row>
    <row r="5377" spans="2:21" x14ac:dyDescent="0.2">
      <c r="B5377" s="203"/>
      <c r="C5377" s="237"/>
      <c r="D5377" s="202"/>
      <c r="E5377" s="202"/>
      <c r="U5377" s="204"/>
    </row>
    <row r="5378" spans="2:21" x14ac:dyDescent="0.2">
      <c r="B5378" s="203"/>
      <c r="C5378" s="237"/>
      <c r="D5378" s="202"/>
      <c r="E5378" s="202"/>
      <c r="U5378" s="204"/>
    </row>
    <row r="5379" spans="2:21" x14ac:dyDescent="0.2">
      <c r="B5379" s="203"/>
      <c r="C5379" s="237"/>
      <c r="D5379" s="202"/>
      <c r="E5379" s="202"/>
      <c r="U5379" s="204"/>
    </row>
    <row r="5380" spans="2:21" x14ac:dyDescent="0.2">
      <c r="B5380" s="203"/>
      <c r="C5380" s="237"/>
      <c r="D5380" s="202"/>
      <c r="E5380" s="202"/>
      <c r="U5380" s="204"/>
    </row>
    <row r="5381" spans="2:21" x14ac:dyDescent="0.2">
      <c r="B5381" s="203"/>
      <c r="C5381" s="237"/>
      <c r="D5381" s="202"/>
      <c r="E5381" s="202"/>
      <c r="U5381" s="204"/>
    </row>
    <row r="5382" spans="2:21" x14ac:dyDescent="0.2">
      <c r="B5382" s="203"/>
      <c r="C5382" s="237"/>
      <c r="D5382" s="202"/>
      <c r="E5382" s="202"/>
      <c r="U5382" s="204"/>
    </row>
    <row r="5383" spans="2:21" x14ac:dyDescent="0.2">
      <c r="B5383" s="203"/>
      <c r="C5383" s="237"/>
      <c r="D5383" s="202"/>
      <c r="E5383" s="202"/>
      <c r="U5383" s="204"/>
    </row>
    <row r="5384" spans="2:21" x14ac:dyDescent="0.2">
      <c r="B5384" s="203"/>
      <c r="C5384" s="237"/>
      <c r="D5384" s="202"/>
      <c r="E5384" s="202"/>
      <c r="U5384" s="204"/>
    </row>
    <row r="5385" spans="2:21" x14ac:dyDescent="0.2">
      <c r="B5385" s="203"/>
      <c r="C5385" s="237"/>
      <c r="D5385" s="202"/>
      <c r="E5385" s="202"/>
      <c r="U5385" s="204"/>
    </row>
    <row r="5386" spans="2:21" x14ac:dyDescent="0.2">
      <c r="B5386" s="203"/>
      <c r="C5386" s="237"/>
      <c r="D5386" s="202"/>
      <c r="E5386" s="202"/>
      <c r="U5386" s="204"/>
    </row>
    <row r="5387" spans="2:21" x14ac:dyDescent="0.2">
      <c r="B5387" s="203"/>
      <c r="C5387" s="237"/>
      <c r="D5387" s="202"/>
      <c r="E5387" s="202"/>
      <c r="U5387" s="204"/>
    </row>
    <row r="5388" spans="2:21" x14ac:dyDescent="0.2">
      <c r="B5388" s="203"/>
      <c r="C5388" s="237"/>
      <c r="D5388" s="202"/>
      <c r="E5388" s="202"/>
      <c r="U5388" s="204"/>
    </row>
    <row r="5389" spans="2:21" x14ac:dyDescent="0.2">
      <c r="B5389" s="203"/>
      <c r="C5389" s="237"/>
      <c r="D5389" s="202"/>
      <c r="E5389" s="202"/>
      <c r="U5389" s="204"/>
    </row>
    <row r="5390" spans="2:21" x14ac:dyDescent="0.2">
      <c r="B5390" s="203"/>
      <c r="C5390" s="237"/>
      <c r="D5390" s="202"/>
      <c r="E5390" s="202"/>
      <c r="U5390" s="204"/>
    </row>
    <row r="5391" spans="2:21" x14ac:dyDescent="0.2">
      <c r="B5391" s="203"/>
      <c r="C5391" s="237"/>
      <c r="D5391" s="202"/>
      <c r="E5391" s="202"/>
      <c r="U5391" s="204"/>
    </row>
    <row r="5392" spans="2:21" x14ac:dyDescent="0.2">
      <c r="B5392" s="203"/>
      <c r="C5392" s="237"/>
      <c r="D5392" s="202"/>
      <c r="E5392" s="202"/>
      <c r="U5392" s="204"/>
    </row>
    <row r="5393" spans="2:21" x14ac:dyDescent="0.2">
      <c r="B5393" s="203"/>
      <c r="C5393" s="237"/>
      <c r="D5393" s="202"/>
      <c r="E5393" s="202"/>
      <c r="U5393" s="204"/>
    </row>
    <row r="5394" spans="2:21" x14ac:dyDescent="0.2">
      <c r="B5394" s="203"/>
      <c r="C5394" s="237"/>
      <c r="D5394" s="202"/>
      <c r="E5394" s="202"/>
      <c r="U5394" s="204"/>
    </row>
    <row r="5395" spans="2:21" x14ac:dyDescent="0.2">
      <c r="B5395" s="203"/>
      <c r="C5395" s="237"/>
      <c r="D5395" s="202"/>
      <c r="E5395" s="202"/>
      <c r="U5395" s="204"/>
    </row>
    <row r="5396" spans="2:21" x14ac:dyDescent="0.2">
      <c r="B5396" s="203"/>
      <c r="C5396" s="237"/>
      <c r="D5396" s="202"/>
      <c r="E5396" s="202"/>
      <c r="U5396" s="204"/>
    </row>
    <row r="5397" spans="2:21" x14ac:dyDescent="0.2">
      <c r="B5397" s="203"/>
      <c r="C5397" s="237"/>
      <c r="D5397" s="202"/>
      <c r="E5397" s="202"/>
      <c r="U5397" s="204"/>
    </row>
    <row r="5398" spans="2:21" x14ac:dyDescent="0.2">
      <c r="B5398" s="203"/>
      <c r="C5398" s="237"/>
      <c r="D5398" s="202"/>
      <c r="E5398" s="202"/>
      <c r="U5398" s="204"/>
    </row>
    <row r="5399" spans="2:21" x14ac:dyDescent="0.2">
      <c r="B5399" s="203"/>
      <c r="C5399" s="237"/>
      <c r="D5399" s="202"/>
      <c r="E5399" s="202"/>
      <c r="U5399" s="204"/>
    </row>
    <row r="5400" spans="2:21" x14ac:dyDescent="0.2">
      <c r="B5400" s="203"/>
      <c r="C5400" s="237"/>
      <c r="D5400" s="202"/>
      <c r="E5400" s="202"/>
      <c r="U5400" s="204"/>
    </row>
    <row r="5401" spans="2:21" x14ac:dyDescent="0.2">
      <c r="B5401" s="203"/>
      <c r="C5401" s="237"/>
      <c r="D5401" s="202"/>
      <c r="E5401" s="202"/>
      <c r="U5401" s="204"/>
    </row>
    <row r="5402" spans="2:21" x14ac:dyDescent="0.2">
      <c r="B5402" s="203"/>
      <c r="C5402" s="237"/>
      <c r="D5402" s="202"/>
      <c r="E5402" s="202"/>
      <c r="U5402" s="204"/>
    </row>
    <row r="5403" spans="2:21" x14ac:dyDescent="0.2">
      <c r="B5403" s="203"/>
      <c r="C5403" s="237"/>
      <c r="D5403" s="202"/>
      <c r="E5403" s="202"/>
      <c r="U5403" s="204"/>
    </row>
    <row r="5404" spans="2:21" x14ac:dyDescent="0.2">
      <c r="B5404" s="203"/>
      <c r="C5404" s="237"/>
      <c r="D5404" s="202"/>
      <c r="E5404" s="202"/>
      <c r="U5404" s="204"/>
    </row>
    <row r="5405" spans="2:21" x14ac:dyDescent="0.2">
      <c r="B5405" s="203"/>
      <c r="C5405" s="237"/>
      <c r="D5405" s="202"/>
      <c r="E5405" s="202"/>
      <c r="U5405" s="204"/>
    </row>
    <row r="5406" spans="2:21" x14ac:dyDescent="0.2">
      <c r="B5406" s="203"/>
      <c r="C5406" s="237"/>
      <c r="D5406" s="202"/>
      <c r="E5406" s="202"/>
      <c r="U5406" s="204"/>
    </row>
    <row r="5407" spans="2:21" x14ac:dyDescent="0.2">
      <c r="B5407" s="203"/>
      <c r="C5407" s="237"/>
      <c r="D5407" s="202"/>
      <c r="E5407" s="202"/>
      <c r="U5407" s="204"/>
    </row>
    <row r="5408" spans="2:21" x14ac:dyDescent="0.2">
      <c r="B5408" s="203"/>
      <c r="C5408" s="237"/>
      <c r="D5408" s="202"/>
      <c r="E5408" s="202"/>
      <c r="U5408" s="204"/>
    </row>
    <row r="5409" spans="2:21" x14ac:dyDescent="0.2">
      <c r="B5409" s="203"/>
      <c r="C5409" s="237"/>
      <c r="D5409" s="202"/>
      <c r="E5409" s="202"/>
      <c r="U5409" s="204"/>
    </row>
    <row r="5410" spans="2:21" x14ac:dyDescent="0.2">
      <c r="B5410" s="203"/>
      <c r="C5410" s="237"/>
      <c r="D5410" s="202"/>
      <c r="E5410" s="202"/>
      <c r="U5410" s="204"/>
    </row>
    <row r="5411" spans="2:21" x14ac:dyDescent="0.2">
      <c r="B5411" s="203"/>
      <c r="C5411" s="237"/>
      <c r="D5411" s="202"/>
      <c r="E5411" s="202"/>
      <c r="U5411" s="204"/>
    </row>
    <row r="5412" spans="2:21" x14ac:dyDescent="0.2">
      <c r="B5412" s="203"/>
      <c r="C5412" s="237"/>
      <c r="D5412" s="202"/>
      <c r="E5412" s="202"/>
      <c r="U5412" s="204"/>
    </row>
    <row r="5413" spans="2:21" x14ac:dyDescent="0.2">
      <c r="B5413" s="203"/>
      <c r="C5413" s="237"/>
      <c r="D5413" s="202"/>
      <c r="E5413" s="202"/>
      <c r="U5413" s="204"/>
    </row>
    <row r="5414" spans="2:21" x14ac:dyDescent="0.2">
      <c r="B5414" s="203"/>
      <c r="C5414" s="237"/>
      <c r="D5414" s="202"/>
      <c r="E5414" s="202"/>
      <c r="U5414" s="204"/>
    </row>
    <row r="5415" spans="2:21" x14ac:dyDescent="0.2">
      <c r="B5415" s="203"/>
      <c r="C5415" s="237"/>
      <c r="D5415" s="202"/>
      <c r="E5415" s="202"/>
      <c r="U5415" s="204"/>
    </row>
    <row r="5416" spans="2:21" x14ac:dyDescent="0.2">
      <c r="B5416" s="203"/>
      <c r="C5416" s="237"/>
      <c r="D5416" s="202"/>
      <c r="E5416" s="202"/>
      <c r="U5416" s="204"/>
    </row>
    <row r="5417" spans="2:21" x14ac:dyDescent="0.2">
      <c r="B5417" s="203"/>
      <c r="C5417" s="237"/>
      <c r="D5417" s="202"/>
      <c r="E5417" s="202"/>
      <c r="U5417" s="204"/>
    </row>
    <row r="5418" spans="2:21" x14ac:dyDescent="0.2">
      <c r="B5418" s="203"/>
      <c r="C5418" s="237"/>
      <c r="D5418" s="202"/>
      <c r="E5418" s="202"/>
      <c r="U5418" s="204"/>
    </row>
    <row r="5419" spans="2:21" x14ac:dyDescent="0.2">
      <c r="B5419" s="203"/>
      <c r="C5419" s="237"/>
      <c r="D5419" s="202"/>
      <c r="E5419" s="202"/>
      <c r="U5419" s="204"/>
    </row>
    <row r="5420" spans="2:21" x14ac:dyDescent="0.2">
      <c r="B5420" s="203"/>
      <c r="C5420" s="237"/>
      <c r="D5420" s="202"/>
      <c r="E5420" s="202"/>
      <c r="U5420" s="204"/>
    </row>
    <row r="5421" spans="2:21" x14ac:dyDescent="0.2">
      <c r="B5421" s="203"/>
      <c r="C5421" s="237"/>
      <c r="D5421" s="202"/>
      <c r="E5421" s="202"/>
      <c r="U5421" s="204"/>
    </row>
    <row r="5422" spans="2:21" x14ac:dyDescent="0.2">
      <c r="B5422" s="203"/>
      <c r="C5422" s="237"/>
      <c r="D5422" s="202"/>
      <c r="E5422" s="202"/>
      <c r="U5422" s="204"/>
    </row>
    <row r="5423" spans="2:21" x14ac:dyDescent="0.2">
      <c r="B5423" s="203"/>
      <c r="C5423" s="237"/>
      <c r="D5423" s="202"/>
      <c r="E5423" s="202"/>
      <c r="U5423" s="204"/>
    </row>
    <row r="5424" spans="2:21" x14ac:dyDescent="0.2">
      <c r="B5424" s="203"/>
      <c r="C5424" s="237"/>
      <c r="D5424" s="202"/>
      <c r="E5424" s="202"/>
      <c r="U5424" s="204"/>
    </row>
    <row r="5425" spans="2:21" x14ac:dyDescent="0.2">
      <c r="B5425" s="203"/>
      <c r="C5425" s="237"/>
      <c r="D5425" s="202"/>
      <c r="E5425" s="202"/>
      <c r="U5425" s="204"/>
    </row>
    <row r="5426" spans="2:21" x14ac:dyDescent="0.2">
      <c r="B5426" s="203"/>
      <c r="C5426" s="237"/>
      <c r="D5426" s="202"/>
      <c r="E5426" s="202"/>
      <c r="U5426" s="204"/>
    </row>
    <row r="5427" spans="2:21" x14ac:dyDescent="0.2">
      <c r="B5427" s="203"/>
      <c r="C5427" s="237"/>
      <c r="D5427" s="202"/>
      <c r="E5427" s="202"/>
      <c r="U5427" s="204"/>
    </row>
    <row r="5428" spans="2:21" x14ac:dyDescent="0.2">
      <c r="B5428" s="203"/>
      <c r="C5428" s="237"/>
      <c r="D5428" s="202"/>
      <c r="E5428" s="202"/>
      <c r="U5428" s="204"/>
    </row>
    <row r="5429" spans="2:21" x14ac:dyDescent="0.2">
      <c r="B5429" s="203"/>
      <c r="C5429" s="237"/>
      <c r="D5429" s="202"/>
      <c r="E5429" s="202"/>
      <c r="U5429" s="204"/>
    </row>
    <row r="5430" spans="2:21" x14ac:dyDescent="0.2">
      <c r="B5430" s="203"/>
      <c r="C5430" s="237"/>
      <c r="D5430" s="202"/>
      <c r="E5430" s="202"/>
      <c r="U5430" s="204"/>
    </row>
    <row r="5431" spans="2:21" x14ac:dyDescent="0.2">
      <c r="B5431" s="203"/>
      <c r="C5431" s="237"/>
      <c r="D5431" s="202"/>
      <c r="E5431" s="202"/>
      <c r="U5431" s="204"/>
    </row>
    <row r="5432" spans="2:21" x14ac:dyDescent="0.2">
      <c r="B5432" s="203"/>
      <c r="C5432" s="237"/>
      <c r="D5432" s="202"/>
      <c r="E5432" s="202"/>
      <c r="U5432" s="204"/>
    </row>
    <row r="5433" spans="2:21" x14ac:dyDescent="0.2">
      <c r="B5433" s="203"/>
      <c r="C5433" s="237"/>
      <c r="D5433" s="202"/>
      <c r="E5433" s="202"/>
      <c r="U5433" s="204"/>
    </row>
    <row r="5434" spans="2:21" x14ac:dyDescent="0.2">
      <c r="B5434" s="203"/>
      <c r="C5434" s="237"/>
      <c r="D5434" s="202"/>
      <c r="E5434" s="202"/>
      <c r="U5434" s="204"/>
    </row>
    <row r="5435" spans="2:21" x14ac:dyDescent="0.2">
      <c r="B5435" s="203"/>
      <c r="C5435" s="237"/>
      <c r="D5435" s="202"/>
      <c r="E5435" s="202"/>
      <c r="U5435" s="204"/>
    </row>
    <row r="5436" spans="2:21" x14ac:dyDescent="0.2">
      <c r="B5436" s="203"/>
      <c r="C5436" s="237"/>
      <c r="D5436" s="202"/>
      <c r="E5436" s="202"/>
      <c r="U5436" s="204"/>
    </row>
    <row r="5437" spans="2:21" x14ac:dyDescent="0.2">
      <c r="B5437" s="203"/>
      <c r="C5437" s="237"/>
      <c r="D5437" s="202"/>
      <c r="E5437" s="202"/>
      <c r="U5437" s="204"/>
    </row>
    <row r="5438" spans="2:21" x14ac:dyDescent="0.2">
      <c r="B5438" s="203"/>
      <c r="C5438" s="237"/>
      <c r="D5438" s="202"/>
      <c r="E5438" s="202"/>
      <c r="U5438" s="204"/>
    </row>
    <row r="5439" spans="2:21" x14ac:dyDescent="0.2">
      <c r="B5439" s="203"/>
      <c r="C5439" s="237"/>
      <c r="D5439" s="202"/>
      <c r="E5439" s="202"/>
      <c r="U5439" s="204"/>
    </row>
    <row r="5440" spans="2:21" x14ac:dyDescent="0.2">
      <c r="B5440" s="203"/>
      <c r="C5440" s="237"/>
      <c r="D5440" s="202"/>
      <c r="E5440" s="202"/>
      <c r="U5440" s="204"/>
    </row>
    <row r="5441" spans="2:21" x14ac:dyDescent="0.2">
      <c r="B5441" s="203"/>
      <c r="C5441" s="237"/>
      <c r="D5441" s="202"/>
      <c r="E5441" s="202"/>
      <c r="U5441" s="204"/>
    </row>
    <row r="5442" spans="2:21" x14ac:dyDescent="0.2">
      <c r="B5442" s="203"/>
      <c r="C5442" s="237"/>
      <c r="D5442" s="202"/>
      <c r="E5442" s="202"/>
      <c r="U5442" s="204"/>
    </row>
    <row r="5443" spans="2:21" x14ac:dyDescent="0.2">
      <c r="B5443" s="203"/>
      <c r="C5443" s="237"/>
      <c r="D5443" s="202"/>
      <c r="E5443" s="202"/>
      <c r="U5443" s="204"/>
    </row>
    <row r="5444" spans="2:21" x14ac:dyDescent="0.2">
      <c r="B5444" s="203"/>
      <c r="C5444" s="237"/>
      <c r="D5444" s="202"/>
      <c r="E5444" s="202"/>
      <c r="U5444" s="204"/>
    </row>
    <row r="5445" spans="2:21" x14ac:dyDescent="0.2">
      <c r="B5445" s="203"/>
      <c r="C5445" s="237"/>
      <c r="D5445" s="202"/>
      <c r="E5445" s="202"/>
      <c r="U5445" s="204"/>
    </row>
    <row r="5446" spans="2:21" x14ac:dyDescent="0.2">
      <c r="B5446" s="203"/>
      <c r="C5446" s="237"/>
      <c r="D5446" s="202"/>
      <c r="E5446" s="202"/>
      <c r="U5446" s="204"/>
    </row>
    <row r="5447" spans="2:21" x14ac:dyDescent="0.2">
      <c r="B5447" s="203"/>
      <c r="C5447" s="237"/>
      <c r="D5447" s="202"/>
      <c r="E5447" s="202"/>
      <c r="U5447" s="204"/>
    </row>
    <row r="5448" spans="2:21" x14ac:dyDescent="0.2">
      <c r="B5448" s="203"/>
      <c r="C5448" s="237"/>
      <c r="D5448" s="202"/>
      <c r="E5448" s="202"/>
      <c r="U5448" s="204"/>
    </row>
    <row r="5449" spans="2:21" x14ac:dyDescent="0.2">
      <c r="B5449" s="203"/>
      <c r="C5449" s="237"/>
      <c r="D5449" s="202"/>
      <c r="E5449" s="202"/>
      <c r="U5449" s="204"/>
    </row>
    <row r="5450" spans="2:21" x14ac:dyDescent="0.2">
      <c r="B5450" s="203"/>
      <c r="C5450" s="237"/>
      <c r="D5450" s="202"/>
      <c r="E5450" s="202"/>
      <c r="U5450" s="204"/>
    </row>
    <row r="5451" spans="2:21" x14ac:dyDescent="0.2">
      <c r="B5451" s="203"/>
      <c r="C5451" s="237"/>
      <c r="D5451" s="202"/>
      <c r="E5451" s="202"/>
      <c r="U5451" s="204"/>
    </row>
    <row r="5452" spans="2:21" x14ac:dyDescent="0.2">
      <c r="B5452" s="203"/>
      <c r="C5452" s="237"/>
      <c r="D5452" s="202"/>
      <c r="E5452" s="202"/>
      <c r="U5452" s="204"/>
    </row>
    <row r="5453" spans="2:21" x14ac:dyDescent="0.2">
      <c r="B5453" s="203"/>
      <c r="C5453" s="237"/>
      <c r="D5453" s="202"/>
      <c r="E5453" s="202"/>
      <c r="U5453" s="204"/>
    </row>
    <row r="5454" spans="2:21" x14ac:dyDescent="0.2">
      <c r="B5454" s="203"/>
      <c r="C5454" s="237"/>
      <c r="D5454" s="202"/>
      <c r="E5454" s="202"/>
      <c r="U5454" s="204"/>
    </row>
    <row r="5455" spans="2:21" x14ac:dyDescent="0.2">
      <c r="B5455" s="203"/>
      <c r="C5455" s="237"/>
      <c r="D5455" s="202"/>
      <c r="E5455" s="202"/>
      <c r="U5455" s="204"/>
    </row>
    <row r="5456" spans="2:21" x14ac:dyDescent="0.2">
      <c r="B5456" s="203"/>
      <c r="C5456" s="237"/>
      <c r="D5456" s="202"/>
      <c r="E5456" s="202"/>
      <c r="U5456" s="204"/>
    </row>
    <row r="5457" spans="2:21" x14ac:dyDescent="0.2">
      <c r="B5457" s="203"/>
      <c r="C5457" s="237"/>
      <c r="D5457" s="202"/>
      <c r="E5457" s="202"/>
      <c r="U5457" s="204"/>
    </row>
    <row r="5458" spans="2:21" x14ac:dyDescent="0.2">
      <c r="B5458" s="203"/>
      <c r="C5458" s="237"/>
      <c r="D5458" s="202"/>
      <c r="E5458" s="202"/>
      <c r="U5458" s="204"/>
    </row>
    <row r="5459" spans="2:21" x14ac:dyDescent="0.2">
      <c r="B5459" s="203"/>
      <c r="C5459" s="237"/>
      <c r="D5459" s="202"/>
      <c r="E5459" s="202"/>
      <c r="U5459" s="204"/>
    </row>
    <row r="5460" spans="2:21" x14ac:dyDescent="0.2">
      <c r="B5460" s="203"/>
      <c r="C5460" s="237"/>
      <c r="D5460" s="202"/>
      <c r="E5460" s="202"/>
      <c r="U5460" s="204"/>
    </row>
    <row r="5461" spans="2:21" x14ac:dyDescent="0.2">
      <c r="B5461" s="203"/>
      <c r="C5461" s="237"/>
      <c r="D5461" s="202"/>
      <c r="E5461" s="202"/>
      <c r="U5461" s="204"/>
    </row>
    <row r="5462" spans="2:21" x14ac:dyDescent="0.2">
      <c r="B5462" s="203"/>
      <c r="C5462" s="237"/>
      <c r="D5462" s="202"/>
      <c r="E5462" s="202"/>
      <c r="U5462" s="204"/>
    </row>
    <row r="5463" spans="2:21" x14ac:dyDescent="0.2">
      <c r="B5463" s="203"/>
      <c r="C5463" s="237"/>
      <c r="D5463" s="202"/>
      <c r="E5463" s="202"/>
      <c r="U5463" s="204"/>
    </row>
    <row r="5464" spans="2:21" x14ac:dyDescent="0.2">
      <c r="B5464" s="203"/>
      <c r="C5464" s="237"/>
      <c r="D5464" s="202"/>
      <c r="E5464" s="202"/>
      <c r="U5464" s="204"/>
    </row>
    <row r="5465" spans="2:21" x14ac:dyDescent="0.2">
      <c r="B5465" s="203"/>
      <c r="C5465" s="237"/>
      <c r="D5465" s="202"/>
      <c r="E5465" s="202"/>
      <c r="U5465" s="204"/>
    </row>
    <row r="5466" spans="2:21" x14ac:dyDescent="0.2">
      <c r="B5466" s="203"/>
      <c r="C5466" s="237"/>
      <c r="D5466" s="202"/>
      <c r="E5466" s="202"/>
      <c r="U5466" s="204"/>
    </row>
    <row r="5467" spans="2:21" x14ac:dyDescent="0.2">
      <c r="B5467" s="203"/>
      <c r="C5467" s="237"/>
      <c r="D5467" s="202"/>
      <c r="E5467" s="202"/>
      <c r="U5467" s="204"/>
    </row>
    <row r="5468" spans="2:21" x14ac:dyDescent="0.2">
      <c r="B5468" s="203"/>
      <c r="C5468" s="237"/>
      <c r="D5468" s="202"/>
      <c r="E5468" s="202"/>
      <c r="U5468" s="204"/>
    </row>
    <row r="5469" spans="2:21" x14ac:dyDescent="0.2">
      <c r="B5469" s="203"/>
      <c r="C5469" s="237"/>
      <c r="D5469" s="202"/>
      <c r="E5469" s="202"/>
      <c r="U5469" s="204"/>
    </row>
    <row r="5470" spans="2:21" x14ac:dyDescent="0.2">
      <c r="B5470" s="203"/>
      <c r="C5470" s="237"/>
      <c r="D5470" s="202"/>
      <c r="E5470" s="202"/>
      <c r="U5470" s="204"/>
    </row>
    <row r="5471" spans="2:21" x14ac:dyDescent="0.2">
      <c r="B5471" s="203"/>
      <c r="C5471" s="237"/>
      <c r="D5471" s="202"/>
      <c r="E5471" s="202"/>
      <c r="U5471" s="204"/>
    </row>
    <row r="5472" spans="2:21" x14ac:dyDescent="0.2">
      <c r="B5472" s="203"/>
      <c r="C5472" s="237"/>
      <c r="D5472" s="202"/>
      <c r="E5472" s="202"/>
      <c r="U5472" s="204"/>
    </row>
    <row r="5473" spans="2:21" x14ac:dyDescent="0.2">
      <c r="B5473" s="203"/>
      <c r="C5473" s="237"/>
      <c r="D5473" s="202"/>
      <c r="E5473" s="202"/>
      <c r="U5473" s="204"/>
    </row>
    <row r="5474" spans="2:21" x14ac:dyDescent="0.2">
      <c r="B5474" s="203"/>
      <c r="C5474" s="237"/>
      <c r="D5474" s="202"/>
      <c r="E5474" s="202"/>
      <c r="U5474" s="204"/>
    </row>
    <row r="5475" spans="2:21" x14ac:dyDescent="0.2">
      <c r="B5475" s="203"/>
      <c r="C5475" s="237"/>
      <c r="D5475" s="202"/>
      <c r="E5475" s="202"/>
      <c r="U5475" s="204"/>
    </row>
    <row r="5476" spans="2:21" x14ac:dyDescent="0.2">
      <c r="B5476" s="203"/>
      <c r="C5476" s="237"/>
      <c r="D5476" s="202"/>
      <c r="E5476" s="202"/>
      <c r="U5476" s="204"/>
    </row>
    <row r="5477" spans="2:21" x14ac:dyDescent="0.2">
      <c r="B5477" s="203"/>
      <c r="C5477" s="237"/>
      <c r="D5477" s="202"/>
      <c r="E5477" s="202"/>
      <c r="U5477" s="204"/>
    </row>
    <row r="5478" spans="2:21" x14ac:dyDescent="0.2">
      <c r="B5478" s="203"/>
      <c r="C5478" s="237"/>
      <c r="D5478" s="202"/>
      <c r="E5478" s="202"/>
      <c r="U5478" s="204"/>
    </row>
    <row r="5479" spans="2:21" x14ac:dyDescent="0.2">
      <c r="B5479" s="203"/>
      <c r="C5479" s="237"/>
      <c r="D5479" s="202"/>
      <c r="E5479" s="202"/>
      <c r="U5479" s="204"/>
    </row>
    <row r="5480" spans="2:21" x14ac:dyDescent="0.2">
      <c r="B5480" s="203"/>
      <c r="C5480" s="237"/>
      <c r="D5480" s="202"/>
      <c r="E5480" s="202"/>
      <c r="U5480" s="204"/>
    </row>
    <row r="5481" spans="2:21" x14ac:dyDescent="0.2">
      <c r="B5481" s="203"/>
      <c r="C5481" s="237"/>
      <c r="D5481" s="202"/>
      <c r="E5481" s="202"/>
      <c r="U5481" s="204"/>
    </row>
    <row r="5482" spans="2:21" x14ac:dyDescent="0.2">
      <c r="B5482" s="203"/>
      <c r="C5482" s="237"/>
      <c r="D5482" s="202"/>
      <c r="E5482" s="202"/>
      <c r="U5482" s="204"/>
    </row>
    <row r="5483" spans="2:21" x14ac:dyDescent="0.2">
      <c r="B5483" s="203"/>
      <c r="C5483" s="237"/>
      <c r="D5483" s="202"/>
      <c r="E5483" s="202"/>
      <c r="U5483" s="204"/>
    </row>
    <row r="5484" spans="2:21" x14ac:dyDescent="0.2">
      <c r="B5484" s="203"/>
      <c r="C5484" s="237"/>
      <c r="D5484" s="202"/>
      <c r="E5484" s="202"/>
      <c r="U5484" s="204"/>
    </row>
    <row r="5485" spans="2:21" x14ac:dyDescent="0.2">
      <c r="B5485" s="203"/>
      <c r="C5485" s="237"/>
      <c r="D5485" s="202"/>
      <c r="E5485" s="202"/>
      <c r="U5485" s="204"/>
    </row>
    <row r="5486" spans="2:21" x14ac:dyDescent="0.2">
      <c r="B5486" s="203"/>
      <c r="C5486" s="237"/>
      <c r="D5486" s="202"/>
      <c r="E5486" s="202"/>
      <c r="U5486" s="204"/>
    </row>
    <row r="5487" spans="2:21" x14ac:dyDescent="0.2">
      <c r="B5487" s="203"/>
      <c r="C5487" s="237"/>
      <c r="D5487" s="202"/>
      <c r="E5487" s="202"/>
      <c r="U5487" s="204"/>
    </row>
    <row r="5488" spans="2:21" x14ac:dyDescent="0.2">
      <c r="B5488" s="203"/>
      <c r="C5488" s="237"/>
      <c r="D5488" s="202"/>
      <c r="E5488" s="202"/>
      <c r="U5488" s="204"/>
    </row>
    <row r="5489" spans="2:21" x14ac:dyDescent="0.2">
      <c r="B5489" s="203"/>
      <c r="C5489" s="237"/>
      <c r="D5489" s="202"/>
      <c r="E5489" s="202"/>
      <c r="U5489" s="204"/>
    </row>
    <row r="5490" spans="2:21" x14ac:dyDescent="0.2">
      <c r="B5490" s="203"/>
      <c r="C5490" s="237"/>
      <c r="D5490" s="202"/>
      <c r="E5490" s="202"/>
      <c r="U5490" s="204"/>
    </row>
    <row r="5491" spans="2:21" x14ac:dyDescent="0.2">
      <c r="B5491" s="203"/>
      <c r="C5491" s="237"/>
      <c r="D5491" s="202"/>
      <c r="E5491" s="202"/>
      <c r="U5491" s="204"/>
    </row>
    <row r="5492" spans="2:21" x14ac:dyDescent="0.2">
      <c r="B5492" s="203"/>
      <c r="C5492" s="237"/>
      <c r="D5492" s="202"/>
      <c r="E5492" s="202"/>
      <c r="U5492" s="204"/>
    </row>
    <row r="5493" spans="2:21" x14ac:dyDescent="0.2">
      <c r="B5493" s="203"/>
      <c r="C5493" s="237"/>
      <c r="D5493" s="202"/>
      <c r="E5493" s="202"/>
      <c r="U5493" s="204"/>
    </row>
    <row r="5494" spans="2:21" x14ac:dyDescent="0.2">
      <c r="B5494" s="203"/>
      <c r="C5494" s="237"/>
      <c r="D5494" s="202"/>
      <c r="E5494" s="202"/>
      <c r="U5494" s="204"/>
    </row>
    <row r="5495" spans="2:21" x14ac:dyDescent="0.2">
      <c r="B5495" s="203"/>
      <c r="C5495" s="237"/>
      <c r="D5495" s="202"/>
      <c r="E5495" s="202"/>
      <c r="U5495" s="204"/>
    </row>
    <row r="5496" spans="2:21" x14ac:dyDescent="0.2">
      <c r="B5496" s="203"/>
      <c r="C5496" s="237"/>
      <c r="D5496" s="202"/>
      <c r="E5496" s="202"/>
      <c r="U5496" s="204"/>
    </row>
    <row r="5497" spans="2:21" x14ac:dyDescent="0.2">
      <c r="B5497" s="203"/>
      <c r="C5497" s="237"/>
      <c r="D5497" s="202"/>
      <c r="E5497" s="202"/>
      <c r="U5497" s="204"/>
    </row>
    <row r="5498" spans="2:21" x14ac:dyDescent="0.2">
      <c r="B5498" s="203"/>
      <c r="C5498" s="237"/>
      <c r="D5498" s="202"/>
      <c r="E5498" s="202"/>
      <c r="U5498" s="204"/>
    </row>
    <row r="5499" spans="2:21" x14ac:dyDescent="0.2">
      <c r="B5499" s="203"/>
      <c r="C5499" s="237"/>
      <c r="D5499" s="202"/>
      <c r="E5499" s="202"/>
      <c r="U5499" s="204"/>
    </row>
    <row r="5500" spans="2:21" x14ac:dyDescent="0.2">
      <c r="B5500" s="203"/>
      <c r="C5500" s="237"/>
      <c r="D5500" s="202"/>
      <c r="E5500" s="202"/>
      <c r="U5500" s="204"/>
    </row>
    <row r="5501" spans="2:21" x14ac:dyDescent="0.2">
      <c r="B5501" s="203"/>
      <c r="C5501" s="237"/>
      <c r="D5501" s="202"/>
      <c r="E5501" s="202"/>
      <c r="U5501" s="204"/>
    </row>
    <row r="5502" spans="2:21" x14ac:dyDescent="0.2">
      <c r="B5502" s="203"/>
      <c r="C5502" s="237"/>
      <c r="D5502" s="202"/>
      <c r="E5502" s="202"/>
      <c r="U5502" s="204"/>
    </row>
    <row r="5503" spans="2:21" x14ac:dyDescent="0.2">
      <c r="B5503" s="203"/>
      <c r="C5503" s="237"/>
      <c r="D5503" s="202"/>
      <c r="E5503" s="202"/>
      <c r="U5503" s="204"/>
    </row>
    <row r="5504" spans="2:21" x14ac:dyDescent="0.2">
      <c r="B5504" s="203"/>
      <c r="C5504" s="237"/>
      <c r="D5504" s="202"/>
      <c r="E5504" s="202"/>
      <c r="U5504" s="204"/>
    </row>
    <row r="5505" spans="2:21" x14ac:dyDescent="0.2">
      <c r="B5505" s="203"/>
      <c r="C5505" s="237"/>
      <c r="D5505" s="202"/>
      <c r="E5505" s="202"/>
      <c r="U5505" s="204"/>
    </row>
    <row r="5506" spans="2:21" x14ac:dyDescent="0.2">
      <c r="B5506" s="203"/>
      <c r="C5506" s="237"/>
      <c r="D5506" s="202"/>
      <c r="E5506" s="202"/>
      <c r="U5506" s="204"/>
    </row>
    <row r="5507" spans="2:21" x14ac:dyDescent="0.2">
      <c r="B5507" s="203"/>
      <c r="C5507" s="237"/>
      <c r="D5507" s="202"/>
      <c r="E5507" s="202"/>
      <c r="U5507" s="204"/>
    </row>
    <row r="5508" spans="2:21" x14ac:dyDescent="0.2">
      <c r="B5508" s="203"/>
      <c r="C5508" s="237"/>
      <c r="D5508" s="202"/>
      <c r="E5508" s="202"/>
      <c r="U5508" s="204"/>
    </row>
    <row r="5509" spans="2:21" x14ac:dyDescent="0.2">
      <c r="B5509" s="203"/>
      <c r="C5509" s="237"/>
      <c r="D5509" s="202"/>
      <c r="E5509" s="202"/>
      <c r="U5509" s="204"/>
    </row>
    <row r="5510" spans="2:21" x14ac:dyDescent="0.2">
      <c r="B5510" s="203"/>
      <c r="C5510" s="237"/>
      <c r="D5510" s="202"/>
      <c r="E5510" s="202"/>
      <c r="U5510" s="204"/>
    </row>
    <row r="5511" spans="2:21" x14ac:dyDescent="0.2">
      <c r="B5511" s="203"/>
      <c r="C5511" s="237"/>
      <c r="D5511" s="202"/>
      <c r="E5511" s="202"/>
      <c r="U5511" s="204"/>
    </row>
    <row r="5512" spans="2:21" x14ac:dyDescent="0.2">
      <c r="B5512" s="203"/>
      <c r="C5512" s="237"/>
      <c r="D5512" s="202"/>
      <c r="E5512" s="202"/>
      <c r="U5512" s="204"/>
    </row>
    <row r="5513" spans="2:21" x14ac:dyDescent="0.2">
      <c r="B5513" s="203"/>
      <c r="C5513" s="237"/>
      <c r="D5513" s="202"/>
      <c r="E5513" s="202"/>
      <c r="U5513" s="204"/>
    </row>
    <row r="5514" spans="2:21" x14ac:dyDescent="0.2">
      <c r="B5514" s="203"/>
      <c r="C5514" s="237"/>
      <c r="D5514" s="202"/>
      <c r="E5514" s="202"/>
      <c r="U5514" s="204"/>
    </row>
    <row r="5515" spans="2:21" x14ac:dyDescent="0.2">
      <c r="B5515" s="203"/>
      <c r="C5515" s="237"/>
      <c r="D5515" s="202"/>
      <c r="E5515" s="202"/>
      <c r="U5515" s="204"/>
    </row>
    <row r="5516" spans="2:21" x14ac:dyDescent="0.2">
      <c r="B5516" s="203"/>
      <c r="C5516" s="237"/>
      <c r="D5516" s="202"/>
      <c r="E5516" s="202"/>
      <c r="U5516" s="204"/>
    </row>
    <row r="5517" spans="2:21" x14ac:dyDescent="0.2">
      <c r="B5517" s="203"/>
      <c r="C5517" s="237"/>
      <c r="D5517" s="202"/>
      <c r="E5517" s="202"/>
      <c r="U5517" s="204"/>
    </row>
    <row r="5518" spans="2:21" x14ac:dyDescent="0.2">
      <c r="B5518" s="203"/>
      <c r="C5518" s="237"/>
      <c r="D5518" s="202"/>
      <c r="E5518" s="202"/>
      <c r="U5518" s="204"/>
    </row>
    <row r="5519" spans="2:21" x14ac:dyDescent="0.2">
      <c r="B5519" s="203"/>
      <c r="C5519" s="237"/>
      <c r="D5519" s="202"/>
      <c r="E5519" s="202"/>
      <c r="U5519" s="204"/>
    </row>
    <row r="5520" spans="2:21" x14ac:dyDescent="0.2">
      <c r="B5520" s="203"/>
      <c r="C5520" s="237"/>
      <c r="D5520" s="202"/>
      <c r="E5520" s="202"/>
      <c r="U5520" s="204"/>
    </row>
    <row r="5521" spans="2:21" x14ac:dyDescent="0.2">
      <c r="B5521" s="203"/>
      <c r="C5521" s="237"/>
      <c r="D5521" s="202"/>
      <c r="E5521" s="202"/>
      <c r="U5521" s="204"/>
    </row>
    <row r="5522" spans="2:21" x14ac:dyDescent="0.2">
      <c r="B5522" s="203"/>
      <c r="C5522" s="237"/>
      <c r="D5522" s="202"/>
      <c r="E5522" s="202"/>
      <c r="U5522" s="204"/>
    </row>
    <row r="5523" spans="2:21" x14ac:dyDescent="0.2">
      <c r="B5523" s="203"/>
      <c r="C5523" s="237"/>
      <c r="D5523" s="202"/>
      <c r="E5523" s="202"/>
      <c r="U5523" s="204"/>
    </row>
    <row r="5524" spans="2:21" x14ac:dyDescent="0.2">
      <c r="B5524" s="203"/>
      <c r="C5524" s="237"/>
      <c r="D5524" s="202"/>
      <c r="E5524" s="202"/>
      <c r="U5524" s="204"/>
    </row>
    <row r="5525" spans="2:21" x14ac:dyDescent="0.2">
      <c r="B5525" s="203"/>
      <c r="C5525" s="237"/>
      <c r="D5525" s="202"/>
      <c r="E5525" s="202"/>
      <c r="U5525" s="204"/>
    </row>
    <row r="5526" spans="2:21" x14ac:dyDescent="0.2">
      <c r="B5526" s="203"/>
      <c r="C5526" s="237"/>
      <c r="D5526" s="202"/>
      <c r="E5526" s="202"/>
      <c r="U5526" s="204"/>
    </row>
    <row r="5527" spans="2:21" x14ac:dyDescent="0.2">
      <c r="B5527" s="203"/>
      <c r="C5527" s="237"/>
      <c r="D5527" s="202"/>
      <c r="E5527" s="202"/>
      <c r="U5527" s="204"/>
    </row>
    <row r="5528" spans="2:21" x14ac:dyDescent="0.2">
      <c r="B5528" s="203"/>
      <c r="C5528" s="237"/>
      <c r="D5528" s="202"/>
      <c r="E5528" s="202"/>
      <c r="U5528" s="204"/>
    </row>
    <row r="5529" spans="2:21" x14ac:dyDescent="0.2">
      <c r="B5529" s="203"/>
      <c r="C5529" s="237"/>
      <c r="D5529" s="202"/>
      <c r="E5529" s="202"/>
      <c r="U5529" s="204"/>
    </row>
    <row r="5530" spans="2:21" x14ac:dyDescent="0.2">
      <c r="B5530" s="203"/>
      <c r="C5530" s="237"/>
      <c r="D5530" s="202"/>
      <c r="E5530" s="202"/>
      <c r="U5530" s="204"/>
    </row>
    <row r="5531" spans="2:21" x14ac:dyDescent="0.2">
      <c r="B5531" s="203"/>
      <c r="C5531" s="237"/>
      <c r="D5531" s="202"/>
      <c r="E5531" s="202"/>
      <c r="U5531" s="204"/>
    </row>
    <row r="5532" spans="2:21" x14ac:dyDescent="0.2">
      <c r="B5532" s="203"/>
      <c r="C5532" s="237"/>
      <c r="D5532" s="202"/>
      <c r="E5532" s="202"/>
      <c r="U5532" s="204"/>
    </row>
    <row r="5533" spans="2:21" x14ac:dyDescent="0.2">
      <c r="B5533" s="203"/>
      <c r="C5533" s="237"/>
      <c r="D5533" s="202"/>
      <c r="E5533" s="202"/>
      <c r="U5533" s="204"/>
    </row>
    <row r="5534" spans="2:21" x14ac:dyDescent="0.2">
      <c r="B5534" s="203"/>
      <c r="C5534" s="237"/>
      <c r="D5534" s="202"/>
      <c r="E5534" s="202"/>
      <c r="U5534" s="204"/>
    </row>
    <row r="5535" spans="2:21" x14ac:dyDescent="0.2">
      <c r="B5535" s="203"/>
      <c r="C5535" s="237"/>
      <c r="D5535" s="202"/>
      <c r="E5535" s="202"/>
      <c r="U5535" s="204"/>
    </row>
    <row r="5536" spans="2:21" x14ac:dyDescent="0.2">
      <c r="B5536" s="203"/>
      <c r="C5536" s="237"/>
      <c r="D5536" s="202"/>
      <c r="E5536" s="202"/>
      <c r="U5536" s="204"/>
    </row>
    <row r="5537" spans="2:21" x14ac:dyDescent="0.2">
      <c r="B5537" s="203"/>
      <c r="C5537" s="237"/>
      <c r="D5537" s="202"/>
      <c r="E5537" s="202"/>
      <c r="U5537" s="204"/>
    </row>
    <row r="5538" spans="2:21" x14ac:dyDescent="0.2">
      <c r="B5538" s="203"/>
      <c r="C5538" s="237"/>
      <c r="D5538" s="202"/>
      <c r="E5538" s="202"/>
      <c r="U5538" s="204"/>
    </row>
    <row r="5539" spans="2:21" x14ac:dyDescent="0.2">
      <c r="B5539" s="203"/>
      <c r="C5539" s="237"/>
      <c r="D5539" s="202"/>
      <c r="E5539" s="202"/>
      <c r="U5539" s="204"/>
    </row>
    <row r="5540" spans="2:21" x14ac:dyDescent="0.2">
      <c r="B5540" s="203"/>
      <c r="C5540" s="237"/>
      <c r="D5540" s="202"/>
      <c r="E5540" s="202"/>
      <c r="U5540" s="204"/>
    </row>
    <row r="5541" spans="2:21" x14ac:dyDescent="0.2">
      <c r="B5541" s="203"/>
      <c r="C5541" s="237"/>
      <c r="D5541" s="202"/>
      <c r="E5541" s="202"/>
      <c r="U5541" s="204"/>
    </row>
    <row r="5542" spans="2:21" x14ac:dyDescent="0.2">
      <c r="B5542" s="203"/>
      <c r="C5542" s="237"/>
      <c r="D5542" s="202"/>
      <c r="E5542" s="202"/>
      <c r="U5542" s="204"/>
    </row>
    <row r="5543" spans="2:21" x14ac:dyDescent="0.2">
      <c r="B5543" s="203"/>
      <c r="C5543" s="237"/>
      <c r="D5543" s="202"/>
      <c r="E5543" s="202"/>
      <c r="U5543" s="204"/>
    </row>
    <row r="5544" spans="2:21" x14ac:dyDescent="0.2">
      <c r="B5544" s="203"/>
      <c r="C5544" s="237"/>
      <c r="D5544" s="202"/>
      <c r="E5544" s="202"/>
      <c r="U5544" s="204"/>
    </row>
    <row r="5545" spans="2:21" x14ac:dyDescent="0.2">
      <c r="B5545" s="203"/>
      <c r="C5545" s="237"/>
      <c r="D5545" s="202"/>
      <c r="E5545" s="202"/>
      <c r="U5545" s="204"/>
    </row>
    <row r="5546" spans="2:21" x14ac:dyDescent="0.2">
      <c r="B5546" s="203"/>
      <c r="C5546" s="237"/>
      <c r="D5546" s="202"/>
      <c r="E5546" s="202"/>
      <c r="U5546" s="204"/>
    </row>
    <row r="5547" spans="2:21" x14ac:dyDescent="0.2">
      <c r="B5547" s="203"/>
      <c r="C5547" s="237"/>
      <c r="D5547" s="202"/>
      <c r="E5547" s="202"/>
      <c r="U5547" s="204"/>
    </row>
    <row r="5548" spans="2:21" x14ac:dyDescent="0.2">
      <c r="B5548" s="203"/>
      <c r="C5548" s="237"/>
      <c r="D5548" s="202"/>
      <c r="E5548" s="202"/>
      <c r="U5548" s="204"/>
    </row>
    <row r="5549" spans="2:21" x14ac:dyDescent="0.2">
      <c r="B5549" s="203"/>
      <c r="C5549" s="237"/>
      <c r="D5549" s="202"/>
      <c r="E5549" s="202"/>
      <c r="U5549" s="204"/>
    </row>
    <row r="5550" spans="2:21" x14ac:dyDescent="0.2">
      <c r="B5550" s="203"/>
      <c r="C5550" s="237"/>
      <c r="D5550" s="202"/>
      <c r="E5550" s="202"/>
      <c r="U5550" s="204"/>
    </row>
    <row r="5551" spans="2:21" x14ac:dyDescent="0.2">
      <c r="B5551" s="203"/>
      <c r="C5551" s="237"/>
      <c r="D5551" s="202"/>
      <c r="E5551" s="202"/>
      <c r="U5551" s="204"/>
    </row>
    <row r="5552" spans="2:21" x14ac:dyDescent="0.2">
      <c r="B5552" s="203"/>
      <c r="C5552" s="237"/>
      <c r="D5552" s="202"/>
      <c r="E5552" s="202"/>
      <c r="U5552" s="204"/>
    </row>
    <row r="5553" spans="2:21" x14ac:dyDescent="0.2">
      <c r="B5553" s="203"/>
      <c r="C5553" s="237"/>
      <c r="D5553" s="202"/>
      <c r="E5553" s="202"/>
      <c r="U5553" s="204"/>
    </row>
    <row r="5554" spans="2:21" x14ac:dyDescent="0.2">
      <c r="B5554" s="203"/>
      <c r="C5554" s="237"/>
      <c r="D5554" s="202"/>
      <c r="E5554" s="202"/>
      <c r="U5554" s="204"/>
    </row>
    <row r="5555" spans="2:21" x14ac:dyDescent="0.2">
      <c r="B5555" s="203"/>
      <c r="C5555" s="237"/>
      <c r="D5555" s="202"/>
      <c r="E5555" s="202"/>
      <c r="U5555" s="204"/>
    </row>
    <row r="5556" spans="2:21" x14ac:dyDescent="0.2">
      <c r="B5556" s="203"/>
      <c r="C5556" s="237"/>
      <c r="D5556" s="202"/>
      <c r="E5556" s="202"/>
      <c r="U5556" s="204"/>
    </row>
    <row r="5557" spans="2:21" x14ac:dyDescent="0.2">
      <c r="B5557" s="203"/>
      <c r="C5557" s="237"/>
      <c r="D5557" s="202"/>
      <c r="E5557" s="202"/>
      <c r="U5557" s="204"/>
    </row>
    <row r="5558" spans="2:21" x14ac:dyDescent="0.2">
      <c r="B5558" s="203"/>
      <c r="C5558" s="237"/>
      <c r="D5558" s="202"/>
      <c r="E5558" s="202"/>
      <c r="U5558" s="204"/>
    </row>
    <row r="5559" spans="2:21" x14ac:dyDescent="0.2">
      <c r="B5559" s="203"/>
      <c r="C5559" s="237"/>
      <c r="D5559" s="202"/>
      <c r="E5559" s="202"/>
      <c r="U5559" s="204"/>
    </row>
    <row r="5560" spans="2:21" x14ac:dyDescent="0.2">
      <c r="B5560" s="203"/>
      <c r="C5560" s="237"/>
      <c r="D5560" s="202"/>
      <c r="E5560" s="202"/>
      <c r="U5560" s="204"/>
    </row>
    <row r="5561" spans="2:21" x14ac:dyDescent="0.2">
      <c r="B5561" s="203"/>
      <c r="C5561" s="237"/>
      <c r="D5561" s="202"/>
      <c r="E5561" s="202"/>
      <c r="U5561" s="204"/>
    </row>
    <row r="5562" spans="2:21" x14ac:dyDescent="0.2">
      <c r="B5562" s="203"/>
      <c r="C5562" s="237"/>
      <c r="D5562" s="202"/>
      <c r="E5562" s="202"/>
      <c r="U5562" s="204"/>
    </row>
    <row r="5563" spans="2:21" x14ac:dyDescent="0.2">
      <c r="B5563" s="203"/>
      <c r="C5563" s="237"/>
      <c r="D5563" s="202"/>
      <c r="E5563" s="202"/>
      <c r="U5563" s="204"/>
    </row>
    <row r="5564" spans="2:21" x14ac:dyDescent="0.2">
      <c r="B5564" s="203"/>
      <c r="C5564" s="237"/>
      <c r="D5564" s="202"/>
      <c r="E5564" s="202"/>
      <c r="U5564" s="204"/>
    </row>
    <row r="5565" spans="2:21" x14ac:dyDescent="0.2">
      <c r="B5565" s="203"/>
      <c r="C5565" s="237"/>
      <c r="D5565" s="202"/>
      <c r="E5565" s="202"/>
      <c r="U5565" s="204"/>
    </row>
    <row r="5566" spans="2:21" x14ac:dyDescent="0.2">
      <c r="B5566" s="203"/>
      <c r="C5566" s="237"/>
      <c r="D5566" s="202"/>
      <c r="E5566" s="202"/>
      <c r="U5566" s="204"/>
    </row>
    <row r="5567" spans="2:21" x14ac:dyDescent="0.2">
      <c r="B5567" s="203"/>
      <c r="C5567" s="237"/>
      <c r="D5567" s="202"/>
      <c r="E5567" s="202"/>
      <c r="U5567" s="204"/>
    </row>
    <row r="5568" spans="2:21" x14ac:dyDescent="0.2">
      <c r="B5568" s="203"/>
      <c r="C5568" s="237"/>
      <c r="D5568" s="202"/>
      <c r="E5568" s="202"/>
      <c r="U5568" s="204"/>
    </row>
    <row r="5569" spans="2:21" x14ac:dyDescent="0.2">
      <c r="B5569" s="203"/>
      <c r="C5569" s="237"/>
      <c r="D5569" s="202"/>
      <c r="E5569" s="202"/>
      <c r="U5569" s="204"/>
    </row>
    <row r="5570" spans="2:21" x14ac:dyDescent="0.2">
      <c r="B5570" s="203"/>
      <c r="C5570" s="237"/>
      <c r="D5570" s="202"/>
      <c r="E5570" s="202"/>
      <c r="U5570" s="204"/>
    </row>
    <row r="5571" spans="2:21" x14ac:dyDescent="0.2">
      <c r="B5571" s="203"/>
      <c r="C5571" s="237"/>
      <c r="D5571" s="202"/>
      <c r="E5571" s="202"/>
      <c r="U5571" s="204"/>
    </row>
    <row r="5572" spans="2:21" x14ac:dyDescent="0.2">
      <c r="B5572" s="203"/>
      <c r="C5572" s="237"/>
      <c r="D5572" s="202"/>
      <c r="E5572" s="202"/>
      <c r="U5572" s="204"/>
    </row>
    <row r="5573" spans="2:21" x14ac:dyDescent="0.2">
      <c r="B5573" s="203"/>
      <c r="C5573" s="237"/>
      <c r="D5573" s="202"/>
      <c r="E5573" s="202"/>
      <c r="U5573" s="204"/>
    </row>
    <row r="5574" spans="2:21" x14ac:dyDescent="0.2">
      <c r="B5574" s="203"/>
      <c r="C5574" s="237"/>
      <c r="D5574" s="202"/>
      <c r="E5574" s="202"/>
      <c r="U5574" s="204"/>
    </row>
    <row r="5575" spans="2:21" x14ac:dyDescent="0.2">
      <c r="B5575" s="203"/>
      <c r="C5575" s="237"/>
      <c r="D5575" s="202"/>
      <c r="E5575" s="202"/>
      <c r="U5575" s="204"/>
    </row>
    <row r="5576" spans="2:21" x14ac:dyDescent="0.2">
      <c r="B5576" s="203"/>
      <c r="C5576" s="237"/>
      <c r="D5576" s="202"/>
      <c r="E5576" s="202"/>
      <c r="U5576" s="204"/>
    </row>
    <row r="5577" spans="2:21" x14ac:dyDescent="0.2">
      <c r="B5577" s="203"/>
      <c r="C5577" s="237"/>
      <c r="D5577" s="202"/>
      <c r="E5577" s="202"/>
      <c r="U5577" s="204"/>
    </row>
    <row r="5578" spans="2:21" x14ac:dyDescent="0.2">
      <c r="B5578" s="203"/>
      <c r="C5578" s="237"/>
      <c r="D5578" s="202"/>
      <c r="E5578" s="202"/>
      <c r="U5578" s="204"/>
    </row>
    <row r="5579" spans="2:21" x14ac:dyDescent="0.2">
      <c r="B5579" s="203"/>
      <c r="C5579" s="237"/>
      <c r="D5579" s="202"/>
      <c r="E5579" s="202"/>
      <c r="U5579" s="204"/>
    </row>
    <row r="5580" spans="2:21" x14ac:dyDescent="0.2">
      <c r="B5580" s="203"/>
      <c r="C5580" s="237"/>
      <c r="D5580" s="202"/>
      <c r="E5580" s="202"/>
      <c r="U5580" s="204"/>
    </row>
    <row r="5581" spans="2:21" x14ac:dyDescent="0.2">
      <c r="B5581" s="203"/>
      <c r="C5581" s="237"/>
      <c r="D5581" s="202"/>
      <c r="E5581" s="202"/>
      <c r="U5581" s="204"/>
    </row>
    <row r="5582" spans="2:21" x14ac:dyDescent="0.2">
      <c r="B5582" s="203"/>
      <c r="C5582" s="237"/>
      <c r="D5582" s="202"/>
      <c r="E5582" s="202"/>
      <c r="U5582" s="204"/>
    </row>
    <row r="5583" spans="2:21" x14ac:dyDescent="0.2">
      <c r="B5583" s="203"/>
      <c r="C5583" s="237"/>
      <c r="D5583" s="202"/>
      <c r="E5583" s="202"/>
      <c r="U5583" s="204"/>
    </row>
    <row r="5584" spans="2:21" x14ac:dyDescent="0.2">
      <c r="B5584" s="203"/>
      <c r="C5584" s="237"/>
      <c r="D5584" s="202"/>
      <c r="E5584" s="202"/>
      <c r="U5584" s="204"/>
    </row>
    <row r="5585" spans="2:21" x14ac:dyDescent="0.2">
      <c r="B5585" s="203"/>
      <c r="C5585" s="237"/>
      <c r="D5585" s="202"/>
      <c r="E5585" s="202"/>
      <c r="U5585" s="204"/>
    </row>
    <row r="5586" spans="2:21" x14ac:dyDescent="0.2">
      <c r="B5586" s="203"/>
      <c r="C5586" s="237"/>
      <c r="D5586" s="202"/>
      <c r="E5586" s="202"/>
      <c r="U5586" s="204"/>
    </row>
    <row r="5587" spans="2:21" x14ac:dyDescent="0.2">
      <c r="B5587" s="203"/>
      <c r="C5587" s="237"/>
      <c r="D5587" s="202"/>
      <c r="E5587" s="202"/>
      <c r="U5587" s="204"/>
    </row>
    <row r="5588" spans="2:21" x14ac:dyDescent="0.2">
      <c r="B5588" s="203"/>
      <c r="C5588" s="237"/>
      <c r="D5588" s="202"/>
      <c r="E5588" s="202"/>
      <c r="U5588" s="204"/>
    </row>
    <row r="5589" spans="2:21" x14ac:dyDescent="0.2">
      <c r="B5589" s="203"/>
      <c r="C5589" s="237"/>
      <c r="D5589" s="202"/>
      <c r="E5589" s="202"/>
      <c r="U5589" s="204"/>
    </row>
    <row r="5590" spans="2:21" x14ac:dyDescent="0.2">
      <c r="B5590" s="203"/>
      <c r="C5590" s="237"/>
      <c r="D5590" s="202"/>
      <c r="E5590" s="202"/>
      <c r="U5590" s="204"/>
    </row>
    <row r="5591" spans="2:21" x14ac:dyDescent="0.2">
      <c r="B5591" s="203"/>
      <c r="C5591" s="237"/>
      <c r="D5591" s="202"/>
      <c r="E5591" s="202"/>
      <c r="U5591" s="204"/>
    </row>
    <row r="5592" spans="2:21" x14ac:dyDescent="0.2">
      <c r="B5592" s="203"/>
      <c r="C5592" s="237"/>
      <c r="D5592" s="202"/>
      <c r="E5592" s="202"/>
      <c r="U5592" s="204"/>
    </row>
    <row r="5593" spans="2:21" x14ac:dyDescent="0.2">
      <c r="B5593" s="203"/>
      <c r="C5593" s="237"/>
      <c r="D5593" s="202"/>
      <c r="E5593" s="202"/>
      <c r="U5593" s="204"/>
    </row>
    <row r="5594" spans="2:21" x14ac:dyDescent="0.2">
      <c r="B5594" s="203"/>
      <c r="C5594" s="237"/>
      <c r="D5594" s="202"/>
      <c r="E5594" s="202"/>
      <c r="U5594" s="204"/>
    </row>
    <row r="5595" spans="2:21" x14ac:dyDescent="0.2">
      <c r="B5595" s="203"/>
      <c r="C5595" s="237"/>
      <c r="D5595" s="202"/>
      <c r="E5595" s="202"/>
      <c r="U5595" s="204"/>
    </row>
    <row r="5596" spans="2:21" x14ac:dyDescent="0.2">
      <c r="B5596" s="203"/>
      <c r="C5596" s="237"/>
      <c r="D5596" s="202"/>
      <c r="E5596" s="202"/>
      <c r="U5596" s="204"/>
    </row>
    <row r="5597" spans="2:21" x14ac:dyDescent="0.2">
      <c r="B5597" s="203"/>
      <c r="C5597" s="237"/>
      <c r="D5597" s="202"/>
      <c r="E5597" s="202"/>
      <c r="U5597" s="204"/>
    </row>
    <row r="5598" spans="2:21" x14ac:dyDescent="0.2">
      <c r="B5598" s="203"/>
      <c r="C5598" s="237"/>
      <c r="D5598" s="202"/>
      <c r="E5598" s="202"/>
      <c r="U5598" s="204"/>
    </row>
    <row r="5599" spans="2:21" x14ac:dyDescent="0.2">
      <c r="B5599" s="203"/>
      <c r="C5599" s="237"/>
      <c r="D5599" s="202"/>
      <c r="E5599" s="202"/>
      <c r="U5599" s="204"/>
    </row>
    <row r="5600" spans="2:21" x14ac:dyDescent="0.2">
      <c r="B5600" s="203"/>
      <c r="C5600" s="237"/>
      <c r="D5600" s="202"/>
      <c r="E5600" s="202"/>
      <c r="U5600" s="204"/>
    </row>
    <row r="5601" spans="2:21" x14ac:dyDescent="0.2">
      <c r="B5601" s="203"/>
      <c r="C5601" s="237"/>
      <c r="D5601" s="202"/>
      <c r="E5601" s="202"/>
      <c r="U5601" s="204"/>
    </row>
    <row r="5602" spans="2:21" x14ac:dyDescent="0.2">
      <c r="B5602" s="203"/>
      <c r="C5602" s="237"/>
      <c r="D5602" s="202"/>
      <c r="E5602" s="202"/>
      <c r="U5602" s="204"/>
    </row>
    <row r="5603" spans="2:21" x14ac:dyDescent="0.2">
      <c r="B5603" s="203"/>
      <c r="C5603" s="237"/>
      <c r="D5603" s="202"/>
      <c r="E5603" s="202"/>
      <c r="U5603" s="204"/>
    </row>
    <row r="5604" spans="2:21" x14ac:dyDescent="0.2">
      <c r="B5604" s="203"/>
      <c r="C5604" s="237"/>
      <c r="D5604" s="202"/>
      <c r="E5604" s="202"/>
      <c r="U5604" s="204"/>
    </row>
    <row r="5605" spans="2:21" x14ac:dyDescent="0.2">
      <c r="B5605" s="203"/>
      <c r="C5605" s="237"/>
      <c r="D5605" s="202"/>
      <c r="E5605" s="202"/>
      <c r="U5605" s="204"/>
    </row>
    <row r="5606" spans="2:21" x14ac:dyDescent="0.2">
      <c r="B5606" s="203"/>
      <c r="C5606" s="237"/>
      <c r="D5606" s="202"/>
      <c r="E5606" s="202"/>
      <c r="U5606" s="204"/>
    </row>
    <row r="5607" spans="2:21" x14ac:dyDescent="0.2">
      <c r="B5607" s="203"/>
      <c r="C5607" s="237"/>
      <c r="D5607" s="202"/>
      <c r="E5607" s="202"/>
      <c r="U5607" s="204"/>
    </row>
    <row r="5608" spans="2:21" x14ac:dyDescent="0.2">
      <c r="B5608" s="203"/>
      <c r="C5608" s="237"/>
      <c r="D5608" s="202"/>
      <c r="E5608" s="202"/>
      <c r="U5608" s="204"/>
    </row>
    <row r="5609" spans="2:21" x14ac:dyDescent="0.2">
      <c r="B5609" s="203"/>
      <c r="C5609" s="237"/>
      <c r="D5609" s="202"/>
      <c r="E5609" s="202"/>
      <c r="U5609" s="204"/>
    </row>
    <row r="5610" spans="2:21" x14ac:dyDescent="0.2">
      <c r="B5610" s="203"/>
      <c r="C5610" s="237"/>
      <c r="D5610" s="202"/>
      <c r="E5610" s="202"/>
      <c r="U5610" s="204"/>
    </row>
    <row r="5611" spans="2:21" x14ac:dyDescent="0.2">
      <c r="B5611" s="203"/>
      <c r="C5611" s="237"/>
      <c r="D5611" s="202"/>
      <c r="E5611" s="202"/>
      <c r="U5611" s="204"/>
    </row>
    <row r="5612" spans="2:21" x14ac:dyDescent="0.2">
      <c r="B5612" s="203"/>
      <c r="C5612" s="237"/>
      <c r="D5612" s="202"/>
      <c r="E5612" s="202"/>
      <c r="U5612" s="204"/>
    </row>
    <row r="5613" spans="2:21" x14ac:dyDescent="0.2">
      <c r="B5613" s="203"/>
      <c r="C5613" s="237"/>
      <c r="D5613" s="202"/>
      <c r="E5613" s="202"/>
      <c r="U5613" s="204"/>
    </row>
    <row r="5614" spans="2:21" x14ac:dyDescent="0.2">
      <c r="B5614" s="203"/>
      <c r="C5614" s="237"/>
      <c r="D5614" s="202"/>
      <c r="E5614" s="202"/>
      <c r="U5614" s="204"/>
    </row>
    <row r="5615" spans="2:21" x14ac:dyDescent="0.2">
      <c r="B5615" s="203"/>
      <c r="C5615" s="237"/>
      <c r="D5615" s="202"/>
      <c r="E5615" s="202"/>
      <c r="U5615" s="204"/>
    </row>
    <row r="5616" spans="2:21" x14ac:dyDescent="0.2">
      <c r="B5616" s="203"/>
      <c r="C5616" s="237"/>
      <c r="D5616" s="202"/>
      <c r="E5616" s="202"/>
      <c r="U5616" s="204"/>
    </row>
    <row r="5617" spans="2:21" x14ac:dyDescent="0.2">
      <c r="B5617" s="203"/>
      <c r="C5617" s="237"/>
      <c r="D5617" s="202"/>
      <c r="E5617" s="202"/>
      <c r="U5617" s="204"/>
    </row>
    <row r="5618" spans="2:21" x14ac:dyDescent="0.2">
      <c r="B5618" s="203"/>
      <c r="C5618" s="237"/>
      <c r="D5618" s="202"/>
      <c r="E5618" s="202"/>
      <c r="U5618" s="204"/>
    </row>
    <row r="5619" spans="2:21" x14ac:dyDescent="0.2">
      <c r="B5619" s="203"/>
      <c r="C5619" s="237"/>
      <c r="D5619" s="202"/>
      <c r="E5619" s="202"/>
      <c r="U5619" s="204"/>
    </row>
    <row r="5620" spans="2:21" x14ac:dyDescent="0.2">
      <c r="B5620" s="203"/>
      <c r="C5620" s="237"/>
      <c r="D5620" s="202"/>
      <c r="E5620" s="202"/>
      <c r="U5620" s="204"/>
    </row>
    <row r="5621" spans="2:21" x14ac:dyDescent="0.2">
      <c r="B5621" s="203"/>
      <c r="C5621" s="237"/>
      <c r="D5621" s="202"/>
      <c r="E5621" s="202"/>
      <c r="U5621" s="204"/>
    </row>
    <row r="5622" spans="2:21" x14ac:dyDescent="0.2">
      <c r="B5622" s="203"/>
      <c r="C5622" s="237"/>
      <c r="D5622" s="202"/>
      <c r="E5622" s="202"/>
      <c r="U5622" s="204"/>
    </row>
    <row r="5623" spans="2:21" x14ac:dyDescent="0.2">
      <c r="B5623" s="203"/>
      <c r="C5623" s="237"/>
      <c r="D5623" s="202"/>
      <c r="E5623" s="202"/>
      <c r="U5623" s="204"/>
    </row>
    <row r="5624" spans="2:21" x14ac:dyDescent="0.2">
      <c r="B5624" s="203"/>
      <c r="C5624" s="237"/>
      <c r="D5624" s="202"/>
      <c r="E5624" s="202"/>
      <c r="U5624" s="204"/>
    </row>
    <row r="5625" spans="2:21" x14ac:dyDescent="0.2">
      <c r="B5625" s="203"/>
      <c r="C5625" s="237"/>
      <c r="D5625" s="202"/>
      <c r="E5625" s="202"/>
      <c r="U5625" s="204"/>
    </row>
    <row r="5626" spans="2:21" x14ac:dyDescent="0.2">
      <c r="B5626" s="203"/>
      <c r="C5626" s="237"/>
      <c r="D5626" s="202"/>
      <c r="E5626" s="202"/>
      <c r="U5626" s="204"/>
    </row>
    <row r="5627" spans="2:21" x14ac:dyDescent="0.2">
      <c r="B5627" s="203"/>
      <c r="C5627" s="237"/>
      <c r="D5627" s="202"/>
      <c r="E5627" s="202"/>
      <c r="U5627" s="204"/>
    </row>
    <row r="5628" spans="2:21" x14ac:dyDescent="0.2">
      <c r="B5628" s="203"/>
      <c r="C5628" s="237"/>
      <c r="D5628" s="202"/>
      <c r="E5628" s="202"/>
      <c r="U5628" s="204"/>
    </row>
    <row r="5629" spans="2:21" x14ac:dyDescent="0.2">
      <c r="B5629" s="203"/>
      <c r="C5629" s="237"/>
      <c r="D5629" s="202"/>
      <c r="E5629" s="202"/>
      <c r="U5629" s="204"/>
    </row>
    <row r="5630" spans="2:21" x14ac:dyDescent="0.2">
      <c r="B5630" s="203"/>
      <c r="C5630" s="237"/>
      <c r="D5630" s="202"/>
      <c r="E5630" s="202"/>
      <c r="U5630" s="204"/>
    </row>
    <row r="5631" spans="2:21" x14ac:dyDescent="0.2">
      <c r="B5631" s="203"/>
      <c r="C5631" s="237"/>
      <c r="D5631" s="202"/>
      <c r="E5631" s="202"/>
      <c r="U5631" s="204"/>
    </row>
    <row r="5632" spans="2:21" x14ac:dyDescent="0.2">
      <c r="B5632" s="203"/>
      <c r="C5632" s="237"/>
      <c r="D5632" s="202"/>
      <c r="E5632" s="202"/>
      <c r="U5632" s="204"/>
    </row>
    <row r="5633" spans="2:21" x14ac:dyDescent="0.2">
      <c r="B5633" s="203"/>
      <c r="C5633" s="237"/>
      <c r="D5633" s="202"/>
      <c r="E5633" s="202"/>
      <c r="U5633" s="204"/>
    </row>
    <row r="5634" spans="2:21" x14ac:dyDescent="0.2">
      <c r="B5634" s="203"/>
      <c r="C5634" s="237"/>
      <c r="D5634" s="202"/>
      <c r="E5634" s="202"/>
      <c r="U5634" s="204"/>
    </row>
    <row r="5635" spans="2:21" x14ac:dyDescent="0.2">
      <c r="B5635" s="203"/>
      <c r="C5635" s="237"/>
      <c r="D5635" s="202"/>
      <c r="E5635" s="202"/>
      <c r="U5635" s="204"/>
    </row>
    <row r="5636" spans="2:21" x14ac:dyDescent="0.2">
      <c r="B5636" s="203"/>
      <c r="C5636" s="237"/>
      <c r="D5636" s="202"/>
      <c r="E5636" s="202"/>
      <c r="U5636" s="204"/>
    </row>
    <row r="5637" spans="2:21" x14ac:dyDescent="0.2">
      <c r="B5637" s="203"/>
      <c r="C5637" s="237"/>
      <c r="D5637" s="202"/>
      <c r="E5637" s="202"/>
      <c r="U5637" s="204"/>
    </row>
    <row r="5638" spans="2:21" x14ac:dyDescent="0.2">
      <c r="B5638" s="203"/>
      <c r="C5638" s="237"/>
      <c r="D5638" s="202"/>
      <c r="E5638" s="202"/>
      <c r="U5638" s="204"/>
    </row>
    <row r="5639" spans="2:21" x14ac:dyDescent="0.2">
      <c r="B5639" s="203"/>
      <c r="C5639" s="237"/>
      <c r="D5639" s="202"/>
      <c r="E5639" s="202"/>
      <c r="U5639" s="204"/>
    </row>
    <row r="5640" spans="2:21" x14ac:dyDescent="0.2">
      <c r="B5640" s="203"/>
      <c r="C5640" s="237"/>
      <c r="D5640" s="202"/>
      <c r="E5640" s="202"/>
      <c r="U5640" s="204"/>
    </row>
    <row r="5641" spans="2:21" x14ac:dyDescent="0.2">
      <c r="B5641" s="203"/>
      <c r="C5641" s="237"/>
      <c r="D5641" s="202"/>
      <c r="E5641" s="202"/>
      <c r="U5641" s="204"/>
    </row>
    <row r="5642" spans="2:21" x14ac:dyDescent="0.2">
      <c r="B5642" s="203"/>
      <c r="C5642" s="237"/>
      <c r="D5642" s="202"/>
      <c r="E5642" s="202"/>
      <c r="U5642" s="204"/>
    </row>
    <row r="5643" spans="2:21" x14ac:dyDescent="0.2">
      <c r="B5643" s="203"/>
      <c r="C5643" s="237"/>
      <c r="D5643" s="202"/>
      <c r="E5643" s="202"/>
      <c r="U5643" s="204"/>
    </row>
    <row r="5644" spans="2:21" x14ac:dyDescent="0.2">
      <c r="B5644" s="203"/>
      <c r="C5644" s="237"/>
      <c r="D5644" s="202"/>
      <c r="E5644" s="202"/>
      <c r="U5644" s="204"/>
    </row>
    <row r="5645" spans="2:21" x14ac:dyDescent="0.2">
      <c r="B5645" s="203"/>
      <c r="C5645" s="237"/>
      <c r="D5645" s="202"/>
      <c r="E5645" s="202"/>
      <c r="U5645" s="204"/>
    </row>
    <row r="5646" spans="2:21" x14ac:dyDescent="0.2">
      <c r="B5646" s="203"/>
      <c r="C5646" s="237"/>
      <c r="D5646" s="202"/>
      <c r="E5646" s="202"/>
      <c r="U5646" s="204"/>
    </row>
    <row r="5647" spans="2:21" x14ac:dyDescent="0.2">
      <c r="B5647" s="203"/>
      <c r="C5647" s="237"/>
      <c r="D5647" s="202"/>
      <c r="E5647" s="202"/>
      <c r="U5647" s="204"/>
    </row>
    <row r="5648" spans="2:21" x14ac:dyDescent="0.2">
      <c r="B5648" s="203"/>
      <c r="C5648" s="237"/>
      <c r="D5648" s="202"/>
      <c r="E5648" s="202"/>
      <c r="U5648" s="204"/>
    </row>
    <row r="5649" spans="2:21" x14ac:dyDescent="0.2">
      <c r="B5649" s="203"/>
      <c r="C5649" s="237"/>
      <c r="D5649" s="202"/>
      <c r="E5649" s="202"/>
      <c r="U5649" s="204"/>
    </row>
    <row r="5650" spans="2:21" x14ac:dyDescent="0.2">
      <c r="B5650" s="203"/>
      <c r="C5650" s="237"/>
      <c r="D5650" s="202"/>
      <c r="E5650" s="202"/>
      <c r="U5650" s="204"/>
    </row>
    <row r="5651" spans="2:21" x14ac:dyDescent="0.2">
      <c r="B5651" s="203"/>
      <c r="C5651" s="237"/>
      <c r="D5651" s="202"/>
      <c r="E5651" s="202"/>
      <c r="U5651" s="204"/>
    </row>
    <row r="5652" spans="2:21" x14ac:dyDescent="0.2">
      <c r="B5652" s="203"/>
      <c r="C5652" s="237"/>
      <c r="D5652" s="202"/>
      <c r="E5652" s="202"/>
      <c r="U5652" s="204"/>
    </row>
    <row r="5653" spans="2:21" x14ac:dyDescent="0.2">
      <c r="B5653" s="203"/>
      <c r="C5653" s="237"/>
      <c r="D5653" s="202"/>
      <c r="E5653" s="202"/>
      <c r="U5653" s="204"/>
    </row>
    <row r="5654" spans="2:21" x14ac:dyDescent="0.2">
      <c r="B5654" s="203"/>
      <c r="C5654" s="237"/>
      <c r="D5654" s="202"/>
      <c r="E5654" s="202"/>
      <c r="U5654" s="204"/>
    </row>
    <row r="5655" spans="2:21" x14ac:dyDescent="0.2">
      <c r="B5655" s="203"/>
      <c r="C5655" s="237"/>
      <c r="D5655" s="202"/>
      <c r="E5655" s="202"/>
      <c r="U5655" s="204"/>
    </row>
    <row r="5656" spans="2:21" x14ac:dyDescent="0.2">
      <c r="B5656" s="203"/>
      <c r="C5656" s="237"/>
      <c r="D5656" s="202"/>
      <c r="E5656" s="202"/>
      <c r="U5656" s="204"/>
    </row>
    <row r="5657" spans="2:21" x14ac:dyDescent="0.2">
      <c r="B5657" s="203"/>
      <c r="C5657" s="237"/>
      <c r="D5657" s="202"/>
      <c r="E5657" s="202"/>
      <c r="U5657" s="204"/>
    </row>
    <row r="5658" spans="2:21" x14ac:dyDescent="0.2">
      <c r="B5658" s="203"/>
      <c r="C5658" s="237"/>
      <c r="D5658" s="202"/>
      <c r="E5658" s="202"/>
      <c r="U5658" s="204"/>
    </row>
    <row r="5659" spans="2:21" x14ac:dyDescent="0.2">
      <c r="B5659" s="203"/>
      <c r="C5659" s="237"/>
      <c r="D5659" s="202"/>
      <c r="E5659" s="202"/>
      <c r="U5659" s="204"/>
    </row>
    <row r="5660" spans="2:21" x14ac:dyDescent="0.2">
      <c r="B5660" s="203"/>
      <c r="C5660" s="237"/>
      <c r="D5660" s="202"/>
      <c r="E5660" s="202"/>
      <c r="U5660" s="204"/>
    </row>
    <row r="5661" spans="2:21" x14ac:dyDescent="0.2">
      <c r="B5661" s="203"/>
      <c r="C5661" s="237"/>
      <c r="D5661" s="202"/>
      <c r="E5661" s="202"/>
      <c r="U5661" s="204"/>
    </row>
    <row r="5662" spans="2:21" x14ac:dyDescent="0.2">
      <c r="B5662" s="203"/>
      <c r="C5662" s="237"/>
      <c r="D5662" s="202"/>
      <c r="E5662" s="202"/>
      <c r="U5662" s="204"/>
    </row>
    <row r="5663" spans="2:21" x14ac:dyDescent="0.2">
      <c r="B5663" s="203"/>
      <c r="C5663" s="237"/>
      <c r="D5663" s="202"/>
      <c r="E5663" s="202"/>
      <c r="U5663" s="204"/>
    </row>
    <row r="5664" spans="2:21" x14ac:dyDescent="0.2">
      <c r="B5664" s="203"/>
      <c r="C5664" s="237"/>
      <c r="D5664" s="202"/>
      <c r="E5664" s="202"/>
      <c r="U5664" s="204"/>
    </row>
    <row r="5665" spans="2:21" x14ac:dyDescent="0.2">
      <c r="B5665" s="203"/>
      <c r="C5665" s="237"/>
      <c r="D5665" s="202"/>
      <c r="E5665" s="202"/>
      <c r="U5665" s="204"/>
    </row>
    <row r="5666" spans="2:21" x14ac:dyDescent="0.2">
      <c r="B5666" s="203"/>
      <c r="C5666" s="237"/>
      <c r="D5666" s="202"/>
      <c r="E5666" s="202"/>
      <c r="U5666" s="204"/>
    </row>
    <row r="5667" spans="2:21" x14ac:dyDescent="0.2">
      <c r="B5667" s="203"/>
      <c r="C5667" s="237"/>
      <c r="D5667" s="202"/>
      <c r="E5667" s="202"/>
      <c r="U5667" s="204"/>
    </row>
    <row r="5668" spans="2:21" x14ac:dyDescent="0.2">
      <c r="B5668" s="203"/>
      <c r="C5668" s="237"/>
      <c r="D5668" s="202"/>
      <c r="E5668" s="202"/>
      <c r="U5668" s="204"/>
    </row>
    <row r="5669" spans="2:21" x14ac:dyDescent="0.2">
      <c r="B5669" s="203"/>
      <c r="C5669" s="237"/>
      <c r="D5669" s="202"/>
      <c r="E5669" s="202"/>
      <c r="U5669" s="204"/>
    </row>
    <row r="5670" spans="2:21" x14ac:dyDescent="0.2">
      <c r="B5670" s="203"/>
      <c r="C5670" s="237"/>
      <c r="D5670" s="202"/>
      <c r="E5670" s="202"/>
      <c r="U5670" s="204"/>
    </row>
    <row r="5671" spans="2:21" x14ac:dyDescent="0.2">
      <c r="B5671" s="203"/>
      <c r="C5671" s="237"/>
      <c r="D5671" s="202"/>
      <c r="E5671" s="202"/>
      <c r="U5671" s="204"/>
    </row>
    <row r="5672" spans="2:21" x14ac:dyDescent="0.2">
      <c r="B5672" s="203"/>
      <c r="C5672" s="237"/>
      <c r="D5672" s="202"/>
      <c r="E5672" s="202"/>
      <c r="U5672" s="204"/>
    </row>
    <row r="5673" spans="2:21" x14ac:dyDescent="0.2">
      <c r="B5673" s="203"/>
      <c r="C5673" s="237"/>
      <c r="D5673" s="202"/>
      <c r="E5673" s="202"/>
      <c r="U5673" s="204"/>
    </row>
    <row r="5674" spans="2:21" x14ac:dyDescent="0.2">
      <c r="B5674" s="203"/>
      <c r="C5674" s="237"/>
      <c r="D5674" s="202"/>
      <c r="E5674" s="202"/>
      <c r="U5674" s="204"/>
    </row>
    <row r="5675" spans="2:21" x14ac:dyDescent="0.2">
      <c r="B5675" s="203"/>
      <c r="C5675" s="237"/>
      <c r="D5675" s="202"/>
      <c r="E5675" s="202"/>
      <c r="U5675" s="204"/>
    </row>
    <row r="5676" spans="2:21" x14ac:dyDescent="0.2">
      <c r="B5676" s="203"/>
      <c r="C5676" s="237"/>
      <c r="D5676" s="202"/>
      <c r="E5676" s="202"/>
      <c r="U5676" s="204"/>
    </row>
    <row r="5677" spans="2:21" x14ac:dyDescent="0.2">
      <c r="B5677" s="203"/>
      <c r="C5677" s="237"/>
      <c r="D5677" s="202"/>
      <c r="E5677" s="202"/>
      <c r="U5677" s="204"/>
    </row>
    <row r="5678" spans="2:21" x14ac:dyDescent="0.2">
      <c r="B5678" s="203"/>
      <c r="C5678" s="237"/>
      <c r="D5678" s="202"/>
      <c r="E5678" s="202"/>
      <c r="U5678" s="204"/>
    </row>
    <row r="5679" spans="2:21" x14ac:dyDescent="0.2">
      <c r="B5679" s="203"/>
      <c r="C5679" s="237"/>
      <c r="D5679" s="202"/>
      <c r="E5679" s="202"/>
      <c r="U5679" s="204"/>
    </row>
    <row r="5680" spans="2:21" x14ac:dyDescent="0.2">
      <c r="B5680" s="203"/>
      <c r="C5680" s="237"/>
      <c r="D5680" s="202"/>
      <c r="E5680" s="202"/>
      <c r="U5680" s="204"/>
    </row>
    <row r="5681" spans="2:21" x14ac:dyDescent="0.2">
      <c r="B5681" s="203"/>
      <c r="C5681" s="237"/>
      <c r="D5681" s="202"/>
      <c r="E5681" s="202"/>
      <c r="U5681" s="204"/>
    </row>
    <row r="5682" spans="2:21" x14ac:dyDescent="0.2">
      <c r="B5682" s="203"/>
      <c r="C5682" s="237"/>
      <c r="D5682" s="202"/>
      <c r="E5682" s="202"/>
      <c r="U5682" s="204"/>
    </row>
    <row r="5683" spans="2:21" x14ac:dyDescent="0.2">
      <c r="B5683" s="203"/>
      <c r="C5683" s="237"/>
      <c r="D5683" s="202"/>
      <c r="E5683" s="202"/>
      <c r="U5683" s="204"/>
    </row>
    <row r="5684" spans="2:21" x14ac:dyDescent="0.2">
      <c r="B5684" s="203"/>
      <c r="C5684" s="237"/>
      <c r="D5684" s="202"/>
      <c r="E5684" s="202"/>
      <c r="U5684" s="204"/>
    </row>
    <row r="5685" spans="2:21" x14ac:dyDescent="0.2">
      <c r="B5685" s="203"/>
      <c r="C5685" s="237"/>
      <c r="D5685" s="202"/>
      <c r="E5685" s="202"/>
      <c r="U5685" s="204"/>
    </row>
    <row r="5686" spans="2:21" x14ac:dyDescent="0.2">
      <c r="B5686" s="203"/>
      <c r="C5686" s="237"/>
      <c r="D5686" s="202"/>
      <c r="E5686" s="202"/>
      <c r="U5686" s="204"/>
    </row>
    <row r="5687" spans="2:21" x14ac:dyDescent="0.2">
      <c r="B5687" s="203"/>
      <c r="C5687" s="237"/>
      <c r="D5687" s="202"/>
      <c r="E5687" s="202"/>
      <c r="U5687" s="204"/>
    </row>
    <row r="5688" spans="2:21" x14ac:dyDescent="0.2">
      <c r="B5688" s="203"/>
      <c r="C5688" s="237"/>
      <c r="D5688" s="202"/>
      <c r="E5688" s="202"/>
      <c r="U5688" s="204"/>
    </row>
    <row r="5689" spans="2:21" x14ac:dyDescent="0.2">
      <c r="B5689" s="203"/>
      <c r="C5689" s="237"/>
      <c r="D5689" s="202"/>
      <c r="E5689" s="202"/>
      <c r="U5689" s="204"/>
    </row>
    <row r="5690" spans="2:21" x14ac:dyDescent="0.2">
      <c r="B5690" s="203"/>
      <c r="C5690" s="237"/>
      <c r="D5690" s="202"/>
      <c r="E5690" s="202"/>
      <c r="U5690" s="204"/>
    </row>
    <row r="5691" spans="2:21" x14ac:dyDescent="0.2">
      <c r="B5691" s="203"/>
      <c r="C5691" s="237"/>
      <c r="D5691" s="202"/>
      <c r="E5691" s="202"/>
      <c r="U5691" s="204"/>
    </row>
    <row r="5692" spans="2:21" x14ac:dyDescent="0.2">
      <c r="B5692" s="203"/>
      <c r="C5692" s="237"/>
      <c r="D5692" s="202"/>
      <c r="E5692" s="202"/>
      <c r="U5692" s="204"/>
    </row>
    <row r="5693" spans="2:21" x14ac:dyDescent="0.2">
      <c r="B5693" s="203"/>
      <c r="C5693" s="237"/>
      <c r="D5693" s="202"/>
      <c r="E5693" s="202"/>
      <c r="U5693" s="204"/>
    </row>
    <row r="5694" spans="2:21" x14ac:dyDescent="0.2">
      <c r="B5694" s="203"/>
      <c r="C5694" s="237"/>
      <c r="D5694" s="202"/>
      <c r="E5694" s="202"/>
      <c r="U5694" s="204"/>
    </row>
    <row r="5695" spans="2:21" x14ac:dyDescent="0.2">
      <c r="B5695" s="203"/>
      <c r="C5695" s="237"/>
      <c r="D5695" s="202"/>
      <c r="E5695" s="202"/>
      <c r="U5695" s="204"/>
    </row>
    <row r="5696" spans="2:21" x14ac:dyDescent="0.2">
      <c r="B5696" s="203"/>
      <c r="C5696" s="237"/>
      <c r="D5696" s="202"/>
      <c r="E5696" s="202"/>
      <c r="U5696" s="204"/>
    </row>
    <row r="5697" spans="2:21" x14ac:dyDescent="0.2">
      <c r="B5697" s="203"/>
      <c r="C5697" s="237"/>
      <c r="D5697" s="202"/>
      <c r="E5697" s="202"/>
      <c r="U5697" s="204"/>
    </row>
    <row r="5698" spans="2:21" x14ac:dyDescent="0.2">
      <c r="B5698" s="203"/>
      <c r="C5698" s="237"/>
      <c r="D5698" s="202"/>
      <c r="E5698" s="202"/>
      <c r="U5698" s="204"/>
    </row>
    <row r="5699" spans="2:21" x14ac:dyDescent="0.2">
      <c r="B5699" s="203"/>
      <c r="C5699" s="237"/>
      <c r="D5699" s="202"/>
      <c r="E5699" s="202"/>
      <c r="U5699" s="204"/>
    </row>
    <row r="5700" spans="2:21" x14ac:dyDescent="0.2">
      <c r="B5700" s="203"/>
      <c r="C5700" s="237"/>
      <c r="D5700" s="202"/>
      <c r="E5700" s="202"/>
      <c r="U5700" s="204"/>
    </row>
    <row r="5701" spans="2:21" x14ac:dyDescent="0.2">
      <c r="B5701" s="203"/>
      <c r="C5701" s="237"/>
      <c r="D5701" s="202"/>
      <c r="E5701" s="202"/>
      <c r="U5701" s="204"/>
    </row>
    <row r="5702" spans="2:21" x14ac:dyDescent="0.2">
      <c r="B5702" s="203"/>
      <c r="C5702" s="237"/>
      <c r="D5702" s="202"/>
      <c r="E5702" s="202"/>
      <c r="U5702" s="204"/>
    </row>
    <row r="5703" spans="2:21" x14ac:dyDescent="0.2">
      <c r="B5703" s="203"/>
      <c r="C5703" s="237"/>
      <c r="D5703" s="202"/>
      <c r="E5703" s="202"/>
      <c r="U5703" s="204"/>
    </row>
    <row r="5704" spans="2:21" x14ac:dyDescent="0.2">
      <c r="B5704" s="203"/>
      <c r="C5704" s="237"/>
      <c r="D5704" s="202"/>
      <c r="E5704" s="202"/>
      <c r="U5704" s="204"/>
    </row>
    <row r="5705" spans="2:21" x14ac:dyDescent="0.2">
      <c r="B5705" s="203"/>
      <c r="C5705" s="237"/>
      <c r="D5705" s="202"/>
      <c r="E5705" s="202"/>
      <c r="U5705" s="204"/>
    </row>
    <row r="5706" spans="2:21" x14ac:dyDescent="0.2">
      <c r="B5706" s="203"/>
      <c r="C5706" s="237"/>
      <c r="D5706" s="202"/>
      <c r="E5706" s="202"/>
      <c r="U5706" s="204"/>
    </row>
    <row r="5707" spans="2:21" x14ac:dyDescent="0.2">
      <c r="B5707" s="203"/>
      <c r="C5707" s="237"/>
      <c r="D5707" s="202"/>
      <c r="E5707" s="202"/>
      <c r="U5707" s="204"/>
    </row>
    <row r="5708" spans="2:21" x14ac:dyDescent="0.2">
      <c r="B5708" s="203"/>
      <c r="C5708" s="237"/>
      <c r="D5708" s="202"/>
      <c r="E5708" s="202"/>
      <c r="U5708" s="204"/>
    </row>
    <row r="5709" spans="2:21" x14ac:dyDescent="0.2">
      <c r="B5709" s="203"/>
      <c r="C5709" s="237"/>
      <c r="D5709" s="202"/>
      <c r="E5709" s="202"/>
      <c r="U5709" s="204"/>
    </row>
    <row r="5710" spans="2:21" x14ac:dyDescent="0.2">
      <c r="B5710" s="203"/>
      <c r="C5710" s="237"/>
      <c r="D5710" s="202"/>
      <c r="E5710" s="202"/>
      <c r="U5710" s="204"/>
    </row>
    <row r="5711" spans="2:21" x14ac:dyDescent="0.2">
      <c r="B5711" s="203"/>
      <c r="C5711" s="237"/>
      <c r="D5711" s="202"/>
      <c r="E5711" s="202"/>
      <c r="U5711" s="204"/>
    </row>
    <row r="5712" spans="2:21" x14ac:dyDescent="0.2">
      <c r="B5712" s="203"/>
      <c r="C5712" s="237"/>
      <c r="D5712" s="202"/>
      <c r="E5712" s="202"/>
      <c r="U5712" s="204"/>
    </row>
    <row r="5713" spans="2:21" x14ac:dyDescent="0.2">
      <c r="B5713" s="203"/>
      <c r="C5713" s="237"/>
      <c r="D5713" s="202"/>
      <c r="E5713" s="202"/>
      <c r="U5713" s="204"/>
    </row>
    <row r="5714" spans="2:21" x14ac:dyDescent="0.2">
      <c r="B5714" s="203"/>
      <c r="C5714" s="237"/>
      <c r="D5714" s="202"/>
      <c r="E5714" s="202"/>
      <c r="U5714" s="204"/>
    </row>
    <row r="5715" spans="2:21" x14ac:dyDescent="0.2">
      <c r="B5715" s="203"/>
      <c r="C5715" s="237"/>
      <c r="D5715" s="202"/>
      <c r="E5715" s="202"/>
      <c r="U5715" s="204"/>
    </row>
    <row r="5716" spans="2:21" x14ac:dyDescent="0.2">
      <c r="B5716" s="203"/>
      <c r="C5716" s="237"/>
      <c r="D5716" s="202"/>
      <c r="E5716" s="202"/>
      <c r="U5716" s="204"/>
    </row>
    <row r="5717" spans="2:21" x14ac:dyDescent="0.2">
      <c r="B5717" s="203"/>
      <c r="C5717" s="237"/>
      <c r="D5717" s="202"/>
      <c r="E5717" s="202"/>
      <c r="U5717" s="204"/>
    </row>
    <row r="5718" spans="2:21" x14ac:dyDescent="0.2">
      <c r="B5718" s="203"/>
      <c r="C5718" s="237"/>
      <c r="D5718" s="202"/>
      <c r="E5718" s="202"/>
      <c r="U5718" s="204"/>
    </row>
    <row r="5719" spans="2:21" x14ac:dyDescent="0.2">
      <c r="B5719" s="203"/>
      <c r="C5719" s="237"/>
      <c r="D5719" s="202"/>
      <c r="E5719" s="202"/>
      <c r="U5719" s="204"/>
    </row>
    <row r="5720" spans="2:21" x14ac:dyDescent="0.2">
      <c r="B5720" s="203"/>
      <c r="C5720" s="237"/>
      <c r="D5720" s="202"/>
      <c r="E5720" s="202"/>
      <c r="U5720" s="204"/>
    </row>
    <row r="5721" spans="2:21" x14ac:dyDescent="0.2">
      <c r="B5721" s="203"/>
      <c r="C5721" s="237"/>
      <c r="D5721" s="202"/>
      <c r="E5721" s="202"/>
      <c r="U5721" s="204"/>
    </row>
    <row r="5722" spans="2:21" x14ac:dyDescent="0.2">
      <c r="B5722" s="203"/>
      <c r="C5722" s="237"/>
      <c r="D5722" s="202"/>
      <c r="E5722" s="202"/>
      <c r="U5722" s="204"/>
    </row>
    <row r="5723" spans="2:21" x14ac:dyDescent="0.2">
      <c r="B5723" s="203"/>
      <c r="C5723" s="237"/>
      <c r="D5723" s="202"/>
      <c r="E5723" s="202"/>
      <c r="U5723" s="204"/>
    </row>
    <row r="5724" spans="2:21" x14ac:dyDescent="0.2">
      <c r="B5724" s="203"/>
      <c r="C5724" s="237"/>
      <c r="D5724" s="202"/>
      <c r="E5724" s="202"/>
      <c r="U5724" s="204"/>
    </row>
    <row r="5725" spans="2:21" x14ac:dyDescent="0.2">
      <c r="B5725" s="203"/>
      <c r="C5725" s="237"/>
      <c r="D5725" s="202"/>
      <c r="E5725" s="202"/>
      <c r="U5725" s="204"/>
    </row>
    <row r="5726" spans="2:21" x14ac:dyDescent="0.2">
      <c r="B5726" s="203"/>
      <c r="C5726" s="237"/>
      <c r="D5726" s="202"/>
      <c r="E5726" s="202"/>
      <c r="U5726" s="204"/>
    </row>
    <row r="5727" spans="2:21" x14ac:dyDescent="0.2">
      <c r="B5727" s="203"/>
      <c r="C5727" s="237"/>
      <c r="D5727" s="202"/>
      <c r="E5727" s="202"/>
      <c r="U5727" s="204"/>
    </row>
    <row r="5728" spans="2:21" x14ac:dyDescent="0.2">
      <c r="B5728" s="203"/>
      <c r="C5728" s="237"/>
      <c r="D5728" s="202"/>
      <c r="E5728" s="202"/>
      <c r="U5728" s="204"/>
    </row>
    <row r="5729" spans="2:21" x14ac:dyDescent="0.2">
      <c r="B5729" s="203"/>
      <c r="C5729" s="237"/>
      <c r="D5729" s="202"/>
      <c r="E5729" s="202"/>
      <c r="U5729" s="204"/>
    </row>
    <row r="5730" spans="2:21" x14ac:dyDescent="0.2">
      <c r="B5730" s="203"/>
      <c r="C5730" s="237"/>
      <c r="D5730" s="202"/>
      <c r="E5730" s="202"/>
      <c r="U5730" s="204"/>
    </row>
    <row r="5731" spans="2:21" x14ac:dyDescent="0.2">
      <c r="B5731" s="203"/>
      <c r="C5731" s="237"/>
      <c r="D5731" s="202"/>
      <c r="E5731" s="202"/>
      <c r="U5731" s="204"/>
    </row>
    <row r="5732" spans="2:21" x14ac:dyDescent="0.2">
      <c r="B5732" s="203"/>
      <c r="C5732" s="237"/>
      <c r="D5732" s="202"/>
      <c r="E5732" s="202"/>
      <c r="U5732" s="204"/>
    </row>
    <row r="5733" spans="2:21" x14ac:dyDescent="0.2">
      <c r="B5733" s="203"/>
      <c r="C5733" s="237"/>
      <c r="D5733" s="202"/>
      <c r="E5733" s="202"/>
      <c r="U5733" s="204"/>
    </row>
    <row r="5734" spans="2:21" x14ac:dyDescent="0.2">
      <c r="B5734" s="203"/>
      <c r="C5734" s="237"/>
      <c r="D5734" s="202"/>
      <c r="E5734" s="202"/>
      <c r="U5734" s="204"/>
    </row>
    <row r="5735" spans="2:21" x14ac:dyDescent="0.2">
      <c r="B5735" s="203"/>
      <c r="C5735" s="237"/>
      <c r="D5735" s="202"/>
      <c r="E5735" s="202"/>
      <c r="U5735" s="204"/>
    </row>
    <row r="5736" spans="2:21" x14ac:dyDescent="0.2">
      <c r="B5736" s="203"/>
      <c r="C5736" s="237"/>
      <c r="D5736" s="202"/>
      <c r="E5736" s="202"/>
      <c r="U5736" s="204"/>
    </row>
    <row r="5737" spans="2:21" x14ac:dyDescent="0.2">
      <c r="B5737" s="203"/>
      <c r="C5737" s="237"/>
      <c r="D5737" s="202"/>
      <c r="E5737" s="202"/>
      <c r="U5737" s="204"/>
    </row>
    <row r="5738" spans="2:21" x14ac:dyDescent="0.2">
      <c r="B5738" s="203"/>
      <c r="C5738" s="237"/>
      <c r="D5738" s="202"/>
      <c r="E5738" s="202"/>
      <c r="U5738" s="204"/>
    </row>
    <row r="5739" spans="2:21" x14ac:dyDescent="0.2">
      <c r="B5739" s="203"/>
      <c r="C5739" s="237"/>
      <c r="D5739" s="202"/>
      <c r="E5739" s="202"/>
      <c r="U5739" s="204"/>
    </row>
    <row r="5740" spans="2:21" x14ac:dyDescent="0.2">
      <c r="B5740" s="203"/>
      <c r="C5740" s="237"/>
      <c r="D5740" s="202"/>
      <c r="E5740" s="202"/>
      <c r="U5740" s="204"/>
    </row>
    <row r="5741" spans="2:21" x14ac:dyDescent="0.2">
      <c r="B5741" s="203"/>
      <c r="C5741" s="237"/>
      <c r="D5741" s="202"/>
      <c r="E5741" s="202"/>
      <c r="U5741" s="204"/>
    </row>
    <row r="5742" spans="2:21" x14ac:dyDescent="0.2">
      <c r="B5742" s="203"/>
      <c r="C5742" s="237"/>
      <c r="D5742" s="202"/>
      <c r="E5742" s="202"/>
      <c r="U5742" s="204"/>
    </row>
    <row r="5743" spans="2:21" x14ac:dyDescent="0.2">
      <c r="B5743" s="203"/>
      <c r="C5743" s="237"/>
      <c r="D5743" s="202"/>
      <c r="E5743" s="202"/>
      <c r="U5743" s="204"/>
    </row>
    <row r="5744" spans="2:21" x14ac:dyDescent="0.2">
      <c r="B5744" s="203"/>
      <c r="C5744" s="237"/>
      <c r="D5744" s="202"/>
      <c r="E5744" s="202"/>
      <c r="U5744" s="204"/>
    </row>
    <row r="5745" spans="2:21" x14ac:dyDescent="0.2">
      <c r="B5745" s="203"/>
      <c r="C5745" s="237"/>
      <c r="D5745" s="202"/>
      <c r="E5745" s="202"/>
      <c r="U5745" s="204"/>
    </row>
    <row r="5746" spans="2:21" x14ac:dyDescent="0.2">
      <c r="B5746" s="203"/>
      <c r="C5746" s="237"/>
      <c r="D5746" s="202"/>
      <c r="E5746" s="202"/>
      <c r="U5746" s="204"/>
    </row>
    <row r="5747" spans="2:21" x14ac:dyDescent="0.2">
      <c r="B5747" s="203"/>
      <c r="C5747" s="237"/>
      <c r="D5747" s="202"/>
      <c r="E5747" s="202"/>
      <c r="U5747" s="204"/>
    </row>
    <row r="5748" spans="2:21" x14ac:dyDescent="0.2">
      <c r="B5748" s="203"/>
      <c r="C5748" s="237"/>
      <c r="D5748" s="202"/>
      <c r="E5748" s="202"/>
      <c r="U5748" s="204"/>
    </row>
    <row r="5749" spans="2:21" x14ac:dyDescent="0.2">
      <c r="B5749" s="203"/>
      <c r="C5749" s="237"/>
      <c r="D5749" s="202"/>
      <c r="E5749" s="202"/>
      <c r="U5749" s="204"/>
    </row>
    <row r="5750" spans="2:21" x14ac:dyDescent="0.2">
      <c r="B5750" s="203"/>
      <c r="C5750" s="237"/>
      <c r="D5750" s="202"/>
      <c r="E5750" s="202"/>
      <c r="U5750" s="204"/>
    </row>
    <row r="5751" spans="2:21" x14ac:dyDescent="0.2">
      <c r="B5751" s="203"/>
      <c r="C5751" s="237"/>
      <c r="D5751" s="202"/>
      <c r="E5751" s="202"/>
      <c r="U5751" s="204"/>
    </row>
    <row r="5752" spans="2:21" x14ac:dyDescent="0.2">
      <c r="B5752" s="203"/>
      <c r="C5752" s="237"/>
      <c r="D5752" s="202"/>
      <c r="E5752" s="202"/>
      <c r="U5752" s="204"/>
    </row>
    <row r="5753" spans="2:21" x14ac:dyDescent="0.2">
      <c r="B5753" s="203"/>
      <c r="C5753" s="237"/>
      <c r="D5753" s="202"/>
      <c r="E5753" s="202"/>
      <c r="U5753" s="204"/>
    </row>
    <row r="5754" spans="2:21" x14ac:dyDescent="0.2">
      <c r="B5754" s="203"/>
      <c r="C5754" s="237"/>
      <c r="D5754" s="202"/>
      <c r="E5754" s="202"/>
      <c r="U5754" s="204"/>
    </row>
    <row r="5755" spans="2:21" x14ac:dyDescent="0.2">
      <c r="B5755" s="203"/>
      <c r="C5755" s="237"/>
      <c r="D5755" s="202"/>
      <c r="E5755" s="202"/>
      <c r="U5755" s="204"/>
    </row>
    <row r="5756" spans="2:21" x14ac:dyDescent="0.2">
      <c r="B5756" s="203"/>
      <c r="C5756" s="237"/>
      <c r="D5756" s="202"/>
      <c r="E5756" s="202"/>
      <c r="U5756" s="204"/>
    </row>
    <row r="5757" spans="2:21" x14ac:dyDescent="0.2">
      <c r="B5757" s="203"/>
      <c r="C5757" s="237"/>
      <c r="D5757" s="202"/>
      <c r="E5757" s="202"/>
      <c r="U5757" s="204"/>
    </row>
    <row r="5758" spans="2:21" x14ac:dyDescent="0.2">
      <c r="B5758" s="203"/>
      <c r="C5758" s="237"/>
      <c r="D5758" s="202"/>
      <c r="E5758" s="202"/>
      <c r="U5758" s="204"/>
    </row>
    <row r="5759" spans="2:21" x14ac:dyDescent="0.2">
      <c r="B5759" s="203"/>
      <c r="C5759" s="237"/>
      <c r="D5759" s="202"/>
      <c r="E5759" s="202"/>
      <c r="U5759" s="204"/>
    </row>
    <row r="5760" spans="2:21" x14ac:dyDescent="0.2">
      <c r="B5760" s="203"/>
      <c r="C5760" s="237"/>
      <c r="D5760" s="202"/>
      <c r="E5760" s="202"/>
      <c r="U5760" s="204"/>
    </row>
    <row r="5761" spans="2:21" x14ac:dyDescent="0.2">
      <c r="B5761" s="203"/>
      <c r="C5761" s="237"/>
      <c r="D5761" s="202"/>
      <c r="E5761" s="202"/>
      <c r="U5761" s="204"/>
    </row>
    <row r="5762" spans="2:21" x14ac:dyDescent="0.2">
      <c r="B5762" s="203"/>
      <c r="C5762" s="237"/>
      <c r="D5762" s="202"/>
      <c r="E5762" s="202"/>
      <c r="U5762" s="204"/>
    </row>
    <row r="5763" spans="2:21" x14ac:dyDescent="0.2">
      <c r="B5763" s="203"/>
      <c r="C5763" s="237"/>
      <c r="D5763" s="202"/>
      <c r="E5763" s="202"/>
      <c r="U5763" s="204"/>
    </row>
    <row r="5764" spans="2:21" x14ac:dyDescent="0.2">
      <c r="B5764" s="203"/>
      <c r="C5764" s="237"/>
      <c r="D5764" s="202"/>
      <c r="E5764" s="202"/>
      <c r="U5764" s="204"/>
    </row>
    <row r="5765" spans="2:21" x14ac:dyDescent="0.2">
      <c r="B5765" s="203"/>
      <c r="C5765" s="237"/>
      <c r="D5765" s="202"/>
      <c r="E5765" s="202"/>
      <c r="U5765" s="204"/>
    </row>
    <row r="5766" spans="2:21" x14ac:dyDescent="0.2">
      <c r="B5766" s="203"/>
      <c r="C5766" s="237"/>
      <c r="D5766" s="202"/>
      <c r="E5766" s="202"/>
      <c r="U5766" s="204"/>
    </row>
    <row r="5767" spans="2:21" x14ac:dyDescent="0.2">
      <c r="B5767" s="203"/>
      <c r="C5767" s="237"/>
      <c r="D5767" s="202"/>
      <c r="E5767" s="202"/>
      <c r="U5767" s="204"/>
    </row>
    <row r="5768" spans="2:21" x14ac:dyDescent="0.2">
      <c r="B5768" s="203"/>
      <c r="C5768" s="237"/>
      <c r="D5768" s="202"/>
      <c r="E5768" s="202"/>
      <c r="U5768" s="204"/>
    </row>
    <row r="5769" spans="2:21" x14ac:dyDescent="0.2">
      <c r="B5769" s="203"/>
      <c r="C5769" s="237"/>
      <c r="D5769" s="202"/>
      <c r="E5769" s="202"/>
      <c r="U5769" s="204"/>
    </row>
    <row r="5770" spans="2:21" x14ac:dyDescent="0.2">
      <c r="B5770" s="203"/>
      <c r="C5770" s="237"/>
      <c r="D5770" s="202"/>
      <c r="E5770" s="202"/>
      <c r="U5770" s="204"/>
    </row>
    <row r="5771" spans="2:21" x14ac:dyDescent="0.2">
      <c r="B5771" s="203"/>
      <c r="C5771" s="237"/>
      <c r="D5771" s="202"/>
      <c r="E5771" s="202"/>
      <c r="U5771" s="204"/>
    </row>
    <row r="5772" spans="2:21" x14ac:dyDescent="0.2">
      <c r="B5772" s="203"/>
      <c r="C5772" s="237"/>
      <c r="D5772" s="202"/>
      <c r="E5772" s="202"/>
      <c r="U5772" s="204"/>
    </row>
    <row r="5773" spans="2:21" x14ac:dyDescent="0.2">
      <c r="B5773" s="203"/>
      <c r="C5773" s="237"/>
      <c r="D5773" s="202"/>
      <c r="E5773" s="202"/>
      <c r="U5773" s="204"/>
    </row>
    <row r="5774" spans="2:21" x14ac:dyDescent="0.2">
      <c r="B5774" s="203"/>
      <c r="C5774" s="237"/>
      <c r="D5774" s="202"/>
      <c r="E5774" s="202"/>
      <c r="U5774" s="204"/>
    </row>
    <row r="5775" spans="2:21" x14ac:dyDescent="0.2">
      <c r="B5775" s="203"/>
      <c r="C5775" s="237"/>
      <c r="D5775" s="202"/>
      <c r="E5775" s="202"/>
      <c r="U5775" s="204"/>
    </row>
    <row r="5776" spans="2:21" x14ac:dyDescent="0.2">
      <c r="B5776" s="203"/>
      <c r="C5776" s="237"/>
      <c r="D5776" s="202"/>
      <c r="E5776" s="202"/>
      <c r="U5776" s="204"/>
    </row>
    <row r="5777" spans="2:21" x14ac:dyDescent="0.2">
      <c r="B5777" s="203"/>
      <c r="C5777" s="237"/>
      <c r="D5777" s="202"/>
      <c r="E5777" s="202"/>
      <c r="U5777" s="204"/>
    </row>
    <row r="5778" spans="2:21" x14ac:dyDescent="0.2">
      <c r="B5778" s="203"/>
      <c r="C5778" s="237"/>
      <c r="D5778" s="202"/>
      <c r="E5778" s="202"/>
      <c r="U5778" s="204"/>
    </row>
    <row r="5779" spans="2:21" x14ac:dyDescent="0.2">
      <c r="B5779" s="203"/>
      <c r="C5779" s="237"/>
      <c r="D5779" s="202"/>
      <c r="E5779" s="202"/>
      <c r="U5779" s="204"/>
    </row>
    <row r="5780" spans="2:21" x14ac:dyDescent="0.2">
      <c r="B5780" s="203"/>
      <c r="C5780" s="237"/>
      <c r="D5780" s="202"/>
      <c r="E5780" s="202"/>
      <c r="U5780" s="204"/>
    </row>
    <row r="5781" spans="2:21" x14ac:dyDescent="0.2">
      <c r="B5781" s="203"/>
      <c r="C5781" s="237"/>
      <c r="D5781" s="202"/>
      <c r="E5781" s="202"/>
      <c r="U5781" s="204"/>
    </row>
    <row r="5782" spans="2:21" x14ac:dyDescent="0.2">
      <c r="B5782" s="203"/>
      <c r="C5782" s="237"/>
      <c r="D5782" s="202"/>
      <c r="E5782" s="202"/>
      <c r="U5782" s="204"/>
    </row>
    <row r="5783" spans="2:21" x14ac:dyDescent="0.2">
      <c r="B5783" s="203"/>
      <c r="C5783" s="237"/>
      <c r="D5783" s="202"/>
      <c r="E5783" s="202"/>
      <c r="U5783" s="204"/>
    </row>
    <row r="5784" spans="2:21" x14ac:dyDescent="0.2">
      <c r="B5784" s="203"/>
      <c r="C5784" s="237"/>
      <c r="D5784" s="202"/>
      <c r="E5784" s="202"/>
      <c r="U5784" s="204"/>
    </row>
    <row r="5785" spans="2:21" x14ac:dyDescent="0.2">
      <c r="B5785" s="203"/>
      <c r="C5785" s="237"/>
      <c r="D5785" s="202"/>
      <c r="E5785" s="202"/>
      <c r="U5785" s="204"/>
    </row>
    <row r="5786" spans="2:21" x14ac:dyDescent="0.2">
      <c r="B5786" s="203"/>
      <c r="C5786" s="237"/>
      <c r="D5786" s="202"/>
      <c r="E5786" s="202"/>
      <c r="U5786" s="204"/>
    </row>
    <row r="5787" spans="2:21" x14ac:dyDescent="0.2">
      <c r="B5787" s="203"/>
      <c r="C5787" s="237"/>
      <c r="D5787" s="202"/>
      <c r="E5787" s="202"/>
      <c r="U5787" s="204"/>
    </row>
    <row r="5788" spans="2:21" x14ac:dyDescent="0.2">
      <c r="B5788" s="203"/>
      <c r="C5788" s="237"/>
      <c r="D5788" s="202"/>
      <c r="E5788" s="202"/>
      <c r="U5788" s="204"/>
    </row>
    <row r="5789" spans="2:21" x14ac:dyDescent="0.2">
      <c r="B5789" s="203"/>
      <c r="C5789" s="237"/>
      <c r="D5789" s="202"/>
      <c r="E5789" s="202"/>
      <c r="U5789" s="204"/>
    </row>
    <row r="5790" spans="2:21" x14ac:dyDescent="0.2">
      <c r="B5790" s="203"/>
      <c r="C5790" s="237"/>
      <c r="D5790" s="202"/>
      <c r="E5790" s="202"/>
      <c r="U5790" s="204"/>
    </row>
    <row r="5791" spans="2:21" x14ac:dyDescent="0.2">
      <c r="B5791" s="203"/>
      <c r="C5791" s="237"/>
      <c r="D5791" s="202"/>
      <c r="E5791" s="202"/>
      <c r="U5791" s="204"/>
    </row>
    <row r="5792" spans="2:21" x14ac:dyDescent="0.2">
      <c r="B5792" s="203"/>
      <c r="C5792" s="237"/>
      <c r="D5792" s="202"/>
      <c r="E5792" s="202"/>
      <c r="U5792" s="204"/>
    </row>
    <row r="5793" spans="2:21" x14ac:dyDescent="0.2">
      <c r="B5793" s="203"/>
      <c r="C5793" s="237"/>
      <c r="D5793" s="202"/>
      <c r="E5793" s="202"/>
      <c r="U5793" s="204"/>
    </row>
    <row r="5794" spans="2:21" x14ac:dyDescent="0.2">
      <c r="B5794" s="203"/>
      <c r="C5794" s="237"/>
      <c r="D5794" s="202"/>
      <c r="E5794" s="202"/>
      <c r="U5794" s="204"/>
    </row>
    <row r="5795" spans="2:21" x14ac:dyDescent="0.2">
      <c r="B5795" s="203"/>
      <c r="C5795" s="237"/>
      <c r="D5795" s="202"/>
      <c r="E5795" s="202"/>
      <c r="U5795" s="204"/>
    </row>
    <row r="5796" spans="2:21" x14ac:dyDescent="0.2">
      <c r="B5796" s="203"/>
      <c r="C5796" s="237"/>
      <c r="D5796" s="202"/>
      <c r="E5796" s="202"/>
      <c r="U5796" s="204"/>
    </row>
    <row r="5797" spans="2:21" x14ac:dyDescent="0.2">
      <c r="B5797" s="203"/>
      <c r="C5797" s="237"/>
      <c r="D5797" s="202"/>
      <c r="E5797" s="202"/>
      <c r="U5797" s="204"/>
    </row>
    <row r="5798" spans="2:21" x14ac:dyDescent="0.2">
      <c r="B5798" s="203"/>
      <c r="C5798" s="237"/>
      <c r="D5798" s="202"/>
      <c r="E5798" s="202"/>
      <c r="U5798" s="204"/>
    </row>
    <row r="5799" spans="2:21" x14ac:dyDescent="0.2">
      <c r="B5799" s="203"/>
      <c r="C5799" s="237"/>
      <c r="D5799" s="202"/>
      <c r="E5799" s="202"/>
      <c r="U5799" s="204"/>
    </row>
    <row r="5800" spans="2:21" x14ac:dyDescent="0.2">
      <c r="B5800" s="203"/>
      <c r="C5800" s="237"/>
      <c r="D5800" s="202"/>
      <c r="E5800" s="202"/>
      <c r="U5800" s="204"/>
    </row>
    <row r="5801" spans="2:21" x14ac:dyDescent="0.2">
      <c r="B5801" s="203"/>
      <c r="C5801" s="237"/>
      <c r="D5801" s="202"/>
      <c r="E5801" s="202"/>
      <c r="U5801" s="204"/>
    </row>
    <row r="5802" spans="2:21" x14ac:dyDescent="0.2">
      <c r="B5802" s="203"/>
      <c r="C5802" s="237"/>
      <c r="D5802" s="202"/>
      <c r="E5802" s="202"/>
      <c r="U5802" s="204"/>
    </row>
    <row r="5803" spans="2:21" x14ac:dyDescent="0.2">
      <c r="B5803" s="203"/>
      <c r="C5803" s="237"/>
      <c r="D5803" s="202"/>
      <c r="E5803" s="202"/>
      <c r="U5803" s="204"/>
    </row>
    <row r="5804" spans="2:21" x14ac:dyDescent="0.2">
      <c r="B5804" s="203"/>
      <c r="C5804" s="237"/>
      <c r="D5804" s="202"/>
      <c r="E5804" s="202"/>
      <c r="U5804" s="204"/>
    </row>
    <row r="5805" spans="2:21" x14ac:dyDescent="0.2">
      <c r="B5805" s="203"/>
      <c r="C5805" s="237"/>
      <c r="D5805" s="202"/>
      <c r="E5805" s="202"/>
      <c r="U5805" s="204"/>
    </row>
    <row r="5806" spans="2:21" x14ac:dyDescent="0.2">
      <c r="B5806" s="203"/>
      <c r="C5806" s="237"/>
      <c r="D5806" s="202"/>
      <c r="E5806" s="202"/>
      <c r="U5806" s="204"/>
    </row>
    <row r="5807" spans="2:21" x14ac:dyDescent="0.2">
      <c r="B5807" s="203"/>
      <c r="C5807" s="237"/>
      <c r="D5807" s="202"/>
      <c r="E5807" s="202"/>
      <c r="U5807" s="204"/>
    </row>
    <row r="5808" spans="2:21" x14ac:dyDescent="0.2">
      <c r="B5808" s="203"/>
      <c r="C5808" s="237"/>
      <c r="D5808" s="202"/>
      <c r="E5808" s="202"/>
      <c r="U5808" s="204"/>
    </row>
    <row r="5809" spans="2:21" x14ac:dyDescent="0.2">
      <c r="B5809" s="203"/>
      <c r="C5809" s="237"/>
      <c r="D5809" s="202"/>
      <c r="E5809" s="202"/>
      <c r="U5809" s="204"/>
    </row>
    <row r="5810" spans="2:21" x14ac:dyDescent="0.2">
      <c r="B5810" s="203"/>
      <c r="C5810" s="237"/>
      <c r="D5810" s="202"/>
      <c r="E5810" s="202"/>
      <c r="U5810" s="204"/>
    </row>
    <row r="5811" spans="2:21" x14ac:dyDescent="0.2">
      <c r="B5811" s="203"/>
      <c r="C5811" s="237"/>
      <c r="D5811" s="202"/>
      <c r="E5811" s="202"/>
      <c r="U5811" s="204"/>
    </row>
    <row r="5812" spans="2:21" x14ac:dyDescent="0.2">
      <c r="B5812" s="203"/>
      <c r="C5812" s="237"/>
      <c r="D5812" s="202"/>
      <c r="E5812" s="202"/>
      <c r="U5812" s="204"/>
    </row>
    <row r="5813" spans="2:21" x14ac:dyDescent="0.2">
      <c r="B5813" s="203"/>
      <c r="C5813" s="237"/>
      <c r="D5813" s="202"/>
      <c r="E5813" s="202"/>
      <c r="U5813" s="204"/>
    </row>
    <row r="5814" spans="2:21" x14ac:dyDescent="0.2">
      <c r="B5814" s="203"/>
      <c r="C5814" s="237"/>
      <c r="D5814" s="202"/>
      <c r="E5814" s="202"/>
      <c r="U5814" s="204"/>
    </row>
    <row r="5815" spans="2:21" x14ac:dyDescent="0.2">
      <c r="B5815" s="203"/>
      <c r="C5815" s="237"/>
      <c r="D5815" s="202"/>
      <c r="E5815" s="202"/>
      <c r="U5815" s="204"/>
    </row>
    <row r="5816" spans="2:21" x14ac:dyDescent="0.2">
      <c r="B5816" s="203"/>
      <c r="C5816" s="237"/>
      <c r="D5816" s="202"/>
      <c r="E5816" s="202"/>
      <c r="U5816" s="204"/>
    </row>
    <row r="5817" spans="2:21" x14ac:dyDescent="0.2">
      <c r="B5817" s="203"/>
      <c r="C5817" s="237"/>
      <c r="D5817" s="202"/>
      <c r="E5817" s="202"/>
      <c r="U5817" s="204"/>
    </row>
    <row r="5818" spans="2:21" x14ac:dyDescent="0.2">
      <c r="B5818" s="203"/>
      <c r="C5818" s="237"/>
      <c r="D5818" s="202"/>
      <c r="E5818" s="202"/>
      <c r="U5818" s="204"/>
    </row>
    <row r="5819" spans="2:21" x14ac:dyDescent="0.2">
      <c r="B5819" s="203"/>
      <c r="C5819" s="237"/>
      <c r="D5819" s="202"/>
      <c r="E5819" s="202"/>
      <c r="U5819" s="204"/>
    </row>
    <row r="5820" spans="2:21" x14ac:dyDescent="0.2">
      <c r="B5820" s="203"/>
      <c r="C5820" s="237"/>
      <c r="D5820" s="202"/>
      <c r="E5820" s="202"/>
      <c r="U5820" s="204"/>
    </row>
    <row r="5821" spans="2:21" x14ac:dyDescent="0.2">
      <c r="B5821" s="203"/>
      <c r="C5821" s="237"/>
      <c r="D5821" s="202"/>
      <c r="E5821" s="202"/>
      <c r="U5821" s="204"/>
    </row>
    <row r="5822" spans="2:21" x14ac:dyDescent="0.2">
      <c r="B5822" s="203"/>
      <c r="C5822" s="237"/>
      <c r="D5822" s="202"/>
      <c r="E5822" s="202"/>
      <c r="U5822" s="204"/>
    </row>
    <row r="5823" spans="2:21" x14ac:dyDescent="0.2">
      <c r="B5823" s="203"/>
      <c r="C5823" s="237"/>
      <c r="D5823" s="202"/>
      <c r="E5823" s="202"/>
      <c r="U5823" s="204"/>
    </row>
    <row r="5824" spans="2:21" x14ac:dyDescent="0.2">
      <c r="B5824" s="203"/>
      <c r="C5824" s="237"/>
      <c r="D5824" s="202"/>
      <c r="E5824" s="202"/>
      <c r="U5824" s="204"/>
    </row>
    <row r="5825" spans="2:21" x14ac:dyDescent="0.2">
      <c r="B5825" s="203"/>
      <c r="C5825" s="237"/>
      <c r="D5825" s="202"/>
      <c r="E5825" s="202"/>
      <c r="U5825" s="204"/>
    </row>
    <row r="5826" spans="2:21" x14ac:dyDescent="0.2">
      <c r="B5826" s="203"/>
      <c r="C5826" s="237"/>
      <c r="D5826" s="202"/>
      <c r="E5826" s="202"/>
      <c r="U5826" s="204"/>
    </row>
    <row r="5827" spans="2:21" x14ac:dyDescent="0.2">
      <c r="B5827" s="203"/>
      <c r="C5827" s="237"/>
      <c r="D5827" s="202"/>
      <c r="E5827" s="202"/>
      <c r="U5827" s="204"/>
    </row>
    <row r="5828" spans="2:21" x14ac:dyDescent="0.2">
      <c r="B5828" s="203"/>
      <c r="C5828" s="237"/>
      <c r="D5828" s="202"/>
      <c r="E5828" s="202"/>
      <c r="U5828" s="204"/>
    </row>
    <row r="5829" spans="2:21" x14ac:dyDescent="0.2">
      <c r="B5829" s="203"/>
      <c r="C5829" s="237"/>
      <c r="D5829" s="202"/>
      <c r="E5829" s="202"/>
      <c r="U5829" s="204"/>
    </row>
    <row r="5830" spans="2:21" x14ac:dyDescent="0.2">
      <c r="B5830" s="203"/>
      <c r="C5830" s="237"/>
      <c r="D5830" s="202"/>
      <c r="E5830" s="202"/>
      <c r="U5830" s="204"/>
    </row>
    <row r="5831" spans="2:21" x14ac:dyDescent="0.2">
      <c r="B5831" s="203"/>
      <c r="C5831" s="237"/>
      <c r="D5831" s="202"/>
      <c r="E5831" s="202"/>
      <c r="U5831" s="204"/>
    </row>
    <row r="5832" spans="2:21" x14ac:dyDescent="0.2">
      <c r="B5832" s="203"/>
      <c r="C5832" s="237"/>
      <c r="D5832" s="202"/>
      <c r="E5832" s="202"/>
      <c r="U5832" s="204"/>
    </row>
    <row r="5833" spans="2:21" x14ac:dyDescent="0.2">
      <c r="B5833" s="203"/>
      <c r="C5833" s="237"/>
      <c r="D5833" s="202"/>
      <c r="E5833" s="202"/>
      <c r="U5833" s="204"/>
    </row>
    <row r="5834" spans="2:21" x14ac:dyDescent="0.2">
      <c r="B5834" s="203"/>
      <c r="C5834" s="237"/>
      <c r="D5834" s="202"/>
      <c r="E5834" s="202"/>
      <c r="U5834" s="204"/>
    </row>
    <row r="5835" spans="2:21" x14ac:dyDescent="0.2">
      <c r="B5835" s="203"/>
      <c r="C5835" s="237"/>
      <c r="D5835" s="202"/>
      <c r="E5835" s="202"/>
      <c r="U5835" s="204"/>
    </row>
    <row r="5836" spans="2:21" x14ac:dyDescent="0.2">
      <c r="B5836" s="203"/>
      <c r="C5836" s="237"/>
      <c r="D5836" s="202"/>
      <c r="E5836" s="202"/>
      <c r="U5836" s="204"/>
    </row>
    <row r="5837" spans="2:21" x14ac:dyDescent="0.2">
      <c r="B5837" s="203"/>
      <c r="C5837" s="237"/>
      <c r="D5837" s="202"/>
      <c r="E5837" s="202"/>
      <c r="U5837" s="204"/>
    </row>
    <row r="5838" spans="2:21" x14ac:dyDescent="0.2">
      <c r="B5838" s="203"/>
      <c r="C5838" s="237"/>
      <c r="D5838" s="202"/>
      <c r="E5838" s="202"/>
      <c r="U5838" s="204"/>
    </row>
    <row r="5839" spans="2:21" x14ac:dyDescent="0.2">
      <c r="B5839" s="203"/>
      <c r="C5839" s="237"/>
      <c r="D5839" s="202"/>
      <c r="E5839" s="202"/>
      <c r="U5839" s="204"/>
    </row>
    <row r="5840" spans="2:21" x14ac:dyDescent="0.2">
      <c r="B5840" s="203"/>
      <c r="C5840" s="237"/>
      <c r="D5840" s="202"/>
      <c r="E5840" s="202"/>
      <c r="U5840" s="204"/>
    </row>
    <row r="5841" spans="2:21" x14ac:dyDescent="0.2">
      <c r="B5841" s="203"/>
      <c r="C5841" s="237"/>
      <c r="D5841" s="202"/>
      <c r="E5841" s="202"/>
      <c r="U5841" s="204"/>
    </row>
    <row r="5842" spans="2:21" x14ac:dyDescent="0.2">
      <c r="B5842" s="203"/>
      <c r="C5842" s="237"/>
      <c r="D5842" s="202"/>
      <c r="E5842" s="202"/>
      <c r="U5842" s="204"/>
    </row>
    <row r="5843" spans="2:21" x14ac:dyDescent="0.2">
      <c r="B5843" s="203"/>
      <c r="C5843" s="237"/>
      <c r="D5843" s="202"/>
      <c r="E5843" s="202"/>
      <c r="U5843" s="204"/>
    </row>
    <row r="5844" spans="2:21" x14ac:dyDescent="0.2">
      <c r="B5844" s="203"/>
      <c r="C5844" s="237"/>
      <c r="D5844" s="202"/>
      <c r="E5844" s="202"/>
      <c r="U5844" s="204"/>
    </row>
    <row r="5845" spans="2:21" x14ac:dyDescent="0.2">
      <c r="B5845" s="203"/>
      <c r="C5845" s="237"/>
      <c r="D5845" s="202"/>
      <c r="E5845" s="202"/>
      <c r="U5845" s="204"/>
    </row>
    <row r="5846" spans="2:21" x14ac:dyDescent="0.2">
      <c r="B5846" s="203"/>
      <c r="C5846" s="237"/>
      <c r="D5846" s="202"/>
      <c r="E5846" s="202"/>
      <c r="U5846" s="204"/>
    </row>
    <row r="5847" spans="2:21" x14ac:dyDescent="0.2">
      <c r="B5847" s="203"/>
      <c r="C5847" s="237"/>
      <c r="D5847" s="202"/>
      <c r="E5847" s="202"/>
      <c r="U5847" s="204"/>
    </row>
    <row r="5848" spans="2:21" x14ac:dyDescent="0.2">
      <c r="B5848" s="203"/>
      <c r="C5848" s="237"/>
      <c r="D5848" s="202"/>
      <c r="E5848" s="202"/>
      <c r="U5848" s="204"/>
    </row>
    <row r="5849" spans="2:21" x14ac:dyDescent="0.2">
      <c r="B5849" s="203"/>
      <c r="C5849" s="237"/>
      <c r="D5849" s="202"/>
      <c r="E5849" s="202"/>
      <c r="U5849" s="204"/>
    </row>
    <row r="5850" spans="2:21" x14ac:dyDescent="0.2">
      <c r="B5850" s="203"/>
      <c r="C5850" s="237"/>
      <c r="D5850" s="202"/>
      <c r="E5850" s="202"/>
      <c r="U5850" s="204"/>
    </row>
    <row r="5851" spans="2:21" x14ac:dyDescent="0.2">
      <c r="B5851" s="203"/>
      <c r="C5851" s="237"/>
      <c r="D5851" s="202"/>
      <c r="E5851" s="202"/>
      <c r="U5851" s="204"/>
    </row>
    <row r="5852" spans="2:21" x14ac:dyDescent="0.2">
      <c r="B5852" s="203"/>
      <c r="C5852" s="237"/>
      <c r="D5852" s="202"/>
      <c r="E5852" s="202"/>
      <c r="U5852" s="204"/>
    </row>
    <row r="5853" spans="2:21" x14ac:dyDescent="0.2">
      <c r="B5853" s="203"/>
      <c r="C5853" s="237"/>
      <c r="D5853" s="202"/>
      <c r="E5853" s="202"/>
      <c r="U5853" s="204"/>
    </row>
    <row r="5854" spans="2:21" x14ac:dyDescent="0.2">
      <c r="B5854" s="203"/>
      <c r="C5854" s="237"/>
      <c r="D5854" s="202"/>
      <c r="E5854" s="202"/>
      <c r="U5854" s="204"/>
    </row>
    <row r="5855" spans="2:21" x14ac:dyDescent="0.2">
      <c r="B5855" s="203"/>
      <c r="C5855" s="237"/>
      <c r="D5855" s="202"/>
      <c r="E5855" s="202"/>
      <c r="U5855" s="204"/>
    </row>
    <row r="5856" spans="2:21" x14ac:dyDescent="0.2">
      <c r="B5856" s="203"/>
      <c r="C5856" s="237"/>
      <c r="D5856" s="202"/>
      <c r="E5856" s="202"/>
      <c r="U5856" s="204"/>
    </row>
    <row r="5857" spans="2:21" x14ac:dyDescent="0.2">
      <c r="B5857" s="203"/>
      <c r="C5857" s="237"/>
      <c r="D5857" s="202"/>
      <c r="E5857" s="202"/>
      <c r="U5857" s="204"/>
    </row>
    <row r="5858" spans="2:21" x14ac:dyDescent="0.2">
      <c r="B5858" s="203"/>
      <c r="C5858" s="237"/>
      <c r="D5858" s="202"/>
      <c r="E5858" s="202"/>
      <c r="U5858" s="204"/>
    </row>
    <row r="5859" spans="2:21" x14ac:dyDescent="0.2">
      <c r="B5859" s="203"/>
      <c r="C5859" s="237"/>
      <c r="D5859" s="202"/>
      <c r="E5859" s="202"/>
      <c r="U5859" s="204"/>
    </row>
    <row r="5860" spans="2:21" x14ac:dyDescent="0.2">
      <c r="B5860" s="203"/>
      <c r="C5860" s="237"/>
      <c r="D5860" s="202"/>
      <c r="E5860" s="202"/>
      <c r="U5860" s="204"/>
    </row>
    <row r="5861" spans="2:21" x14ac:dyDescent="0.2">
      <c r="B5861" s="203"/>
      <c r="C5861" s="237"/>
      <c r="D5861" s="202"/>
      <c r="E5861" s="202"/>
      <c r="U5861" s="204"/>
    </row>
    <row r="5862" spans="2:21" x14ac:dyDescent="0.2">
      <c r="B5862" s="203"/>
      <c r="C5862" s="237"/>
      <c r="D5862" s="202"/>
      <c r="E5862" s="202"/>
      <c r="U5862" s="204"/>
    </row>
    <row r="5863" spans="2:21" x14ac:dyDescent="0.2">
      <c r="B5863" s="203"/>
      <c r="C5863" s="237"/>
      <c r="D5863" s="202"/>
      <c r="E5863" s="202"/>
      <c r="U5863" s="204"/>
    </row>
    <row r="5864" spans="2:21" x14ac:dyDescent="0.2">
      <c r="B5864" s="203"/>
      <c r="C5864" s="237"/>
      <c r="D5864" s="202"/>
      <c r="E5864" s="202"/>
      <c r="U5864" s="204"/>
    </row>
    <row r="5865" spans="2:21" x14ac:dyDescent="0.2">
      <c r="B5865" s="203"/>
      <c r="C5865" s="237"/>
      <c r="D5865" s="202"/>
      <c r="E5865" s="202"/>
      <c r="U5865" s="204"/>
    </row>
    <row r="5866" spans="2:21" x14ac:dyDescent="0.2">
      <c r="B5866" s="203"/>
      <c r="C5866" s="237"/>
      <c r="D5866" s="202"/>
      <c r="E5866" s="202"/>
      <c r="U5866" s="204"/>
    </row>
    <row r="5867" spans="2:21" x14ac:dyDescent="0.2">
      <c r="B5867" s="203"/>
      <c r="C5867" s="237"/>
      <c r="D5867" s="202"/>
      <c r="E5867" s="202"/>
      <c r="U5867" s="204"/>
    </row>
    <row r="5868" spans="2:21" x14ac:dyDescent="0.2">
      <c r="B5868" s="203"/>
      <c r="C5868" s="237"/>
      <c r="D5868" s="202"/>
      <c r="E5868" s="202"/>
      <c r="U5868" s="204"/>
    </row>
    <row r="5869" spans="2:21" x14ac:dyDescent="0.2">
      <c r="B5869" s="203"/>
      <c r="C5869" s="237"/>
      <c r="D5869" s="202"/>
      <c r="E5869" s="202"/>
      <c r="U5869" s="204"/>
    </row>
    <row r="5870" spans="2:21" x14ac:dyDescent="0.2">
      <c r="B5870" s="203"/>
      <c r="C5870" s="237"/>
      <c r="D5870" s="202"/>
      <c r="E5870" s="202"/>
      <c r="U5870" s="204"/>
    </row>
    <row r="5871" spans="2:21" x14ac:dyDescent="0.2">
      <c r="B5871" s="203"/>
      <c r="C5871" s="237"/>
      <c r="D5871" s="202"/>
      <c r="E5871" s="202"/>
      <c r="U5871" s="204"/>
    </row>
    <row r="5872" spans="2:21" x14ac:dyDescent="0.2">
      <c r="B5872" s="203"/>
      <c r="C5872" s="237"/>
      <c r="D5872" s="202"/>
      <c r="E5872" s="202"/>
      <c r="U5872" s="204"/>
    </row>
    <row r="5873" spans="2:21" x14ac:dyDescent="0.2">
      <c r="B5873" s="203"/>
      <c r="C5873" s="237"/>
      <c r="D5873" s="202"/>
      <c r="E5873" s="202"/>
      <c r="U5873" s="204"/>
    </row>
    <row r="5874" spans="2:21" x14ac:dyDescent="0.2">
      <c r="B5874" s="203"/>
      <c r="C5874" s="237"/>
      <c r="D5874" s="202"/>
      <c r="E5874" s="202"/>
      <c r="U5874" s="204"/>
    </row>
    <row r="5875" spans="2:21" x14ac:dyDescent="0.2">
      <c r="B5875" s="203"/>
      <c r="C5875" s="237"/>
      <c r="D5875" s="202"/>
      <c r="E5875" s="202"/>
      <c r="U5875" s="204"/>
    </row>
    <row r="5876" spans="2:21" x14ac:dyDescent="0.2">
      <c r="B5876" s="203"/>
      <c r="C5876" s="237"/>
      <c r="D5876" s="202"/>
      <c r="E5876" s="202"/>
      <c r="U5876" s="204"/>
    </row>
    <row r="5877" spans="2:21" x14ac:dyDescent="0.2">
      <c r="B5877" s="203"/>
      <c r="C5877" s="237"/>
      <c r="D5877" s="202"/>
      <c r="E5877" s="202"/>
      <c r="U5877" s="204"/>
    </row>
    <row r="5878" spans="2:21" x14ac:dyDescent="0.2">
      <c r="B5878" s="203"/>
      <c r="C5878" s="237"/>
      <c r="D5878" s="202"/>
      <c r="E5878" s="202"/>
      <c r="U5878" s="204"/>
    </row>
    <row r="5879" spans="2:21" x14ac:dyDescent="0.2">
      <c r="B5879" s="203"/>
      <c r="C5879" s="237"/>
      <c r="D5879" s="202"/>
      <c r="E5879" s="202"/>
      <c r="U5879" s="204"/>
    </row>
    <row r="5880" spans="2:21" x14ac:dyDescent="0.2">
      <c r="B5880" s="203"/>
      <c r="C5880" s="237"/>
      <c r="D5880" s="202"/>
      <c r="E5880" s="202"/>
      <c r="U5880" s="204"/>
    </row>
    <row r="5881" spans="2:21" x14ac:dyDescent="0.2">
      <c r="B5881" s="203"/>
      <c r="C5881" s="237"/>
      <c r="D5881" s="202"/>
      <c r="E5881" s="202"/>
      <c r="U5881" s="204"/>
    </row>
    <row r="5882" spans="2:21" x14ac:dyDescent="0.2">
      <c r="B5882" s="203"/>
      <c r="C5882" s="237"/>
      <c r="D5882" s="202"/>
      <c r="E5882" s="202"/>
      <c r="U5882" s="204"/>
    </row>
    <row r="5883" spans="2:21" x14ac:dyDescent="0.2">
      <c r="B5883" s="203"/>
      <c r="C5883" s="237"/>
      <c r="D5883" s="202"/>
      <c r="E5883" s="202"/>
      <c r="U5883" s="204"/>
    </row>
    <row r="5884" spans="2:21" x14ac:dyDescent="0.2">
      <c r="B5884" s="203"/>
      <c r="C5884" s="237"/>
      <c r="D5884" s="202"/>
      <c r="E5884" s="202"/>
      <c r="U5884" s="204"/>
    </row>
    <row r="5885" spans="2:21" x14ac:dyDescent="0.2">
      <c r="B5885" s="203"/>
      <c r="C5885" s="237"/>
      <c r="D5885" s="202"/>
      <c r="E5885" s="202"/>
      <c r="U5885" s="204"/>
    </row>
    <row r="5886" spans="2:21" x14ac:dyDescent="0.2">
      <c r="B5886" s="203"/>
      <c r="C5886" s="237"/>
      <c r="D5886" s="202"/>
      <c r="E5886" s="202"/>
      <c r="U5886" s="204"/>
    </row>
    <row r="5887" spans="2:21" x14ac:dyDescent="0.2">
      <c r="B5887" s="203"/>
      <c r="C5887" s="237"/>
      <c r="D5887" s="202"/>
      <c r="E5887" s="202"/>
      <c r="U5887" s="204"/>
    </row>
    <row r="5888" spans="2:21" x14ac:dyDescent="0.2">
      <c r="B5888" s="203"/>
      <c r="C5888" s="237"/>
      <c r="D5888" s="202"/>
      <c r="E5888" s="202"/>
      <c r="U5888" s="204"/>
    </row>
    <row r="5889" spans="2:21" x14ac:dyDescent="0.2">
      <c r="B5889" s="203"/>
      <c r="C5889" s="237"/>
      <c r="D5889" s="202"/>
      <c r="E5889" s="202"/>
      <c r="U5889" s="204"/>
    </row>
    <row r="5890" spans="2:21" x14ac:dyDescent="0.2">
      <c r="B5890" s="203"/>
      <c r="C5890" s="237"/>
      <c r="D5890" s="202"/>
      <c r="E5890" s="202"/>
      <c r="U5890" s="204"/>
    </row>
    <row r="5891" spans="2:21" x14ac:dyDescent="0.2">
      <c r="B5891" s="203"/>
      <c r="C5891" s="237"/>
      <c r="D5891" s="202"/>
      <c r="E5891" s="202"/>
      <c r="U5891" s="204"/>
    </row>
    <row r="5892" spans="2:21" x14ac:dyDescent="0.2">
      <c r="B5892" s="203"/>
      <c r="C5892" s="237"/>
      <c r="D5892" s="202"/>
      <c r="E5892" s="202"/>
      <c r="U5892" s="204"/>
    </row>
    <row r="5893" spans="2:21" x14ac:dyDescent="0.2">
      <c r="B5893" s="203"/>
      <c r="C5893" s="237"/>
      <c r="D5893" s="202"/>
      <c r="E5893" s="202"/>
      <c r="U5893" s="204"/>
    </row>
    <row r="5894" spans="2:21" x14ac:dyDescent="0.2">
      <c r="B5894" s="203"/>
      <c r="C5894" s="237"/>
      <c r="D5894" s="202"/>
      <c r="E5894" s="202"/>
      <c r="U5894" s="204"/>
    </row>
    <row r="5895" spans="2:21" x14ac:dyDescent="0.2">
      <c r="B5895" s="203"/>
      <c r="C5895" s="237"/>
      <c r="D5895" s="202"/>
      <c r="E5895" s="202"/>
      <c r="U5895" s="204"/>
    </row>
    <row r="5896" spans="2:21" x14ac:dyDescent="0.2">
      <c r="B5896" s="203"/>
      <c r="C5896" s="237"/>
      <c r="D5896" s="202"/>
      <c r="E5896" s="202"/>
      <c r="U5896" s="204"/>
    </row>
    <row r="5897" spans="2:21" x14ac:dyDescent="0.2">
      <c r="B5897" s="203"/>
      <c r="C5897" s="237"/>
      <c r="D5897" s="202"/>
      <c r="E5897" s="202"/>
      <c r="U5897" s="204"/>
    </row>
    <row r="5898" spans="2:21" x14ac:dyDescent="0.2">
      <c r="B5898" s="203"/>
      <c r="C5898" s="237"/>
      <c r="D5898" s="202"/>
      <c r="E5898" s="202"/>
      <c r="U5898" s="204"/>
    </row>
    <row r="5899" spans="2:21" x14ac:dyDescent="0.2">
      <c r="B5899" s="203"/>
      <c r="C5899" s="237"/>
      <c r="D5899" s="202"/>
      <c r="E5899" s="202"/>
      <c r="U5899" s="204"/>
    </row>
    <row r="5900" spans="2:21" x14ac:dyDescent="0.2">
      <c r="B5900" s="203"/>
      <c r="C5900" s="237"/>
      <c r="D5900" s="202"/>
      <c r="E5900" s="202"/>
      <c r="U5900" s="204"/>
    </row>
    <row r="5901" spans="2:21" x14ac:dyDescent="0.2">
      <c r="B5901" s="203"/>
      <c r="C5901" s="237"/>
      <c r="D5901" s="202"/>
      <c r="E5901" s="202"/>
      <c r="U5901" s="204"/>
    </row>
    <row r="5902" spans="2:21" x14ac:dyDescent="0.2">
      <c r="B5902" s="203"/>
      <c r="C5902" s="237"/>
      <c r="D5902" s="202"/>
      <c r="E5902" s="202"/>
      <c r="U5902" s="204"/>
    </row>
    <row r="5903" spans="2:21" x14ac:dyDescent="0.2">
      <c r="B5903" s="203"/>
      <c r="C5903" s="237"/>
      <c r="D5903" s="202"/>
      <c r="E5903" s="202"/>
      <c r="U5903" s="204"/>
    </row>
    <row r="5904" spans="2:21" x14ac:dyDescent="0.2">
      <c r="B5904" s="203"/>
      <c r="C5904" s="237"/>
      <c r="D5904" s="202"/>
      <c r="E5904" s="202"/>
      <c r="U5904" s="204"/>
    </row>
    <row r="5905" spans="2:21" x14ac:dyDescent="0.2">
      <c r="B5905" s="203"/>
      <c r="C5905" s="237"/>
      <c r="D5905" s="202"/>
      <c r="E5905" s="202"/>
      <c r="U5905" s="204"/>
    </row>
    <row r="5906" spans="2:21" x14ac:dyDescent="0.2">
      <c r="B5906" s="203"/>
      <c r="C5906" s="237"/>
      <c r="D5906" s="202"/>
      <c r="E5906" s="202"/>
      <c r="U5906" s="204"/>
    </row>
    <row r="5907" spans="2:21" x14ac:dyDescent="0.2">
      <c r="B5907" s="203"/>
      <c r="C5907" s="237"/>
      <c r="D5907" s="202"/>
      <c r="E5907" s="202"/>
      <c r="U5907" s="204"/>
    </row>
    <row r="5908" spans="2:21" x14ac:dyDescent="0.2">
      <c r="B5908" s="203"/>
      <c r="C5908" s="237"/>
      <c r="D5908" s="202"/>
      <c r="E5908" s="202"/>
      <c r="U5908" s="204"/>
    </row>
    <row r="5909" spans="2:21" x14ac:dyDescent="0.2">
      <c r="B5909" s="203"/>
      <c r="C5909" s="237"/>
      <c r="D5909" s="202"/>
      <c r="E5909" s="202"/>
      <c r="U5909" s="204"/>
    </row>
    <row r="5910" spans="2:21" x14ac:dyDescent="0.2">
      <c r="B5910" s="203"/>
      <c r="C5910" s="237"/>
      <c r="D5910" s="202"/>
      <c r="E5910" s="202"/>
      <c r="U5910" s="204"/>
    </row>
    <row r="5911" spans="2:21" x14ac:dyDescent="0.2">
      <c r="B5911" s="203"/>
      <c r="C5911" s="237"/>
      <c r="D5911" s="202"/>
      <c r="E5911" s="202"/>
      <c r="U5911" s="204"/>
    </row>
    <row r="5912" spans="2:21" x14ac:dyDescent="0.2">
      <c r="B5912" s="203"/>
      <c r="C5912" s="237"/>
      <c r="D5912" s="202"/>
      <c r="E5912" s="202"/>
      <c r="U5912" s="204"/>
    </row>
    <row r="5913" spans="2:21" x14ac:dyDescent="0.2">
      <c r="B5913" s="203"/>
      <c r="C5913" s="237"/>
      <c r="D5913" s="202"/>
      <c r="E5913" s="202"/>
      <c r="U5913" s="204"/>
    </row>
    <row r="5914" spans="2:21" x14ac:dyDescent="0.2">
      <c r="B5914" s="203"/>
      <c r="C5914" s="237"/>
      <c r="D5914" s="202"/>
      <c r="E5914" s="202"/>
      <c r="U5914" s="204"/>
    </row>
    <row r="5915" spans="2:21" x14ac:dyDescent="0.2">
      <c r="B5915" s="203"/>
      <c r="C5915" s="237"/>
      <c r="D5915" s="202"/>
      <c r="E5915" s="202"/>
      <c r="U5915" s="204"/>
    </row>
    <row r="5916" spans="2:21" x14ac:dyDescent="0.2">
      <c r="B5916" s="203"/>
      <c r="C5916" s="237"/>
      <c r="D5916" s="202"/>
      <c r="E5916" s="202"/>
      <c r="U5916" s="204"/>
    </row>
    <row r="5917" spans="2:21" x14ac:dyDescent="0.2">
      <c r="B5917" s="203"/>
      <c r="C5917" s="237"/>
      <c r="D5917" s="202"/>
      <c r="E5917" s="202"/>
      <c r="U5917" s="204"/>
    </row>
    <row r="5918" spans="2:21" x14ac:dyDescent="0.2">
      <c r="B5918" s="203"/>
      <c r="C5918" s="237"/>
      <c r="D5918" s="202"/>
      <c r="E5918" s="202"/>
      <c r="U5918" s="204"/>
    </row>
    <row r="5919" spans="2:21" x14ac:dyDescent="0.2">
      <c r="B5919" s="203"/>
      <c r="C5919" s="237"/>
      <c r="D5919" s="202"/>
      <c r="E5919" s="202"/>
      <c r="U5919" s="204"/>
    </row>
    <row r="5920" spans="2:21" x14ac:dyDescent="0.2">
      <c r="B5920" s="203"/>
      <c r="C5920" s="237"/>
      <c r="D5920" s="202"/>
      <c r="E5920" s="202"/>
      <c r="U5920" s="204"/>
    </row>
    <row r="5921" spans="2:21" x14ac:dyDescent="0.2">
      <c r="B5921" s="203"/>
      <c r="C5921" s="237"/>
      <c r="D5921" s="202"/>
      <c r="E5921" s="202"/>
      <c r="U5921" s="204"/>
    </row>
    <row r="5922" spans="2:21" x14ac:dyDescent="0.2">
      <c r="B5922" s="203"/>
      <c r="C5922" s="237"/>
      <c r="D5922" s="202"/>
      <c r="E5922" s="202"/>
      <c r="U5922" s="204"/>
    </row>
    <row r="5923" spans="2:21" x14ac:dyDescent="0.2">
      <c r="B5923" s="203"/>
      <c r="C5923" s="237"/>
      <c r="D5923" s="202"/>
      <c r="E5923" s="202"/>
      <c r="U5923" s="204"/>
    </row>
    <row r="5924" spans="2:21" x14ac:dyDescent="0.2">
      <c r="B5924" s="203"/>
      <c r="C5924" s="237"/>
      <c r="D5924" s="202"/>
      <c r="E5924" s="202"/>
      <c r="U5924" s="204"/>
    </row>
    <row r="5925" spans="2:21" x14ac:dyDescent="0.2">
      <c r="B5925" s="203"/>
      <c r="C5925" s="237"/>
      <c r="D5925" s="202"/>
      <c r="E5925" s="202"/>
      <c r="U5925" s="204"/>
    </row>
    <row r="5926" spans="2:21" x14ac:dyDescent="0.2">
      <c r="B5926" s="203"/>
      <c r="C5926" s="237"/>
      <c r="D5926" s="202"/>
      <c r="E5926" s="202"/>
      <c r="U5926" s="204"/>
    </row>
    <row r="5927" spans="2:21" x14ac:dyDescent="0.2">
      <c r="B5927" s="203"/>
      <c r="C5927" s="237"/>
      <c r="D5927" s="202"/>
      <c r="E5927" s="202"/>
      <c r="U5927" s="204"/>
    </row>
    <row r="5928" spans="2:21" x14ac:dyDescent="0.2">
      <c r="B5928" s="203"/>
      <c r="C5928" s="237"/>
      <c r="D5928" s="202"/>
      <c r="E5928" s="202"/>
      <c r="U5928" s="204"/>
    </row>
    <row r="5929" spans="2:21" x14ac:dyDescent="0.2">
      <c r="B5929" s="203"/>
      <c r="C5929" s="237"/>
      <c r="D5929" s="202"/>
      <c r="E5929" s="202"/>
      <c r="U5929" s="204"/>
    </row>
    <row r="5930" spans="2:21" x14ac:dyDescent="0.2">
      <c r="B5930" s="203"/>
      <c r="C5930" s="237"/>
      <c r="D5930" s="202"/>
      <c r="E5930" s="202"/>
      <c r="U5930" s="204"/>
    </row>
    <row r="5931" spans="2:21" x14ac:dyDescent="0.2">
      <c r="B5931" s="203"/>
      <c r="C5931" s="237"/>
      <c r="D5931" s="202"/>
      <c r="E5931" s="202"/>
      <c r="U5931" s="204"/>
    </row>
    <row r="5932" spans="2:21" x14ac:dyDescent="0.2">
      <c r="B5932" s="203"/>
      <c r="C5932" s="237"/>
      <c r="D5932" s="202"/>
      <c r="E5932" s="202"/>
      <c r="U5932" s="204"/>
    </row>
    <row r="5933" spans="2:21" x14ac:dyDescent="0.2">
      <c r="B5933" s="203"/>
      <c r="C5933" s="237"/>
      <c r="D5933" s="202"/>
      <c r="E5933" s="202"/>
      <c r="U5933" s="204"/>
    </row>
    <row r="5934" spans="2:21" x14ac:dyDescent="0.2">
      <c r="B5934" s="203"/>
      <c r="C5934" s="237"/>
      <c r="D5934" s="202"/>
      <c r="E5934" s="202"/>
      <c r="U5934" s="204"/>
    </row>
    <row r="5935" spans="2:21" x14ac:dyDescent="0.2">
      <c r="B5935" s="203"/>
      <c r="C5935" s="237"/>
      <c r="D5935" s="202"/>
      <c r="E5935" s="202"/>
      <c r="U5935" s="204"/>
    </row>
    <row r="5936" spans="2:21" x14ac:dyDescent="0.2">
      <c r="B5936" s="203"/>
      <c r="C5936" s="237"/>
      <c r="D5936" s="202"/>
      <c r="E5936" s="202"/>
      <c r="U5936" s="204"/>
    </row>
    <row r="5937" spans="2:21" x14ac:dyDescent="0.2">
      <c r="B5937" s="203"/>
      <c r="C5937" s="237"/>
      <c r="D5937" s="202"/>
      <c r="E5937" s="202"/>
      <c r="U5937" s="204"/>
    </row>
    <row r="5938" spans="2:21" x14ac:dyDescent="0.2">
      <c r="B5938" s="203"/>
      <c r="C5938" s="237"/>
      <c r="D5938" s="202"/>
      <c r="E5938" s="202"/>
      <c r="U5938" s="204"/>
    </row>
    <row r="5939" spans="2:21" x14ac:dyDescent="0.2">
      <c r="B5939" s="203"/>
      <c r="C5939" s="237"/>
      <c r="D5939" s="202"/>
      <c r="E5939" s="202"/>
      <c r="U5939" s="204"/>
    </row>
    <row r="5940" spans="2:21" x14ac:dyDescent="0.2">
      <c r="B5940" s="203"/>
      <c r="C5940" s="237"/>
      <c r="D5940" s="202"/>
      <c r="E5940" s="202"/>
      <c r="U5940" s="204"/>
    </row>
    <row r="5941" spans="2:21" x14ac:dyDescent="0.2">
      <c r="B5941" s="203"/>
      <c r="C5941" s="237"/>
      <c r="D5941" s="202"/>
      <c r="E5941" s="202"/>
      <c r="U5941" s="204"/>
    </row>
    <row r="5942" spans="2:21" x14ac:dyDescent="0.2">
      <c r="B5942" s="203"/>
      <c r="C5942" s="237"/>
      <c r="D5942" s="202"/>
      <c r="E5942" s="202"/>
      <c r="U5942" s="204"/>
    </row>
    <row r="5943" spans="2:21" x14ac:dyDescent="0.2">
      <c r="B5943" s="203"/>
      <c r="C5943" s="237"/>
      <c r="D5943" s="202"/>
      <c r="E5943" s="202"/>
      <c r="U5943" s="204"/>
    </row>
    <row r="5944" spans="2:21" x14ac:dyDescent="0.2">
      <c r="B5944" s="203"/>
      <c r="C5944" s="237"/>
      <c r="D5944" s="202"/>
      <c r="E5944" s="202"/>
      <c r="U5944" s="204"/>
    </row>
    <row r="5945" spans="2:21" x14ac:dyDescent="0.2">
      <c r="B5945" s="203"/>
      <c r="C5945" s="237"/>
      <c r="D5945" s="202"/>
      <c r="E5945" s="202"/>
      <c r="U5945" s="204"/>
    </row>
    <row r="5946" spans="2:21" x14ac:dyDescent="0.2">
      <c r="B5946" s="203"/>
      <c r="C5946" s="237"/>
      <c r="D5946" s="202"/>
      <c r="E5946" s="202"/>
      <c r="U5946" s="204"/>
    </row>
    <row r="5947" spans="2:21" x14ac:dyDescent="0.2">
      <c r="B5947" s="203"/>
      <c r="C5947" s="237"/>
      <c r="D5947" s="202"/>
      <c r="E5947" s="202"/>
      <c r="U5947" s="204"/>
    </row>
    <row r="5948" spans="2:21" x14ac:dyDescent="0.2">
      <c r="B5948" s="203"/>
      <c r="C5948" s="237"/>
      <c r="D5948" s="202"/>
      <c r="E5948" s="202"/>
      <c r="U5948" s="204"/>
    </row>
    <row r="5949" spans="2:21" x14ac:dyDescent="0.2">
      <c r="B5949" s="203"/>
      <c r="C5949" s="237"/>
      <c r="D5949" s="202"/>
      <c r="E5949" s="202"/>
      <c r="U5949" s="204"/>
    </row>
    <row r="5950" spans="2:21" x14ac:dyDescent="0.2">
      <c r="B5950" s="203"/>
      <c r="C5950" s="237"/>
      <c r="D5950" s="202"/>
      <c r="E5950" s="202"/>
      <c r="U5950" s="204"/>
    </row>
    <row r="5951" spans="2:21" x14ac:dyDescent="0.2">
      <c r="B5951" s="203"/>
      <c r="C5951" s="237"/>
      <c r="D5951" s="202"/>
      <c r="E5951" s="202"/>
      <c r="U5951" s="204"/>
    </row>
    <row r="5952" spans="2:21" x14ac:dyDescent="0.2">
      <c r="B5952" s="203"/>
      <c r="C5952" s="237"/>
      <c r="D5952" s="202"/>
      <c r="E5952" s="202"/>
      <c r="U5952" s="204"/>
    </row>
    <row r="5953" spans="2:21" x14ac:dyDescent="0.2">
      <c r="B5953" s="203"/>
      <c r="C5953" s="237"/>
      <c r="D5953" s="202"/>
      <c r="E5953" s="202"/>
      <c r="U5953" s="204"/>
    </row>
    <row r="5954" spans="2:21" x14ac:dyDescent="0.2">
      <c r="B5954" s="203"/>
      <c r="C5954" s="237"/>
      <c r="D5954" s="202"/>
      <c r="E5954" s="202"/>
      <c r="U5954" s="204"/>
    </row>
    <row r="5955" spans="2:21" x14ac:dyDescent="0.2">
      <c r="B5955" s="203"/>
      <c r="C5955" s="237"/>
      <c r="D5955" s="202"/>
      <c r="E5955" s="202"/>
      <c r="U5955" s="204"/>
    </row>
    <row r="5956" spans="2:21" x14ac:dyDescent="0.2">
      <c r="B5956" s="203"/>
      <c r="C5956" s="237"/>
      <c r="D5956" s="202"/>
      <c r="E5956" s="202"/>
      <c r="U5956" s="204"/>
    </row>
    <row r="5957" spans="2:21" x14ac:dyDescent="0.2">
      <c r="B5957" s="203"/>
      <c r="C5957" s="237"/>
      <c r="D5957" s="202"/>
      <c r="E5957" s="202"/>
      <c r="U5957" s="204"/>
    </row>
    <row r="5958" spans="2:21" x14ac:dyDescent="0.2">
      <c r="B5958" s="203"/>
      <c r="C5958" s="237"/>
      <c r="D5958" s="202"/>
      <c r="E5958" s="202"/>
      <c r="U5958" s="204"/>
    </row>
    <row r="5959" spans="2:21" x14ac:dyDescent="0.2">
      <c r="B5959" s="203"/>
      <c r="C5959" s="237"/>
      <c r="D5959" s="202"/>
      <c r="E5959" s="202"/>
      <c r="U5959" s="204"/>
    </row>
    <row r="5960" spans="2:21" x14ac:dyDescent="0.2">
      <c r="B5960" s="203"/>
      <c r="C5960" s="237"/>
      <c r="D5960" s="202"/>
      <c r="E5960" s="202"/>
      <c r="U5960" s="204"/>
    </row>
    <row r="5961" spans="2:21" x14ac:dyDescent="0.2">
      <c r="B5961" s="203"/>
      <c r="C5961" s="237"/>
      <c r="D5961" s="202"/>
      <c r="E5961" s="202"/>
      <c r="U5961" s="204"/>
    </row>
    <row r="5962" spans="2:21" x14ac:dyDescent="0.2">
      <c r="B5962" s="203"/>
      <c r="C5962" s="237"/>
      <c r="D5962" s="202"/>
      <c r="E5962" s="202"/>
      <c r="U5962" s="204"/>
    </row>
    <row r="5963" spans="2:21" x14ac:dyDescent="0.2">
      <c r="B5963" s="203"/>
      <c r="C5963" s="237"/>
      <c r="D5963" s="202"/>
      <c r="E5963" s="202"/>
      <c r="U5963" s="204"/>
    </row>
    <row r="5964" spans="2:21" x14ac:dyDescent="0.2">
      <c r="B5964" s="203"/>
      <c r="C5964" s="237"/>
      <c r="D5964" s="202"/>
      <c r="E5964" s="202"/>
      <c r="U5964" s="204"/>
    </row>
    <row r="5965" spans="2:21" x14ac:dyDescent="0.2">
      <c r="B5965" s="203"/>
      <c r="C5965" s="237"/>
      <c r="D5965" s="202"/>
      <c r="E5965" s="202"/>
      <c r="U5965" s="204"/>
    </row>
    <row r="5966" spans="2:21" x14ac:dyDescent="0.2">
      <c r="B5966" s="203"/>
      <c r="C5966" s="237"/>
      <c r="D5966" s="202"/>
      <c r="E5966" s="202"/>
      <c r="U5966" s="204"/>
    </row>
    <row r="5967" spans="2:21" x14ac:dyDescent="0.2">
      <c r="B5967" s="203"/>
      <c r="C5967" s="237"/>
      <c r="D5967" s="202"/>
      <c r="E5967" s="202"/>
      <c r="U5967" s="204"/>
    </row>
    <row r="5968" spans="2:21" x14ac:dyDescent="0.2">
      <c r="B5968" s="203"/>
      <c r="C5968" s="237"/>
      <c r="D5968" s="202"/>
      <c r="E5968" s="202"/>
      <c r="U5968" s="204"/>
    </row>
    <row r="5969" spans="2:21" x14ac:dyDescent="0.2">
      <c r="B5969" s="203"/>
      <c r="C5969" s="237"/>
      <c r="D5969" s="202"/>
      <c r="E5969" s="202"/>
      <c r="U5969" s="204"/>
    </row>
    <row r="5970" spans="2:21" x14ac:dyDescent="0.2">
      <c r="B5970" s="203"/>
      <c r="C5970" s="237"/>
      <c r="D5970" s="202"/>
      <c r="E5970" s="202"/>
      <c r="U5970" s="204"/>
    </row>
    <row r="5971" spans="2:21" x14ac:dyDescent="0.2">
      <c r="B5971" s="203"/>
      <c r="C5971" s="237"/>
      <c r="D5971" s="202"/>
      <c r="E5971" s="202"/>
      <c r="U5971" s="204"/>
    </row>
    <row r="5972" spans="2:21" x14ac:dyDescent="0.2">
      <c r="B5972" s="203"/>
      <c r="C5972" s="237"/>
      <c r="D5972" s="202"/>
      <c r="E5972" s="202"/>
      <c r="U5972" s="204"/>
    </row>
    <row r="5973" spans="2:21" x14ac:dyDescent="0.2">
      <c r="B5973" s="203"/>
      <c r="C5973" s="237"/>
      <c r="D5973" s="202"/>
      <c r="E5973" s="202"/>
      <c r="U5973" s="204"/>
    </row>
    <row r="5974" spans="2:21" x14ac:dyDescent="0.2">
      <c r="B5974" s="203"/>
      <c r="C5974" s="237"/>
      <c r="D5974" s="202"/>
      <c r="E5974" s="202"/>
      <c r="U5974" s="204"/>
    </row>
    <row r="5975" spans="2:21" x14ac:dyDescent="0.2">
      <c r="B5975" s="203"/>
      <c r="C5975" s="237"/>
      <c r="D5975" s="202"/>
      <c r="E5975" s="202"/>
      <c r="U5975" s="204"/>
    </row>
    <row r="5976" spans="2:21" x14ac:dyDescent="0.2">
      <c r="B5976" s="203"/>
      <c r="C5976" s="237"/>
      <c r="D5976" s="202"/>
      <c r="E5976" s="202"/>
      <c r="U5976" s="204"/>
    </row>
    <row r="5977" spans="2:21" x14ac:dyDescent="0.2">
      <c r="B5977" s="203"/>
      <c r="C5977" s="237"/>
      <c r="D5977" s="202"/>
      <c r="E5977" s="202"/>
      <c r="U5977" s="204"/>
    </row>
    <row r="5978" spans="2:21" x14ac:dyDescent="0.2">
      <c r="B5978" s="203"/>
      <c r="C5978" s="237"/>
      <c r="D5978" s="202"/>
      <c r="E5978" s="202"/>
      <c r="U5978" s="204"/>
    </row>
    <row r="5979" spans="2:21" x14ac:dyDescent="0.2">
      <c r="B5979" s="203"/>
      <c r="C5979" s="237"/>
      <c r="D5979" s="202"/>
      <c r="E5979" s="202"/>
      <c r="U5979" s="204"/>
    </row>
    <row r="5980" spans="2:21" x14ac:dyDescent="0.2">
      <c r="B5980" s="203"/>
      <c r="C5980" s="237"/>
      <c r="D5980" s="202"/>
      <c r="E5980" s="202"/>
      <c r="U5980" s="204"/>
    </row>
    <row r="5981" spans="2:21" x14ac:dyDescent="0.2">
      <c r="B5981" s="203"/>
      <c r="C5981" s="237"/>
      <c r="D5981" s="202"/>
      <c r="E5981" s="202"/>
      <c r="U5981" s="204"/>
    </row>
    <row r="5982" spans="2:21" x14ac:dyDescent="0.2">
      <c r="B5982" s="203"/>
      <c r="C5982" s="237"/>
      <c r="D5982" s="202"/>
      <c r="E5982" s="202"/>
      <c r="U5982" s="204"/>
    </row>
    <row r="5983" spans="2:21" x14ac:dyDescent="0.2">
      <c r="B5983" s="203"/>
      <c r="C5983" s="237"/>
      <c r="D5983" s="202"/>
      <c r="E5983" s="202"/>
      <c r="U5983" s="204"/>
    </row>
    <row r="5984" spans="2:21" x14ac:dyDescent="0.2">
      <c r="B5984" s="203"/>
      <c r="C5984" s="237"/>
      <c r="D5984" s="202"/>
      <c r="E5984" s="202"/>
      <c r="U5984" s="204"/>
    </row>
    <row r="5985" spans="2:21" x14ac:dyDescent="0.2">
      <c r="B5985" s="203"/>
      <c r="C5985" s="237"/>
      <c r="D5985" s="202"/>
      <c r="E5985" s="202"/>
      <c r="U5985" s="204"/>
    </row>
    <row r="5986" spans="2:21" x14ac:dyDescent="0.2">
      <c r="B5986" s="203"/>
      <c r="C5986" s="237"/>
      <c r="D5986" s="202"/>
      <c r="E5986" s="202"/>
      <c r="U5986" s="204"/>
    </row>
    <row r="5987" spans="2:21" x14ac:dyDescent="0.2">
      <c r="B5987" s="203"/>
      <c r="C5987" s="237"/>
      <c r="D5987" s="202"/>
      <c r="E5987" s="202"/>
      <c r="U5987" s="204"/>
    </row>
    <row r="5988" spans="2:21" x14ac:dyDescent="0.2">
      <c r="B5988" s="203"/>
      <c r="C5988" s="237"/>
      <c r="D5988" s="202"/>
      <c r="E5988" s="202"/>
      <c r="U5988" s="204"/>
    </row>
    <row r="5989" spans="2:21" x14ac:dyDescent="0.2">
      <c r="B5989" s="203"/>
      <c r="C5989" s="237"/>
      <c r="D5989" s="202"/>
      <c r="E5989" s="202"/>
      <c r="U5989" s="204"/>
    </row>
    <row r="5990" spans="2:21" x14ac:dyDescent="0.2">
      <c r="B5990" s="203"/>
      <c r="C5990" s="237"/>
      <c r="D5990" s="202"/>
      <c r="E5990" s="202"/>
      <c r="U5990" s="204"/>
    </row>
    <row r="5991" spans="2:21" x14ac:dyDescent="0.2">
      <c r="B5991" s="203"/>
      <c r="C5991" s="237"/>
      <c r="D5991" s="202"/>
      <c r="E5991" s="202"/>
      <c r="U5991" s="204"/>
    </row>
    <row r="5992" spans="2:21" x14ac:dyDescent="0.2">
      <c r="B5992" s="203"/>
      <c r="C5992" s="237"/>
      <c r="D5992" s="202"/>
      <c r="E5992" s="202"/>
      <c r="U5992" s="204"/>
    </row>
    <row r="5993" spans="2:21" x14ac:dyDescent="0.2">
      <c r="B5993" s="203"/>
      <c r="C5993" s="237"/>
      <c r="D5993" s="202"/>
      <c r="E5993" s="202"/>
      <c r="U5993" s="204"/>
    </row>
    <row r="5994" spans="2:21" x14ac:dyDescent="0.2">
      <c r="B5994" s="203"/>
      <c r="C5994" s="237"/>
      <c r="D5994" s="202"/>
      <c r="E5994" s="202"/>
      <c r="U5994" s="204"/>
    </row>
    <row r="5995" spans="2:21" x14ac:dyDescent="0.2">
      <c r="B5995" s="203"/>
      <c r="C5995" s="237"/>
      <c r="D5995" s="202"/>
      <c r="E5995" s="202"/>
      <c r="U5995" s="204"/>
    </row>
    <row r="5996" spans="2:21" x14ac:dyDescent="0.2">
      <c r="B5996" s="203"/>
      <c r="C5996" s="237"/>
      <c r="D5996" s="202"/>
      <c r="E5996" s="202"/>
      <c r="U5996" s="204"/>
    </row>
    <row r="5997" spans="2:21" x14ac:dyDescent="0.2">
      <c r="B5997" s="203"/>
      <c r="C5997" s="237"/>
      <c r="D5997" s="202"/>
      <c r="E5997" s="202"/>
      <c r="U5997" s="204"/>
    </row>
    <row r="5998" spans="2:21" x14ac:dyDescent="0.2">
      <c r="B5998" s="203"/>
      <c r="C5998" s="237"/>
      <c r="D5998" s="202"/>
      <c r="E5998" s="202"/>
      <c r="U5998" s="204"/>
    </row>
    <row r="5999" spans="2:21" x14ac:dyDescent="0.2">
      <c r="B5999" s="203"/>
      <c r="C5999" s="237"/>
      <c r="D5999" s="202"/>
      <c r="E5999" s="202"/>
      <c r="U5999" s="204"/>
    </row>
    <row r="6000" spans="2:21" x14ac:dyDescent="0.2">
      <c r="B6000" s="203"/>
      <c r="C6000" s="237"/>
      <c r="D6000" s="202"/>
      <c r="E6000" s="202"/>
      <c r="U6000" s="204"/>
    </row>
    <row r="6001" spans="2:21" x14ac:dyDescent="0.2">
      <c r="B6001" s="203"/>
      <c r="C6001" s="237"/>
      <c r="D6001" s="202"/>
      <c r="E6001" s="202"/>
      <c r="U6001" s="204"/>
    </row>
    <row r="6002" spans="2:21" x14ac:dyDescent="0.2">
      <c r="B6002" s="203"/>
      <c r="C6002" s="237"/>
      <c r="D6002" s="202"/>
      <c r="E6002" s="202"/>
      <c r="U6002" s="204"/>
    </row>
    <row r="6003" spans="2:21" x14ac:dyDescent="0.2">
      <c r="B6003" s="203"/>
      <c r="C6003" s="237"/>
      <c r="D6003" s="202"/>
      <c r="E6003" s="202"/>
      <c r="U6003" s="204"/>
    </row>
    <row r="6004" spans="2:21" x14ac:dyDescent="0.2">
      <c r="B6004" s="203"/>
      <c r="C6004" s="237"/>
      <c r="D6004" s="202"/>
      <c r="E6004" s="202"/>
      <c r="U6004" s="204"/>
    </row>
    <row r="6005" spans="2:21" x14ac:dyDescent="0.2">
      <c r="B6005" s="203"/>
      <c r="C6005" s="237"/>
      <c r="D6005" s="202"/>
      <c r="E6005" s="202"/>
      <c r="U6005" s="204"/>
    </row>
    <row r="6006" spans="2:21" x14ac:dyDescent="0.2">
      <c r="B6006" s="203"/>
      <c r="C6006" s="237"/>
      <c r="D6006" s="202"/>
      <c r="E6006" s="202"/>
      <c r="U6006" s="204"/>
    </row>
    <row r="6007" spans="2:21" x14ac:dyDescent="0.2">
      <c r="B6007" s="203"/>
      <c r="C6007" s="237"/>
      <c r="D6007" s="202"/>
      <c r="E6007" s="202"/>
      <c r="U6007" s="204"/>
    </row>
    <row r="6008" spans="2:21" x14ac:dyDescent="0.2">
      <c r="B6008" s="203"/>
      <c r="C6008" s="237"/>
      <c r="D6008" s="202"/>
      <c r="E6008" s="202"/>
      <c r="U6008" s="204"/>
    </row>
    <row r="6009" spans="2:21" x14ac:dyDescent="0.2">
      <c r="B6009" s="203"/>
      <c r="C6009" s="237"/>
      <c r="D6009" s="202"/>
      <c r="E6009" s="202"/>
      <c r="U6009" s="204"/>
    </row>
    <row r="6010" spans="2:21" x14ac:dyDescent="0.2">
      <c r="B6010" s="203"/>
      <c r="C6010" s="237"/>
      <c r="D6010" s="202"/>
      <c r="E6010" s="202"/>
      <c r="U6010" s="204"/>
    </row>
    <row r="6011" spans="2:21" x14ac:dyDescent="0.2">
      <c r="B6011" s="203"/>
      <c r="C6011" s="237"/>
      <c r="D6011" s="202"/>
      <c r="E6011" s="202"/>
      <c r="U6011" s="204"/>
    </row>
    <row r="6012" spans="2:21" x14ac:dyDescent="0.2">
      <c r="B6012" s="203"/>
      <c r="C6012" s="237"/>
      <c r="D6012" s="202"/>
      <c r="E6012" s="202"/>
      <c r="U6012" s="204"/>
    </row>
    <row r="6013" spans="2:21" x14ac:dyDescent="0.2">
      <c r="B6013" s="203"/>
      <c r="C6013" s="237"/>
      <c r="D6013" s="202"/>
      <c r="E6013" s="202"/>
      <c r="U6013" s="204"/>
    </row>
    <row r="6014" spans="2:21" x14ac:dyDescent="0.2">
      <c r="B6014" s="203"/>
      <c r="C6014" s="237"/>
      <c r="D6014" s="202"/>
      <c r="E6014" s="202"/>
      <c r="U6014" s="204"/>
    </row>
    <row r="6015" spans="2:21" x14ac:dyDescent="0.2">
      <c r="B6015" s="203"/>
      <c r="C6015" s="237"/>
      <c r="D6015" s="202"/>
      <c r="E6015" s="202"/>
      <c r="U6015" s="204"/>
    </row>
    <row r="6016" spans="2:21" x14ac:dyDescent="0.2">
      <c r="B6016" s="203"/>
      <c r="C6016" s="237"/>
      <c r="D6016" s="202"/>
      <c r="E6016" s="202"/>
      <c r="U6016" s="204"/>
    </row>
    <row r="6017" spans="2:21" x14ac:dyDescent="0.2">
      <c r="B6017" s="203"/>
      <c r="C6017" s="237"/>
      <c r="D6017" s="202"/>
      <c r="E6017" s="202"/>
      <c r="U6017" s="204"/>
    </row>
    <row r="6018" spans="2:21" x14ac:dyDescent="0.2">
      <c r="B6018" s="203"/>
      <c r="C6018" s="237"/>
      <c r="D6018" s="202"/>
      <c r="E6018" s="202"/>
      <c r="U6018" s="204"/>
    </row>
    <row r="6019" spans="2:21" x14ac:dyDescent="0.2">
      <c r="B6019" s="203"/>
      <c r="C6019" s="237"/>
      <c r="D6019" s="202"/>
      <c r="E6019" s="202"/>
      <c r="U6019" s="204"/>
    </row>
    <row r="6020" spans="2:21" x14ac:dyDescent="0.2">
      <c r="B6020" s="203"/>
      <c r="C6020" s="237"/>
      <c r="D6020" s="202"/>
      <c r="E6020" s="202"/>
      <c r="U6020" s="204"/>
    </row>
    <row r="6021" spans="2:21" x14ac:dyDescent="0.2">
      <c r="B6021" s="203"/>
      <c r="C6021" s="237"/>
      <c r="D6021" s="202"/>
      <c r="E6021" s="202"/>
      <c r="U6021" s="204"/>
    </row>
    <row r="6022" spans="2:21" x14ac:dyDescent="0.2">
      <c r="B6022" s="203"/>
      <c r="C6022" s="237"/>
      <c r="D6022" s="202"/>
      <c r="E6022" s="202"/>
      <c r="U6022" s="204"/>
    </row>
    <row r="6023" spans="2:21" x14ac:dyDescent="0.2">
      <c r="B6023" s="203"/>
      <c r="C6023" s="237"/>
      <c r="D6023" s="202"/>
      <c r="E6023" s="202"/>
      <c r="U6023" s="204"/>
    </row>
    <row r="6024" spans="2:21" x14ac:dyDescent="0.2">
      <c r="B6024" s="203"/>
      <c r="C6024" s="237"/>
      <c r="D6024" s="202"/>
      <c r="E6024" s="202"/>
      <c r="U6024" s="204"/>
    </row>
    <row r="6025" spans="2:21" x14ac:dyDescent="0.2">
      <c r="B6025" s="203"/>
      <c r="C6025" s="237"/>
      <c r="D6025" s="202"/>
      <c r="E6025" s="202"/>
      <c r="U6025" s="204"/>
    </row>
    <row r="6026" spans="2:21" x14ac:dyDescent="0.2">
      <c r="B6026" s="203"/>
      <c r="C6026" s="237"/>
      <c r="D6026" s="202"/>
      <c r="E6026" s="202"/>
      <c r="U6026" s="204"/>
    </row>
    <row r="6027" spans="2:21" x14ac:dyDescent="0.2">
      <c r="B6027" s="203"/>
      <c r="C6027" s="237"/>
      <c r="D6027" s="202"/>
      <c r="E6027" s="202"/>
      <c r="U6027" s="204"/>
    </row>
    <row r="6028" spans="2:21" x14ac:dyDescent="0.2">
      <c r="B6028" s="203"/>
      <c r="C6028" s="237"/>
      <c r="D6028" s="202"/>
      <c r="E6028" s="202"/>
      <c r="U6028" s="204"/>
    </row>
    <row r="6029" spans="2:21" x14ac:dyDescent="0.2">
      <c r="B6029" s="203"/>
      <c r="C6029" s="237"/>
      <c r="D6029" s="202"/>
      <c r="E6029" s="202"/>
      <c r="U6029" s="204"/>
    </row>
    <row r="6030" spans="2:21" x14ac:dyDescent="0.2">
      <c r="B6030" s="203"/>
      <c r="C6030" s="237"/>
      <c r="D6030" s="202"/>
      <c r="E6030" s="202"/>
      <c r="U6030" s="204"/>
    </row>
    <row r="6031" spans="2:21" x14ac:dyDescent="0.2">
      <c r="B6031" s="203"/>
      <c r="C6031" s="237"/>
      <c r="D6031" s="202"/>
      <c r="E6031" s="202"/>
      <c r="U6031" s="204"/>
    </row>
    <row r="6032" spans="2:21" x14ac:dyDescent="0.2">
      <c r="B6032" s="203"/>
      <c r="C6032" s="237"/>
      <c r="D6032" s="202"/>
      <c r="E6032" s="202"/>
      <c r="U6032" s="204"/>
    </row>
    <row r="6033" spans="2:21" x14ac:dyDescent="0.2">
      <c r="B6033" s="203"/>
      <c r="C6033" s="237"/>
      <c r="D6033" s="202"/>
      <c r="E6033" s="202"/>
      <c r="U6033" s="204"/>
    </row>
    <row r="6034" spans="2:21" x14ac:dyDescent="0.2">
      <c r="B6034" s="203"/>
      <c r="C6034" s="237"/>
      <c r="D6034" s="202"/>
      <c r="E6034" s="202"/>
      <c r="U6034" s="204"/>
    </row>
    <row r="6035" spans="2:21" x14ac:dyDescent="0.2">
      <c r="B6035" s="203"/>
      <c r="C6035" s="237"/>
      <c r="D6035" s="202"/>
      <c r="E6035" s="202"/>
      <c r="U6035" s="204"/>
    </row>
    <row r="6036" spans="2:21" x14ac:dyDescent="0.2">
      <c r="B6036" s="203"/>
      <c r="C6036" s="237"/>
      <c r="D6036" s="202"/>
      <c r="E6036" s="202"/>
      <c r="U6036" s="204"/>
    </row>
    <row r="6037" spans="2:21" x14ac:dyDescent="0.2">
      <c r="B6037" s="203"/>
      <c r="C6037" s="237"/>
      <c r="D6037" s="202"/>
      <c r="E6037" s="202"/>
      <c r="U6037" s="204"/>
    </row>
    <row r="6038" spans="2:21" x14ac:dyDescent="0.2">
      <c r="B6038" s="203"/>
      <c r="C6038" s="237"/>
      <c r="D6038" s="202"/>
      <c r="E6038" s="202"/>
      <c r="U6038" s="204"/>
    </row>
    <row r="6039" spans="2:21" x14ac:dyDescent="0.2">
      <c r="B6039" s="203"/>
      <c r="C6039" s="237"/>
      <c r="D6039" s="202"/>
      <c r="E6039" s="202"/>
      <c r="U6039" s="204"/>
    </row>
    <row r="6040" spans="2:21" x14ac:dyDescent="0.2">
      <c r="B6040" s="203"/>
      <c r="C6040" s="237"/>
      <c r="D6040" s="202"/>
      <c r="E6040" s="202"/>
      <c r="U6040" s="204"/>
    </row>
    <row r="6041" spans="2:21" x14ac:dyDescent="0.2">
      <c r="B6041" s="203"/>
      <c r="C6041" s="237"/>
      <c r="D6041" s="202"/>
      <c r="E6041" s="202"/>
      <c r="U6041" s="204"/>
    </row>
    <row r="6042" spans="2:21" x14ac:dyDescent="0.2">
      <c r="B6042" s="203"/>
      <c r="C6042" s="237"/>
      <c r="D6042" s="202"/>
      <c r="E6042" s="202"/>
      <c r="U6042" s="204"/>
    </row>
    <row r="6043" spans="2:21" x14ac:dyDescent="0.2">
      <c r="B6043" s="203"/>
      <c r="C6043" s="237"/>
      <c r="D6043" s="202"/>
      <c r="E6043" s="202"/>
      <c r="U6043" s="204"/>
    </row>
    <row r="6044" spans="2:21" x14ac:dyDescent="0.2">
      <c r="B6044" s="203"/>
      <c r="C6044" s="237"/>
      <c r="D6044" s="202"/>
      <c r="E6044" s="202"/>
      <c r="U6044" s="204"/>
    </row>
    <row r="6045" spans="2:21" x14ac:dyDescent="0.2">
      <c r="B6045" s="203"/>
      <c r="C6045" s="237"/>
      <c r="D6045" s="202"/>
      <c r="E6045" s="202"/>
      <c r="U6045" s="204"/>
    </row>
    <row r="6046" spans="2:21" x14ac:dyDescent="0.2">
      <c r="B6046" s="203"/>
      <c r="C6046" s="237"/>
      <c r="D6046" s="202"/>
      <c r="E6046" s="202"/>
      <c r="U6046" s="204"/>
    </row>
    <row r="6047" spans="2:21" x14ac:dyDescent="0.2">
      <c r="B6047" s="203"/>
      <c r="C6047" s="237"/>
      <c r="D6047" s="202"/>
      <c r="E6047" s="202"/>
      <c r="U6047" s="204"/>
    </row>
    <row r="6048" spans="2:21" x14ac:dyDescent="0.2">
      <c r="B6048" s="203"/>
      <c r="C6048" s="237"/>
      <c r="D6048" s="202"/>
      <c r="E6048" s="202"/>
      <c r="U6048" s="204"/>
    </row>
    <row r="6049" spans="2:21" x14ac:dyDescent="0.2">
      <c r="B6049" s="203"/>
      <c r="C6049" s="237"/>
      <c r="D6049" s="202"/>
      <c r="E6049" s="202"/>
      <c r="U6049" s="204"/>
    </row>
    <row r="6050" spans="2:21" x14ac:dyDescent="0.2">
      <c r="B6050" s="203"/>
      <c r="C6050" s="237"/>
      <c r="D6050" s="202"/>
      <c r="E6050" s="202"/>
      <c r="U6050" s="204"/>
    </row>
    <row r="6051" spans="2:21" x14ac:dyDescent="0.2">
      <c r="B6051" s="203"/>
      <c r="C6051" s="237"/>
      <c r="D6051" s="202"/>
      <c r="E6051" s="202"/>
      <c r="U6051" s="204"/>
    </row>
    <row r="6052" spans="2:21" x14ac:dyDescent="0.2">
      <c r="B6052" s="203"/>
      <c r="C6052" s="237"/>
      <c r="D6052" s="202"/>
      <c r="E6052" s="202"/>
      <c r="U6052" s="204"/>
    </row>
    <row r="6053" spans="2:21" x14ac:dyDescent="0.2">
      <c r="B6053" s="203"/>
      <c r="C6053" s="237"/>
      <c r="D6053" s="202"/>
      <c r="E6053" s="202"/>
      <c r="U6053" s="204"/>
    </row>
    <row r="6054" spans="2:21" x14ac:dyDescent="0.2">
      <c r="B6054" s="203"/>
      <c r="C6054" s="237"/>
      <c r="D6054" s="202"/>
      <c r="E6054" s="202"/>
      <c r="U6054" s="204"/>
    </row>
    <row r="6055" spans="2:21" x14ac:dyDescent="0.2">
      <c r="B6055" s="203"/>
      <c r="C6055" s="237"/>
      <c r="D6055" s="202"/>
      <c r="E6055" s="202"/>
      <c r="U6055" s="204"/>
    </row>
    <row r="6056" spans="2:21" x14ac:dyDescent="0.2">
      <c r="B6056" s="203"/>
      <c r="C6056" s="237"/>
      <c r="D6056" s="202"/>
      <c r="E6056" s="202"/>
      <c r="U6056" s="204"/>
    </row>
    <row r="6057" spans="2:21" x14ac:dyDescent="0.2">
      <c r="B6057" s="203"/>
      <c r="C6057" s="237"/>
      <c r="D6057" s="202"/>
      <c r="E6057" s="202"/>
      <c r="U6057" s="204"/>
    </row>
    <row r="6058" spans="2:21" x14ac:dyDescent="0.2">
      <c r="B6058" s="203"/>
      <c r="C6058" s="237"/>
      <c r="D6058" s="202"/>
      <c r="E6058" s="202"/>
      <c r="U6058" s="204"/>
    </row>
    <row r="6059" spans="2:21" x14ac:dyDescent="0.2">
      <c r="B6059" s="203"/>
      <c r="C6059" s="237"/>
      <c r="D6059" s="202"/>
      <c r="E6059" s="202"/>
      <c r="U6059" s="204"/>
    </row>
    <row r="6060" spans="2:21" x14ac:dyDescent="0.2">
      <c r="B6060" s="203"/>
      <c r="C6060" s="237"/>
      <c r="D6060" s="202"/>
      <c r="E6060" s="202"/>
      <c r="U6060" s="204"/>
    </row>
    <row r="6061" spans="2:21" x14ac:dyDescent="0.2">
      <c r="B6061" s="203"/>
      <c r="C6061" s="237"/>
      <c r="D6061" s="202"/>
      <c r="E6061" s="202"/>
      <c r="U6061" s="204"/>
    </row>
    <row r="6062" spans="2:21" x14ac:dyDescent="0.2">
      <c r="B6062" s="203"/>
      <c r="C6062" s="237"/>
      <c r="D6062" s="202"/>
      <c r="E6062" s="202"/>
      <c r="U6062" s="204"/>
    </row>
    <row r="6063" spans="2:21" x14ac:dyDescent="0.2">
      <c r="B6063" s="203"/>
      <c r="C6063" s="237"/>
      <c r="D6063" s="202"/>
      <c r="E6063" s="202"/>
      <c r="U6063" s="204"/>
    </row>
    <row r="6064" spans="2:21" x14ac:dyDescent="0.2">
      <c r="B6064" s="203"/>
      <c r="C6064" s="237"/>
      <c r="D6064" s="202"/>
      <c r="E6064" s="202"/>
      <c r="U6064" s="204"/>
    </row>
    <row r="6065" spans="2:21" x14ac:dyDescent="0.2">
      <c r="B6065" s="203"/>
      <c r="C6065" s="237"/>
      <c r="D6065" s="202"/>
      <c r="E6065" s="202"/>
      <c r="U6065" s="204"/>
    </row>
    <row r="6066" spans="2:21" x14ac:dyDescent="0.2">
      <c r="B6066" s="203"/>
      <c r="C6066" s="237"/>
      <c r="D6066" s="202"/>
      <c r="E6066" s="202"/>
      <c r="U6066" s="204"/>
    </row>
    <row r="6067" spans="2:21" x14ac:dyDescent="0.2">
      <c r="B6067" s="203"/>
      <c r="C6067" s="237"/>
      <c r="D6067" s="202"/>
      <c r="E6067" s="202"/>
      <c r="U6067" s="204"/>
    </row>
    <row r="6068" spans="2:21" x14ac:dyDescent="0.2">
      <c r="B6068" s="203"/>
      <c r="C6068" s="237"/>
      <c r="D6068" s="202"/>
      <c r="E6068" s="202"/>
      <c r="U6068" s="204"/>
    </row>
    <row r="6069" spans="2:21" x14ac:dyDescent="0.2">
      <c r="B6069" s="203"/>
      <c r="C6069" s="237"/>
      <c r="D6069" s="202"/>
      <c r="E6069" s="202"/>
      <c r="U6069" s="204"/>
    </row>
    <row r="6070" spans="2:21" x14ac:dyDescent="0.2">
      <c r="B6070" s="203"/>
      <c r="C6070" s="237"/>
      <c r="D6070" s="202"/>
      <c r="E6070" s="202"/>
      <c r="U6070" s="204"/>
    </row>
    <row r="6071" spans="2:21" x14ac:dyDescent="0.2">
      <c r="B6071" s="203"/>
      <c r="C6071" s="237"/>
      <c r="D6071" s="202"/>
      <c r="E6071" s="202"/>
      <c r="U6071" s="204"/>
    </row>
    <row r="6072" spans="2:21" x14ac:dyDescent="0.2">
      <c r="B6072" s="203"/>
      <c r="C6072" s="237"/>
      <c r="D6072" s="202"/>
      <c r="E6072" s="202"/>
      <c r="U6072" s="204"/>
    </row>
    <row r="6073" spans="2:21" x14ac:dyDescent="0.2">
      <c r="B6073" s="203"/>
      <c r="C6073" s="237"/>
      <c r="D6073" s="202"/>
      <c r="E6073" s="202"/>
      <c r="U6073" s="204"/>
    </row>
    <row r="6074" spans="2:21" x14ac:dyDescent="0.2">
      <c r="B6074" s="203"/>
      <c r="C6074" s="237"/>
      <c r="D6074" s="202"/>
      <c r="E6074" s="202"/>
      <c r="U6074" s="204"/>
    </row>
    <row r="6075" spans="2:21" x14ac:dyDescent="0.2">
      <c r="B6075" s="203"/>
      <c r="C6075" s="237"/>
      <c r="D6075" s="202"/>
      <c r="E6075" s="202"/>
      <c r="U6075" s="204"/>
    </row>
    <row r="6076" spans="2:21" x14ac:dyDescent="0.2">
      <c r="B6076" s="203"/>
      <c r="C6076" s="237"/>
      <c r="D6076" s="202"/>
      <c r="E6076" s="202"/>
      <c r="U6076" s="204"/>
    </row>
    <row r="6077" spans="2:21" x14ac:dyDescent="0.2">
      <c r="B6077" s="203"/>
      <c r="C6077" s="237"/>
      <c r="D6077" s="202"/>
      <c r="E6077" s="202"/>
      <c r="U6077" s="204"/>
    </row>
    <row r="6078" spans="2:21" x14ac:dyDescent="0.2">
      <c r="B6078" s="203"/>
      <c r="C6078" s="237"/>
      <c r="D6078" s="202"/>
      <c r="E6078" s="202"/>
      <c r="U6078" s="204"/>
    </row>
    <row r="6079" spans="2:21" x14ac:dyDescent="0.2">
      <c r="B6079" s="203"/>
      <c r="C6079" s="237"/>
      <c r="D6079" s="202"/>
      <c r="E6079" s="202"/>
      <c r="U6079" s="204"/>
    </row>
    <row r="6080" spans="2:21" x14ac:dyDescent="0.2">
      <c r="B6080" s="203"/>
      <c r="C6080" s="237"/>
      <c r="D6080" s="202"/>
      <c r="E6080" s="202"/>
      <c r="U6080" s="204"/>
    </row>
    <row r="6081" spans="2:21" x14ac:dyDescent="0.2">
      <c r="B6081" s="203"/>
      <c r="C6081" s="237"/>
      <c r="D6081" s="202"/>
      <c r="E6081" s="202"/>
      <c r="U6081" s="204"/>
    </row>
    <row r="6082" spans="2:21" x14ac:dyDescent="0.2">
      <c r="B6082" s="203"/>
      <c r="C6082" s="237"/>
      <c r="D6082" s="202"/>
      <c r="E6082" s="202"/>
      <c r="U6082" s="204"/>
    </row>
    <row r="6083" spans="2:21" x14ac:dyDescent="0.2">
      <c r="B6083" s="203"/>
      <c r="C6083" s="237"/>
      <c r="D6083" s="202"/>
      <c r="E6083" s="202"/>
      <c r="U6083" s="204"/>
    </row>
    <row r="6084" spans="2:21" x14ac:dyDescent="0.2">
      <c r="B6084" s="203"/>
      <c r="C6084" s="237"/>
      <c r="D6084" s="202"/>
      <c r="E6084" s="202"/>
      <c r="U6084" s="204"/>
    </row>
    <row r="6085" spans="2:21" x14ac:dyDescent="0.2">
      <c r="B6085" s="203"/>
      <c r="C6085" s="237"/>
      <c r="D6085" s="202"/>
      <c r="E6085" s="202"/>
      <c r="U6085" s="204"/>
    </row>
    <row r="6086" spans="2:21" x14ac:dyDescent="0.2">
      <c r="B6086" s="203"/>
      <c r="C6086" s="237"/>
      <c r="D6086" s="202"/>
      <c r="E6086" s="202"/>
      <c r="U6086" s="204"/>
    </row>
    <row r="6087" spans="2:21" x14ac:dyDescent="0.2">
      <c r="B6087" s="203"/>
      <c r="C6087" s="237"/>
      <c r="D6087" s="202"/>
      <c r="E6087" s="202"/>
      <c r="U6087" s="204"/>
    </row>
    <row r="6088" spans="2:21" x14ac:dyDescent="0.2">
      <c r="B6088" s="203"/>
      <c r="C6088" s="237"/>
      <c r="D6088" s="202"/>
      <c r="E6088" s="202"/>
      <c r="U6088" s="204"/>
    </row>
    <row r="6089" spans="2:21" x14ac:dyDescent="0.2">
      <c r="B6089" s="203"/>
      <c r="C6089" s="237"/>
      <c r="D6089" s="202"/>
      <c r="E6089" s="202"/>
      <c r="U6089" s="204"/>
    </row>
    <row r="6090" spans="2:21" x14ac:dyDescent="0.2">
      <c r="B6090" s="203"/>
      <c r="C6090" s="237"/>
      <c r="D6090" s="202"/>
      <c r="E6090" s="202"/>
      <c r="U6090" s="204"/>
    </row>
    <row r="6091" spans="2:21" x14ac:dyDescent="0.2">
      <c r="B6091" s="203"/>
      <c r="C6091" s="237"/>
      <c r="D6091" s="202"/>
      <c r="E6091" s="202"/>
      <c r="U6091" s="204"/>
    </row>
    <row r="6092" spans="2:21" x14ac:dyDescent="0.2">
      <c r="B6092" s="203"/>
      <c r="C6092" s="237"/>
      <c r="D6092" s="202"/>
      <c r="E6092" s="202"/>
      <c r="U6092" s="204"/>
    </row>
    <row r="6093" spans="2:21" x14ac:dyDescent="0.2">
      <c r="B6093" s="203"/>
      <c r="C6093" s="237"/>
      <c r="D6093" s="202"/>
      <c r="E6093" s="202"/>
      <c r="U6093" s="204"/>
    </row>
    <row r="6094" spans="2:21" x14ac:dyDescent="0.2">
      <c r="B6094" s="203"/>
      <c r="C6094" s="237"/>
      <c r="D6094" s="202"/>
      <c r="E6094" s="202"/>
      <c r="U6094" s="204"/>
    </row>
    <row r="6095" spans="2:21" x14ac:dyDescent="0.2">
      <c r="B6095" s="203"/>
      <c r="C6095" s="237"/>
      <c r="D6095" s="202"/>
      <c r="E6095" s="202"/>
      <c r="U6095" s="204"/>
    </row>
    <row r="6096" spans="2:21" x14ac:dyDescent="0.2">
      <c r="B6096" s="203"/>
      <c r="C6096" s="237"/>
      <c r="D6096" s="202"/>
      <c r="E6096" s="202"/>
      <c r="U6096" s="204"/>
    </row>
    <row r="6097" spans="2:21" x14ac:dyDescent="0.2">
      <c r="B6097" s="203"/>
      <c r="C6097" s="237"/>
      <c r="D6097" s="202"/>
      <c r="E6097" s="202"/>
      <c r="U6097" s="204"/>
    </row>
    <row r="6098" spans="2:21" x14ac:dyDescent="0.2">
      <c r="B6098" s="203"/>
      <c r="C6098" s="237"/>
      <c r="D6098" s="202"/>
      <c r="E6098" s="202"/>
      <c r="U6098" s="204"/>
    </row>
    <row r="6099" spans="2:21" x14ac:dyDescent="0.2">
      <c r="B6099" s="203"/>
      <c r="C6099" s="237"/>
      <c r="D6099" s="202"/>
      <c r="E6099" s="202"/>
      <c r="U6099" s="204"/>
    </row>
    <row r="6100" spans="2:21" x14ac:dyDescent="0.2">
      <c r="B6100" s="203"/>
      <c r="C6100" s="237"/>
      <c r="D6100" s="202"/>
      <c r="E6100" s="202"/>
      <c r="U6100" s="204"/>
    </row>
    <row r="6101" spans="2:21" x14ac:dyDescent="0.2">
      <c r="B6101" s="203"/>
      <c r="C6101" s="237"/>
      <c r="D6101" s="202"/>
      <c r="E6101" s="202"/>
      <c r="U6101" s="204"/>
    </row>
    <row r="6102" spans="2:21" x14ac:dyDescent="0.2">
      <c r="B6102" s="203"/>
      <c r="C6102" s="237"/>
      <c r="D6102" s="202"/>
      <c r="E6102" s="202"/>
      <c r="U6102" s="204"/>
    </row>
    <row r="6103" spans="2:21" x14ac:dyDescent="0.2">
      <c r="B6103" s="203"/>
      <c r="C6103" s="237"/>
      <c r="D6103" s="202"/>
      <c r="E6103" s="202"/>
      <c r="U6103" s="204"/>
    </row>
    <row r="6104" spans="2:21" x14ac:dyDescent="0.2">
      <c r="B6104" s="203"/>
      <c r="C6104" s="237"/>
      <c r="D6104" s="202"/>
      <c r="E6104" s="202"/>
      <c r="U6104" s="204"/>
    </row>
    <row r="6105" spans="2:21" x14ac:dyDescent="0.2">
      <c r="B6105" s="203"/>
      <c r="C6105" s="237"/>
      <c r="D6105" s="202"/>
      <c r="E6105" s="202"/>
      <c r="U6105" s="204"/>
    </row>
    <row r="6106" spans="2:21" x14ac:dyDescent="0.2">
      <c r="B6106" s="203"/>
      <c r="C6106" s="237"/>
      <c r="D6106" s="202"/>
      <c r="E6106" s="202"/>
      <c r="U6106" s="204"/>
    </row>
    <row r="6107" spans="2:21" x14ac:dyDescent="0.2">
      <c r="B6107" s="203"/>
      <c r="C6107" s="237"/>
      <c r="D6107" s="202"/>
      <c r="E6107" s="202"/>
      <c r="U6107" s="204"/>
    </row>
    <row r="6108" spans="2:21" x14ac:dyDescent="0.2">
      <c r="B6108" s="203"/>
      <c r="C6108" s="237"/>
      <c r="D6108" s="202"/>
      <c r="E6108" s="202"/>
      <c r="U6108" s="204"/>
    </row>
    <row r="6109" spans="2:21" x14ac:dyDescent="0.2">
      <c r="B6109" s="203"/>
      <c r="C6109" s="237"/>
      <c r="D6109" s="202"/>
      <c r="E6109" s="202"/>
      <c r="U6109" s="204"/>
    </row>
    <row r="6110" spans="2:21" x14ac:dyDescent="0.2">
      <c r="B6110" s="203"/>
      <c r="C6110" s="237"/>
      <c r="D6110" s="202"/>
      <c r="E6110" s="202"/>
      <c r="U6110" s="204"/>
    </row>
    <row r="6111" spans="2:21" x14ac:dyDescent="0.2">
      <c r="B6111" s="203"/>
      <c r="C6111" s="237"/>
      <c r="D6111" s="202"/>
      <c r="E6111" s="202"/>
      <c r="U6111" s="204"/>
    </row>
    <row r="6112" spans="2:21" x14ac:dyDescent="0.2">
      <c r="B6112" s="203"/>
      <c r="C6112" s="237"/>
      <c r="D6112" s="202"/>
      <c r="E6112" s="202"/>
      <c r="U6112" s="204"/>
    </row>
    <row r="6113" spans="2:21" x14ac:dyDescent="0.2">
      <c r="B6113" s="203"/>
      <c r="C6113" s="237"/>
      <c r="D6113" s="202"/>
      <c r="E6113" s="202"/>
      <c r="U6113" s="204"/>
    </row>
    <row r="6114" spans="2:21" x14ac:dyDescent="0.2">
      <c r="B6114" s="203"/>
      <c r="C6114" s="237"/>
      <c r="D6114" s="202"/>
      <c r="E6114" s="202"/>
      <c r="U6114" s="204"/>
    </row>
    <row r="6115" spans="2:21" x14ac:dyDescent="0.2">
      <c r="B6115" s="203"/>
      <c r="C6115" s="237"/>
      <c r="D6115" s="202"/>
      <c r="E6115" s="202"/>
      <c r="U6115" s="204"/>
    </row>
    <row r="6116" spans="2:21" x14ac:dyDescent="0.2">
      <c r="B6116" s="203"/>
      <c r="C6116" s="237"/>
      <c r="D6116" s="202"/>
      <c r="E6116" s="202"/>
      <c r="U6116" s="204"/>
    </row>
    <row r="6117" spans="2:21" x14ac:dyDescent="0.2">
      <c r="B6117" s="203"/>
      <c r="C6117" s="237"/>
      <c r="D6117" s="202"/>
      <c r="E6117" s="202"/>
      <c r="U6117" s="204"/>
    </row>
    <row r="6118" spans="2:21" x14ac:dyDescent="0.2">
      <c r="B6118" s="203"/>
      <c r="C6118" s="237"/>
      <c r="D6118" s="202"/>
      <c r="E6118" s="202"/>
      <c r="U6118" s="204"/>
    </row>
    <row r="6119" spans="2:21" x14ac:dyDescent="0.2">
      <c r="B6119" s="203"/>
      <c r="C6119" s="237"/>
      <c r="D6119" s="202"/>
      <c r="E6119" s="202"/>
      <c r="U6119" s="204"/>
    </row>
    <row r="6120" spans="2:21" x14ac:dyDescent="0.2">
      <c r="B6120" s="203"/>
      <c r="C6120" s="237"/>
      <c r="D6120" s="202"/>
      <c r="E6120" s="202"/>
      <c r="U6120" s="204"/>
    </row>
    <row r="6121" spans="2:21" x14ac:dyDescent="0.2">
      <c r="B6121" s="203"/>
      <c r="C6121" s="237"/>
      <c r="D6121" s="202"/>
      <c r="E6121" s="202"/>
      <c r="U6121" s="204"/>
    </row>
    <row r="6122" spans="2:21" x14ac:dyDescent="0.2">
      <c r="B6122" s="203"/>
      <c r="C6122" s="237"/>
      <c r="D6122" s="202"/>
      <c r="E6122" s="202"/>
      <c r="U6122" s="204"/>
    </row>
    <row r="6123" spans="2:21" x14ac:dyDescent="0.2">
      <c r="B6123" s="203"/>
      <c r="C6123" s="237"/>
      <c r="D6123" s="202"/>
      <c r="E6123" s="202"/>
      <c r="U6123" s="204"/>
    </row>
    <row r="6124" spans="2:21" x14ac:dyDescent="0.2">
      <c r="B6124" s="203"/>
      <c r="C6124" s="237"/>
      <c r="D6124" s="202"/>
      <c r="E6124" s="202"/>
      <c r="U6124" s="204"/>
    </row>
    <row r="6125" spans="2:21" x14ac:dyDescent="0.2">
      <c r="B6125" s="203"/>
      <c r="C6125" s="237"/>
      <c r="D6125" s="202"/>
      <c r="E6125" s="202"/>
      <c r="U6125" s="204"/>
    </row>
    <row r="6126" spans="2:21" x14ac:dyDescent="0.2">
      <c r="B6126" s="203"/>
      <c r="C6126" s="237"/>
      <c r="D6126" s="202"/>
      <c r="E6126" s="202"/>
      <c r="U6126" s="204"/>
    </row>
    <row r="6127" spans="2:21" x14ac:dyDescent="0.2">
      <c r="B6127" s="203"/>
      <c r="C6127" s="237"/>
      <c r="D6127" s="202"/>
      <c r="E6127" s="202"/>
      <c r="U6127" s="204"/>
    </row>
    <row r="6128" spans="2:21" x14ac:dyDescent="0.2">
      <c r="B6128" s="203"/>
      <c r="C6128" s="237"/>
      <c r="D6128" s="202"/>
      <c r="E6128" s="202"/>
      <c r="U6128" s="204"/>
    </row>
    <row r="6129" spans="2:21" x14ac:dyDescent="0.2">
      <c r="B6129" s="203"/>
      <c r="C6129" s="237"/>
      <c r="D6129" s="202"/>
      <c r="E6129" s="202"/>
      <c r="U6129" s="204"/>
    </row>
    <row r="6130" spans="2:21" x14ac:dyDescent="0.2">
      <c r="B6130" s="203"/>
      <c r="C6130" s="237"/>
      <c r="D6130" s="202"/>
      <c r="E6130" s="202"/>
      <c r="U6130" s="204"/>
    </row>
    <row r="6131" spans="2:21" x14ac:dyDescent="0.2">
      <c r="B6131" s="203"/>
      <c r="C6131" s="237"/>
      <c r="D6131" s="202"/>
      <c r="E6131" s="202"/>
      <c r="U6131" s="204"/>
    </row>
    <row r="6132" spans="2:21" x14ac:dyDescent="0.2">
      <c r="B6132" s="203"/>
      <c r="C6132" s="237"/>
      <c r="D6132" s="202"/>
      <c r="E6132" s="202"/>
      <c r="U6132" s="204"/>
    </row>
    <row r="6133" spans="2:21" x14ac:dyDescent="0.2">
      <c r="B6133" s="203"/>
      <c r="C6133" s="237"/>
      <c r="D6133" s="202"/>
      <c r="E6133" s="202"/>
      <c r="U6133" s="204"/>
    </row>
    <row r="6134" spans="2:21" x14ac:dyDescent="0.2">
      <c r="B6134" s="203"/>
      <c r="C6134" s="237"/>
      <c r="D6134" s="202"/>
      <c r="E6134" s="202"/>
      <c r="U6134" s="204"/>
    </row>
    <row r="6135" spans="2:21" x14ac:dyDescent="0.2">
      <c r="B6135" s="203"/>
      <c r="C6135" s="237"/>
      <c r="D6135" s="202"/>
      <c r="E6135" s="202"/>
      <c r="U6135" s="204"/>
    </row>
    <row r="6136" spans="2:21" x14ac:dyDescent="0.2">
      <c r="B6136" s="203"/>
      <c r="C6136" s="237"/>
      <c r="D6136" s="202"/>
      <c r="E6136" s="202"/>
      <c r="U6136" s="204"/>
    </row>
    <row r="6137" spans="2:21" x14ac:dyDescent="0.2">
      <c r="B6137" s="203"/>
      <c r="C6137" s="237"/>
      <c r="D6137" s="202"/>
      <c r="E6137" s="202"/>
      <c r="U6137" s="204"/>
    </row>
    <row r="6138" spans="2:21" x14ac:dyDescent="0.2">
      <c r="B6138" s="203"/>
      <c r="C6138" s="237"/>
      <c r="D6138" s="202"/>
      <c r="E6138" s="202"/>
      <c r="U6138" s="204"/>
    </row>
    <row r="6139" spans="2:21" x14ac:dyDescent="0.2">
      <c r="B6139" s="203"/>
      <c r="C6139" s="237"/>
      <c r="D6139" s="202"/>
      <c r="E6139" s="202"/>
      <c r="U6139" s="204"/>
    </row>
    <row r="6140" spans="2:21" x14ac:dyDescent="0.2">
      <c r="B6140" s="203"/>
      <c r="C6140" s="237"/>
      <c r="D6140" s="202"/>
      <c r="E6140" s="202"/>
      <c r="U6140" s="204"/>
    </row>
    <row r="6141" spans="2:21" x14ac:dyDescent="0.2">
      <c r="B6141" s="203"/>
      <c r="C6141" s="237"/>
      <c r="D6141" s="202"/>
      <c r="E6141" s="202"/>
      <c r="U6141" s="204"/>
    </row>
    <row r="6142" spans="2:21" x14ac:dyDescent="0.2">
      <c r="B6142" s="203"/>
      <c r="C6142" s="237"/>
      <c r="D6142" s="202"/>
      <c r="E6142" s="202"/>
      <c r="U6142" s="204"/>
    </row>
    <row r="6143" spans="2:21" x14ac:dyDescent="0.2">
      <c r="B6143" s="203"/>
      <c r="C6143" s="237"/>
      <c r="D6143" s="202"/>
      <c r="E6143" s="202"/>
      <c r="U6143" s="204"/>
    </row>
    <row r="6144" spans="2:21" x14ac:dyDescent="0.2">
      <c r="B6144" s="203"/>
      <c r="C6144" s="237"/>
      <c r="D6144" s="202"/>
      <c r="E6144" s="202"/>
      <c r="U6144" s="204"/>
    </row>
    <row r="6145" spans="2:21" x14ac:dyDescent="0.2">
      <c r="B6145" s="203"/>
      <c r="C6145" s="237"/>
      <c r="D6145" s="202"/>
      <c r="E6145" s="202"/>
      <c r="U6145" s="204"/>
    </row>
    <row r="6146" spans="2:21" x14ac:dyDescent="0.2">
      <c r="B6146" s="203"/>
      <c r="C6146" s="237"/>
      <c r="D6146" s="202"/>
      <c r="E6146" s="202"/>
      <c r="U6146" s="204"/>
    </row>
    <row r="6147" spans="2:21" x14ac:dyDescent="0.2">
      <c r="B6147" s="203"/>
      <c r="C6147" s="237"/>
      <c r="D6147" s="202"/>
      <c r="E6147" s="202"/>
      <c r="U6147" s="204"/>
    </row>
    <row r="6148" spans="2:21" x14ac:dyDescent="0.2">
      <c r="B6148" s="203"/>
      <c r="C6148" s="237"/>
      <c r="D6148" s="202"/>
      <c r="E6148" s="202"/>
      <c r="U6148" s="204"/>
    </row>
    <row r="6149" spans="2:21" x14ac:dyDescent="0.2">
      <c r="B6149" s="203"/>
      <c r="C6149" s="237"/>
      <c r="D6149" s="202"/>
      <c r="E6149" s="202"/>
      <c r="U6149" s="204"/>
    </row>
    <row r="6150" spans="2:21" x14ac:dyDescent="0.2">
      <c r="B6150" s="203"/>
      <c r="C6150" s="237"/>
      <c r="D6150" s="202"/>
      <c r="E6150" s="202"/>
      <c r="U6150" s="204"/>
    </row>
    <row r="6151" spans="2:21" x14ac:dyDescent="0.2">
      <c r="B6151" s="203"/>
      <c r="C6151" s="237"/>
      <c r="D6151" s="202"/>
      <c r="E6151" s="202"/>
      <c r="U6151" s="204"/>
    </row>
    <row r="6152" spans="2:21" x14ac:dyDescent="0.2">
      <c r="B6152" s="203"/>
      <c r="C6152" s="237"/>
      <c r="D6152" s="202"/>
      <c r="E6152" s="202"/>
      <c r="U6152" s="204"/>
    </row>
    <row r="6153" spans="2:21" x14ac:dyDescent="0.2">
      <c r="B6153" s="203"/>
      <c r="C6153" s="237"/>
      <c r="D6153" s="202"/>
      <c r="E6153" s="202"/>
      <c r="U6153" s="204"/>
    </row>
    <row r="6154" spans="2:21" x14ac:dyDescent="0.2">
      <c r="B6154" s="203"/>
      <c r="C6154" s="237"/>
      <c r="D6154" s="202"/>
      <c r="E6154" s="202"/>
      <c r="U6154" s="204"/>
    </row>
    <row r="6155" spans="2:21" x14ac:dyDescent="0.2">
      <c r="B6155" s="203"/>
      <c r="C6155" s="237"/>
      <c r="D6155" s="202"/>
      <c r="E6155" s="202"/>
      <c r="U6155" s="204"/>
    </row>
    <row r="6156" spans="2:21" x14ac:dyDescent="0.2">
      <c r="B6156" s="203"/>
      <c r="C6156" s="237"/>
      <c r="D6156" s="202"/>
      <c r="E6156" s="202"/>
      <c r="U6156" s="204"/>
    </row>
    <row r="6157" spans="2:21" x14ac:dyDescent="0.2">
      <c r="B6157" s="203"/>
      <c r="C6157" s="237"/>
      <c r="D6157" s="202"/>
      <c r="E6157" s="202"/>
      <c r="U6157" s="204"/>
    </row>
    <row r="6158" spans="2:21" x14ac:dyDescent="0.2">
      <c r="B6158" s="203"/>
      <c r="C6158" s="237"/>
      <c r="D6158" s="202"/>
      <c r="E6158" s="202"/>
      <c r="U6158" s="204"/>
    </row>
    <row r="6159" spans="2:21" x14ac:dyDescent="0.2">
      <c r="B6159" s="203"/>
      <c r="C6159" s="237"/>
      <c r="D6159" s="202"/>
      <c r="E6159" s="202"/>
      <c r="U6159" s="204"/>
    </row>
    <row r="6160" spans="2:21" x14ac:dyDescent="0.2">
      <c r="B6160" s="203"/>
      <c r="C6160" s="237"/>
      <c r="D6160" s="202"/>
      <c r="E6160" s="202"/>
      <c r="U6160" s="204"/>
    </row>
    <row r="6161" spans="2:21" x14ac:dyDescent="0.2">
      <c r="B6161" s="203"/>
      <c r="C6161" s="237"/>
      <c r="D6161" s="202"/>
      <c r="E6161" s="202"/>
      <c r="U6161" s="204"/>
    </row>
    <row r="6162" spans="2:21" x14ac:dyDescent="0.2">
      <c r="B6162" s="203"/>
      <c r="C6162" s="237"/>
      <c r="D6162" s="202"/>
      <c r="E6162" s="202"/>
      <c r="U6162" s="204"/>
    </row>
    <row r="6163" spans="2:21" x14ac:dyDescent="0.2">
      <c r="B6163" s="203"/>
      <c r="C6163" s="237"/>
      <c r="D6163" s="202"/>
      <c r="E6163" s="202"/>
      <c r="U6163" s="204"/>
    </row>
    <row r="6164" spans="2:21" x14ac:dyDescent="0.2">
      <c r="B6164" s="203"/>
      <c r="C6164" s="237"/>
      <c r="D6164" s="202"/>
      <c r="E6164" s="202"/>
      <c r="U6164" s="204"/>
    </row>
    <row r="6165" spans="2:21" x14ac:dyDescent="0.2">
      <c r="B6165" s="203"/>
      <c r="C6165" s="237"/>
      <c r="D6165" s="202"/>
      <c r="E6165" s="202"/>
      <c r="U6165" s="204"/>
    </row>
    <row r="6166" spans="2:21" x14ac:dyDescent="0.2">
      <c r="B6166" s="203"/>
      <c r="C6166" s="237"/>
      <c r="D6166" s="202"/>
      <c r="E6166" s="202"/>
      <c r="U6166" s="204"/>
    </row>
    <row r="6167" spans="2:21" x14ac:dyDescent="0.2">
      <c r="B6167" s="203"/>
      <c r="C6167" s="237"/>
      <c r="D6167" s="202"/>
      <c r="E6167" s="202"/>
      <c r="U6167" s="204"/>
    </row>
    <row r="6168" spans="2:21" x14ac:dyDescent="0.2">
      <c r="B6168" s="203"/>
      <c r="C6168" s="237"/>
      <c r="D6168" s="202"/>
      <c r="E6168" s="202"/>
      <c r="U6168" s="204"/>
    </row>
    <row r="6169" spans="2:21" x14ac:dyDescent="0.2">
      <c r="B6169" s="203"/>
      <c r="C6169" s="237"/>
      <c r="D6169" s="202"/>
      <c r="E6169" s="202"/>
      <c r="U6169" s="204"/>
    </row>
    <row r="6170" spans="2:21" x14ac:dyDescent="0.2">
      <c r="B6170" s="203"/>
      <c r="C6170" s="237"/>
      <c r="D6170" s="202"/>
      <c r="E6170" s="202"/>
      <c r="U6170" s="204"/>
    </row>
    <row r="6171" spans="2:21" x14ac:dyDescent="0.2">
      <c r="B6171" s="203"/>
      <c r="C6171" s="237"/>
      <c r="D6171" s="202"/>
      <c r="E6171" s="202"/>
      <c r="U6171" s="204"/>
    </row>
    <row r="6172" spans="2:21" x14ac:dyDescent="0.2">
      <c r="B6172" s="203"/>
      <c r="C6172" s="237"/>
      <c r="D6172" s="202"/>
      <c r="E6172" s="202"/>
      <c r="U6172" s="204"/>
    </row>
    <row r="6173" spans="2:21" x14ac:dyDescent="0.2">
      <c r="B6173" s="203"/>
      <c r="C6173" s="237"/>
      <c r="D6173" s="202"/>
      <c r="E6173" s="202"/>
      <c r="U6173" s="204"/>
    </row>
    <row r="6174" spans="2:21" x14ac:dyDescent="0.2">
      <c r="B6174" s="203"/>
      <c r="C6174" s="237"/>
      <c r="D6174" s="202"/>
      <c r="E6174" s="202"/>
      <c r="U6174" s="204"/>
    </row>
    <row r="6175" spans="2:21" x14ac:dyDescent="0.2">
      <c r="B6175" s="203"/>
      <c r="C6175" s="237"/>
      <c r="D6175" s="202"/>
      <c r="E6175" s="202"/>
      <c r="U6175" s="204"/>
    </row>
    <row r="6176" spans="2:21" x14ac:dyDescent="0.2">
      <c r="B6176" s="203"/>
      <c r="C6176" s="237"/>
      <c r="D6176" s="202"/>
      <c r="E6176" s="202"/>
      <c r="U6176" s="204"/>
    </row>
    <row r="6177" spans="2:21" x14ac:dyDescent="0.2">
      <c r="B6177" s="203"/>
      <c r="C6177" s="237"/>
      <c r="D6177" s="202"/>
      <c r="E6177" s="202"/>
      <c r="U6177" s="204"/>
    </row>
    <row r="6178" spans="2:21" x14ac:dyDescent="0.2">
      <c r="B6178" s="203"/>
      <c r="C6178" s="237"/>
      <c r="D6178" s="202"/>
      <c r="E6178" s="202"/>
      <c r="U6178" s="204"/>
    </row>
    <row r="6179" spans="2:21" x14ac:dyDescent="0.2">
      <c r="B6179" s="203"/>
      <c r="C6179" s="237"/>
      <c r="D6179" s="202"/>
      <c r="E6179" s="202"/>
      <c r="U6179" s="204"/>
    </row>
    <row r="6180" spans="2:21" x14ac:dyDescent="0.2">
      <c r="B6180" s="203"/>
      <c r="C6180" s="237"/>
      <c r="D6180" s="202"/>
      <c r="E6180" s="202"/>
      <c r="U6180" s="204"/>
    </row>
    <row r="6181" spans="2:21" x14ac:dyDescent="0.2">
      <c r="B6181" s="203"/>
      <c r="C6181" s="237"/>
      <c r="D6181" s="202"/>
      <c r="E6181" s="202"/>
      <c r="U6181" s="204"/>
    </row>
    <row r="6182" spans="2:21" x14ac:dyDescent="0.2">
      <c r="B6182" s="203"/>
      <c r="C6182" s="237"/>
      <c r="D6182" s="202"/>
      <c r="E6182" s="202"/>
      <c r="U6182" s="204"/>
    </row>
    <row r="6183" spans="2:21" x14ac:dyDescent="0.2">
      <c r="B6183" s="203"/>
      <c r="C6183" s="237"/>
      <c r="D6183" s="202"/>
      <c r="E6183" s="202"/>
      <c r="U6183" s="204"/>
    </row>
    <row r="6184" spans="2:21" x14ac:dyDescent="0.2">
      <c r="B6184" s="203"/>
      <c r="C6184" s="237"/>
      <c r="D6184" s="202"/>
      <c r="E6184" s="202"/>
      <c r="U6184" s="204"/>
    </row>
    <row r="6185" spans="2:21" x14ac:dyDescent="0.2">
      <c r="B6185" s="203"/>
      <c r="C6185" s="237"/>
      <c r="D6185" s="202"/>
      <c r="E6185" s="202"/>
      <c r="U6185" s="204"/>
    </row>
    <row r="6186" spans="2:21" x14ac:dyDescent="0.2">
      <c r="B6186" s="203"/>
      <c r="C6186" s="237"/>
      <c r="D6186" s="202"/>
      <c r="E6186" s="202"/>
      <c r="U6186" s="204"/>
    </row>
    <row r="6187" spans="2:21" x14ac:dyDescent="0.2">
      <c r="B6187" s="203"/>
      <c r="C6187" s="237"/>
      <c r="D6187" s="202"/>
      <c r="E6187" s="202"/>
      <c r="U6187" s="204"/>
    </row>
    <row r="6188" spans="2:21" x14ac:dyDescent="0.2">
      <c r="B6188" s="203"/>
      <c r="C6188" s="237"/>
      <c r="D6188" s="202"/>
      <c r="E6188" s="202"/>
      <c r="U6188" s="204"/>
    </row>
    <row r="6189" spans="2:21" x14ac:dyDescent="0.2">
      <c r="B6189" s="203"/>
      <c r="C6189" s="237"/>
      <c r="D6189" s="202"/>
      <c r="E6189" s="202"/>
      <c r="U6189" s="204"/>
    </row>
    <row r="6190" spans="2:21" x14ac:dyDescent="0.2">
      <c r="B6190" s="203"/>
      <c r="C6190" s="237"/>
      <c r="D6190" s="202"/>
      <c r="E6190" s="202"/>
      <c r="U6190" s="204"/>
    </row>
    <row r="6191" spans="2:21" x14ac:dyDescent="0.2">
      <c r="B6191" s="203"/>
      <c r="C6191" s="237"/>
      <c r="D6191" s="202"/>
      <c r="E6191" s="202"/>
      <c r="U6191" s="204"/>
    </row>
    <row r="6192" spans="2:21" x14ac:dyDescent="0.2">
      <c r="B6192" s="203"/>
      <c r="C6192" s="237"/>
      <c r="D6192" s="202"/>
      <c r="E6192" s="202"/>
      <c r="U6192" s="204"/>
    </row>
    <row r="6193" spans="2:21" x14ac:dyDescent="0.2">
      <c r="B6193" s="203"/>
      <c r="C6193" s="237"/>
      <c r="D6193" s="202"/>
      <c r="E6193" s="202"/>
      <c r="U6193" s="204"/>
    </row>
    <row r="6194" spans="2:21" x14ac:dyDescent="0.2">
      <c r="B6194" s="203"/>
      <c r="C6194" s="237"/>
      <c r="D6194" s="202"/>
      <c r="E6194" s="202"/>
      <c r="U6194" s="204"/>
    </row>
    <row r="6195" spans="2:21" x14ac:dyDescent="0.2">
      <c r="B6195" s="203"/>
      <c r="C6195" s="237"/>
      <c r="D6195" s="202"/>
      <c r="E6195" s="202"/>
      <c r="U6195" s="204"/>
    </row>
    <row r="6196" spans="2:21" x14ac:dyDescent="0.2">
      <c r="B6196" s="203"/>
      <c r="C6196" s="237"/>
      <c r="D6196" s="202"/>
      <c r="E6196" s="202"/>
      <c r="U6196" s="204"/>
    </row>
    <row r="6197" spans="2:21" x14ac:dyDescent="0.2">
      <c r="B6197" s="203"/>
      <c r="C6197" s="237"/>
      <c r="D6197" s="202"/>
      <c r="E6197" s="202"/>
      <c r="U6197" s="204"/>
    </row>
    <row r="6198" spans="2:21" x14ac:dyDescent="0.2">
      <c r="B6198" s="203"/>
      <c r="C6198" s="237"/>
      <c r="D6198" s="202"/>
      <c r="E6198" s="202"/>
      <c r="U6198" s="204"/>
    </row>
    <row r="6199" spans="2:21" x14ac:dyDescent="0.2">
      <c r="B6199" s="203"/>
      <c r="C6199" s="237"/>
      <c r="D6199" s="202"/>
      <c r="E6199" s="202"/>
      <c r="U6199" s="204"/>
    </row>
    <row r="6200" spans="2:21" x14ac:dyDescent="0.2">
      <c r="B6200" s="203"/>
      <c r="C6200" s="237"/>
      <c r="D6200" s="202"/>
      <c r="E6200" s="202"/>
      <c r="U6200" s="204"/>
    </row>
    <row r="6201" spans="2:21" x14ac:dyDescent="0.2">
      <c r="B6201" s="203"/>
      <c r="C6201" s="237"/>
      <c r="D6201" s="202"/>
      <c r="E6201" s="202"/>
      <c r="U6201" s="204"/>
    </row>
    <row r="6202" spans="2:21" x14ac:dyDescent="0.2">
      <c r="B6202" s="203"/>
      <c r="C6202" s="237"/>
      <c r="D6202" s="202"/>
      <c r="E6202" s="202"/>
      <c r="U6202" s="204"/>
    </row>
    <row r="6203" spans="2:21" x14ac:dyDescent="0.2">
      <c r="B6203" s="203"/>
      <c r="C6203" s="237"/>
      <c r="D6203" s="202"/>
      <c r="E6203" s="202"/>
      <c r="U6203" s="204"/>
    </row>
    <row r="6204" spans="2:21" x14ac:dyDescent="0.2">
      <c r="B6204" s="203"/>
      <c r="C6204" s="237"/>
      <c r="D6204" s="202"/>
      <c r="E6204" s="202"/>
      <c r="U6204" s="204"/>
    </row>
    <row r="6205" spans="2:21" x14ac:dyDescent="0.2">
      <c r="B6205" s="203"/>
      <c r="C6205" s="237"/>
      <c r="D6205" s="202"/>
      <c r="E6205" s="202"/>
      <c r="U6205" s="204"/>
    </row>
    <row r="6206" spans="2:21" x14ac:dyDescent="0.2">
      <c r="B6206" s="203"/>
      <c r="C6206" s="237"/>
      <c r="D6206" s="202"/>
      <c r="E6206" s="202"/>
      <c r="U6206" s="204"/>
    </row>
    <row r="6207" spans="2:21" x14ac:dyDescent="0.2">
      <c r="B6207" s="203"/>
      <c r="C6207" s="237"/>
      <c r="D6207" s="202"/>
      <c r="E6207" s="202"/>
      <c r="U6207" s="204"/>
    </row>
    <row r="6208" spans="2:21" x14ac:dyDescent="0.2">
      <c r="B6208" s="203"/>
      <c r="C6208" s="237"/>
      <c r="D6208" s="202"/>
      <c r="E6208" s="202"/>
      <c r="U6208" s="204"/>
    </row>
    <row r="6209" spans="2:21" x14ac:dyDescent="0.2">
      <c r="B6209" s="203"/>
      <c r="C6209" s="237"/>
      <c r="D6209" s="202"/>
      <c r="E6209" s="202"/>
      <c r="U6209" s="204"/>
    </row>
    <row r="6210" spans="2:21" x14ac:dyDescent="0.2">
      <c r="B6210" s="203"/>
      <c r="C6210" s="237"/>
      <c r="D6210" s="202"/>
      <c r="E6210" s="202"/>
      <c r="U6210" s="204"/>
    </row>
    <row r="6211" spans="2:21" x14ac:dyDescent="0.2">
      <c r="B6211" s="203"/>
      <c r="C6211" s="237"/>
      <c r="D6211" s="202"/>
      <c r="E6211" s="202"/>
      <c r="U6211" s="204"/>
    </row>
    <row r="6212" spans="2:21" x14ac:dyDescent="0.2">
      <c r="B6212" s="203"/>
      <c r="C6212" s="237"/>
      <c r="D6212" s="202"/>
      <c r="E6212" s="202"/>
      <c r="U6212" s="204"/>
    </row>
    <row r="6213" spans="2:21" x14ac:dyDescent="0.2">
      <c r="B6213" s="203"/>
      <c r="C6213" s="237"/>
      <c r="D6213" s="202"/>
      <c r="E6213" s="202"/>
      <c r="U6213" s="204"/>
    </row>
    <row r="6214" spans="2:21" x14ac:dyDescent="0.2">
      <c r="B6214" s="203"/>
      <c r="C6214" s="237"/>
      <c r="D6214" s="202"/>
      <c r="E6214" s="202"/>
      <c r="U6214" s="204"/>
    </row>
    <row r="6215" spans="2:21" x14ac:dyDescent="0.2">
      <c r="B6215" s="203"/>
      <c r="C6215" s="237"/>
      <c r="D6215" s="202"/>
      <c r="E6215" s="202"/>
      <c r="U6215" s="204"/>
    </row>
    <row r="6216" spans="2:21" x14ac:dyDescent="0.2">
      <c r="B6216" s="203"/>
      <c r="C6216" s="237"/>
      <c r="D6216" s="202"/>
      <c r="E6216" s="202"/>
      <c r="U6216" s="204"/>
    </row>
    <row r="6217" spans="2:21" x14ac:dyDescent="0.2">
      <c r="B6217" s="203"/>
      <c r="C6217" s="237"/>
      <c r="D6217" s="202"/>
      <c r="E6217" s="202"/>
      <c r="U6217" s="204"/>
    </row>
    <row r="6218" spans="2:21" x14ac:dyDescent="0.2">
      <c r="B6218" s="203"/>
      <c r="C6218" s="237"/>
      <c r="D6218" s="202"/>
      <c r="E6218" s="202"/>
      <c r="U6218" s="204"/>
    </row>
    <row r="6219" spans="2:21" x14ac:dyDescent="0.2">
      <c r="B6219" s="203"/>
      <c r="C6219" s="237"/>
      <c r="D6219" s="202"/>
      <c r="E6219" s="202"/>
      <c r="U6219" s="204"/>
    </row>
    <row r="6220" spans="2:21" x14ac:dyDescent="0.2">
      <c r="B6220" s="203"/>
      <c r="C6220" s="237"/>
      <c r="D6220" s="202"/>
      <c r="E6220" s="202"/>
      <c r="U6220" s="204"/>
    </row>
    <row r="6221" spans="2:21" x14ac:dyDescent="0.2">
      <c r="B6221" s="203"/>
      <c r="C6221" s="237"/>
      <c r="D6221" s="202"/>
      <c r="E6221" s="202"/>
      <c r="U6221" s="204"/>
    </row>
    <row r="6222" spans="2:21" x14ac:dyDescent="0.2">
      <c r="B6222" s="203"/>
      <c r="C6222" s="237"/>
      <c r="D6222" s="202"/>
      <c r="E6222" s="202"/>
      <c r="U6222" s="204"/>
    </row>
    <row r="6223" spans="2:21" x14ac:dyDescent="0.2">
      <c r="B6223" s="203"/>
      <c r="C6223" s="237"/>
      <c r="D6223" s="202"/>
      <c r="E6223" s="202"/>
      <c r="U6223" s="204"/>
    </row>
    <row r="6224" spans="2:21" x14ac:dyDescent="0.2">
      <c r="B6224" s="203"/>
      <c r="C6224" s="237"/>
      <c r="D6224" s="202"/>
      <c r="E6224" s="202"/>
      <c r="U6224" s="204"/>
    </row>
    <row r="6225" spans="2:21" x14ac:dyDescent="0.2">
      <c r="B6225" s="203"/>
      <c r="C6225" s="237"/>
      <c r="D6225" s="202"/>
      <c r="E6225" s="202"/>
      <c r="U6225" s="204"/>
    </row>
    <row r="6226" spans="2:21" x14ac:dyDescent="0.2">
      <c r="B6226" s="203"/>
      <c r="C6226" s="237"/>
      <c r="D6226" s="202"/>
      <c r="E6226" s="202"/>
      <c r="U6226" s="204"/>
    </row>
    <row r="6227" spans="2:21" x14ac:dyDescent="0.2">
      <c r="B6227" s="203"/>
      <c r="C6227" s="237"/>
      <c r="D6227" s="202"/>
      <c r="E6227" s="202"/>
      <c r="U6227" s="204"/>
    </row>
    <row r="6228" spans="2:21" x14ac:dyDescent="0.2">
      <c r="B6228" s="203"/>
      <c r="C6228" s="237"/>
      <c r="D6228" s="202"/>
      <c r="E6228" s="202"/>
      <c r="U6228" s="204"/>
    </row>
    <row r="6229" spans="2:21" x14ac:dyDescent="0.2">
      <c r="B6229" s="203"/>
      <c r="C6229" s="237"/>
      <c r="D6229" s="202"/>
      <c r="E6229" s="202"/>
      <c r="U6229" s="204"/>
    </row>
    <row r="6230" spans="2:21" x14ac:dyDescent="0.2">
      <c r="B6230" s="203"/>
      <c r="C6230" s="237"/>
      <c r="D6230" s="202"/>
      <c r="E6230" s="202"/>
      <c r="U6230" s="204"/>
    </row>
    <row r="6231" spans="2:21" x14ac:dyDescent="0.2">
      <c r="B6231" s="203"/>
      <c r="C6231" s="237"/>
      <c r="D6231" s="202"/>
      <c r="E6231" s="202"/>
      <c r="U6231" s="204"/>
    </row>
    <row r="6232" spans="2:21" x14ac:dyDescent="0.2">
      <c r="B6232" s="203"/>
      <c r="C6232" s="237"/>
      <c r="D6232" s="202"/>
      <c r="E6232" s="202"/>
      <c r="U6232" s="204"/>
    </row>
    <row r="6233" spans="2:21" x14ac:dyDescent="0.2">
      <c r="B6233" s="203"/>
      <c r="C6233" s="237"/>
      <c r="D6233" s="202"/>
      <c r="E6233" s="202"/>
      <c r="U6233" s="204"/>
    </row>
    <row r="6234" spans="2:21" x14ac:dyDescent="0.2">
      <c r="B6234" s="203"/>
      <c r="C6234" s="237"/>
      <c r="D6234" s="202"/>
      <c r="E6234" s="202"/>
      <c r="U6234" s="204"/>
    </row>
    <row r="6235" spans="2:21" x14ac:dyDescent="0.2">
      <c r="B6235" s="203"/>
      <c r="C6235" s="237"/>
      <c r="D6235" s="202"/>
      <c r="E6235" s="202"/>
      <c r="U6235" s="204"/>
    </row>
    <row r="6236" spans="2:21" x14ac:dyDescent="0.2">
      <c r="B6236" s="203"/>
      <c r="C6236" s="237"/>
      <c r="D6236" s="202"/>
      <c r="E6236" s="202"/>
      <c r="U6236" s="204"/>
    </row>
    <row r="6237" spans="2:21" x14ac:dyDescent="0.2">
      <c r="B6237" s="203"/>
      <c r="C6237" s="237"/>
      <c r="D6237" s="202"/>
      <c r="E6237" s="202"/>
      <c r="U6237" s="204"/>
    </row>
    <row r="6238" spans="2:21" x14ac:dyDescent="0.2">
      <c r="B6238" s="203"/>
      <c r="C6238" s="237"/>
      <c r="D6238" s="202"/>
      <c r="E6238" s="202"/>
      <c r="U6238" s="204"/>
    </row>
    <row r="6239" spans="2:21" x14ac:dyDescent="0.2">
      <c r="B6239" s="203"/>
      <c r="C6239" s="237"/>
      <c r="D6239" s="202"/>
      <c r="E6239" s="202"/>
      <c r="U6239" s="204"/>
    </row>
    <row r="6240" spans="2:21" x14ac:dyDescent="0.2">
      <c r="B6240" s="203"/>
      <c r="C6240" s="237"/>
      <c r="D6240" s="202"/>
      <c r="E6240" s="202"/>
      <c r="U6240" s="204"/>
    </row>
    <row r="6241" spans="2:21" x14ac:dyDescent="0.2">
      <c r="B6241" s="203"/>
      <c r="C6241" s="237"/>
      <c r="D6241" s="202"/>
      <c r="E6241" s="202"/>
      <c r="U6241" s="204"/>
    </row>
    <row r="6242" spans="2:21" x14ac:dyDescent="0.2">
      <c r="B6242" s="203"/>
      <c r="C6242" s="237"/>
      <c r="D6242" s="202"/>
      <c r="E6242" s="202"/>
      <c r="U6242" s="204"/>
    </row>
    <row r="6243" spans="2:21" x14ac:dyDescent="0.2">
      <c r="B6243" s="203"/>
      <c r="C6243" s="237"/>
      <c r="D6243" s="202"/>
      <c r="E6243" s="202"/>
      <c r="U6243" s="204"/>
    </row>
    <row r="6244" spans="2:21" x14ac:dyDescent="0.2">
      <c r="B6244" s="203"/>
      <c r="C6244" s="237"/>
      <c r="D6244" s="202"/>
      <c r="E6244" s="202"/>
      <c r="U6244" s="204"/>
    </row>
    <row r="6245" spans="2:21" x14ac:dyDescent="0.2">
      <c r="B6245" s="203"/>
      <c r="C6245" s="237"/>
      <c r="D6245" s="202"/>
      <c r="E6245" s="202"/>
      <c r="U6245" s="204"/>
    </row>
    <row r="6246" spans="2:21" x14ac:dyDescent="0.2">
      <c r="B6246" s="203"/>
      <c r="C6246" s="237"/>
      <c r="D6246" s="202"/>
      <c r="E6246" s="202"/>
      <c r="U6246" s="204"/>
    </row>
    <row r="6247" spans="2:21" x14ac:dyDescent="0.2">
      <c r="B6247" s="203"/>
      <c r="C6247" s="237"/>
      <c r="D6247" s="202"/>
      <c r="E6247" s="202"/>
      <c r="U6247" s="204"/>
    </row>
    <row r="6248" spans="2:21" x14ac:dyDescent="0.2">
      <c r="B6248" s="203"/>
      <c r="C6248" s="237"/>
      <c r="D6248" s="202"/>
      <c r="E6248" s="202"/>
      <c r="U6248" s="204"/>
    </row>
    <row r="6249" spans="2:21" x14ac:dyDescent="0.2">
      <c r="B6249" s="203"/>
      <c r="C6249" s="237"/>
      <c r="D6249" s="202"/>
      <c r="E6249" s="202"/>
      <c r="U6249" s="204"/>
    </row>
    <row r="6250" spans="2:21" x14ac:dyDescent="0.2">
      <c r="B6250" s="203"/>
      <c r="C6250" s="237"/>
      <c r="D6250" s="202"/>
      <c r="E6250" s="202"/>
      <c r="U6250" s="204"/>
    </row>
    <row r="6251" spans="2:21" x14ac:dyDescent="0.2">
      <c r="B6251" s="203"/>
      <c r="C6251" s="237"/>
      <c r="D6251" s="202"/>
      <c r="E6251" s="202"/>
      <c r="U6251" s="204"/>
    </row>
    <row r="6252" spans="2:21" x14ac:dyDescent="0.2">
      <c r="B6252" s="203"/>
      <c r="C6252" s="237"/>
      <c r="D6252" s="202"/>
      <c r="E6252" s="202"/>
      <c r="U6252" s="204"/>
    </row>
    <row r="6253" spans="2:21" x14ac:dyDescent="0.2">
      <c r="B6253" s="203"/>
      <c r="C6253" s="237"/>
      <c r="D6253" s="202"/>
      <c r="E6253" s="202"/>
      <c r="U6253" s="204"/>
    </row>
    <row r="6254" spans="2:21" x14ac:dyDescent="0.2">
      <c r="B6254" s="203"/>
      <c r="C6254" s="237"/>
      <c r="D6254" s="202"/>
      <c r="E6254" s="202"/>
      <c r="U6254" s="204"/>
    </row>
    <row r="6255" spans="2:21" x14ac:dyDescent="0.2">
      <c r="B6255" s="203"/>
      <c r="C6255" s="237"/>
      <c r="D6255" s="202"/>
      <c r="E6255" s="202"/>
      <c r="U6255" s="204"/>
    </row>
    <row r="6256" spans="2:21" x14ac:dyDescent="0.2">
      <c r="B6256" s="203"/>
      <c r="C6256" s="237"/>
      <c r="D6256" s="202"/>
      <c r="E6256" s="202"/>
      <c r="U6256" s="204"/>
    </row>
    <row r="6257" spans="2:21" x14ac:dyDescent="0.2">
      <c r="B6257" s="203"/>
      <c r="C6257" s="237"/>
      <c r="D6257" s="202"/>
      <c r="E6257" s="202"/>
      <c r="U6257" s="204"/>
    </row>
    <row r="6258" spans="2:21" x14ac:dyDescent="0.2">
      <c r="B6258" s="203"/>
      <c r="C6258" s="237"/>
      <c r="D6258" s="202"/>
      <c r="E6258" s="202"/>
      <c r="U6258" s="204"/>
    </row>
    <row r="6259" spans="2:21" x14ac:dyDescent="0.2">
      <c r="B6259" s="203"/>
      <c r="C6259" s="237"/>
      <c r="D6259" s="202"/>
      <c r="E6259" s="202"/>
      <c r="U6259" s="204"/>
    </row>
    <row r="6260" spans="2:21" x14ac:dyDescent="0.2">
      <c r="B6260" s="203"/>
      <c r="C6260" s="237"/>
      <c r="D6260" s="202"/>
      <c r="E6260" s="202"/>
      <c r="U6260" s="204"/>
    </row>
    <row r="6261" spans="2:21" x14ac:dyDescent="0.2">
      <c r="B6261" s="203"/>
      <c r="C6261" s="237"/>
      <c r="D6261" s="202"/>
      <c r="E6261" s="202"/>
      <c r="U6261" s="204"/>
    </row>
    <row r="6262" spans="2:21" x14ac:dyDescent="0.2">
      <c r="B6262" s="203"/>
      <c r="C6262" s="237"/>
      <c r="D6262" s="202"/>
      <c r="E6262" s="202"/>
      <c r="U6262" s="204"/>
    </row>
    <row r="6263" spans="2:21" x14ac:dyDescent="0.2">
      <c r="B6263" s="203"/>
      <c r="C6263" s="237"/>
      <c r="D6263" s="202"/>
      <c r="E6263" s="202"/>
      <c r="U6263" s="204"/>
    </row>
    <row r="6264" spans="2:21" x14ac:dyDescent="0.2">
      <c r="B6264" s="203"/>
      <c r="C6264" s="237"/>
      <c r="D6264" s="202"/>
      <c r="E6264" s="202"/>
      <c r="U6264" s="204"/>
    </row>
    <row r="6265" spans="2:21" x14ac:dyDescent="0.2">
      <c r="B6265" s="203"/>
      <c r="C6265" s="237"/>
      <c r="D6265" s="202"/>
      <c r="E6265" s="202"/>
      <c r="U6265" s="204"/>
    </row>
    <row r="6266" spans="2:21" x14ac:dyDescent="0.2">
      <c r="B6266" s="203"/>
      <c r="C6266" s="237"/>
      <c r="D6266" s="202"/>
      <c r="E6266" s="202"/>
      <c r="U6266" s="204"/>
    </row>
    <row r="6267" spans="2:21" x14ac:dyDescent="0.2">
      <c r="B6267" s="203"/>
      <c r="C6267" s="237"/>
      <c r="D6267" s="202"/>
      <c r="E6267" s="202"/>
      <c r="U6267" s="204"/>
    </row>
    <row r="6268" spans="2:21" x14ac:dyDescent="0.2">
      <c r="B6268" s="203"/>
      <c r="C6268" s="237"/>
      <c r="D6268" s="202"/>
      <c r="E6268" s="202"/>
      <c r="U6268" s="204"/>
    </row>
    <row r="6269" spans="2:21" x14ac:dyDescent="0.2">
      <c r="B6269" s="203"/>
      <c r="C6269" s="237"/>
      <c r="D6269" s="202"/>
      <c r="E6269" s="202"/>
      <c r="U6269" s="204"/>
    </row>
    <row r="6270" spans="2:21" x14ac:dyDescent="0.2">
      <c r="B6270" s="203"/>
      <c r="C6270" s="237"/>
      <c r="D6270" s="202"/>
      <c r="E6270" s="202"/>
      <c r="U6270" s="204"/>
    </row>
    <row r="6271" spans="2:21" x14ac:dyDescent="0.2">
      <c r="B6271" s="203"/>
      <c r="C6271" s="237"/>
      <c r="D6271" s="202"/>
      <c r="E6271" s="202"/>
      <c r="U6271" s="204"/>
    </row>
    <row r="6272" spans="2:21" x14ac:dyDescent="0.2">
      <c r="B6272" s="203"/>
      <c r="C6272" s="237"/>
      <c r="D6272" s="202"/>
      <c r="E6272" s="202"/>
      <c r="U6272" s="204"/>
    </row>
    <row r="6273" spans="2:21" x14ac:dyDescent="0.2">
      <c r="B6273" s="203"/>
      <c r="C6273" s="237"/>
      <c r="D6273" s="202"/>
      <c r="E6273" s="202"/>
      <c r="U6273" s="204"/>
    </row>
    <row r="6274" spans="2:21" x14ac:dyDescent="0.2">
      <c r="B6274" s="203"/>
      <c r="C6274" s="237"/>
      <c r="D6274" s="202"/>
      <c r="E6274" s="202"/>
      <c r="U6274" s="204"/>
    </row>
    <row r="6275" spans="2:21" x14ac:dyDescent="0.2">
      <c r="B6275" s="203"/>
      <c r="C6275" s="237"/>
      <c r="D6275" s="202"/>
      <c r="E6275" s="202"/>
      <c r="U6275" s="204"/>
    </row>
    <row r="6276" spans="2:21" x14ac:dyDescent="0.2">
      <c r="B6276" s="203"/>
      <c r="C6276" s="237"/>
      <c r="D6276" s="202"/>
      <c r="E6276" s="202"/>
      <c r="U6276" s="204"/>
    </row>
    <row r="6277" spans="2:21" x14ac:dyDescent="0.2">
      <c r="B6277" s="203"/>
      <c r="C6277" s="237"/>
      <c r="D6277" s="202"/>
      <c r="E6277" s="202"/>
      <c r="U6277" s="204"/>
    </row>
    <row r="6278" spans="2:21" x14ac:dyDescent="0.2">
      <c r="B6278" s="203"/>
      <c r="C6278" s="237"/>
      <c r="D6278" s="202"/>
      <c r="E6278" s="202"/>
      <c r="U6278" s="204"/>
    </row>
    <row r="6279" spans="2:21" x14ac:dyDescent="0.2">
      <c r="B6279" s="203"/>
      <c r="C6279" s="237"/>
      <c r="D6279" s="202"/>
      <c r="E6279" s="202"/>
      <c r="U6279" s="204"/>
    </row>
    <row r="6280" spans="2:21" x14ac:dyDescent="0.2">
      <c r="B6280" s="203"/>
      <c r="C6280" s="237"/>
      <c r="D6280" s="202"/>
      <c r="E6280" s="202"/>
      <c r="U6280" s="204"/>
    </row>
    <row r="6281" spans="2:21" x14ac:dyDescent="0.2">
      <c r="B6281" s="203"/>
      <c r="C6281" s="237"/>
      <c r="D6281" s="202"/>
      <c r="E6281" s="202"/>
      <c r="U6281" s="204"/>
    </row>
    <row r="6282" spans="2:21" x14ac:dyDescent="0.2">
      <c r="B6282" s="203"/>
      <c r="C6282" s="237"/>
      <c r="D6282" s="202"/>
      <c r="E6282" s="202"/>
      <c r="U6282" s="204"/>
    </row>
    <row r="6283" spans="2:21" x14ac:dyDescent="0.2">
      <c r="B6283" s="203"/>
      <c r="C6283" s="237"/>
      <c r="D6283" s="202"/>
      <c r="E6283" s="202"/>
      <c r="U6283" s="204"/>
    </row>
    <row r="6284" spans="2:21" x14ac:dyDescent="0.2">
      <c r="B6284" s="203"/>
      <c r="C6284" s="237"/>
      <c r="D6284" s="202"/>
      <c r="E6284" s="202"/>
      <c r="U6284" s="204"/>
    </row>
    <row r="6285" spans="2:21" x14ac:dyDescent="0.2">
      <c r="B6285" s="203"/>
      <c r="C6285" s="237"/>
      <c r="D6285" s="202"/>
      <c r="E6285" s="202"/>
      <c r="U6285" s="204"/>
    </row>
    <row r="6286" spans="2:21" x14ac:dyDescent="0.2">
      <c r="B6286" s="203"/>
      <c r="C6286" s="237"/>
      <c r="D6286" s="202"/>
      <c r="E6286" s="202"/>
      <c r="U6286" s="204"/>
    </row>
    <row r="6287" spans="2:21" x14ac:dyDescent="0.2">
      <c r="B6287" s="203"/>
      <c r="C6287" s="237"/>
      <c r="D6287" s="202"/>
      <c r="E6287" s="202"/>
      <c r="U6287" s="204"/>
    </row>
    <row r="6288" spans="2:21" x14ac:dyDescent="0.2">
      <c r="B6288" s="203"/>
      <c r="C6288" s="237"/>
      <c r="D6288" s="202"/>
      <c r="E6288" s="202"/>
      <c r="U6288" s="204"/>
    </row>
    <row r="6289" spans="2:21" x14ac:dyDescent="0.2">
      <c r="B6289" s="203"/>
      <c r="C6289" s="237"/>
      <c r="D6289" s="202"/>
      <c r="E6289" s="202"/>
      <c r="U6289" s="204"/>
    </row>
    <row r="6290" spans="2:21" x14ac:dyDescent="0.2">
      <c r="B6290" s="203"/>
      <c r="C6290" s="237"/>
      <c r="D6290" s="202"/>
      <c r="E6290" s="202"/>
      <c r="U6290" s="204"/>
    </row>
    <row r="6291" spans="2:21" x14ac:dyDescent="0.2">
      <c r="B6291" s="203"/>
      <c r="C6291" s="237"/>
      <c r="D6291" s="202"/>
      <c r="E6291" s="202"/>
      <c r="U6291" s="204"/>
    </row>
    <row r="6292" spans="2:21" x14ac:dyDescent="0.2">
      <c r="B6292" s="203"/>
      <c r="C6292" s="237"/>
      <c r="D6292" s="202"/>
      <c r="E6292" s="202"/>
      <c r="U6292" s="204"/>
    </row>
    <row r="6293" spans="2:21" x14ac:dyDescent="0.2">
      <c r="B6293" s="203"/>
      <c r="C6293" s="237"/>
      <c r="D6293" s="202"/>
      <c r="E6293" s="202"/>
      <c r="U6293" s="204"/>
    </row>
    <row r="6294" spans="2:21" x14ac:dyDescent="0.2">
      <c r="B6294" s="203"/>
      <c r="C6294" s="237"/>
      <c r="D6294" s="202"/>
      <c r="E6294" s="202"/>
      <c r="U6294" s="204"/>
    </row>
    <row r="6295" spans="2:21" x14ac:dyDescent="0.2">
      <c r="B6295" s="203"/>
      <c r="C6295" s="237"/>
      <c r="D6295" s="202"/>
      <c r="E6295" s="202"/>
      <c r="U6295" s="204"/>
    </row>
    <row r="6296" spans="2:21" x14ac:dyDescent="0.2">
      <c r="B6296" s="203"/>
      <c r="C6296" s="237"/>
      <c r="D6296" s="202"/>
      <c r="E6296" s="202"/>
      <c r="U6296" s="204"/>
    </row>
    <row r="6297" spans="2:21" x14ac:dyDescent="0.2">
      <c r="B6297" s="203"/>
      <c r="C6297" s="237"/>
      <c r="D6297" s="202"/>
      <c r="E6297" s="202"/>
      <c r="U6297" s="204"/>
    </row>
    <row r="6298" spans="2:21" x14ac:dyDescent="0.2">
      <c r="B6298" s="203"/>
      <c r="C6298" s="237"/>
      <c r="D6298" s="202"/>
      <c r="E6298" s="202"/>
      <c r="U6298" s="204"/>
    </row>
    <row r="6299" spans="2:21" x14ac:dyDescent="0.2">
      <c r="B6299" s="203"/>
      <c r="C6299" s="237"/>
      <c r="D6299" s="202"/>
      <c r="E6299" s="202"/>
      <c r="U6299" s="204"/>
    </row>
    <row r="6300" spans="2:21" x14ac:dyDescent="0.2">
      <c r="B6300" s="203"/>
      <c r="C6300" s="237"/>
      <c r="D6300" s="202"/>
      <c r="E6300" s="202"/>
      <c r="U6300" s="204"/>
    </row>
    <row r="6301" spans="2:21" x14ac:dyDescent="0.2">
      <c r="B6301" s="203"/>
      <c r="C6301" s="237"/>
      <c r="D6301" s="202"/>
      <c r="E6301" s="202"/>
      <c r="U6301" s="204"/>
    </row>
    <row r="6302" spans="2:21" x14ac:dyDescent="0.2">
      <c r="B6302" s="203"/>
      <c r="C6302" s="237"/>
      <c r="D6302" s="202"/>
      <c r="E6302" s="202"/>
      <c r="U6302" s="204"/>
    </row>
    <row r="6303" spans="2:21" x14ac:dyDescent="0.2">
      <c r="B6303" s="203"/>
      <c r="C6303" s="237"/>
      <c r="D6303" s="202"/>
      <c r="E6303" s="202"/>
      <c r="U6303" s="204"/>
    </row>
    <row r="6304" spans="2:21" x14ac:dyDescent="0.2">
      <c r="B6304" s="203"/>
      <c r="C6304" s="237"/>
      <c r="D6304" s="202"/>
      <c r="E6304" s="202"/>
      <c r="U6304" s="204"/>
    </row>
    <row r="6305" spans="2:21" x14ac:dyDescent="0.2">
      <c r="B6305" s="203"/>
      <c r="C6305" s="237"/>
      <c r="D6305" s="202"/>
      <c r="E6305" s="202"/>
      <c r="U6305" s="204"/>
    </row>
    <row r="6306" spans="2:21" x14ac:dyDescent="0.2">
      <c r="B6306" s="203"/>
      <c r="C6306" s="237"/>
      <c r="D6306" s="202"/>
      <c r="E6306" s="202"/>
      <c r="U6306" s="204"/>
    </row>
    <row r="6307" spans="2:21" x14ac:dyDescent="0.2">
      <c r="B6307" s="203"/>
      <c r="C6307" s="237"/>
      <c r="D6307" s="202"/>
      <c r="E6307" s="202"/>
      <c r="U6307" s="204"/>
    </row>
    <row r="6308" spans="2:21" x14ac:dyDescent="0.2">
      <c r="B6308" s="203"/>
      <c r="C6308" s="237"/>
      <c r="D6308" s="202"/>
      <c r="E6308" s="202"/>
      <c r="U6308" s="204"/>
    </row>
    <row r="6309" spans="2:21" x14ac:dyDescent="0.2">
      <c r="B6309" s="203"/>
      <c r="C6309" s="237"/>
      <c r="D6309" s="202"/>
      <c r="E6309" s="202"/>
      <c r="U6309" s="204"/>
    </row>
    <row r="6310" spans="2:21" x14ac:dyDescent="0.2">
      <c r="B6310" s="203"/>
      <c r="C6310" s="237"/>
      <c r="D6310" s="202"/>
      <c r="E6310" s="202"/>
      <c r="U6310" s="204"/>
    </row>
    <row r="6311" spans="2:21" x14ac:dyDescent="0.2">
      <c r="B6311" s="203"/>
      <c r="C6311" s="237"/>
      <c r="D6311" s="202"/>
      <c r="E6311" s="202"/>
      <c r="U6311" s="204"/>
    </row>
    <row r="6312" spans="2:21" x14ac:dyDescent="0.2">
      <c r="B6312" s="203"/>
      <c r="C6312" s="237"/>
      <c r="D6312" s="202"/>
      <c r="E6312" s="202"/>
      <c r="U6312" s="204"/>
    </row>
    <row r="6313" spans="2:21" x14ac:dyDescent="0.2">
      <c r="B6313" s="203"/>
      <c r="C6313" s="237"/>
      <c r="D6313" s="202"/>
      <c r="E6313" s="202"/>
      <c r="U6313" s="204"/>
    </row>
    <row r="6314" spans="2:21" x14ac:dyDescent="0.2">
      <c r="B6314" s="203"/>
      <c r="C6314" s="237"/>
      <c r="D6314" s="202"/>
      <c r="E6314" s="202"/>
      <c r="U6314" s="204"/>
    </row>
    <row r="6315" spans="2:21" x14ac:dyDescent="0.2">
      <c r="B6315" s="203"/>
      <c r="C6315" s="237"/>
      <c r="D6315" s="202"/>
      <c r="E6315" s="202"/>
      <c r="U6315" s="204"/>
    </row>
    <row r="6316" spans="2:21" x14ac:dyDescent="0.2">
      <c r="B6316" s="203"/>
      <c r="C6316" s="237"/>
      <c r="D6316" s="202"/>
      <c r="E6316" s="202"/>
      <c r="U6316" s="204"/>
    </row>
    <row r="6317" spans="2:21" x14ac:dyDescent="0.2">
      <c r="B6317" s="203"/>
      <c r="C6317" s="237"/>
      <c r="D6317" s="202"/>
      <c r="E6317" s="202"/>
      <c r="U6317" s="204"/>
    </row>
    <row r="6318" spans="2:21" x14ac:dyDescent="0.2">
      <c r="B6318" s="203"/>
      <c r="C6318" s="237"/>
      <c r="D6318" s="202"/>
      <c r="E6318" s="202"/>
      <c r="U6318" s="204"/>
    </row>
    <row r="6319" spans="2:21" x14ac:dyDescent="0.2">
      <c r="B6319" s="203"/>
      <c r="C6319" s="237"/>
      <c r="D6319" s="202"/>
      <c r="E6319" s="202"/>
      <c r="U6319" s="204"/>
    </row>
    <row r="6320" spans="2:21" x14ac:dyDescent="0.2">
      <c r="B6320" s="203"/>
      <c r="C6320" s="237"/>
      <c r="D6320" s="202"/>
      <c r="E6320" s="202"/>
      <c r="U6320" s="204"/>
    </row>
    <row r="6321" spans="2:21" x14ac:dyDescent="0.2">
      <c r="B6321" s="203"/>
      <c r="C6321" s="237"/>
      <c r="D6321" s="202"/>
      <c r="E6321" s="202"/>
      <c r="U6321" s="204"/>
    </row>
    <row r="6322" spans="2:21" x14ac:dyDescent="0.2">
      <c r="B6322" s="203"/>
      <c r="C6322" s="237"/>
      <c r="D6322" s="202"/>
      <c r="E6322" s="202"/>
      <c r="U6322" s="204"/>
    </row>
    <row r="6323" spans="2:21" x14ac:dyDescent="0.2">
      <c r="B6323" s="203"/>
      <c r="C6323" s="237"/>
      <c r="D6323" s="202"/>
      <c r="E6323" s="202"/>
      <c r="U6323" s="204"/>
    </row>
    <row r="6324" spans="2:21" x14ac:dyDescent="0.2">
      <c r="B6324" s="203"/>
      <c r="C6324" s="237"/>
      <c r="D6324" s="202"/>
      <c r="E6324" s="202"/>
      <c r="U6324" s="204"/>
    </row>
    <row r="6325" spans="2:21" x14ac:dyDescent="0.2">
      <c r="B6325" s="203"/>
      <c r="C6325" s="237"/>
      <c r="D6325" s="202"/>
      <c r="E6325" s="202"/>
      <c r="U6325" s="204"/>
    </row>
    <row r="6326" spans="2:21" x14ac:dyDescent="0.2">
      <c r="B6326" s="203"/>
      <c r="C6326" s="237"/>
      <c r="D6326" s="202"/>
      <c r="E6326" s="202"/>
      <c r="U6326" s="204"/>
    </row>
    <row r="6327" spans="2:21" x14ac:dyDescent="0.2">
      <c r="B6327" s="203"/>
      <c r="C6327" s="237"/>
      <c r="D6327" s="202"/>
      <c r="E6327" s="202"/>
      <c r="U6327" s="204"/>
    </row>
    <row r="6328" spans="2:21" x14ac:dyDescent="0.2">
      <c r="B6328" s="203"/>
      <c r="C6328" s="237"/>
      <c r="D6328" s="202"/>
      <c r="E6328" s="202"/>
      <c r="U6328" s="204"/>
    </row>
    <row r="6329" spans="2:21" x14ac:dyDescent="0.2">
      <c r="B6329" s="203"/>
      <c r="C6329" s="237"/>
      <c r="D6329" s="202"/>
      <c r="E6329" s="202"/>
      <c r="U6329" s="204"/>
    </row>
    <row r="6330" spans="2:21" x14ac:dyDescent="0.2">
      <c r="B6330" s="203"/>
      <c r="C6330" s="237"/>
      <c r="D6330" s="202"/>
      <c r="E6330" s="202"/>
      <c r="U6330" s="204"/>
    </row>
    <row r="6331" spans="2:21" x14ac:dyDescent="0.2">
      <c r="B6331" s="203"/>
      <c r="C6331" s="237"/>
      <c r="D6331" s="202"/>
      <c r="E6331" s="202"/>
      <c r="U6331" s="204"/>
    </row>
    <row r="6332" spans="2:21" x14ac:dyDescent="0.2">
      <c r="B6332" s="203"/>
      <c r="C6332" s="237"/>
      <c r="D6332" s="202"/>
      <c r="E6332" s="202"/>
      <c r="U6332" s="204"/>
    </row>
    <row r="6333" spans="2:21" x14ac:dyDescent="0.2">
      <c r="B6333" s="203"/>
      <c r="C6333" s="237"/>
      <c r="D6333" s="202"/>
      <c r="E6333" s="202"/>
      <c r="U6333" s="204"/>
    </row>
    <row r="6334" spans="2:21" x14ac:dyDescent="0.2">
      <c r="B6334" s="203"/>
      <c r="C6334" s="237"/>
      <c r="D6334" s="202"/>
      <c r="E6334" s="202"/>
      <c r="U6334" s="204"/>
    </row>
    <row r="6335" spans="2:21" x14ac:dyDescent="0.2">
      <c r="B6335" s="203"/>
      <c r="C6335" s="237"/>
      <c r="D6335" s="202"/>
      <c r="E6335" s="202"/>
      <c r="U6335" s="204"/>
    </row>
    <row r="6336" spans="2:21" x14ac:dyDescent="0.2">
      <c r="B6336" s="203"/>
      <c r="C6336" s="237"/>
      <c r="D6336" s="202"/>
      <c r="E6336" s="202"/>
      <c r="U6336" s="204"/>
    </row>
    <row r="6337" spans="2:21" x14ac:dyDescent="0.2">
      <c r="B6337" s="203"/>
      <c r="C6337" s="237"/>
      <c r="D6337" s="202"/>
      <c r="E6337" s="202"/>
      <c r="U6337" s="204"/>
    </row>
    <row r="6338" spans="2:21" x14ac:dyDescent="0.2">
      <c r="B6338" s="203"/>
      <c r="C6338" s="237"/>
      <c r="D6338" s="202"/>
      <c r="E6338" s="202"/>
      <c r="U6338" s="204"/>
    </row>
    <row r="6339" spans="2:21" x14ac:dyDescent="0.2">
      <c r="B6339" s="203"/>
      <c r="C6339" s="237"/>
      <c r="D6339" s="202"/>
      <c r="E6339" s="202"/>
      <c r="U6339" s="204"/>
    </row>
    <row r="6340" spans="2:21" x14ac:dyDescent="0.2">
      <c r="B6340" s="203"/>
      <c r="C6340" s="237"/>
      <c r="D6340" s="202"/>
      <c r="E6340" s="202"/>
      <c r="U6340" s="204"/>
    </row>
    <row r="6341" spans="2:21" x14ac:dyDescent="0.2">
      <c r="B6341" s="203"/>
      <c r="C6341" s="237"/>
      <c r="D6341" s="202"/>
      <c r="E6341" s="202"/>
      <c r="U6341" s="204"/>
    </row>
    <row r="6342" spans="2:21" x14ac:dyDescent="0.2">
      <c r="B6342" s="203"/>
      <c r="C6342" s="237"/>
      <c r="D6342" s="202"/>
      <c r="E6342" s="202"/>
      <c r="U6342" s="204"/>
    </row>
    <row r="6343" spans="2:21" x14ac:dyDescent="0.2">
      <c r="B6343" s="203"/>
      <c r="C6343" s="237"/>
      <c r="D6343" s="202"/>
      <c r="E6343" s="202"/>
      <c r="U6343" s="204"/>
    </row>
    <row r="6344" spans="2:21" x14ac:dyDescent="0.2">
      <c r="B6344" s="203"/>
      <c r="C6344" s="237"/>
      <c r="D6344" s="202"/>
      <c r="E6344" s="202"/>
      <c r="U6344" s="204"/>
    </row>
    <row r="6345" spans="2:21" x14ac:dyDescent="0.2">
      <c r="B6345" s="203"/>
      <c r="C6345" s="237"/>
      <c r="D6345" s="202"/>
      <c r="E6345" s="202"/>
      <c r="U6345" s="204"/>
    </row>
    <row r="6346" spans="2:21" x14ac:dyDescent="0.2">
      <c r="B6346" s="203"/>
      <c r="C6346" s="237"/>
      <c r="D6346" s="202"/>
      <c r="E6346" s="202"/>
      <c r="U6346" s="204"/>
    </row>
    <row r="6347" spans="2:21" x14ac:dyDescent="0.2">
      <c r="B6347" s="203"/>
      <c r="C6347" s="237"/>
      <c r="D6347" s="202"/>
      <c r="E6347" s="202"/>
      <c r="U6347" s="204"/>
    </row>
    <row r="6348" spans="2:21" x14ac:dyDescent="0.2">
      <c r="B6348" s="203"/>
      <c r="C6348" s="237"/>
      <c r="D6348" s="202"/>
      <c r="E6348" s="202"/>
      <c r="U6348" s="204"/>
    </row>
    <row r="6349" spans="2:21" x14ac:dyDescent="0.2">
      <c r="B6349" s="203"/>
      <c r="C6349" s="237"/>
      <c r="D6349" s="202"/>
      <c r="E6349" s="202"/>
      <c r="U6349" s="204"/>
    </row>
    <row r="6350" spans="2:21" x14ac:dyDescent="0.2">
      <c r="B6350" s="203"/>
      <c r="C6350" s="237"/>
      <c r="D6350" s="202"/>
      <c r="E6350" s="202"/>
      <c r="U6350" s="204"/>
    </row>
    <row r="6351" spans="2:21" x14ac:dyDescent="0.2">
      <c r="B6351" s="203"/>
      <c r="C6351" s="237"/>
      <c r="D6351" s="202"/>
      <c r="E6351" s="202"/>
      <c r="U6351" s="204"/>
    </row>
    <row r="6352" spans="2:21" x14ac:dyDescent="0.2">
      <c r="B6352" s="203"/>
      <c r="C6352" s="237"/>
      <c r="D6352" s="202"/>
      <c r="E6352" s="202"/>
      <c r="U6352" s="204"/>
    </row>
    <row r="6353" spans="2:21" x14ac:dyDescent="0.2">
      <c r="B6353" s="203"/>
      <c r="C6353" s="237"/>
      <c r="D6353" s="202"/>
      <c r="E6353" s="202"/>
      <c r="U6353" s="204"/>
    </row>
    <row r="6354" spans="2:21" x14ac:dyDescent="0.2">
      <c r="B6354" s="203"/>
      <c r="C6354" s="237"/>
      <c r="D6354" s="202"/>
      <c r="E6354" s="202"/>
      <c r="U6354" s="204"/>
    </row>
    <row r="6355" spans="2:21" x14ac:dyDescent="0.2">
      <c r="B6355" s="203"/>
      <c r="C6355" s="237"/>
      <c r="D6355" s="202"/>
      <c r="E6355" s="202"/>
      <c r="U6355" s="204"/>
    </row>
    <row r="6356" spans="2:21" x14ac:dyDescent="0.2">
      <c r="B6356" s="203"/>
      <c r="C6356" s="237"/>
      <c r="D6356" s="202"/>
      <c r="E6356" s="202"/>
      <c r="U6356" s="204"/>
    </row>
    <row r="6357" spans="2:21" x14ac:dyDescent="0.2">
      <c r="B6357" s="203"/>
      <c r="C6357" s="237"/>
      <c r="D6357" s="202"/>
      <c r="E6357" s="202"/>
      <c r="U6357" s="204"/>
    </row>
    <row r="6358" spans="2:21" x14ac:dyDescent="0.2">
      <c r="B6358" s="203"/>
      <c r="C6358" s="237"/>
      <c r="D6358" s="202"/>
      <c r="E6358" s="202"/>
      <c r="U6358" s="204"/>
    </row>
    <row r="6359" spans="2:21" x14ac:dyDescent="0.2">
      <c r="B6359" s="203"/>
      <c r="C6359" s="237"/>
      <c r="D6359" s="202"/>
      <c r="E6359" s="202"/>
      <c r="U6359" s="204"/>
    </row>
    <row r="6360" spans="2:21" x14ac:dyDescent="0.2">
      <c r="B6360" s="203"/>
      <c r="C6360" s="237"/>
      <c r="D6360" s="202"/>
      <c r="E6360" s="202"/>
      <c r="U6360" s="204"/>
    </row>
    <row r="6361" spans="2:21" x14ac:dyDescent="0.2">
      <c r="B6361" s="203"/>
      <c r="C6361" s="237"/>
      <c r="D6361" s="202"/>
      <c r="E6361" s="202"/>
      <c r="U6361" s="204"/>
    </row>
    <row r="6362" spans="2:21" x14ac:dyDescent="0.2">
      <c r="B6362" s="203"/>
      <c r="C6362" s="237"/>
      <c r="D6362" s="202"/>
      <c r="E6362" s="202"/>
      <c r="U6362" s="204"/>
    </row>
    <row r="6363" spans="2:21" x14ac:dyDescent="0.2">
      <c r="B6363" s="203"/>
      <c r="C6363" s="237"/>
      <c r="D6363" s="202"/>
      <c r="E6363" s="202"/>
      <c r="U6363" s="204"/>
    </row>
    <row r="6364" spans="2:21" x14ac:dyDescent="0.2">
      <c r="B6364" s="203"/>
      <c r="C6364" s="237"/>
      <c r="D6364" s="202"/>
      <c r="E6364" s="202"/>
      <c r="U6364" s="204"/>
    </row>
    <row r="6365" spans="2:21" x14ac:dyDescent="0.2">
      <c r="B6365" s="203"/>
      <c r="C6365" s="237"/>
      <c r="D6365" s="202"/>
      <c r="E6365" s="202"/>
      <c r="U6365" s="204"/>
    </row>
    <row r="6366" spans="2:21" x14ac:dyDescent="0.2">
      <c r="B6366" s="203"/>
      <c r="C6366" s="237"/>
      <c r="D6366" s="202"/>
      <c r="E6366" s="202"/>
      <c r="U6366" s="204"/>
    </row>
    <row r="6367" spans="2:21" x14ac:dyDescent="0.2">
      <c r="B6367" s="203"/>
      <c r="C6367" s="237"/>
      <c r="D6367" s="202"/>
      <c r="E6367" s="202"/>
      <c r="U6367" s="204"/>
    </row>
    <row r="6368" spans="2:21" x14ac:dyDescent="0.2">
      <c r="B6368" s="203"/>
      <c r="C6368" s="237"/>
      <c r="D6368" s="202"/>
      <c r="E6368" s="202"/>
      <c r="U6368" s="204"/>
    </row>
    <row r="6369" spans="2:21" x14ac:dyDescent="0.2">
      <c r="B6369" s="203"/>
      <c r="C6369" s="237"/>
      <c r="D6369" s="202"/>
      <c r="E6369" s="202"/>
      <c r="U6369" s="204"/>
    </row>
    <row r="6370" spans="2:21" x14ac:dyDescent="0.2">
      <c r="B6370" s="203"/>
      <c r="C6370" s="237"/>
      <c r="D6370" s="202"/>
      <c r="E6370" s="202"/>
      <c r="U6370" s="204"/>
    </row>
    <row r="6371" spans="2:21" x14ac:dyDescent="0.2">
      <c r="B6371" s="203"/>
      <c r="C6371" s="237"/>
      <c r="D6371" s="202"/>
      <c r="E6371" s="202"/>
      <c r="U6371" s="204"/>
    </row>
    <row r="6372" spans="2:21" x14ac:dyDescent="0.2">
      <c r="B6372" s="203"/>
      <c r="C6372" s="237"/>
      <c r="D6372" s="202"/>
      <c r="E6372" s="202"/>
      <c r="U6372" s="204"/>
    </row>
    <row r="6373" spans="2:21" x14ac:dyDescent="0.2">
      <c r="B6373" s="203"/>
      <c r="C6373" s="237"/>
      <c r="D6373" s="202"/>
      <c r="E6373" s="202"/>
      <c r="U6373" s="204"/>
    </row>
    <row r="6374" spans="2:21" x14ac:dyDescent="0.2">
      <c r="B6374" s="203"/>
      <c r="C6374" s="237"/>
      <c r="D6374" s="202"/>
      <c r="E6374" s="202"/>
      <c r="U6374" s="204"/>
    </row>
    <row r="6375" spans="2:21" x14ac:dyDescent="0.2">
      <c r="B6375" s="203"/>
      <c r="C6375" s="237"/>
      <c r="D6375" s="202"/>
      <c r="E6375" s="202"/>
      <c r="U6375" s="204"/>
    </row>
    <row r="6376" spans="2:21" x14ac:dyDescent="0.2">
      <c r="B6376" s="203"/>
      <c r="C6376" s="237"/>
      <c r="D6376" s="202"/>
      <c r="E6376" s="202"/>
      <c r="U6376" s="204"/>
    </row>
    <row r="6377" spans="2:21" x14ac:dyDescent="0.2">
      <c r="B6377" s="203"/>
      <c r="C6377" s="237"/>
      <c r="D6377" s="202"/>
      <c r="E6377" s="202"/>
      <c r="U6377" s="204"/>
    </row>
    <row r="6378" spans="2:21" x14ac:dyDescent="0.2">
      <c r="B6378" s="203"/>
      <c r="C6378" s="237"/>
      <c r="D6378" s="202"/>
      <c r="E6378" s="202"/>
      <c r="U6378" s="204"/>
    </row>
    <row r="6379" spans="2:21" x14ac:dyDescent="0.2">
      <c r="B6379" s="203"/>
      <c r="C6379" s="237"/>
      <c r="D6379" s="202"/>
      <c r="E6379" s="202"/>
      <c r="U6379" s="204"/>
    </row>
    <row r="6380" spans="2:21" x14ac:dyDescent="0.2">
      <c r="B6380" s="203"/>
      <c r="C6380" s="237"/>
      <c r="D6380" s="202"/>
      <c r="E6380" s="202"/>
      <c r="U6380" s="204"/>
    </row>
    <row r="6381" spans="2:21" x14ac:dyDescent="0.2">
      <c r="B6381" s="203"/>
      <c r="C6381" s="237"/>
      <c r="D6381" s="202"/>
      <c r="E6381" s="202"/>
      <c r="U6381" s="204"/>
    </row>
    <row r="6382" spans="2:21" x14ac:dyDescent="0.2">
      <c r="B6382" s="203"/>
      <c r="C6382" s="237"/>
      <c r="D6382" s="202"/>
      <c r="E6382" s="202"/>
      <c r="U6382" s="204"/>
    </row>
    <row r="6383" spans="2:21" x14ac:dyDescent="0.2">
      <c r="B6383" s="203"/>
      <c r="C6383" s="237"/>
      <c r="D6383" s="202"/>
      <c r="E6383" s="202"/>
      <c r="U6383" s="204"/>
    </row>
    <row r="6384" spans="2:21" x14ac:dyDescent="0.2">
      <c r="B6384" s="203"/>
      <c r="C6384" s="237"/>
      <c r="D6384" s="202"/>
      <c r="E6384" s="202"/>
      <c r="U6384" s="204"/>
    </row>
    <row r="6385" spans="2:21" x14ac:dyDescent="0.2">
      <c r="B6385" s="203"/>
      <c r="C6385" s="237"/>
      <c r="D6385" s="202"/>
      <c r="E6385" s="202"/>
      <c r="U6385" s="204"/>
    </row>
    <row r="6386" spans="2:21" x14ac:dyDescent="0.2">
      <c r="B6386" s="203"/>
      <c r="C6386" s="237"/>
      <c r="D6386" s="202"/>
      <c r="E6386" s="202"/>
      <c r="U6386" s="204"/>
    </row>
    <row r="6387" spans="2:21" x14ac:dyDescent="0.2">
      <c r="B6387" s="203"/>
      <c r="C6387" s="237"/>
      <c r="D6387" s="202"/>
      <c r="E6387" s="202"/>
      <c r="U6387" s="204"/>
    </row>
    <row r="6388" spans="2:21" x14ac:dyDescent="0.2">
      <c r="B6388" s="203"/>
      <c r="C6388" s="237"/>
      <c r="D6388" s="202"/>
      <c r="E6388" s="202"/>
      <c r="U6388" s="204"/>
    </row>
    <row r="6389" spans="2:21" x14ac:dyDescent="0.2">
      <c r="B6389" s="203"/>
      <c r="C6389" s="237"/>
      <c r="D6389" s="202"/>
      <c r="E6389" s="202"/>
      <c r="U6389" s="204"/>
    </row>
    <row r="6390" spans="2:21" x14ac:dyDescent="0.2">
      <c r="B6390" s="203"/>
      <c r="C6390" s="237"/>
      <c r="D6390" s="202"/>
      <c r="E6390" s="202"/>
      <c r="U6390" s="204"/>
    </row>
    <row r="6391" spans="2:21" x14ac:dyDescent="0.2">
      <c r="B6391" s="203"/>
      <c r="C6391" s="237"/>
      <c r="D6391" s="202"/>
      <c r="E6391" s="202"/>
      <c r="U6391" s="204"/>
    </row>
    <row r="6392" spans="2:21" x14ac:dyDescent="0.2">
      <c r="B6392" s="203"/>
      <c r="C6392" s="237"/>
      <c r="D6392" s="202"/>
      <c r="E6392" s="202"/>
      <c r="U6392" s="204"/>
    </row>
    <row r="6393" spans="2:21" x14ac:dyDescent="0.2">
      <c r="B6393" s="203"/>
      <c r="C6393" s="237"/>
      <c r="D6393" s="202"/>
      <c r="E6393" s="202"/>
      <c r="U6393" s="204"/>
    </row>
    <row r="6394" spans="2:21" x14ac:dyDescent="0.2">
      <c r="B6394" s="203"/>
      <c r="C6394" s="237"/>
      <c r="D6394" s="202"/>
      <c r="E6394" s="202"/>
      <c r="U6394" s="204"/>
    </row>
    <row r="6395" spans="2:21" x14ac:dyDescent="0.2">
      <c r="B6395" s="203"/>
      <c r="C6395" s="237"/>
      <c r="D6395" s="202"/>
      <c r="E6395" s="202"/>
      <c r="U6395" s="204"/>
    </row>
    <row r="6396" spans="2:21" x14ac:dyDescent="0.2">
      <c r="B6396" s="203"/>
      <c r="C6396" s="237"/>
      <c r="D6396" s="202"/>
      <c r="E6396" s="202"/>
      <c r="U6396" s="204"/>
    </row>
    <row r="6397" spans="2:21" x14ac:dyDescent="0.2">
      <c r="B6397" s="203"/>
      <c r="C6397" s="237"/>
      <c r="D6397" s="202"/>
      <c r="E6397" s="202"/>
      <c r="U6397" s="204"/>
    </row>
    <row r="6398" spans="2:21" x14ac:dyDescent="0.2">
      <c r="B6398" s="203"/>
      <c r="C6398" s="237"/>
      <c r="D6398" s="202"/>
      <c r="E6398" s="202"/>
      <c r="U6398" s="204"/>
    </row>
    <row r="6399" spans="2:21" x14ac:dyDescent="0.2">
      <c r="B6399" s="203"/>
      <c r="C6399" s="237"/>
      <c r="D6399" s="202"/>
      <c r="E6399" s="202"/>
      <c r="U6399" s="204"/>
    </row>
    <row r="6400" spans="2:21" x14ac:dyDescent="0.2">
      <c r="B6400" s="203"/>
      <c r="C6400" s="237"/>
      <c r="D6400" s="202"/>
      <c r="E6400" s="202"/>
      <c r="U6400" s="204"/>
    </row>
    <row r="6401" spans="2:21" x14ac:dyDescent="0.2">
      <c r="B6401" s="203"/>
      <c r="C6401" s="237"/>
      <c r="D6401" s="202"/>
      <c r="E6401" s="202"/>
      <c r="U6401" s="204"/>
    </row>
    <row r="6402" spans="2:21" x14ac:dyDescent="0.2">
      <c r="B6402" s="203"/>
      <c r="C6402" s="237"/>
      <c r="D6402" s="202"/>
      <c r="E6402" s="202"/>
      <c r="U6402" s="204"/>
    </row>
    <row r="6403" spans="2:21" x14ac:dyDescent="0.2">
      <c r="B6403" s="203"/>
      <c r="C6403" s="237"/>
      <c r="D6403" s="202"/>
      <c r="E6403" s="202"/>
      <c r="U6403" s="204"/>
    </row>
    <row r="6404" spans="2:21" x14ac:dyDescent="0.2">
      <c r="B6404" s="203"/>
      <c r="C6404" s="237"/>
      <c r="D6404" s="202"/>
      <c r="E6404" s="202"/>
      <c r="U6404" s="204"/>
    </row>
    <row r="6405" spans="2:21" x14ac:dyDescent="0.2">
      <c r="B6405" s="203"/>
      <c r="C6405" s="237"/>
      <c r="D6405" s="202"/>
      <c r="E6405" s="202"/>
      <c r="U6405" s="204"/>
    </row>
    <row r="6406" spans="2:21" x14ac:dyDescent="0.2">
      <c r="B6406" s="203"/>
      <c r="C6406" s="237"/>
      <c r="D6406" s="202"/>
      <c r="E6406" s="202"/>
      <c r="U6406" s="204"/>
    </row>
    <row r="6407" spans="2:21" x14ac:dyDescent="0.2">
      <c r="B6407" s="203"/>
      <c r="C6407" s="237"/>
      <c r="D6407" s="202"/>
      <c r="E6407" s="202"/>
      <c r="U6407" s="204"/>
    </row>
    <row r="6408" spans="2:21" x14ac:dyDescent="0.2">
      <c r="B6408" s="203"/>
      <c r="C6408" s="237"/>
      <c r="D6408" s="202"/>
      <c r="E6408" s="202"/>
      <c r="U6408" s="204"/>
    </row>
    <row r="6409" spans="2:21" x14ac:dyDescent="0.2">
      <c r="B6409" s="203"/>
      <c r="C6409" s="237"/>
      <c r="D6409" s="202"/>
      <c r="E6409" s="202"/>
      <c r="U6409" s="204"/>
    </row>
    <row r="6410" spans="2:21" x14ac:dyDescent="0.2">
      <c r="B6410" s="203"/>
      <c r="C6410" s="237"/>
      <c r="D6410" s="202"/>
      <c r="E6410" s="202"/>
      <c r="U6410" s="204"/>
    </row>
    <row r="6411" spans="2:21" x14ac:dyDescent="0.2">
      <c r="B6411" s="203"/>
      <c r="C6411" s="237"/>
      <c r="D6411" s="202"/>
      <c r="E6411" s="202"/>
      <c r="U6411" s="204"/>
    </row>
    <row r="6412" spans="2:21" x14ac:dyDescent="0.2">
      <c r="B6412" s="203"/>
      <c r="C6412" s="237"/>
      <c r="D6412" s="202"/>
      <c r="E6412" s="202"/>
      <c r="U6412" s="204"/>
    </row>
    <row r="6413" spans="2:21" x14ac:dyDescent="0.2">
      <c r="B6413" s="203"/>
      <c r="C6413" s="237"/>
      <c r="D6413" s="202"/>
      <c r="E6413" s="202"/>
      <c r="U6413" s="204"/>
    </row>
    <row r="6414" spans="2:21" x14ac:dyDescent="0.2">
      <c r="B6414" s="203"/>
      <c r="C6414" s="237"/>
      <c r="D6414" s="202"/>
      <c r="E6414" s="202"/>
      <c r="U6414" s="204"/>
    </row>
    <row r="6415" spans="2:21" x14ac:dyDescent="0.2">
      <c r="B6415" s="203"/>
      <c r="C6415" s="237"/>
      <c r="D6415" s="202"/>
      <c r="E6415" s="202"/>
      <c r="U6415" s="204"/>
    </row>
    <row r="6416" spans="2:21" x14ac:dyDescent="0.2">
      <c r="B6416" s="203"/>
      <c r="C6416" s="237"/>
      <c r="D6416" s="202"/>
      <c r="E6416" s="202"/>
      <c r="U6416" s="204"/>
    </row>
    <row r="6417" spans="2:21" x14ac:dyDescent="0.2">
      <c r="B6417" s="203"/>
      <c r="C6417" s="237"/>
      <c r="D6417" s="202"/>
      <c r="E6417" s="202"/>
      <c r="U6417" s="204"/>
    </row>
    <row r="6418" spans="2:21" x14ac:dyDescent="0.2">
      <c r="B6418" s="203"/>
      <c r="C6418" s="237"/>
      <c r="D6418" s="202"/>
      <c r="E6418" s="202"/>
      <c r="U6418" s="204"/>
    </row>
    <row r="6419" spans="2:21" x14ac:dyDescent="0.2">
      <c r="B6419" s="203"/>
      <c r="C6419" s="237"/>
      <c r="D6419" s="202"/>
      <c r="E6419" s="202"/>
      <c r="U6419" s="204"/>
    </row>
    <row r="6420" spans="2:21" x14ac:dyDescent="0.2">
      <c r="B6420" s="203"/>
      <c r="C6420" s="237"/>
      <c r="D6420" s="202"/>
      <c r="E6420" s="202"/>
      <c r="U6420" s="204"/>
    </row>
    <row r="6421" spans="2:21" x14ac:dyDescent="0.2">
      <c r="B6421" s="203"/>
      <c r="C6421" s="237"/>
      <c r="D6421" s="202"/>
      <c r="E6421" s="202"/>
      <c r="U6421" s="204"/>
    </row>
    <row r="6422" spans="2:21" x14ac:dyDescent="0.2">
      <c r="B6422" s="203"/>
      <c r="C6422" s="237"/>
      <c r="D6422" s="202"/>
      <c r="E6422" s="202"/>
      <c r="U6422" s="204"/>
    </row>
    <row r="6423" spans="2:21" x14ac:dyDescent="0.2">
      <c r="B6423" s="203"/>
      <c r="C6423" s="237"/>
      <c r="D6423" s="202"/>
      <c r="E6423" s="202"/>
      <c r="U6423" s="204"/>
    </row>
    <row r="6424" spans="2:21" x14ac:dyDescent="0.2">
      <c r="B6424" s="203"/>
      <c r="C6424" s="237"/>
      <c r="D6424" s="202"/>
      <c r="E6424" s="202"/>
      <c r="U6424" s="204"/>
    </row>
    <row r="6425" spans="2:21" x14ac:dyDescent="0.2">
      <c r="B6425" s="203"/>
      <c r="C6425" s="237"/>
      <c r="D6425" s="202"/>
      <c r="E6425" s="202"/>
      <c r="U6425" s="204"/>
    </row>
    <row r="6426" spans="2:21" x14ac:dyDescent="0.2">
      <c r="B6426" s="203"/>
      <c r="C6426" s="237"/>
      <c r="D6426" s="202"/>
      <c r="E6426" s="202"/>
      <c r="U6426" s="204"/>
    </row>
    <row r="6427" spans="2:21" x14ac:dyDescent="0.2">
      <c r="B6427" s="203"/>
      <c r="C6427" s="237"/>
      <c r="D6427" s="202"/>
      <c r="E6427" s="202"/>
      <c r="U6427" s="204"/>
    </row>
    <row r="6428" spans="2:21" x14ac:dyDescent="0.2">
      <c r="B6428" s="203"/>
      <c r="C6428" s="237"/>
      <c r="D6428" s="202"/>
      <c r="E6428" s="202"/>
      <c r="U6428" s="204"/>
    </row>
    <row r="6429" spans="2:21" x14ac:dyDescent="0.2">
      <c r="B6429" s="203"/>
      <c r="C6429" s="237"/>
      <c r="D6429" s="202"/>
      <c r="E6429" s="202"/>
      <c r="U6429" s="204"/>
    </row>
    <row r="6430" spans="2:21" x14ac:dyDescent="0.2">
      <c r="B6430" s="203"/>
      <c r="C6430" s="237"/>
      <c r="D6430" s="202"/>
      <c r="E6430" s="202"/>
      <c r="U6430" s="204"/>
    </row>
    <row r="6431" spans="2:21" x14ac:dyDescent="0.2">
      <c r="B6431" s="203"/>
      <c r="C6431" s="237"/>
      <c r="D6431" s="202"/>
      <c r="E6431" s="202"/>
      <c r="U6431" s="204"/>
    </row>
    <row r="6432" spans="2:21" x14ac:dyDescent="0.2">
      <c r="B6432" s="203"/>
      <c r="C6432" s="237"/>
      <c r="D6432" s="202"/>
      <c r="E6432" s="202"/>
      <c r="U6432" s="204"/>
    </row>
    <row r="6433" spans="2:21" x14ac:dyDescent="0.2">
      <c r="B6433" s="203"/>
      <c r="C6433" s="237"/>
      <c r="D6433" s="202"/>
      <c r="E6433" s="202"/>
      <c r="U6433" s="204"/>
    </row>
    <row r="6434" spans="2:21" x14ac:dyDescent="0.2">
      <c r="B6434" s="203"/>
      <c r="C6434" s="237"/>
      <c r="D6434" s="202"/>
      <c r="E6434" s="202"/>
      <c r="U6434" s="204"/>
    </row>
    <row r="6435" spans="2:21" x14ac:dyDescent="0.2">
      <c r="B6435" s="203"/>
      <c r="C6435" s="237"/>
      <c r="D6435" s="202"/>
      <c r="E6435" s="202"/>
      <c r="U6435" s="204"/>
    </row>
    <row r="6436" spans="2:21" x14ac:dyDescent="0.2">
      <c r="B6436" s="203"/>
      <c r="C6436" s="237"/>
      <c r="D6436" s="202"/>
      <c r="E6436" s="202"/>
      <c r="U6436" s="204"/>
    </row>
    <row r="6437" spans="2:21" x14ac:dyDescent="0.2">
      <c r="B6437" s="203"/>
      <c r="C6437" s="237"/>
      <c r="D6437" s="202"/>
      <c r="E6437" s="202"/>
      <c r="U6437" s="204"/>
    </row>
    <row r="6438" spans="2:21" x14ac:dyDescent="0.2">
      <c r="B6438" s="203"/>
      <c r="C6438" s="237"/>
      <c r="D6438" s="202"/>
      <c r="E6438" s="202"/>
      <c r="U6438" s="204"/>
    </row>
    <row r="6439" spans="2:21" x14ac:dyDescent="0.2">
      <c r="B6439" s="203"/>
      <c r="C6439" s="237"/>
      <c r="D6439" s="202"/>
      <c r="E6439" s="202"/>
      <c r="U6439" s="204"/>
    </row>
    <row r="6440" spans="2:21" x14ac:dyDescent="0.2">
      <c r="B6440" s="203"/>
      <c r="C6440" s="237"/>
      <c r="D6440" s="202"/>
      <c r="E6440" s="202"/>
      <c r="U6440" s="204"/>
    </row>
    <row r="6441" spans="2:21" x14ac:dyDescent="0.2">
      <c r="B6441" s="203"/>
      <c r="C6441" s="237"/>
      <c r="D6441" s="202"/>
      <c r="E6441" s="202"/>
      <c r="U6441" s="204"/>
    </row>
    <row r="6442" spans="2:21" x14ac:dyDescent="0.2">
      <c r="B6442" s="203"/>
      <c r="C6442" s="237"/>
      <c r="D6442" s="202"/>
      <c r="E6442" s="202"/>
      <c r="U6442" s="204"/>
    </row>
    <row r="6443" spans="2:21" x14ac:dyDescent="0.2">
      <c r="B6443" s="203"/>
      <c r="C6443" s="237"/>
      <c r="D6443" s="202"/>
      <c r="E6443" s="202"/>
      <c r="U6443" s="204"/>
    </row>
    <row r="6444" spans="2:21" x14ac:dyDescent="0.2">
      <c r="B6444" s="203"/>
      <c r="C6444" s="237"/>
      <c r="D6444" s="202"/>
      <c r="E6444" s="202"/>
      <c r="U6444" s="204"/>
    </row>
    <row r="6445" spans="2:21" x14ac:dyDescent="0.2">
      <c r="B6445" s="203"/>
      <c r="C6445" s="237"/>
      <c r="D6445" s="202"/>
      <c r="E6445" s="202"/>
      <c r="U6445" s="204"/>
    </row>
    <row r="6446" spans="2:21" x14ac:dyDescent="0.2">
      <c r="B6446" s="203"/>
      <c r="C6446" s="237"/>
      <c r="D6446" s="202"/>
      <c r="E6446" s="202"/>
      <c r="U6446" s="204"/>
    </row>
    <row r="6447" spans="2:21" x14ac:dyDescent="0.2">
      <c r="B6447" s="203"/>
      <c r="C6447" s="237"/>
      <c r="D6447" s="202"/>
      <c r="E6447" s="202"/>
      <c r="U6447" s="204"/>
    </row>
    <row r="6448" spans="2:21" x14ac:dyDescent="0.2">
      <c r="B6448" s="203"/>
      <c r="C6448" s="237"/>
      <c r="D6448" s="202"/>
      <c r="E6448" s="202"/>
      <c r="U6448" s="204"/>
    </row>
    <row r="6449" spans="2:21" x14ac:dyDescent="0.2">
      <c r="B6449" s="203"/>
      <c r="C6449" s="237"/>
      <c r="D6449" s="202"/>
      <c r="E6449" s="202"/>
      <c r="U6449" s="204"/>
    </row>
    <row r="6450" spans="2:21" x14ac:dyDescent="0.2">
      <c r="B6450" s="203"/>
      <c r="C6450" s="237"/>
      <c r="D6450" s="202"/>
      <c r="E6450" s="202"/>
      <c r="U6450" s="204"/>
    </row>
    <row r="6451" spans="2:21" x14ac:dyDescent="0.2">
      <c r="B6451" s="203"/>
      <c r="C6451" s="237"/>
      <c r="D6451" s="202"/>
      <c r="E6451" s="202"/>
      <c r="U6451" s="204"/>
    </row>
    <row r="6452" spans="2:21" x14ac:dyDescent="0.2">
      <c r="B6452" s="203"/>
      <c r="C6452" s="237"/>
      <c r="D6452" s="202"/>
      <c r="E6452" s="202"/>
      <c r="U6452" s="204"/>
    </row>
    <row r="6453" spans="2:21" x14ac:dyDescent="0.2">
      <c r="B6453" s="203"/>
      <c r="C6453" s="237"/>
      <c r="D6453" s="202"/>
      <c r="E6453" s="202"/>
      <c r="U6453" s="204"/>
    </row>
    <row r="6454" spans="2:21" x14ac:dyDescent="0.2">
      <c r="B6454" s="203"/>
      <c r="C6454" s="237"/>
      <c r="D6454" s="202"/>
      <c r="E6454" s="202"/>
      <c r="U6454" s="204"/>
    </row>
    <row r="6455" spans="2:21" x14ac:dyDescent="0.2">
      <c r="B6455" s="203"/>
      <c r="C6455" s="237"/>
      <c r="D6455" s="202"/>
      <c r="E6455" s="202"/>
      <c r="U6455" s="204"/>
    </row>
    <row r="6456" spans="2:21" x14ac:dyDescent="0.2">
      <c r="B6456" s="203"/>
      <c r="C6456" s="237"/>
      <c r="D6456" s="202"/>
      <c r="E6456" s="202"/>
      <c r="U6456" s="204"/>
    </row>
    <row r="6457" spans="2:21" x14ac:dyDescent="0.2">
      <c r="B6457" s="203"/>
      <c r="C6457" s="237"/>
      <c r="D6457" s="202"/>
      <c r="E6457" s="202"/>
      <c r="U6457" s="204"/>
    </row>
    <row r="6458" spans="2:21" x14ac:dyDescent="0.2">
      <c r="B6458" s="203"/>
      <c r="C6458" s="237"/>
      <c r="D6458" s="202"/>
      <c r="E6458" s="202"/>
      <c r="U6458" s="204"/>
    </row>
    <row r="6459" spans="2:21" x14ac:dyDescent="0.2">
      <c r="B6459" s="203"/>
      <c r="C6459" s="237"/>
      <c r="D6459" s="202"/>
      <c r="E6459" s="202"/>
      <c r="U6459" s="204"/>
    </row>
    <row r="6460" spans="2:21" x14ac:dyDescent="0.2">
      <c r="B6460" s="203"/>
      <c r="C6460" s="237"/>
      <c r="D6460" s="202"/>
      <c r="E6460" s="202"/>
      <c r="U6460" s="204"/>
    </row>
    <row r="6461" spans="2:21" x14ac:dyDescent="0.2">
      <c r="B6461" s="203"/>
      <c r="C6461" s="237"/>
      <c r="D6461" s="202"/>
      <c r="E6461" s="202"/>
      <c r="U6461" s="204"/>
    </row>
    <row r="6462" spans="2:21" x14ac:dyDescent="0.2">
      <c r="B6462" s="203"/>
      <c r="C6462" s="237"/>
      <c r="D6462" s="202"/>
      <c r="E6462" s="202"/>
      <c r="U6462" s="204"/>
    </row>
    <row r="6463" spans="2:21" x14ac:dyDescent="0.2">
      <c r="B6463" s="203"/>
      <c r="C6463" s="237"/>
      <c r="D6463" s="202"/>
      <c r="E6463" s="202"/>
      <c r="U6463" s="204"/>
    </row>
    <row r="6464" spans="2:21" x14ac:dyDescent="0.2">
      <c r="B6464" s="203"/>
      <c r="C6464" s="237"/>
      <c r="D6464" s="202"/>
      <c r="E6464" s="202"/>
      <c r="U6464" s="204"/>
    </row>
    <row r="6465" spans="2:21" x14ac:dyDescent="0.2">
      <c r="B6465" s="203"/>
      <c r="C6465" s="237"/>
      <c r="D6465" s="202"/>
      <c r="E6465" s="202"/>
      <c r="U6465" s="204"/>
    </row>
    <row r="6466" spans="2:21" x14ac:dyDescent="0.2">
      <c r="B6466" s="203"/>
      <c r="C6466" s="237"/>
      <c r="D6466" s="202"/>
      <c r="E6466" s="202"/>
      <c r="U6466" s="204"/>
    </row>
    <row r="6467" spans="2:21" x14ac:dyDescent="0.2">
      <c r="B6467" s="203"/>
      <c r="C6467" s="237"/>
      <c r="D6467" s="202"/>
      <c r="E6467" s="202"/>
      <c r="U6467" s="204"/>
    </row>
    <row r="6468" spans="2:21" x14ac:dyDescent="0.2">
      <c r="B6468" s="203"/>
      <c r="C6468" s="237"/>
      <c r="D6468" s="202"/>
      <c r="E6468" s="202"/>
      <c r="U6468" s="204"/>
    </row>
    <row r="6469" spans="2:21" x14ac:dyDescent="0.2">
      <c r="B6469" s="203"/>
      <c r="C6469" s="237"/>
      <c r="D6469" s="202"/>
      <c r="E6469" s="202"/>
      <c r="U6469" s="204"/>
    </row>
    <row r="6470" spans="2:21" x14ac:dyDescent="0.2">
      <c r="B6470" s="203"/>
      <c r="C6470" s="237"/>
      <c r="D6470" s="202"/>
      <c r="E6470" s="202"/>
      <c r="U6470" s="204"/>
    </row>
    <row r="6471" spans="2:21" x14ac:dyDescent="0.2">
      <c r="B6471" s="203"/>
      <c r="C6471" s="237"/>
      <c r="D6471" s="202"/>
      <c r="E6471" s="202"/>
      <c r="U6471" s="204"/>
    </row>
    <row r="6472" spans="2:21" x14ac:dyDescent="0.2">
      <c r="B6472" s="203"/>
      <c r="C6472" s="237"/>
      <c r="D6472" s="202"/>
      <c r="E6472" s="202"/>
      <c r="U6472" s="204"/>
    </row>
    <row r="6473" spans="2:21" x14ac:dyDescent="0.2">
      <c r="B6473" s="203"/>
      <c r="C6473" s="237"/>
      <c r="D6473" s="202"/>
      <c r="E6473" s="202"/>
      <c r="U6473" s="204"/>
    </row>
    <row r="6474" spans="2:21" x14ac:dyDescent="0.2">
      <c r="B6474" s="203"/>
      <c r="C6474" s="237"/>
      <c r="D6474" s="202"/>
      <c r="E6474" s="202"/>
      <c r="U6474" s="204"/>
    </row>
    <row r="6475" spans="2:21" x14ac:dyDescent="0.2">
      <c r="B6475" s="203"/>
      <c r="C6475" s="237"/>
      <c r="D6475" s="202"/>
      <c r="E6475" s="202"/>
      <c r="U6475" s="204"/>
    </row>
    <row r="6476" spans="2:21" x14ac:dyDescent="0.2">
      <c r="B6476" s="203"/>
      <c r="C6476" s="237"/>
      <c r="D6476" s="202"/>
      <c r="E6476" s="202"/>
      <c r="U6476" s="204"/>
    </row>
    <row r="6477" spans="2:21" x14ac:dyDescent="0.2">
      <c r="B6477" s="203"/>
      <c r="C6477" s="237"/>
      <c r="D6477" s="202"/>
      <c r="E6477" s="202"/>
      <c r="U6477" s="204"/>
    </row>
    <row r="6478" spans="2:21" x14ac:dyDescent="0.2">
      <c r="B6478" s="203"/>
      <c r="C6478" s="237"/>
      <c r="D6478" s="202"/>
      <c r="E6478" s="202"/>
      <c r="U6478" s="204"/>
    </row>
    <row r="6479" spans="2:21" x14ac:dyDescent="0.2">
      <c r="B6479" s="203"/>
      <c r="C6479" s="237"/>
      <c r="D6479" s="202"/>
      <c r="E6479" s="202"/>
      <c r="U6479" s="204"/>
    </row>
    <row r="6480" spans="2:21" x14ac:dyDescent="0.2">
      <c r="B6480" s="203"/>
      <c r="C6480" s="237"/>
      <c r="D6480" s="202"/>
      <c r="E6480" s="202"/>
      <c r="U6480" s="204"/>
    </row>
    <row r="6481" spans="2:21" x14ac:dyDescent="0.2">
      <c r="B6481" s="203"/>
      <c r="C6481" s="237"/>
      <c r="D6481" s="202"/>
      <c r="E6481" s="202"/>
      <c r="U6481" s="204"/>
    </row>
    <row r="6482" spans="2:21" x14ac:dyDescent="0.2">
      <c r="B6482" s="203"/>
      <c r="C6482" s="237"/>
      <c r="D6482" s="202"/>
      <c r="E6482" s="202"/>
      <c r="U6482" s="204"/>
    </row>
    <row r="6483" spans="2:21" x14ac:dyDescent="0.2">
      <c r="B6483" s="203"/>
      <c r="C6483" s="237"/>
      <c r="D6483" s="202"/>
      <c r="E6483" s="202"/>
      <c r="U6483" s="204"/>
    </row>
    <row r="6484" spans="2:21" x14ac:dyDescent="0.2">
      <c r="B6484" s="203"/>
      <c r="C6484" s="237"/>
      <c r="D6484" s="202"/>
      <c r="E6484" s="202"/>
      <c r="U6484" s="204"/>
    </row>
    <row r="6485" spans="2:21" x14ac:dyDescent="0.2">
      <c r="B6485" s="203"/>
      <c r="C6485" s="237"/>
      <c r="D6485" s="202"/>
      <c r="E6485" s="202"/>
      <c r="U6485" s="204"/>
    </row>
    <row r="6486" spans="2:21" x14ac:dyDescent="0.2">
      <c r="B6486" s="203"/>
      <c r="C6486" s="237"/>
      <c r="D6486" s="202"/>
      <c r="E6486" s="202"/>
      <c r="U6486" s="204"/>
    </row>
    <row r="6487" spans="2:21" x14ac:dyDescent="0.2">
      <c r="B6487" s="203"/>
      <c r="C6487" s="237"/>
      <c r="D6487" s="202"/>
      <c r="E6487" s="202"/>
      <c r="U6487" s="204"/>
    </row>
    <row r="6488" spans="2:21" x14ac:dyDescent="0.2">
      <c r="B6488" s="203"/>
      <c r="C6488" s="237"/>
      <c r="D6488" s="202"/>
      <c r="E6488" s="202"/>
      <c r="U6488" s="204"/>
    </row>
    <row r="6489" spans="2:21" x14ac:dyDescent="0.2">
      <c r="B6489" s="203"/>
      <c r="C6489" s="237"/>
      <c r="D6489" s="202"/>
      <c r="E6489" s="202"/>
      <c r="U6489" s="204"/>
    </row>
    <row r="6490" spans="2:21" x14ac:dyDescent="0.2">
      <c r="B6490" s="203"/>
      <c r="C6490" s="237"/>
      <c r="D6490" s="202"/>
      <c r="E6490" s="202"/>
      <c r="U6490" s="204"/>
    </row>
    <row r="6491" spans="2:21" x14ac:dyDescent="0.2">
      <c r="B6491" s="203"/>
      <c r="C6491" s="237"/>
      <c r="D6491" s="202"/>
      <c r="E6491" s="202"/>
      <c r="U6491" s="204"/>
    </row>
    <row r="6492" spans="2:21" x14ac:dyDescent="0.2">
      <c r="B6492" s="203"/>
      <c r="C6492" s="237"/>
      <c r="D6492" s="202"/>
      <c r="E6492" s="202"/>
      <c r="U6492" s="204"/>
    </row>
    <row r="6493" spans="2:21" x14ac:dyDescent="0.2">
      <c r="B6493" s="203"/>
      <c r="C6493" s="237"/>
      <c r="D6493" s="202"/>
      <c r="E6493" s="202"/>
      <c r="U6493" s="204"/>
    </row>
    <row r="6494" spans="2:21" x14ac:dyDescent="0.2">
      <c r="B6494" s="203"/>
      <c r="C6494" s="237"/>
      <c r="D6494" s="202"/>
      <c r="E6494" s="202"/>
      <c r="U6494" s="204"/>
    </row>
    <row r="6495" spans="2:21" x14ac:dyDescent="0.2">
      <c r="B6495" s="203"/>
      <c r="C6495" s="237"/>
      <c r="D6495" s="202"/>
      <c r="E6495" s="202"/>
      <c r="U6495" s="204"/>
    </row>
    <row r="6496" spans="2:21" x14ac:dyDescent="0.2">
      <c r="B6496" s="203"/>
      <c r="C6496" s="237"/>
      <c r="D6496" s="202"/>
      <c r="E6496" s="202"/>
      <c r="U6496" s="204"/>
    </row>
    <row r="6497" spans="2:21" x14ac:dyDescent="0.2">
      <c r="B6497" s="203"/>
      <c r="C6497" s="237"/>
      <c r="D6497" s="202"/>
      <c r="E6497" s="202"/>
      <c r="U6497" s="204"/>
    </row>
    <row r="6498" spans="2:21" x14ac:dyDescent="0.2">
      <c r="B6498" s="203"/>
      <c r="C6498" s="237"/>
      <c r="D6498" s="202"/>
      <c r="E6498" s="202"/>
      <c r="U6498" s="204"/>
    </row>
    <row r="6499" spans="2:21" x14ac:dyDescent="0.2">
      <c r="B6499" s="203"/>
      <c r="C6499" s="237"/>
      <c r="D6499" s="202"/>
      <c r="E6499" s="202"/>
      <c r="U6499" s="204"/>
    </row>
    <row r="6500" spans="2:21" x14ac:dyDescent="0.2">
      <c r="B6500" s="203"/>
      <c r="C6500" s="237"/>
      <c r="D6500" s="202"/>
      <c r="E6500" s="202"/>
      <c r="U6500" s="204"/>
    </row>
    <row r="6501" spans="2:21" x14ac:dyDescent="0.2">
      <c r="B6501" s="203"/>
      <c r="C6501" s="237"/>
      <c r="D6501" s="202"/>
      <c r="E6501" s="202"/>
      <c r="U6501" s="204"/>
    </row>
    <row r="6502" spans="2:21" x14ac:dyDescent="0.2">
      <c r="B6502" s="203"/>
      <c r="C6502" s="237"/>
      <c r="D6502" s="202"/>
      <c r="E6502" s="202"/>
      <c r="U6502" s="204"/>
    </row>
    <row r="6503" spans="2:21" x14ac:dyDescent="0.2">
      <c r="B6503" s="203"/>
      <c r="C6503" s="237"/>
      <c r="D6503" s="202"/>
      <c r="E6503" s="202"/>
      <c r="U6503" s="204"/>
    </row>
    <row r="6504" spans="2:21" x14ac:dyDescent="0.2">
      <c r="B6504" s="203"/>
      <c r="C6504" s="237"/>
      <c r="D6504" s="202"/>
      <c r="E6504" s="202"/>
      <c r="U6504" s="204"/>
    </row>
    <row r="6505" spans="2:21" x14ac:dyDescent="0.2">
      <c r="B6505" s="203"/>
      <c r="C6505" s="237"/>
      <c r="D6505" s="202"/>
      <c r="E6505" s="202"/>
      <c r="U6505" s="204"/>
    </row>
    <row r="6506" spans="2:21" x14ac:dyDescent="0.2">
      <c r="B6506" s="203"/>
      <c r="C6506" s="237"/>
      <c r="D6506" s="202"/>
      <c r="E6506" s="202"/>
      <c r="U6506" s="204"/>
    </row>
    <row r="6507" spans="2:21" x14ac:dyDescent="0.2">
      <c r="B6507" s="203"/>
      <c r="C6507" s="237"/>
      <c r="D6507" s="202"/>
      <c r="E6507" s="202"/>
      <c r="U6507" s="204"/>
    </row>
    <row r="6508" spans="2:21" x14ac:dyDescent="0.2">
      <c r="B6508" s="203"/>
      <c r="C6508" s="237"/>
      <c r="D6508" s="202"/>
      <c r="E6508" s="202"/>
      <c r="U6508" s="204"/>
    </row>
    <row r="6509" spans="2:21" x14ac:dyDescent="0.2">
      <c r="B6509" s="203"/>
      <c r="C6509" s="237"/>
      <c r="D6509" s="202"/>
      <c r="E6509" s="202"/>
      <c r="U6509" s="204"/>
    </row>
    <row r="6510" spans="2:21" x14ac:dyDescent="0.2">
      <c r="B6510" s="203"/>
      <c r="C6510" s="237"/>
      <c r="D6510" s="202"/>
      <c r="E6510" s="202"/>
      <c r="U6510" s="204"/>
    </row>
    <row r="6511" spans="2:21" x14ac:dyDescent="0.2">
      <c r="B6511" s="203"/>
      <c r="C6511" s="237"/>
      <c r="D6511" s="202"/>
      <c r="E6511" s="202"/>
      <c r="U6511" s="204"/>
    </row>
    <row r="6512" spans="2:21" x14ac:dyDescent="0.2">
      <c r="B6512" s="203"/>
      <c r="C6512" s="237"/>
      <c r="D6512" s="202"/>
      <c r="E6512" s="202"/>
      <c r="U6512" s="204"/>
    </row>
    <row r="6513" spans="2:21" x14ac:dyDescent="0.2">
      <c r="B6513" s="203"/>
      <c r="C6513" s="237"/>
      <c r="D6513" s="202"/>
      <c r="E6513" s="202"/>
      <c r="U6513" s="204"/>
    </row>
    <row r="6514" spans="2:21" x14ac:dyDescent="0.2">
      <c r="B6514" s="203"/>
      <c r="C6514" s="237"/>
      <c r="D6514" s="202"/>
      <c r="E6514" s="202"/>
      <c r="U6514" s="204"/>
    </row>
    <row r="6515" spans="2:21" x14ac:dyDescent="0.2">
      <c r="B6515" s="203"/>
      <c r="C6515" s="237"/>
      <c r="D6515" s="202"/>
      <c r="E6515" s="202"/>
      <c r="U6515" s="204"/>
    </row>
    <row r="6516" spans="2:21" x14ac:dyDescent="0.2">
      <c r="B6516" s="203"/>
      <c r="C6516" s="237"/>
      <c r="D6516" s="202"/>
      <c r="E6516" s="202"/>
      <c r="U6516" s="204"/>
    </row>
    <row r="6517" spans="2:21" x14ac:dyDescent="0.2">
      <c r="B6517" s="203"/>
      <c r="C6517" s="237"/>
      <c r="D6517" s="202"/>
      <c r="E6517" s="202"/>
      <c r="U6517" s="204"/>
    </row>
    <row r="6518" spans="2:21" x14ac:dyDescent="0.2">
      <c r="B6518" s="203"/>
      <c r="C6518" s="237"/>
      <c r="D6518" s="202"/>
      <c r="E6518" s="202"/>
      <c r="U6518" s="204"/>
    </row>
    <row r="6519" spans="2:21" x14ac:dyDescent="0.2">
      <c r="B6519" s="203"/>
      <c r="C6519" s="237"/>
      <c r="D6519" s="202"/>
      <c r="E6519" s="202"/>
      <c r="U6519" s="204"/>
    </row>
    <row r="6520" spans="2:21" x14ac:dyDescent="0.2">
      <c r="B6520" s="203"/>
      <c r="C6520" s="237"/>
      <c r="D6520" s="202"/>
      <c r="E6520" s="202"/>
      <c r="U6520" s="204"/>
    </row>
    <row r="6521" spans="2:21" x14ac:dyDescent="0.2">
      <c r="B6521" s="203"/>
      <c r="C6521" s="237"/>
      <c r="D6521" s="202"/>
      <c r="E6521" s="202"/>
      <c r="U6521" s="204"/>
    </row>
    <row r="6522" spans="2:21" x14ac:dyDescent="0.2">
      <c r="B6522" s="203"/>
      <c r="C6522" s="237"/>
      <c r="D6522" s="202"/>
      <c r="E6522" s="202"/>
      <c r="U6522" s="204"/>
    </row>
    <row r="6523" spans="2:21" x14ac:dyDescent="0.2">
      <c r="B6523" s="203"/>
      <c r="C6523" s="237"/>
      <c r="D6523" s="202"/>
      <c r="E6523" s="202"/>
      <c r="U6523" s="204"/>
    </row>
    <row r="6524" spans="2:21" x14ac:dyDescent="0.2">
      <c r="B6524" s="203"/>
      <c r="C6524" s="237"/>
      <c r="D6524" s="202"/>
      <c r="E6524" s="202"/>
      <c r="U6524" s="204"/>
    </row>
    <row r="6525" spans="2:21" x14ac:dyDescent="0.2">
      <c r="B6525" s="203"/>
      <c r="C6525" s="237"/>
      <c r="D6525" s="202"/>
      <c r="E6525" s="202"/>
      <c r="U6525" s="204"/>
    </row>
    <row r="6526" spans="2:21" x14ac:dyDescent="0.2">
      <c r="B6526" s="203"/>
      <c r="C6526" s="237"/>
      <c r="D6526" s="202"/>
      <c r="E6526" s="202"/>
      <c r="U6526" s="204"/>
    </row>
    <row r="6527" spans="2:21" x14ac:dyDescent="0.2">
      <c r="B6527" s="203"/>
      <c r="C6527" s="237"/>
      <c r="D6527" s="202"/>
      <c r="E6527" s="202"/>
      <c r="U6527" s="204"/>
    </row>
    <row r="6528" spans="2:21" x14ac:dyDescent="0.2">
      <c r="B6528" s="203"/>
      <c r="C6528" s="237"/>
      <c r="D6528" s="202"/>
      <c r="E6528" s="202"/>
      <c r="U6528" s="204"/>
    </row>
    <row r="6529" spans="2:21" x14ac:dyDescent="0.2">
      <c r="B6529" s="203"/>
      <c r="C6529" s="237"/>
      <c r="D6529" s="202"/>
      <c r="E6529" s="202"/>
      <c r="U6529" s="204"/>
    </row>
    <row r="6530" spans="2:21" x14ac:dyDescent="0.2">
      <c r="B6530" s="203"/>
      <c r="C6530" s="237"/>
      <c r="D6530" s="202"/>
      <c r="E6530" s="202"/>
      <c r="U6530" s="204"/>
    </row>
    <row r="6531" spans="2:21" x14ac:dyDescent="0.2">
      <c r="B6531" s="203"/>
      <c r="C6531" s="237"/>
      <c r="D6531" s="202"/>
      <c r="E6531" s="202"/>
      <c r="U6531" s="204"/>
    </row>
    <row r="6532" spans="2:21" x14ac:dyDescent="0.2">
      <c r="B6532" s="203"/>
      <c r="C6532" s="237"/>
      <c r="D6532" s="202"/>
      <c r="E6532" s="202"/>
      <c r="U6532" s="204"/>
    </row>
    <row r="6533" spans="2:21" x14ac:dyDescent="0.2">
      <c r="B6533" s="203"/>
      <c r="C6533" s="237"/>
      <c r="D6533" s="202"/>
      <c r="E6533" s="202"/>
      <c r="U6533" s="204"/>
    </row>
    <row r="6534" spans="2:21" x14ac:dyDescent="0.2">
      <c r="B6534" s="203"/>
      <c r="C6534" s="237"/>
      <c r="D6534" s="202"/>
      <c r="E6534" s="202"/>
      <c r="U6534" s="204"/>
    </row>
    <row r="6535" spans="2:21" x14ac:dyDescent="0.2">
      <c r="B6535" s="203"/>
      <c r="C6535" s="237"/>
      <c r="D6535" s="202"/>
      <c r="E6535" s="202"/>
      <c r="U6535" s="204"/>
    </row>
    <row r="6536" spans="2:21" x14ac:dyDescent="0.2">
      <c r="B6536" s="203"/>
      <c r="C6536" s="237"/>
      <c r="D6536" s="202"/>
      <c r="E6536" s="202"/>
      <c r="U6536" s="204"/>
    </row>
    <row r="6537" spans="2:21" x14ac:dyDescent="0.2">
      <c r="B6537" s="203"/>
      <c r="C6537" s="237"/>
      <c r="D6537" s="202"/>
      <c r="E6537" s="202"/>
      <c r="U6537" s="204"/>
    </row>
    <row r="6538" spans="2:21" x14ac:dyDescent="0.2">
      <c r="B6538" s="203"/>
      <c r="C6538" s="237"/>
      <c r="D6538" s="202"/>
      <c r="E6538" s="202"/>
      <c r="U6538" s="204"/>
    </row>
    <row r="6539" spans="2:21" x14ac:dyDescent="0.2">
      <c r="B6539" s="203"/>
      <c r="C6539" s="237"/>
      <c r="D6539" s="202"/>
      <c r="E6539" s="202"/>
      <c r="U6539" s="204"/>
    </row>
    <row r="6540" spans="2:21" x14ac:dyDescent="0.2">
      <c r="B6540" s="203"/>
      <c r="C6540" s="237"/>
      <c r="D6540" s="202"/>
      <c r="E6540" s="202"/>
      <c r="U6540" s="204"/>
    </row>
    <row r="6541" spans="2:21" x14ac:dyDescent="0.2">
      <c r="B6541" s="203"/>
      <c r="C6541" s="237"/>
      <c r="D6541" s="202"/>
      <c r="E6541" s="202"/>
      <c r="U6541" s="204"/>
    </row>
    <row r="6542" spans="2:21" x14ac:dyDescent="0.2">
      <c r="B6542" s="203"/>
      <c r="C6542" s="237"/>
      <c r="D6542" s="202"/>
      <c r="E6542" s="202"/>
      <c r="U6542" s="204"/>
    </row>
    <row r="6543" spans="2:21" x14ac:dyDescent="0.2">
      <c r="B6543" s="203"/>
      <c r="C6543" s="237"/>
      <c r="D6543" s="202"/>
      <c r="E6543" s="202"/>
      <c r="U6543" s="204"/>
    </row>
    <row r="6544" spans="2:21" x14ac:dyDescent="0.2">
      <c r="B6544" s="203"/>
      <c r="C6544" s="237"/>
      <c r="D6544" s="202"/>
      <c r="E6544" s="202"/>
      <c r="U6544" s="204"/>
    </row>
    <row r="6545" spans="2:21" x14ac:dyDescent="0.2">
      <c r="B6545" s="203"/>
      <c r="C6545" s="237"/>
      <c r="D6545" s="202"/>
      <c r="E6545" s="202"/>
      <c r="U6545" s="204"/>
    </row>
    <row r="6546" spans="2:21" x14ac:dyDescent="0.2">
      <c r="B6546" s="203"/>
      <c r="C6546" s="237"/>
      <c r="D6546" s="202"/>
      <c r="E6546" s="202"/>
      <c r="U6546" s="204"/>
    </row>
    <row r="6547" spans="2:21" x14ac:dyDescent="0.2">
      <c r="B6547" s="203"/>
      <c r="C6547" s="237"/>
      <c r="D6547" s="202"/>
      <c r="E6547" s="202"/>
      <c r="U6547" s="204"/>
    </row>
    <row r="6548" spans="2:21" x14ac:dyDescent="0.2">
      <c r="B6548" s="203"/>
      <c r="C6548" s="237"/>
      <c r="D6548" s="202"/>
      <c r="E6548" s="202"/>
      <c r="U6548" s="204"/>
    </row>
    <row r="6549" spans="2:21" x14ac:dyDescent="0.2">
      <c r="B6549" s="203"/>
      <c r="C6549" s="237"/>
      <c r="D6549" s="202"/>
      <c r="E6549" s="202"/>
      <c r="U6549" s="204"/>
    </row>
    <row r="6550" spans="2:21" x14ac:dyDescent="0.2">
      <c r="B6550" s="203"/>
      <c r="C6550" s="237"/>
      <c r="D6550" s="202"/>
      <c r="E6550" s="202"/>
      <c r="U6550" s="204"/>
    </row>
    <row r="6551" spans="2:21" x14ac:dyDescent="0.2">
      <c r="B6551" s="203"/>
      <c r="C6551" s="237"/>
      <c r="D6551" s="202"/>
      <c r="E6551" s="202"/>
      <c r="U6551" s="204"/>
    </row>
    <row r="6552" spans="2:21" x14ac:dyDescent="0.2">
      <c r="B6552" s="203"/>
      <c r="C6552" s="237"/>
      <c r="D6552" s="202"/>
      <c r="E6552" s="202"/>
      <c r="U6552" s="204"/>
    </row>
    <row r="6553" spans="2:21" x14ac:dyDescent="0.2">
      <c r="B6553" s="203"/>
      <c r="C6553" s="237"/>
      <c r="D6553" s="202"/>
      <c r="E6553" s="202"/>
      <c r="U6553" s="204"/>
    </row>
    <row r="6554" spans="2:21" x14ac:dyDescent="0.2">
      <c r="B6554" s="203"/>
      <c r="C6554" s="237"/>
      <c r="D6554" s="202"/>
      <c r="E6554" s="202"/>
      <c r="U6554" s="204"/>
    </row>
    <row r="6555" spans="2:21" x14ac:dyDescent="0.2">
      <c r="B6555" s="203"/>
      <c r="C6555" s="237"/>
      <c r="D6555" s="202"/>
      <c r="E6555" s="202"/>
      <c r="U6555" s="204"/>
    </row>
    <row r="6556" spans="2:21" x14ac:dyDescent="0.2">
      <c r="B6556" s="203"/>
      <c r="C6556" s="237"/>
      <c r="D6556" s="202"/>
      <c r="E6556" s="202"/>
      <c r="U6556" s="204"/>
    </row>
    <row r="6557" spans="2:21" x14ac:dyDescent="0.2">
      <c r="B6557" s="203"/>
      <c r="C6557" s="237"/>
      <c r="D6557" s="202"/>
      <c r="E6557" s="202"/>
      <c r="U6557" s="204"/>
    </row>
    <row r="6558" spans="2:21" x14ac:dyDescent="0.2">
      <c r="B6558" s="203"/>
      <c r="C6558" s="237"/>
      <c r="D6558" s="202"/>
      <c r="E6558" s="202"/>
      <c r="U6558" s="204"/>
    </row>
    <row r="6559" spans="2:21" x14ac:dyDescent="0.2">
      <c r="B6559" s="203"/>
      <c r="C6559" s="237"/>
      <c r="D6559" s="202"/>
      <c r="E6559" s="202"/>
      <c r="U6559" s="204"/>
    </row>
    <row r="6560" spans="2:21" x14ac:dyDescent="0.2">
      <c r="B6560" s="203"/>
      <c r="C6560" s="237"/>
      <c r="D6560" s="202"/>
      <c r="E6560" s="202"/>
      <c r="U6560" s="204"/>
    </row>
    <row r="6561" spans="2:21" x14ac:dyDescent="0.2">
      <c r="B6561" s="203"/>
      <c r="C6561" s="237"/>
      <c r="D6561" s="202"/>
      <c r="E6561" s="202"/>
      <c r="U6561" s="204"/>
    </row>
    <row r="6562" spans="2:21" x14ac:dyDescent="0.2">
      <c r="B6562" s="203"/>
      <c r="C6562" s="237"/>
      <c r="D6562" s="202"/>
      <c r="E6562" s="202"/>
      <c r="U6562" s="204"/>
    </row>
    <row r="6563" spans="2:21" x14ac:dyDescent="0.2">
      <c r="B6563" s="203"/>
      <c r="C6563" s="237"/>
      <c r="D6563" s="202"/>
      <c r="E6563" s="202"/>
      <c r="U6563" s="204"/>
    </row>
    <row r="6564" spans="2:21" x14ac:dyDescent="0.2">
      <c r="B6564" s="203"/>
      <c r="C6564" s="237"/>
      <c r="D6564" s="202"/>
      <c r="E6564" s="202"/>
      <c r="U6564" s="204"/>
    </row>
    <row r="6565" spans="2:21" x14ac:dyDescent="0.2">
      <c r="B6565" s="203"/>
      <c r="C6565" s="237"/>
      <c r="D6565" s="202"/>
      <c r="E6565" s="202"/>
      <c r="U6565" s="204"/>
    </row>
    <row r="6566" spans="2:21" x14ac:dyDescent="0.2">
      <c r="B6566" s="203"/>
      <c r="C6566" s="237"/>
      <c r="D6566" s="202"/>
      <c r="E6566" s="202"/>
      <c r="U6566" s="204"/>
    </row>
    <row r="6567" spans="2:21" x14ac:dyDescent="0.2">
      <c r="B6567" s="203"/>
      <c r="C6567" s="237"/>
      <c r="D6567" s="202"/>
      <c r="E6567" s="202"/>
      <c r="U6567" s="204"/>
    </row>
    <row r="6568" spans="2:21" x14ac:dyDescent="0.2">
      <c r="B6568" s="203"/>
      <c r="C6568" s="237"/>
      <c r="D6568" s="202"/>
      <c r="E6568" s="202"/>
      <c r="U6568" s="204"/>
    </row>
    <row r="6569" spans="2:21" x14ac:dyDescent="0.2">
      <c r="B6569" s="203"/>
      <c r="C6569" s="237"/>
      <c r="D6569" s="202"/>
      <c r="E6569" s="202"/>
      <c r="U6569" s="204"/>
    </row>
    <row r="6570" spans="2:21" x14ac:dyDescent="0.2">
      <c r="B6570" s="203"/>
      <c r="C6570" s="237"/>
      <c r="D6570" s="202"/>
      <c r="E6570" s="202"/>
      <c r="U6570" s="204"/>
    </row>
    <row r="6571" spans="2:21" x14ac:dyDescent="0.2">
      <c r="B6571" s="203"/>
      <c r="C6571" s="237"/>
      <c r="D6571" s="202"/>
      <c r="E6571" s="202"/>
      <c r="U6571" s="204"/>
    </row>
    <row r="6572" spans="2:21" x14ac:dyDescent="0.2">
      <c r="B6572" s="203"/>
      <c r="C6572" s="237"/>
      <c r="D6572" s="202"/>
      <c r="E6572" s="202"/>
      <c r="U6572" s="204"/>
    </row>
    <row r="6573" spans="2:21" x14ac:dyDescent="0.2">
      <c r="B6573" s="203"/>
      <c r="C6573" s="237"/>
      <c r="D6573" s="202"/>
      <c r="E6573" s="202"/>
      <c r="U6573" s="204"/>
    </row>
    <row r="6574" spans="2:21" x14ac:dyDescent="0.2">
      <c r="B6574" s="203"/>
      <c r="C6574" s="237"/>
      <c r="D6574" s="202"/>
      <c r="E6574" s="202"/>
      <c r="U6574" s="204"/>
    </row>
    <row r="6575" spans="2:21" x14ac:dyDescent="0.2">
      <c r="B6575" s="203"/>
      <c r="C6575" s="237"/>
      <c r="D6575" s="202"/>
      <c r="E6575" s="202"/>
      <c r="U6575" s="204"/>
    </row>
    <row r="6576" spans="2:21" x14ac:dyDescent="0.2">
      <c r="B6576" s="203"/>
      <c r="C6576" s="237"/>
      <c r="D6576" s="202"/>
      <c r="E6576" s="202"/>
      <c r="U6576" s="204"/>
    </row>
    <row r="6577" spans="2:21" x14ac:dyDescent="0.2">
      <c r="B6577" s="203"/>
      <c r="C6577" s="237"/>
      <c r="D6577" s="202"/>
      <c r="E6577" s="202"/>
      <c r="U6577" s="204"/>
    </row>
    <row r="6578" spans="2:21" x14ac:dyDescent="0.2">
      <c r="B6578" s="203"/>
      <c r="C6578" s="237"/>
      <c r="D6578" s="202"/>
      <c r="E6578" s="202"/>
      <c r="U6578" s="204"/>
    </row>
    <row r="6579" spans="2:21" x14ac:dyDescent="0.2">
      <c r="B6579" s="203"/>
      <c r="C6579" s="237"/>
      <c r="D6579" s="202"/>
      <c r="E6579" s="202"/>
      <c r="U6579" s="204"/>
    </row>
    <row r="6580" spans="2:21" x14ac:dyDescent="0.2">
      <c r="B6580" s="203"/>
      <c r="C6580" s="237"/>
      <c r="D6580" s="202"/>
      <c r="E6580" s="202"/>
      <c r="U6580" s="204"/>
    </row>
    <row r="6581" spans="2:21" x14ac:dyDescent="0.2">
      <c r="B6581" s="203"/>
      <c r="C6581" s="237"/>
      <c r="D6581" s="202"/>
      <c r="E6581" s="202"/>
      <c r="U6581" s="204"/>
    </row>
    <row r="6582" spans="2:21" x14ac:dyDescent="0.2">
      <c r="B6582" s="203"/>
      <c r="C6582" s="237"/>
      <c r="D6582" s="202"/>
      <c r="E6582" s="202"/>
      <c r="U6582" s="204"/>
    </row>
    <row r="6583" spans="2:21" x14ac:dyDescent="0.2">
      <c r="B6583" s="203"/>
      <c r="C6583" s="237"/>
      <c r="D6583" s="202"/>
      <c r="E6583" s="202"/>
      <c r="U6583" s="204"/>
    </row>
    <row r="6584" spans="2:21" x14ac:dyDescent="0.2">
      <c r="B6584" s="203"/>
      <c r="C6584" s="237"/>
      <c r="D6584" s="202"/>
      <c r="E6584" s="202"/>
      <c r="U6584" s="204"/>
    </row>
    <row r="6585" spans="2:21" x14ac:dyDescent="0.2">
      <c r="B6585" s="203"/>
      <c r="C6585" s="237"/>
      <c r="D6585" s="202"/>
      <c r="E6585" s="202"/>
      <c r="U6585" s="204"/>
    </row>
    <row r="6586" spans="2:21" x14ac:dyDescent="0.2">
      <c r="B6586" s="203"/>
      <c r="C6586" s="237"/>
      <c r="D6586" s="202"/>
      <c r="E6586" s="202"/>
      <c r="U6586" s="204"/>
    </row>
    <row r="6587" spans="2:21" x14ac:dyDescent="0.2">
      <c r="B6587" s="203"/>
      <c r="C6587" s="237"/>
      <c r="D6587" s="202"/>
      <c r="E6587" s="202"/>
      <c r="U6587" s="204"/>
    </row>
    <row r="6588" spans="2:21" x14ac:dyDescent="0.2">
      <c r="B6588" s="203"/>
      <c r="C6588" s="237"/>
      <c r="D6588" s="202"/>
      <c r="E6588" s="202"/>
      <c r="U6588" s="204"/>
    </row>
    <row r="6589" spans="2:21" x14ac:dyDescent="0.2">
      <c r="B6589" s="203"/>
      <c r="C6589" s="237"/>
      <c r="D6589" s="202"/>
      <c r="E6589" s="202"/>
      <c r="U6589" s="204"/>
    </row>
    <row r="6590" spans="2:21" x14ac:dyDescent="0.2">
      <c r="B6590" s="203"/>
      <c r="C6590" s="237"/>
      <c r="D6590" s="202"/>
      <c r="E6590" s="202"/>
      <c r="U6590" s="204"/>
    </row>
    <row r="6591" spans="2:21" x14ac:dyDescent="0.2">
      <c r="B6591" s="203"/>
      <c r="C6591" s="237"/>
      <c r="D6591" s="202"/>
      <c r="E6591" s="202"/>
      <c r="U6591" s="204"/>
    </row>
    <row r="6592" spans="2:21" x14ac:dyDescent="0.2">
      <c r="B6592" s="203"/>
      <c r="C6592" s="237"/>
      <c r="D6592" s="202"/>
      <c r="E6592" s="202"/>
      <c r="U6592" s="204"/>
    </row>
    <row r="6593" spans="2:21" x14ac:dyDescent="0.2">
      <c r="B6593" s="203"/>
      <c r="C6593" s="237"/>
      <c r="D6593" s="202"/>
      <c r="E6593" s="202"/>
      <c r="U6593" s="204"/>
    </row>
    <row r="6594" spans="2:21" x14ac:dyDescent="0.2">
      <c r="B6594" s="203"/>
      <c r="C6594" s="237"/>
      <c r="D6594" s="202"/>
      <c r="E6594" s="202"/>
      <c r="U6594" s="204"/>
    </row>
    <row r="6595" spans="2:21" x14ac:dyDescent="0.2">
      <c r="B6595" s="203"/>
      <c r="C6595" s="237"/>
      <c r="D6595" s="202"/>
      <c r="E6595" s="202"/>
      <c r="U6595" s="204"/>
    </row>
    <row r="6596" spans="2:21" x14ac:dyDescent="0.2">
      <c r="B6596" s="203"/>
      <c r="C6596" s="237"/>
      <c r="D6596" s="202"/>
      <c r="E6596" s="202"/>
      <c r="U6596" s="204"/>
    </row>
    <row r="6597" spans="2:21" x14ac:dyDescent="0.2">
      <c r="B6597" s="203"/>
      <c r="C6597" s="237"/>
      <c r="D6597" s="202"/>
      <c r="E6597" s="202"/>
      <c r="U6597" s="204"/>
    </row>
    <row r="6598" spans="2:21" x14ac:dyDescent="0.2">
      <c r="B6598" s="203"/>
      <c r="C6598" s="237"/>
      <c r="D6598" s="202"/>
      <c r="E6598" s="202"/>
      <c r="U6598" s="204"/>
    </row>
    <row r="6599" spans="2:21" x14ac:dyDescent="0.2">
      <c r="B6599" s="203"/>
      <c r="C6599" s="237"/>
      <c r="D6599" s="202"/>
      <c r="E6599" s="202"/>
      <c r="U6599" s="204"/>
    </row>
    <row r="6600" spans="2:21" x14ac:dyDescent="0.2">
      <c r="B6600" s="203"/>
      <c r="C6600" s="237"/>
      <c r="D6600" s="202"/>
      <c r="E6600" s="202"/>
      <c r="U6600" s="204"/>
    </row>
    <row r="6601" spans="2:21" x14ac:dyDescent="0.2">
      <c r="B6601" s="203"/>
      <c r="C6601" s="237"/>
      <c r="D6601" s="202"/>
      <c r="E6601" s="202"/>
      <c r="U6601" s="204"/>
    </row>
    <row r="6602" spans="2:21" x14ac:dyDescent="0.2">
      <c r="B6602" s="203"/>
      <c r="C6602" s="237"/>
      <c r="D6602" s="202"/>
      <c r="E6602" s="202"/>
      <c r="U6602" s="204"/>
    </row>
    <row r="6603" spans="2:21" x14ac:dyDescent="0.2">
      <c r="B6603" s="203"/>
      <c r="C6603" s="237"/>
      <c r="D6603" s="202"/>
      <c r="E6603" s="202"/>
      <c r="U6603" s="204"/>
    </row>
    <row r="6604" spans="2:21" x14ac:dyDescent="0.2">
      <c r="B6604" s="203"/>
      <c r="C6604" s="237"/>
      <c r="D6604" s="202"/>
      <c r="E6604" s="202"/>
      <c r="U6604" s="204"/>
    </row>
    <row r="6605" spans="2:21" x14ac:dyDescent="0.2">
      <c r="B6605" s="203"/>
      <c r="C6605" s="237"/>
      <c r="D6605" s="202"/>
      <c r="E6605" s="202"/>
      <c r="U6605" s="204"/>
    </row>
    <row r="6606" spans="2:21" x14ac:dyDescent="0.2">
      <c r="B6606" s="203"/>
      <c r="C6606" s="237"/>
      <c r="D6606" s="202"/>
      <c r="E6606" s="202"/>
      <c r="U6606" s="204"/>
    </row>
    <row r="6607" spans="2:21" x14ac:dyDescent="0.2">
      <c r="B6607" s="203"/>
      <c r="C6607" s="237"/>
      <c r="D6607" s="202"/>
      <c r="E6607" s="202"/>
      <c r="U6607" s="204"/>
    </row>
    <row r="6608" spans="2:21" x14ac:dyDescent="0.2">
      <c r="B6608" s="203"/>
      <c r="C6608" s="237"/>
      <c r="D6608" s="202"/>
      <c r="E6608" s="202"/>
      <c r="U6608" s="204"/>
    </row>
    <row r="6609" spans="2:21" x14ac:dyDescent="0.2">
      <c r="B6609" s="203"/>
      <c r="C6609" s="237"/>
      <c r="D6609" s="202"/>
      <c r="E6609" s="202"/>
      <c r="U6609" s="204"/>
    </row>
    <row r="6610" spans="2:21" x14ac:dyDescent="0.2">
      <c r="B6610" s="203"/>
      <c r="C6610" s="237"/>
      <c r="D6610" s="202"/>
      <c r="E6610" s="202"/>
      <c r="U6610" s="204"/>
    </row>
    <row r="6611" spans="2:21" x14ac:dyDescent="0.2">
      <c r="B6611" s="203"/>
      <c r="C6611" s="237"/>
      <c r="D6611" s="202"/>
      <c r="E6611" s="202"/>
      <c r="U6611" s="204"/>
    </row>
    <row r="6612" spans="2:21" x14ac:dyDescent="0.2">
      <c r="B6612" s="203"/>
      <c r="C6612" s="237"/>
      <c r="D6612" s="202"/>
      <c r="E6612" s="202"/>
      <c r="U6612" s="204"/>
    </row>
    <row r="6613" spans="2:21" x14ac:dyDescent="0.2">
      <c r="B6613" s="203"/>
      <c r="C6613" s="237"/>
      <c r="D6613" s="202"/>
      <c r="E6613" s="202"/>
      <c r="U6613" s="204"/>
    </row>
    <row r="6614" spans="2:21" x14ac:dyDescent="0.2">
      <c r="B6614" s="203"/>
      <c r="C6614" s="237"/>
      <c r="D6614" s="202"/>
      <c r="E6614" s="202"/>
      <c r="U6614" s="204"/>
    </row>
    <row r="6615" spans="2:21" x14ac:dyDescent="0.2">
      <c r="B6615" s="203"/>
      <c r="C6615" s="237"/>
      <c r="D6615" s="202"/>
      <c r="E6615" s="202"/>
      <c r="U6615" s="204"/>
    </row>
    <row r="6616" spans="2:21" x14ac:dyDescent="0.2">
      <c r="B6616" s="203"/>
      <c r="C6616" s="237"/>
      <c r="D6616" s="202"/>
      <c r="E6616" s="202"/>
      <c r="U6616" s="204"/>
    </row>
    <row r="6617" spans="2:21" x14ac:dyDescent="0.2">
      <c r="B6617" s="203"/>
      <c r="C6617" s="237"/>
      <c r="D6617" s="202"/>
      <c r="E6617" s="202"/>
      <c r="U6617" s="204"/>
    </row>
    <row r="6618" spans="2:21" x14ac:dyDescent="0.2">
      <c r="B6618" s="203"/>
      <c r="C6618" s="237"/>
      <c r="D6618" s="202"/>
      <c r="E6618" s="202"/>
      <c r="U6618" s="204"/>
    </row>
    <row r="6619" spans="2:21" x14ac:dyDescent="0.2">
      <c r="B6619" s="203"/>
      <c r="C6619" s="237"/>
      <c r="D6619" s="202"/>
      <c r="E6619" s="202"/>
      <c r="U6619" s="204"/>
    </row>
    <row r="6620" spans="2:21" x14ac:dyDescent="0.2">
      <c r="B6620" s="203"/>
      <c r="C6620" s="237"/>
      <c r="D6620" s="202"/>
      <c r="E6620" s="202"/>
      <c r="U6620" s="204"/>
    </row>
    <row r="6621" spans="2:21" x14ac:dyDescent="0.2">
      <c r="B6621" s="203"/>
      <c r="C6621" s="237"/>
      <c r="D6621" s="202"/>
      <c r="E6621" s="202"/>
      <c r="U6621" s="204"/>
    </row>
    <row r="6622" spans="2:21" x14ac:dyDescent="0.2">
      <c r="B6622" s="203"/>
      <c r="C6622" s="237"/>
      <c r="D6622" s="202"/>
      <c r="E6622" s="202"/>
      <c r="U6622" s="204"/>
    </row>
    <row r="6623" spans="2:21" x14ac:dyDescent="0.2">
      <c r="B6623" s="203"/>
      <c r="C6623" s="237"/>
      <c r="D6623" s="202"/>
      <c r="E6623" s="202"/>
      <c r="U6623" s="204"/>
    </row>
    <row r="6624" spans="2:21" x14ac:dyDescent="0.2">
      <c r="B6624" s="203"/>
      <c r="C6624" s="237"/>
      <c r="D6624" s="202"/>
      <c r="E6624" s="202"/>
      <c r="U6624" s="204"/>
    </row>
    <row r="6625" spans="2:21" x14ac:dyDescent="0.2">
      <c r="B6625" s="203"/>
      <c r="C6625" s="237"/>
      <c r="D6625" s="202"/>
      <c r="E6625" s="202"/>
      <c r="U6625" s="204"/>
    </row>
    <row r="6626" spans="2:21" x14ac:dyDescent="0.2">
      <c r="B6626" s="203"/>
      <c r="C6626" s="237"/>
      <c r="D6626" s="202"/>
      <c r="E6626" s="202"/>
      <c r="U6626" s="204"/>
    </row>
    <row r="6627" spans="2:21" x14ac:dyDescent="0.2">
      <c r="B6627" s="203"/>
      <c r="C6627" s="237"/>
      <c r="D6627" s="202"/>
      <c r="E6627" s="202"/>
      <c r="U6627" s="204"/>
    </row>
    <row r="6628" spans="2:21" x14ac:dyDescent="0.2">
      <c r="B6628" s="203"/>
      <c r="C6628" s="237"/>
      <c r="D6628" s="202"/>
      <c r="E6628" s="202"/>
      <c r="U6628" s="204"/>
    </row>
    <row r="6629" spans="2:21" x14ac:dyDescent="0.2">
      <c r="B6629" s="203"/>
      <c r="C6629" s="237"/>
      <c r="D6629" s="202"/>
      <c r="E6629" s="202"/>
      <c r="U6629" s="204"/>
    </row>
    <row r="6630" spans="2:21" x14ac:dyDescent="0.2">
      <c r="B6630" s="203"/>
      <c r="C6630" s="237"/>
      <c r="D6630" s="202"/>
      <c r="E6630" s="202"/>
      <c r="U6630" s="204"/>
    </row>
    <row r="6631" spans="2:21" x14ac:dyDescent="0.2">
      <c r="B6631" s="203"/>
      <c r="C6631" s="237"/>
      <c r="D6631" s="202"/>
      <c r="E6631" s="202"/>
      <c r="U6631" s="204"/>
    </row>
    <row r="6632" spans="2:21" x14ac:dyDescent="0.2">
      <c r="B6632" s="203"/>
      <c r="C6632" s="237"/>
      <c r="D6632" s="202"/>
      <c r="E6632" s="202"/>
      <c r="U6632" s="204"/>
    </row>
    <row r="6633" spans="2:21" x14ac:dyDescent="0.2">
      <c r="B6633" s="203"/>
      <c r="C6633" s="237"/>
      <c r="D6633" s="202"/>
      <c r="E6633" s="202"/>
      <c r="U6633" s="204"/>
    </row>
    <row r="6634" spans="2:21" x14ac:dyDescent="0.2">
      <c r="B6634" s="203"/>
      <c r="C6634" s="237"/>
      <c r="D6634" s="202"/>
      <c r="E6634" s="202"/>
      <c r="U6634" s="204"/>
    </row>
    <row r="6635" spans="2:21" x14ac:dyDescent="0.2">
      <c r="B6635" s="203"/>
      <c r="C6635" s="237"/>
      <c r="D6635" s="202"/>
      <c r="E6635" s="202"/>
      <c r="U6635" s="204"/>
    </row>
    <row r="6636" spans="2:21" x14ac:dyDescent="0.2">
      <c r="B6636" s="203"/>
      <c r="C6636" s="237"/>
      <c r="D6636" s="202"/>
      <c r="E6636" s="202"/>
      <c r="U6636" s="204"/>
    </row>
    <row r="6637" spans="2:21" x14ac:dyDescent="0.2">
      <c r="B6637" s="203"/>
      <c r="C6637" s="237"/>
      <c r="D6637" s="202"/>
      <c r="E6637" s="202"/>
      <c r="U6637" s="204"/>
    </row>
    <row r="6638" spans="2:21" x14ac:dyDescent="0.2">
      <c r="B6638" s="203"/>
      <c r="C6638" s="237"/>
      <c r="D6638" s="202"/>
      <c r="E6638" s="202"/>
      <c r="U6638" s="204"/>
    </row>
    <row r="6639" spans="2:21" x14ac:dyDescent="0.2">
      <c r="B6639" s="203"/>
      <c r="C6639" s="237"/>
      <c r="D6639" s="202"/>
      <c r="E6639" s="202"/>
      <c r="U6639" s="204"/>
    </row>
    <row r="6640" spans="2:21" x14ac:dyDescent="0.2">
      <c r="B6640" s="203"/>
      <c r="C6640" s="237"/>
      <c r="D6640" s="202"/>
      <c r="E6640" s="202"/>
      <c r="U6640" s="204"/>
    </row>
    <row r="6641" spans="2:21" x14ac:dyDescent="0.2">
      <c r="B6641" s="203"/>
      <c r="C6641" s="237"/>
      <c r="D6641" s="202"/>
      <c r="E6641" s="202"/>
      <c r="U6641" s="204"/>
    </row>
    <row r="6642" spans="2:21" x14ac:dyDescent="0.2">
      <c r="B6642" s="203"/>
      <c r="C6642" s="237"/>
      <c r="D6642" s="202"/>
      <c r="E6642" s="202"/>
      <c r="U6642" s="204"/>
    </row>
    <row r="6643" spans="2:21" x14ac:dyDescent="0.2">
      <c r="B6643" s="203"/>
      <c r="C6643" s="237"/>
      <c r="D6643" s="202"/>
      <c r="E6643" s="202"/>
      <c r="U6643" s="204"/>
    </row>
    <row r="6644" spans="2:21" x14ac:dyDescent="0.2">
      <c r="B6644" s="203"/>
      <c r="C6644" s="237"/>
      <c r="D6644" s="202"/>
      <c r="E6644" s="202"/>
      <c r="U6644" s="204"/>
    </row>
    <row r="6645" spans="2:21" x14ac:dyDescent="0.2">
      <c r="B6645" s="203"/>
      <c r="C6645" s="237"/>
      <c r="D6645" s="202"/>
      <c r="E6645" s="202"/>
      <c r="U6645" s="204"/>
    </row>
    <row r="6646" spans="2:21" x14ac:dyDescent="0.2">
      <c r="B6646" s="203"/>
      <c r="C6646" s="237"/>
      <c r="D6646" s="202"/>
      <c r="E6646" s="202"/>
      <c r="U6646" s="204"/>
    </row>
    <row r="6647" spans="2:21" x14ac:dyDescent="0.2">
      <c r="B6647" s="203"/>
      <c r="C6647" s="237"/>
      <c r="D6647" s="202"/>
      <c r="E6647" s="202"/>
      <c r="U6647" s="204"/>
    </row>
    <row r="6648" spans="2:21" x14ac:dyDescent="0.2">
      <c r="B6648" s="203"/>
      <c r="C6648" s="237"/>
      <c r="D6648" s="202"/>
      <c r="E6648" s="202"/>
      <c r="U6648" s="204"/>
    </row>
    <row r="6649" spans="2:21" x14ac:dyDescent="0.2">
      <c r="B6649" s="203"/>
      <c r="C6649" s="237"/>
      <c r="D6649" s="202"/>
      <c r="E6649" s="202"/>
      <c r="U6649" s="204"/>
    </row>
    <row r="6650" spans="2:21" x14ac:dyDescent="0.2">
      <c r="B6650" s="203"/>
      <c r="C6650" s="237"/>
      <c r="D6650" s="202"/>
      <c r="E6650" s="202"/>
      <c r="U6650" s="204"/>
    </row>
    <row r="6651" spans="2:21" x14ac:dyDescent="0.2">
      <c r="B6651" s="203"/>
      <c r="C6651" s="237"/>
      <c r="D6651" s="202"/>
      <c r="E6651" s="202"/>
      <c r="U6651" s="204"/>
    </row>
    <row r="6652" spans="2:21" x14ac:dyDescent="0.2">
      <c r="B6652" s="203"/>
      <c r="C6652" s="237"/>
      <c r="D6652" s="202"/>
      <c r="E6652" s="202"/>
      <c r="U6652" s="204"/>
    </row>
    <row r="6653" spans="2:21" x14ac:dyDescent="0.2">
      <c r="B6653" s="203"/>
      <c r="C6653" s="237"/>
      <c r="D6653" s="202"/>
      <c r="E6653" s="202"/>
      <c r="U6653" s="204"/>
    </row>
    <row r="6654" spans="2:21" x14ac:dyDescent="0.2">
      <c r="B6654" s="203"/>
      <c r="C6654" s="237"/>
      <c r="D6654" s="202"/>
      <c r="E6654" s="202"/>
      <c r="U6654" s="204"/>
    </row>
    <row r="6655" spans="2:21" x14ac:dyDescent="0.2">
      <c r="B6655" s="203"/>
      <c r="C6655" s="237"/>
      <c r="D6655" s="202"/>
      <c r="E6655" s="202"/>
      <c r="U6655" s="204"/>
    </row>
    <row r="6656" spans="2:21" x14ac:dyDescent="0.2">
      <c r="B6656" s="203"/>
      <c r="C6656" s="237"/>
      <c r="D6656" s="202"/>
      <c r="E6656" s="202"/>
      <c r="U6656" s="204"/>
    </row>
    <row r="6657" spans="2:21" x14ac:dyDescent="0.2">
      <c r="B6657" s="203"/>
      <c r="C6657" s="237"/>
      <c r="D6657" s="202"/>
      <c r="E6657" s="202"/>
      <c r="U6657" s="204"/>
    </row>
    <row r="6658" spans="2:21" x14ac:dyDescent="0.2">
      <c r="B6658" s="203"/>
      <c r="C6658" s="237"/>
      <c r="D6658" s="202"/>
      <c r="E6658" s="202"/>
      <c r="U6658" s="204"/>
    </row>
    <row r="6659" spans="2:21" x14ac:dyDescent="0.2">
      <c r="B6659" s="203"/>
      <c r="C6659" s="237"/>
      <c r="D6659" s="202"/>
      <c r="E6659" s="202"/>
      <c r="U6659" s="204"/>
    </row>
    <row r="6660" spans="2:21" x14ac:dyDescent="0.2">
      <c r="B6660" s="203"/>
      <c r="C6660" s="237"/>
      <c r="D6660" s="202"/>
      <c r="E6660" s="202"/>
      <c r="U6660" s="204"/>
    </row>
    <row r="6661" spans="2:21" x14ac:dyDescent="0.2">
      <c r="B6661" s="203"/>
      <c r="C6661" s="237"/>
      <c r="D6661" s="202"/>
      <c r="E6661" s="202"/>
      <c r="U6661" s="204"/>
    </row>
    <row r="6662" spans="2:21" x14ac:dyDescent="0.2">
      <c r="B6662" s="203"/>
      <c r="C6662" s="237"/>
      <c r="D6662" s="202"/>
      <c r="E6662" s="202"/>
      <c r="U6662" s="204"/>
    </row>
    <row r="6663" spans="2:21" x14ac:dyDescent="0.2">
      <c r="B6663" s="203"/>
      <c r="C6663" s="237"/>
      <c r="D6663" s="202"/>
      <c r="E6663" s="202"/>
      <c r="U6663" s="204"/>
    </row>
    <row r="6664" spans="2:21" x14ac:dyDescent="0.2">
      <c r="B6664" s="203"/>
      <c r="C6664" s="237"/>
      <c r="D6664" s="202"/>
      <c r="E6664" s="202"/>
      <c r="U6664" s="204"/>
    </row>
    <row r="6665" spans="2:21" x14ac:dyDescent="0.2">
      <c r="B6665" s="203"/>
      <c r="C6665" s="237"/>
      <c r="D6665" s="202"/>
      <c r="E6665" s="202"/>
      <c r="U6665" s="204"/>
    </row>
    <row r="6666" spans="2:21" x14ac:dyDescent="0.2">
      <c r="B6666" s="203"/>
      <c r="C6666" s="237"/>
      <c r="D6666" s="202"/>
      <c r="E6666" s="202"/>
      <c r="U6666" s="204"/>
    </row>
    <row r="6667" spans="2:21" x14ac:dyDescent="0.2">
      <c r="B6667" s="203"/>
      <c r="C6667" s="237"/>
      <c r="D6667" s="202"/>
      <c r="E6667" s="202"/>
      <c r="U6667" s="204"/>
    </row>
    <row r="6668" spans="2:21" x14ac:dyDescent="0.2">
      <c r="B6668" s="203"/>
      <c r="C6668" s="237"/>
      <c r="D6668" s="202"/>
      <c r="E6668" s="202"/>
      <c r="U6668" s="204"/>
    </row>
    <row r="6669" spans="2:21" x14ac:dyDescent="0.2">
      <c r="B6669" s="203"/>
      <c r="C6669" s="237"/>
      <c r="D6669" s="202"/>
      <c r="E6669" s="202"/>
      <c r="U6669" s="204"/>
    </row>
    <row r="6670" spans="2:21" x14ac:dyDescent="0.2">
      <c r="B6670" s="203"/>
      <c r="C6670" s="237"/>
      <c r="D6670" s="202"/>
      <c r="E6670" s="202"/>
      <c r="U6670" s="204"/>
    </row>
    <row r="6671" spans="2:21" x14ac:dyDescent="0.2">
      <c r="B6671" s="203"/>
      <c r="C6671" s="237"/>
      <c r="D6671" s="202"/>
      <c r="E6671" s="202"/>
      <c r="U6671" s="204"/>
    </row>
    <row r="6672" spans="2:21" x14ac:dyDescent="0.2">
      <c r="B6672" s="203"/>
      <c r="C6672" s="237"/>
      <c r="D6672" s="202"/>
      <c r="E6672" s="202"/>
      <c r="U6672" s="204"/>
    </row>
    <row r="6673" spans="2:21" x14ac:dyDescent="0.2">
      <c r="B6673" s="203"/>
      <c r="C6673" s="237"/>
      <c r="D6673" s="202"/>
      <c r="E6673" s="202"/>
      <c r="U6673" s="204"/>
    </row>
    <row r="6674" spans="2:21" x14ac:dyDescent="0.2">
      <c r="B6674" s="203"/>
      <c r="C6674" s="237"/>
      <c r="D6674" s="202"/>
      <c r="E6674" s="202"/>
      <c r="U6674" s="204"/>
    </row>
    <row r="6675" spans="2:21" x14ac:dyDescent="0.2">
      <c r="B6675" s="203"/>
      <c r="C6675" s="237"/>
      <c r="D6675" s="202"/>
      <c r="E6675" s="202"/>
      <c r="U6675" s="204"/>
    </row>
    <row r="6676" spans="2:21" x14ac:dyDescent="0.2">
      <c r="B6676" s="203"/>
      <c r="C6676" s="237"/>
      <c r="D6676" s="202"/>
      <c r="E6676" s="202"/>
      <c r="U6676" s="204"/>
    </row>
    <row r="6677" spans="2:21" x14ac:dyDescent="0.2">
      <c r="B6677" s="203"/>
      <c r="C6677" s="237"/>
      <c r="D6677" s="202"/>
      <c r="E6677" s="202"/>
      <c r="U6677" s="204"/>
    </row>
    <row r="6678" spans="2:21" x14ac:dyDescent="0.2">
      <c r="B6678" s="203"/>
      <c r="C6678" s="237"/>
      <c r="D6678" s="202"/>
      <c r="E6678" s="202"/>
      <c r="U6678" s="204"/>
    </row>
    <row r="6679" spans="2:21" x14ac:dyDescent="0.2">
      <c r="B6679" s="203"/>
      <c r="C6679" s="237"/>
      <c r="D6679" s="202"/>
      <c r="E6679" s="202"/>
      <c r="U6679" s="204"/>
    </row>
    <row r="6680" spans="2:21" x14ac:dyDescent="0.2">
      <c r="B6680" s="203"/>
      <c r="C6680" s="237"/>
      <c r="D6680" s="202"/>
      <c r="E6680" s="202"/>
      <c r="U6680" s="204"/>
    </row>
    <row r="6681" spans="2:21" x14ac:dyDescent="0.2">
      <c r="B6681" s="203"/>
      <c r="C6681" s="237"/>
      <c r="D6681" s="202"/>
      <c r="E6681" s="202"/>
      <c r="U6681" s="204"/>
    </row>
    <row r="6682" spans="2:21" x14ac:dyDescent="0.2">
      <c r="B6682" s="203"/>
      <c r="C6682" s="237"/>
      <c r="D6682" s="202"/>
      <c r="E6682" s="202"/>
      <c r="U6682" s="204"/>
    </row>
    <row r="6683" spans="2:21" x14ac:dyDescent="0.2">
      <c r="B6683" s="203"/>
      <c r="C6683" s="237"/>
      <c r="D6683" s="202"/>
      <c r="E6683" s="202"/>
      <c r="U6683" s="204"/>
    </row>
    <row r="6684" spans="2:21" x14ac:dyDescent="0.2">
      <c r="B6684" s="203"/>
      <c r="C6684" s="237"/>
      <c r="D6684" s="202"/>
      <c r="E6684" s="202"/>
      <c r="U6684" s="204"/>
    </row>
    <row r="6685" spans="2:21" x14ac:dyDescent="0.2">
      <c r="B6685" s="203"/>
      <c r="C6685" s="237"/>
      <c r="D6685" s="202"/>
      <c r="E6685" s="202"/>
      <c r="U6685" s="204"/>
    </row>
    <row r="6686" spans="2:21" x14ac:dyDescent="0.2">
      <c r="B6686" s="203"/>
      <c r="C6686" s="237"/>
      <c r="D6686" s="202"/>
      <c r="E6686" s="202"/>
      <c r="U6686" s="204"/>
    </row>
    <row r="6687" spans="2:21" x14ac:dyDescent="0.2">
      <c r="B6687" s="203"/>
      <c r="C6687" s="237"/>
      <c r="D6687" s="202"/>
      <c r="E6687" s="202"/>
      <c r="U6687" s="204"/>
    </row>
    <row r="6688" spans="2:21" x14ac:dyDescent="0.2">
      <c r="B6688" s="203"/>
      <c r="C6688" s="237"/>
      <c r="D6688" s="202"/>
      <c r="E6688" s="202"/>
      <c r="U6688" s="204"/>
    </row>
    <row r="6689" spans="2:21" x14ac:dyDescent="0.2">
      <c r="B6689" s="203"/>
      <c r="C6689" s="237"/>
      <c r="D6689" s="202"/>
      <c r="E6689" s="202"/>
      <c r="U6689" s="204"/>
    </row>
    <row r="6690" spans="2:21" x14ac:dyDescent="0.2">
      <c r="B6690" s="203"/>
      <c r="C6690" s="237"/>
      <c r="D6690" s="202"/>
      <c r="E6690" s="202"/>
      <c r="U6690" s="204"/>
    </row>
    <row r="6691" spans="2:21" x14ac:dyDescent="0.2">
      <c r="B6691" s="203"/>
      <c r="C6691" s="237"/>
      <c r="D6691" s="202"/>
      <c r="E6691" s="202"/>
      <c r="U6691" s="204"/>
    </row>
    <row r="6692" spans="2:21" x14ac:dyDescent="0.2">
      <c r="B6692" s="203"/>
      <c r="C6692" s="237"/>
      <c r="D6692" s="202"/>
      <c r="E6692" s="202"/>
      <c r="U6692" s="204"/>
    </row>
    <row r="6693" spans="2:21" x14ac:dyDescent="0.2">
      <c r="B6693" s="203"/>
      <c r="C6693" s="237"/>
      <c r="D6693" s="202"/>
      <c r="E6693" s="202"/>
      <c r="U6693" s="204"/>
    </row>
    <row r="6694" spans="2:21" x14ac:dyDescent="0.2">
      <c r="B6694" s="203"/>
      <c r="C6694" s="237"/>
      <c r="D6694" s="202"/>
      <c r="E6694" s="202"/>
      <c r="U6694" s="204"/>
    </row>
    <row r="6695" spans="2:21" x14ac:dyDescent="0.2">
      <c r="B6695" s="203"/>
      <c r="C6695" s="237"/>
      <c r="D6695" s="202"/>
      <c r="E6695" s="202"/>
      <c r="U6695" s="204"/>
    </row>
    <row r="6696" spans="2:21" x14ac:dyDescent="0.2">
      <c r="B6696" s="203"/>
      <c r="C6696" s="237"/>
      <c r="D6696" s="202"/>
      <c r="E6696" s="202"/>
      <c r="U6696" s="204"/>
    </row>
    <row r="6697" spans="2:21" x14ac:dyDescent="0.2">
      <c r="B6697" s="203"/>
      <c r="C6697" s="237"/>
      <c r="D6697" s="202"/>
      <c r="E6697" s="202"/>
      <c r="U6697" s="204"/>
    </row>
    <row r="6698" spans="2:21" x14ac:dyDescent="0.2">
      <c r="B6698" s="203"/>
      <c r="C6698" s="237"/>
      <c r="D6698" s="202"/>
      <c r="E6698" s="202"/>
      <c r="U6698" s="204"/>
    </row>
    <row r="6699" spans="2:21" x14ac:dyDescent="0.2">
      <c r="B6699" s="203"/>
      <c r="C6699" s="237"/>
      <c r="D6699" s="202"/>
      <c r="E6699" s="202"/>
      <c r="U6699" s="204"/>
    </row>
    <row r="6700" spans="2:21" x14ac:dyDescent="0.2">
      <c r="B6700" s="203"/>
      <c r="C6700" s="237"/>
      <c r="D6700" s="202"/>
      <c r="E6700" s="202"/>
      <c r="U6700" s="204"/>
    </row>
    <row r="6701" spans="2:21" x14ac:dyDescent="0.2">
      <c r="B6701" s="203"/>
      <c r="C6701" s="237"/>
      <c r="D6701" s="202"/>
      <c r="E6701" s="202"/>
      <c r="U6701" s="204"/>
    </row>
    <row r="6702" spans="2:21" x14ac:dyDescent="0.2">
      <c r="B6702" s="203"/>
      <c r="C6702" s="237"/>
      <c r="D6702" s="202"/>
      <c r="E6702" s="202"/>
      <c r="U6702" s="204"/>
    </row>
    <row r="6703" spans="2:21" x14ac:dyDescent="0.2">
      <c r="B6703" s="203"/>
      <c r="C6703" s="237"/>
      <c r="D6703" s="202"/>
      <c r="E6703" s="202"/>
      <c r="U6703" s="204"/>
    </row>
    <row r="6704" spans="2:21" x14ac:dyDescent="0.2">
      <c r="B6704" s="203"/>
      <c r="C6704" s="237"/>
      <c r="D6704" s="202"/>
      <c r="E6704" s="202"/>
      <c r="U6704" s="204"/>
    </row>
    <row r="6705" spans="2:21" x14ac:dyDescent="0.2">
      <c r="B6705" s="203"/>
      <c r="C6705" s="237"/>
      <c r="D6705" s="202"/>
      <c r="E6705" s="202"/>
      <c r="U6705" s="204"/>
    </row>
    <row r="6706" spans="2:21" x14ac:dyDescent="0.2">
      <c r="B6706" s="203"/>
      <c r="C6706" s="237"/>
      <c r="D6706" s="202"/>
      <c r="E6706" s="202"/>
      <c r="U6706" s="204"/>
    </row>
    <row r="6707" spans="2:21" x14ac:dyDescent="0.2">
      <c r="B6707" s="203"/>
      <c r="C6707" s="237"/>
      <c r="D6707" s="202"/>
      <c r="E6707" s="202"/>
      <c r="U6707" s="204"/>
    </row>
    <row r="6708" spans="2:21" x14ac:dyDescent="0.2">
      <c r="B6708" s="203"/>
      <c r="C6708" s="237"/>
      <c r="D6708" s="202"/>
      <c r="E6708" s="202"/>
      <c r="U6708" s="204"/>
    </row>
    <row r="6709" spans="2:21" x14ac:dyDescent="0.2">
      <c r="B6709" s="203"/>
      <c r="C6709" s="237"/>
      <c r="D6709" s="202"/>
      <c r="E6709" s="202"/>
      <c r="U6709" s="204"/>
    </row>
    <row r="6710" spans="2:21" x14ac:dyDescent="0.2">
      <c r="B6710" s="203"/>
      <c r="C6710" s="237"/>
      <c r="D6710" s="202"/>
      <c r="E6710" s="202"/>
      <c r="U6710" s="204"/>
    </row>
    <row r="6711" spans="2:21" x14ac:dyDescent="0.2">
      <c r="B6711" s="203"/>
      <c r="C6711" s="237"/>
      <c r="D6711" s="202"/>
      <c r="E6711" s="202"/>
      <c r="U6711" s="204"/>
    </row>
    <row r="6712" spans="2:21" x14ac:dyDescent="0.2">
      <c r="B6712" s="203"/>
      <c r="C6712" s="237"/>
      <c r="D6712" s="202"/>
      <c r="E6712" s="202"/>
      <c r="U6712" s="204"/>
    </row>
    <row r="6713" spans="2:21" x14ac:dyDescent="0.2">
      <c r="B6713" s="203"/>
      <c r="C6713" s="237"/>
      <c r="D6713" s="202"/>
      <c r="E6713" s="202"/>
      <c r="U6713" s="204"/>
    </row>
    <row r="6714" spans="2:21" x14ac:dyDescent="0.2">
      <c r="B6714" s="203"/>
      <c r="C6714" s="237"/>
      <c r="D6714" s="202"/>
      <c r="E6714" s="202"/>
      <c r="U6714" s="204"/>
    </row>
    <row r="6715" spans="2:21" x14ac:dyDescent="0.2">
      <c r="B6715" s="203"/>
      <c r="C6715" s="237"/>
      <c r="D6715" s="202"/>
      <c r="E6715" s="202"/>
      <c r="U6715" s="204"/>
    </row>
    <row r="6716" spans="2:21" x14ac:dyDescent="0.2">
      <c r="B6716" s="203"/>
      <c r="C6716" s="237"/>
      <c r="D6716" s="202"/>
      <c r="E6716" s="202"/>
      <c r="U6716" s="204"/>
    </row>
    <row r="6717" spans="2:21" x14ac:dyDescent="0.2">
      <c r="B6717" s="203"/>
      <c r="C6717" s="237"/>
      <c r="D6717" s="202"/>
      <c r="E6717" s="202"/>
      <c r="U6717" s="204"/>
    </row>
    <row r="6718" spans="2:21" x14ac:dyDescent="0.2">
      <c r="B6718" s="203"/>
      <c r="C6718" s="237"/>
      <c r="D6718" s="202"/>
      <c r="E6718" s="202"/>
      <c r="U6718" s="204"/>
    </row>
    <row r="6719" spans="2:21" x14ac:dyDescent="0.2">
      <c r="B6719" s="203"/>
      <c r="C6719" s="237"/>
      <c r="D6719" s="202"/>
      <c r="E6719" s="202"/>
      <c r="U6719" s="204"/>
    </row>
    <row r="6720" spans="2:21" x14ac:dyDescent="0.2">
      <c r="B6720" s="203"/>
      <c r="C6720" s="237"/>
      <c r="D6720" s="202"/>
      <c r="E6720" s="202"/>
      <c r="U6720" s="204"/>
    </row>
    <row r="6721" spans="2:21" x14ac:dyDescent="0.2">
      <c r="B6721" s="203"/>
      <c r="C6721" s="237"/>
      <c r="D6721" s="202"/>
      <c r="E6721" s="202"/>
      <c r="U6721" s="204"/>
    </row>
    <row r="6722" spans="2:21" x14ac:dyDescent="0.2">
      <c r="B6722" s="203"/>
      <c r="C6722" s="237"/>
      <c r="D6722" s="202"/>
      <c r="E6722" s="202"/>
      <c r="U6722" s="204"/>
    </row>
    <row r="6723" spans="2:21" x14ac:dyDescent="0.2">
      <c r="B6723" s="203"/>
      <c r="C6723" s="237"/>
      <c r="D6723" s="202"/>
      <c r="E6723" s="202"/>
      <c r="U6723" s="204"/>
    </row>
    <row r="6724" spans="2:21" x14ac:dyDescent="0.2">
      <c r="B6724" s="203"/>
      <c r="C6724" s="237"/>
      <c r="D6724" s="202"/>
      <c r="E6724" s="202"/>
      <c r="U6724" s="204"/>
    </row>
    <row r="6725" spans="2:21" x14ac:dyDescent="0.2">
      <c r="B6725" s="203"/>
      <c r="C6725" s="237"/>
      <c r="D6725" s="202"/>
      <c r="E6725" s="202"/>
      <c r="U6725" s="204"/>
    </row>
    <row r="6726" spans="2:21" x14ac:dyDescent="0.2">
      <c r="B6726" s="203"/>
      <c r="C6726" s="237"/>
      <c r="D6726" s="202"/>
      <c r="E6726" s="202"/>
      <c r="U6726" s="204"/>
    </row>
    <row r="6727" spans="2:21" x14ac:dyDescent="0.2">
      <c r="B6727" s="203"/>
      <c r="C6727" s="237"/>
      <c r="D6727" s="202"/>
      <c r="E6727" s="202"/>
      <c r="U6727" s="204"/>
    </row>
    <row r="6728" spans="2:21" x14ac:dyDescent="0.2">
      <c r="B6728" s="203"/>
      <c r="C6728" s="237"/>
      <c r="D6728" s="202"/>
      <c r="E6728" s="202"/>
      <c r="U6728" s="204"/>
    </row>
    <row r="6729" spans="2:21" x14ac:dyDescent="0.2">
      <c r="B6729" s="203"/>
      <c r="C6729" s="237"/>
      <c r="D6729" s="202"/>
      <c r="E6729" s="202"/>
      <c r="U6729" s="204"/>
    </row>
    <row r="6730" spans="2:21" x14ac:dyDescent="0.2">
      <c r="B6730" s="203"/>
      <c r="C6730" s="237"/>
      <c r="D6730" s="202"/>
      <c r="E6730" s="202"/>
      <c r="U6730" s="204"/>
    </row>
    <row r="6731" spans="2:21" x14ac:dyDescent="0.2">
      <c r="B6731" s="203"/>
      <c r="C6731" s="237"/>
      <c r="D6731" s="202"/>
      <c r="E6731" s="202"/>
      <c r="U6731" s="204"/>
    </row>
    <row r="6732" spans="2:21" x14ac:dyDescent="0.2">
      <c r="B6732" s="203"/>
      <c r="C6732" s="237"/>
      <c r="D6732" s="202"/>
      <c r="E6732" s="202"/>
      <c r="U6732" s="204"/>
    </row>
    <row r="6733" spans="2:21" x14ac:dyDescent="0.2">
      <c r="B6733" s="203"/>
      <c r="C6733" s="237"/>
      <c r="D6733" s="202"/>
      <c r="E6733" s="202"/>
      <c r="U6733" s="204"/>
    </row>
    <row r="6734" spans="2:21" x14ac:dyDescent="0.2">
      <c r="B6734" s="203"/>
      <c r="C6734" s="237"/>
      <c r="D6734" s="202"/>
      <c r="E6734" s="202"/>
      <c r="U6734" s="204"/>
    </row>
    <row r="6735" spans="2:21" x14ac:dyDescent="0.2">
      <c r="B6735" s="203"/>
      <c r="C6735" s="237"/>
      <c r="D6735" s="202"/>
      <c r="E6735" s="202"/>
      <c r="U6735" s="204"/>
    </row>
    <row r="6736" spans="2:21" x14ac:dyDescent="0.2">
      <c r="B6736" s="203"/>
      <c r="C6736" s="237"/>
      <c r="D6736" s="202"/>
      <c r="E6736" s="202"/>
      <c r="U6736" s="204"/>
    </row>
    <row r="6737" spans="2:21" x14ac:dyDescent="0.2">
      <c r="B6737" s="203"/>
      <c r="C6737" s="237"/>
      <c r="D6737" s="202"/>
      <c r="E6737" s="202"/>
      <c r="U6737" s="204"/>
    </row>
    <row r="6738" spans="2:21" x14ac:dyDescent="0.2">
      <c r="B6738" s="203"/>
      <c r="C6738" s="237"/>
      <c r="D6738" s="202"/>
      <c r="E6738" s="202"/>
      <c r="U6738" s="204"/>
    </row>
    <row r="6739" spans="2:21" x14ac:dyDescent="0.2">
      <c r="B6739" s="203"/>
      <c r="C6739" s="237"/>
      <c r="D6739" s="202"/>
      <c r="E6739" s="202"/>
      <c r="U6739" s="204"/>
    </row>
    <row r="6740" spans="2:21" x14ac:dyDescent="0.2">
      <c r="B6740" s="203"/>
      <c r="C6740" s="237"/>
      <c r="D6740" s="202"/>
      <c r="E6740" s="202"/>
      <c r="U6740" s="204"/>
    </row>
    <row r="6741" spans="2:21" x14ac:dyDescent="0.2">
      <c r="B6741" s="203"/>
      <c r="C6741" s="237"/>
      <c r="D6741" s="202"/>
      <c r="E6741" s="202"/>
      <c r="U6741" s="204"/>
    </row>
    <row r="6742" spans="2:21" x14ac:dyDescent="0.2">
      <c r="B6742" s="203"/>
      <c r="C6742" s="237"/>
      <c r="D6742" s="202"/>
      <c r="E6742" s="202"/>
      <c r="U6742" s="204"/>
    </row>
    <row r="6743" spans="2:21" x14ac:dyDescent="0.2">
      <c r="B6743" s="203"/>
      <c r="C6743" s="237"/>
      <c r="D6743" s="202"/>
      <c r="E6743" s="202"/>
      <c r="U6743" s="204"/>
    </row>
    <row r="6744" spans="2:21" x14ac:dyDescent="0.2">
      <c r="B6744" s="203"/>
      <c r="C6744" s="237"/>
      <c r="D6744" s="202"/>
      <c r="E6744" s="202"/>
      <c r="U6744" s="204"/>
    </row>
    <row r="6745" spans="2:21" x14ac:dyDescent="0.2">
      <c r="B6745" s="203"/>
      <c r="C6745" s="237"/>
      <c r="D6745" s="202"/>
      <c r="E6745" s="202"/>
      <c r="U6745" s="204"/>
    </row>
    <row r="6746" spans="2:21" x14ac:dyDescent="0.2">
      <c r="B6746" s="203"/>
      <c r="C6746" s="237"/>
      <c r="D6746" s="202"/>
      <c r="E6746" s="202"/>
      <c r="U6746" s="204"/>
    </row>
    <row r="6747" spans="2:21" x14ac:dyDescent="0.2">
      <c r="B6747" s="203"/>
      <c r="C6747" s="237"/>
      <c r="D6747" s="202"/>
      <c r="E6747" s="202"/>
      <c r="U6747" s="204"/>
    </row>
    <row r="6748" spans="2:21" x14ac:dyDescent="0.2">
      <c r="B6748" s="203"/>
      <c r="C6748" s="237"/>
      <c r="D6748" s="202"/>
      <c r="E6748" s="202"/>
      <c r="U6748" s="204"/>
    </row>
    <row r="6749" spans="2:21" x14ac:dyDescent="0.2">
      <c r="B6749" s="203"/>
      <c r="C6749" s="237"/>
      <c r="D6749" s="202"/>
      <c r="E6749" s="202"/>
      <c r="U6749" s="204"/>
    </row>
    <row r="6750" spans="2:21" x14ac:dyDescent="0.2">
      <c r="B6750" s="203"/>
      <c r="C6750" s="237"/>
      <c r="D6750" s="202"/>
      <c r="E6750" s="202"/>
      <c r="U6750" s="204"/>
    </row>
    <row r="6751" spans="2:21" x14ac:dyDescent="0.2">
      <c r="B6751" s="203"/>
      <c r="C6751" s="237"/>
      <c r="D6751" s="202"/>
      <c r="E6751" s="202"/>
      <c r="U6751" s="204"/>
    </row>
    <row r="6752" spans="2:21" x14ac:dyDescent="0.2">
      <c r="B6752" s="203"/>
      <c r="C6752" s="237"/>
      <c r="D6752" s="202"/>
      <c r="E6752" s="202"/>
      <c r="U6752" s="204"/>
    </row>
    <row r="6753" spans="2:21" x14ac:dyDescent="0.2">
      <c r="B6753" s="203"/>
      <c r="C6753" s="237"/>
      <c r="D6753" s="202"/>
      <c r="E6753" s="202"/>
      <c r="U6753" s="204"/>
    </row>
    <row r="6754" spans="2:21" x14ac:dyDescent="0.2">
      <c r="B6754" s="203"/>
      <c r="C6754" s="237"/>
      <c r="D6754" s="202"/>
      <c r="E6754" s="202"/>
      <c r="U6754" s="204"/>
    </row>
    <row r="6755" spans="2:21" x14ac:dyDescent="0.2">
      <c r="B6755" s="203"/>
      <c r="C6755" s="237"/>
      <c r="D6755" s="202"/>
      <c r="E6755" s="202"/>
      <c r="U6755" s="204"/>
    </row>
    <row r="6756" spans="2:21" x14ac:dyDescent="0.2">
      <c r="B6756" s="203"/>
      <c r="C6756" s="237"/>
      <c r="D6756" s="202"/>
      <c r="E6756" s="202"/>
      <c r="U6756" s="204"/>
    </row>
    <row r="6757" spans="2:21" x14ac:dyDescent="0.2">
      <c r="B6757" s="203"/>
      <c r="C6757" s="237"/>
      <c r="D6757" s="202"/>
      <c r="E6757" s="202"/>
      <c r="U6757" s="204"/>
    </row>
    <row r="6758" spans="2:21" x14ac:dyDescent="0.2">
      <c r="B6758" s="203"/>
      <c r="C6758" s="237"/>
      <c r="D6758" s="202"/>
      <c r="E6758" s="202"/>
      <c r="U6758" s="204"/>
    </row>
    <row r="6759" spans="2:21" x14ac:dyDescent="0.2">
      <c r="B6759" s="203"/>
      <c r="C6759" s="237"/>
      <c r="D6759" s="202"/>
      <c r="E6759" s="202"/>
      <c r="U6759" s="204"/>
    </row>
    <row r="6760" spans="2:21" x14ac:dyDescent="0.2">
      <c r="B6760" s="203"/>
      <c r="C6760" s="237"/>
      <c r="D6760" s="202"/>
      <c r="E6760" s="202"/>
      <c r="U6760" s="204"/>
    </row>
    <row r="6761" spans="2:21" x14ac:dyDescent="0.2">
      <c r="B6761" s="203"/>
      <c r="C6761" s="237"/>
      <c r="D6761" s="202"/>
      <c r="E6761" s="202"/>
      <c r="U6761" s="204"/>
    </row>
    <row r="6762" spans="2:21" x14ac:dyDescent="0.2">
      <c r="B6762" s="203"/>
      <c r="C6762" s="237"/>
      <c r="D6762" s="202"/>
      <c r="E6762" s="202"/>
      <c r="U6762" s="204"/>
    </row>
    <row r="6763" spans="2:21" x14ac:dyDescent="0.2">
      <c r="B6763" s="203"/>
      <c r="C6763" s="237"/>
      <c r="D6763" s="202"/>
      <c r="E6763" s="202"/>
      <c r="U6763" s="204"/>
    </row>
    <row r="6764" spans="2:21" x14ac:dyDescent="0.2">
      <c r="B6764" s="203"/>
      <c r="C6764" s="237"/>
      <c r="D6764" s="202"/>
      <c r="E6764" s="202"/>
      <c r="U6764" s="204"/>
    </row>
    <row r="6765" spans="2:21" x14ac:dyDescent="0.2">
      <c r="B6765" s="203"/>
      <c r="C6765" s="237"/>
      <c r="D6765" s="202"/>
      <c r="E6765" s="202"/>
      <c r="U6765" s="204"/>
    </row>
    <row r="6766" spans="2:21" x14ac:dyDescent="0.2">
      <c r="B6766" s="203"/>
      <c r="C6766" s="237"/>
      <c r="D6766" s="202"/>
      <c r="E6766" s="202"/>
      <c r="U6766" s="204"/>
    </row>
    <row r="6767" spans="2:21" x14ac:dyDescent="0.2">
      <c r="B6767" s="203"/>
      <c r="C6767" s="237"/>
      <c r="D6767" s="202"/>
      <c r="E6767" s="202"/>
      <c r="U6767" s="204"/>
    </row>
    <row r="6768" spans="2:21" x14ac:dyDescent="0.2">
      <c r="B6768" s="203"/>
      <c r="C6768" s="237"/>
      <c r="D6768" s="202"/>
      <c r="E6768" s="202"/>
      <c r="U6768" s="204"/>
    </row>
    <row r="6769" spans="2:21" x14ac:dyDescent="0.2">
      <c r="B6769" s="203"/>
      <c r="C6769" s="237"/>
      <c r="D6769" s="202"/>
      <c r="E6769" s="202"/>
      <c r="U6769" s="204"/>
    </row>
    <row r="6770" spans="2:21" x14ac:dyDescent="0.2">
      <c r="B6770" s="203"/>
      <c r="C6770" s="237"/>
      <c r="D6770" s="202"/>
      <c r="E6770" s="202"/>
      <c r="U6770" s="204"/>
    </row>
    <row r="6771" spans="2:21" x14ac:dyDescent="0.2">
      <c r="B6771" s="203"/>
      <c r="C6771" s="237"/>
      <c r="D6771" s="202"/>
      <c r="E6771" s="202"/>
      <c r="U6771" s="204"/>
    </row>
    <row r="6772" spans="2:21" x14ac:dyDescent="0.2">
      <c r="B6772" s="203"/>
      <c r="C6772" s="237"/>
      <c r="D6772" s="202"/>
      <c r="E6772" s="202"/>
      <c r="U6772" s="204"/>
    </row>
    <row r="6773" spans="2:21" x14ac:dyDescent="0.2">
      <c r="B6773" s="203"/>
      <c r="C6773" s="237"/>
      <c r="D6773" s="202"/>
      <c r="E6773" s="202"/>
      <c r="U6773" s="204"/>
    </row>
    <row r="6774" spans="2:21" x14ac:dyDescent="0.2">
      <c r="B6774" s="203"/>
      <c r="C6774" s="237"/>
      <c r="D6774" s="202"/>
      <c r="E6774" s="202"/>
      <c r="U6774" s="204"/>
    </row>
    <row r="6775" spans="2:21" x14ac:dyDescent="0.2">
      <c r="B6775" s="203"/>
      <c r="C6775" s="237"/>
      <c r="D6775" s="202"/>
      <c r="E6775" s="202"/>
      <c r="U6775" s="204"/>
    </row>
    <row r="6776" spans="2:21" x14ac:dyDescent="0.2">
      <c r="B6776" s="203"/>
      <c r="C6776" s="237"/>
      <c r="D6776" s="202"/>
      <c r="E6776" s="202"/>
      <c r="U6776" s="204"/>
    </row>
    <row r="6777" spans="2:21" x14ac:dyDescent="0.2">
      <c r="B6777" s="203"/>
      <c r="C6777" s="237"/>
      <c r="D6777" s="202"/>
      <c r="E6777" s="202"/>
      <c r="U6777" s="204"/>
    </row>
    <row r="6778" spans="2:21" x14ac:dyDescent="0.2">
      <c r="B6778" s="203"/>
      <c r="C6778" s="237"/>
      <c r="D6778" s="202"/>
      <c r="E6778" s="202"/>
      <c r="U6778" s="204"/>
    </row>
    <row r="6779" spans="2:21" x14ac:dyDescent="0.2">
      <c r="B6779" s="203"/>
      <c r="C6779" s="237"/>
      <c r="D6779" s="202"/>
      <c r="E6779" s="202"/>
      <c r="U6779" s="204"/>
    </row>
    <row r="6780" spans="2:21" x14ac:dyDescent="0.2">
      <c r="B6780" s="203"/>
      <c r="C6780" s="237"/>
      <c r="D6780" s="202"/>
      <c r="E6780" s="202"/>
      <c r="U6780" s="204"/>
    </row>
    <row r="6781" spans="2:21" x14ac:dyDescent="0.2">
      <c r="B6781" s="203"/>
      <c r="C6781" s="237"/>
      <c r="D6781" s="202"/>
      <c r="E6781" s="202"/>
      <c r="U6781" s="204"/>
    </row>
    <row r="6782" spans="2:21" x14ac:dyDescent="0.2">
      <c r="B6782" s="203"/>
      <c r="C6782" s="237"/>
      <c r="D6782" s="202"/>
      <c r="E6782" s="202"/>
      <c r="U6782" s="204"/>
    </row>
    <row r="6783" spans="2:21" x14ac:dyDescent="0.2">
      <c r="B6783" s="203"/>
      <c r="C6783" s="237"/>
      <c r="D6783" s="202"/>
      <c r="E6783" s="202"/>
      <c r="U6783" s="204"/>
    </row>
    <row r="6784" spans="2:21" x14ac:dyDescent="0.2">
      <c r="B6784" s="203"/>
      <c r="C6784" s="237"/>
      <c r="D6784" s="202"/>
      <c r="E6784" s="202"/>
      <c r="U6784" s="204"/>
    </row>
    <row r="6785" spans="2:21" x14ac:dyDescent="0.2">
      <c r="B6785" s="203"/>
      <c r="C6785" s="237"/>
      <c r="D6785" s="202"/>
      <c r="E6785" s="202"/>
      <c r="U6785" s="204"/>
    </row>
    <row r="6786" spans="2:21" x14ac:dyDescent="0.2">
      <c r="B6786" s="203"/>
      <c r="C6786" s="237"/>
      <c r="D6786" s="202"/>
      <c r="E6786" s="202"/>
      <c r="U6786" s="204"/>
    </row>
    <row r="6787" spans="2:21" x14ac:dyDescent="0.2">
      <c r="B6787" s="203"/>
      <c r="C6787" s="237"/>
      <c r="D6787" s="202"/>
      <c r="E6787" s="202"/>
      <c r="U6787" s="204"/>
    </row>
    <row r="6788" spans="2:21" x14ac:dyDescent="0.2">
      <c r="B6788" s="203"/>
      <c r="C6788" s="237"/>
      <c r="D6788" s="202"/>
      <c r="E6788" s="202"/>
      <c r="U6788" s="204"/>
    </row>
    <row r="6789" spans="2:21" x14ac:dyDescent="0.2">
      <c r="B6789" s="203"/>
      <c r="C6789" s="237"/>
      <c r="D6789" s="202"/>
      <c r="E6789" s="202"/>
      <c r="U6789" s="204"/>
    </row>
    <row r="6790" spans="2:21" x14ac:dyDescent="0.2">
      <c r="B6790" s="203"/>
      <c r="C6790" s="237"/>
      <c r="D6790" s="202"/>
      <c r="E6790" s="202"/>
      <c r="U6790" s="204"/>
    </row>
    <row r="6791" spans="2:21" x14ac:dyDescent="0.2">
      <c r="B6791" s="203"/>
      <c r="C6791" s="237"/>
      <c r="D6791" s="202"/>
      <c r="E6791" s="202"/>
      <c r="U6791" s="204"/>
    </row>
    <row r="6792" spans="2:21" x14ac:dyDescent="0.2">
      <c r="B6792" s="203"/>
      <c r="C6792" s="237"/>
      <c r="D6792" s="202"/>
      <c r="E6792" s="202"/>
      <c r="U6792" s="204"/>
    </row>
    <row r="6793" spans="2:21" x14ac:dyDescent="0.2">
      <c r="B6793" s="203"/>
      <c r="C6793" s="237"/>
      <c r="D6793" s="202"/>
      <c r="E6793" s="202"/>
      <c r="U6793" s="204"/>
    </row>
    <row r="6794" spans="2:21" x14ac:dyDescent="0.2">
      <c r="B6794" s="203"/>
      <c r="C6794" s="237"/>
      <c r="D6794" s="202"/>
      <c r="E6794" s="202"/>
      <c r="U6794" s="204"/>
    </row>
    <row r="6795" spans="2:21" x14ac:dyDescent="0.2">
      <c r="B6795" s="203"/>
      <c r="C6795" s="237"/>
      <c r="D6795" s="202"/>
      <c r="E6795" s="202"/>
      <c r="U6795" s="204"/>
    </row>
    <row r="6796" spans="2:21" x14ac:dyDescent="0.2">
      <c r="B6796" s="203"/>
      <c r="C6796" s="237"/>
      <c r="D6796" s="202"/>
      <c r="E6796" s="202"/>
      <c r="U6796" s="204"/>
    </row>
    <row r="6797" spans="2:21" x14ac:dyDescent="0.2">
      <c r="B6797" s="203"/>
      <c r="C6797" s="237"/>
      <c r="D6797" s="202"/>
      <c r="E6797" s="202"/>
      <c r="U6797" s="204"/>
    </row>
    <row r="6798" spans="2:21" x14ac:dyDescent="0.2">
      <c r="B6798" s="203"/>
      <c r="C6798" s="237"/>
      <c r="D6798" s="202"/>
      <c r="E6798" s="202"/>
      <c r="U6798" s="204"/>
    </row>
    <row r="6799" spans="2:21" x14ac:dyDescent="0.2">
      <c r="B6799" s="203"/>
      <c r="C6799" s="237"/>
      <c r="D6799" s="202"/>
      <c r="E6799" s="202"/>
      <c r="U6799" s="204"/>
    </row>
    <row r="6800" spans="2:21" x14ac:dyDescent="0.2">
      <c r="B6800" s="203"/>
      <c r="C6800" s="237"/>
      <c r="D6800" s="202"/>
      <c r="E6800" s="202"/>
      <c r="U6800" s="204"/>
    </row>
    <row r="6801" spans="2:21" x14ac:dyDescent="0.2">
      <c r="B6801" s="203"/>
      <c r="C6801" s="237"/>
      <c r="D6801" s="202"/>
      <c r="E6801" s="202"/>
      <c r="U6801" s="204"/>
    </row>
    <row r="6802" spans="2:21" x14ac:dyDescent="0.2">
      <c r="B6802" s="203"/>
      <c r="C6802" s="237"/>
      <c r="D6802" s="202"/>
      <c r="E6802" s="202"/>
      <c r="U6802" s="204"/>
    </row>
    <row r="6803" spans="2:21" x14ac:dyDescent="0.2">
      <c r="B6803" s="203"/>
      <c r="C6803" s="237"/>
      <c r="D6803" s="202"/>
      <c r="E6803" s="202"/>
      <c r="U6803" s="204"/>
    </row>
    <row r="6804" spans="2:21" x14ac:dyDescent="0.2">
      <c r="B6804" s="203"/>
      <c r="C6804" s="237"/>
      <c r="D6804" s="202"/>
      <c r="E6804" s="202"/>
      <c r="U6804" s="204"/>
    </row>
    <row r="6805" spans="2:21" x14ac:dyDescent="0.2">
      <c r="B6805" s="203"/>
      <c r="C6805" s="237"/>
      <c r="D6805" s="202"/>
      <c r="E6805" s="202"/>
      <c r="U6805" s="204"/>
    </row>
    <row r="6806" spans="2:21" x14ac:dyDescent="0.2">
      <c r="B6806" s="203"/>
      <c r="C6806" s="237"/>
      <c r="D6806" s="202"/>
      <c r="E6806" s="202"/>
      <c r="U6806" s="204"/>
    </row>
    <row r="6807" spans="2:21" x14ac:dyDescent="0.2">
      <c r="B6807" s="203"/>
      <c r="C6807" s="237"/>
      <c r="D6807" s="202"/>
      <c r="E6807" s="202"/>
      <c r="U6807" s="204"/>
    </row>
    <row r="6808" spans="2:21" x14ac:dyDescent="0.2">
      <c r="B6808" s="203"/>
      <c r="C6808" s="237"/>
      <c r="D6808" s="202"/>
      <c r="E6808" s="202"/>
      <c r="U6808" s="204"/>
    </row>
    <row r="6809" spans="2:21" x14ac:dyDescent="0.2">
      <c r="B6809" s="203"/>
      <c r="C6809" s="237"/>
      <c r="D6809" s="202"/>
      <c r="E6809" s="202"/>
      <c r="U6809" s="204"/>
    </row>
    <row r="6810" spans="2:21" x14ac:dyDescent="0.2">
      <c r="B6810" s="203"/>
      <c r="C6810" s="237"/>
      <c r="D6810" s="202"/>
      <c r="E6810" s="202"/>
      <c r="U6810" s="204"/>
    </row>
    <row r="6811" spans="2:21" x14ac:dyDescent="0.2">
      <c r="B6811" s="203"/>
      <c r="C6811" s="237"/>
      <c r="D6811" s="202"/>
      <c r="E6811" s="202"/>
      <c r="U6811" s="204"/>
    </row>
    <row r="6812" spans="2:21" x14ac:dyDescent="0.2">
      <c r="B6812" s="203"/>
      <c r="C6812" s="237"/>
      <c r="D6812" s="202"/>
      <c r="E6812" s="202"/>
      <c r="U6812" s="204"/>
    </row>
    <row r="6813" spans="2:21" x14ac:dyDescent="0.2">
      <c r="B6813" s="203"/>
      <c r="C6813" s="237"/>
      <c r="D6813" s="202"/>
      <c r="E6813" s="202"/>
      <c r="U6813" s="204"/>
    </row>
    <row r="6814" spans="2:21" x14ac:dyDescent="0.2">
      <c r="B6814" s="203"/>
      <c r="C6814" s="237"/>
      <c r="D6814" s="202"/>
      <c r="E6814" s="202"/>
      <c r="U6814" s="204"/>
    </row>
    <row r="6815" spans="2:21" x14ac:dyDescent="0.2">
      <c r="B6815" s="203"/>
      <c r="C6815" s="237"/>
      <c r="D6815" s="202"/>
      <c r="E6815" s="202"/>
      <c r="U6815" s="204"/>
    </row>
    <row r="6816" spans="2:21" x14ac:dyDescent="0.2">
      <c r="B6816" s="203"/>
      <c r="C6816" s="237"/>
      <c r="D6816" s="202"/>
      <c r="E6816" s="202"/>
      <c r="U6816" s="204"/>
    </row>
    <row r="6817" spans="2:21" x14ac:dyDescent="0.2">
      <c r="B6817" s="203"/>
      <c r="C6817" s="237"/>
      <c r="D6817" s="202"/>
      <c r="E6817" s="202"/>
      <c r="U6817" s="204"/>
    </row>
    <row r="6818" spans="2:21" x14ac:dyDescent="0.2">
      <c r="B6818" s="203"/>
      <c r="C6818" s="237"/>
      <c r="D6818" s="202"/>
      <c r="E6818" s="202"/>
      <c r="U6818" s="204"/>
    </row>
    <row r="6819" spans="2:21" x14ac:dyDescent="0.2">
      <c r="B6819" s="203"/>
      <c r="C6819" s="237"/>
      <c r="D6819" s="202"/>
      <c r="E6819" s="202"/>
      <c r="U6819" s="204"/>
    </row>
    <row r="6820" spans="2:21" x14ac:dyDescent="0.2">
      <c r="B6820" s="203"/>
      <c r="C6820" s="237"/>
      <c r="D6820" s="202"/>
      <c r="E6820" s="202"/>
      <c r="U6820" s="204"/>
    </row>
    <row r="6821" spans="2:21" x14ac:dyDescent="0.2">
      <c r="B6821" s="203"/>
      <c r="C6821" s="237"/>
      <c r="D6821" s="202"/>
      <c r="E6821" s="202"/>
      <c r="U6821" s="204"/>
    </row>
    <row r="6822" spans="2:21" x14ac:dyDescent="0.2">
      <c r="B6822" s="203"/>
      <c r="C6822" s="237"/>
      <c r="D6822" s="202"/>
      <c r="E6822" s="202"/>
      <c r="U6822" s="204"/>
    </row>
    <row r="6823" spans="2:21" x14ac:dyDescent="0.2">
      <c r="B6823" s="203"/>
      <c r="C6823" s="237"/>
      <c r="D6823" s="202"/>
      <c r="E6823" s="202"/>
      <c r="U6823" s="204"/>
    </row>
    <row r="6824" spans="2:21" x14ac:dyDescent="0.2">
      <c r="B6824" s="203"/>
      <c r="C6824" s="237"/>
      <c r="D6824" s="202"/>
      <c r="E6824" s="202"/>
      <c r="U6824" s="204"/>
    </row>
    <row r="6825" spans="2:21" x14ac:dyDescent="0.2">
      <c r="B6825" s="203"/>
      <c r="C6825" s="237"/>
      <c r="D6825" s="202"/>
      <c r="E6825" s="202"/>
      <c r="U6825" s="204"/>
    </row>
    <row r="6826" spans="2:21" x14ac:dyDescent="0.2">
      <c r="B6826" s="203"/>
      <c r="C6826" s="237"/>
      <c r="D6826" s="202"/>
      <c r="E6826" s="202"/>
      <c r="U6826" s="204"/>
    </row>
    <row r="6827" spans="2:21" x14ac:dyDescent="0.2">
      <c r="B6827" s="203"/>
      <c r="C6827" s="237"/>
      <c r="D6827" s="202"/>
      <c r="E6827" s="202"/>
      <c r="U6827" s="204"/>
    </row>
    <row r="6828" spans="2:21" x14ac:dyDescent="0.2">
      <c r="B6828" s="203"/>
      <c r="C6828" s="237"/>
      <c r="D6828" s="202"/>
      <c r="E6828" s="202"/>
      <c r="U6828" s="204"/>
    </row>
    <row r="6829" spans="2:21" x14ac:dyDescent="0.2">
      <c r="B6829" s="203"/>
      <c r="C6829" s="237"/>
      <c r="D6829" s="202"/>
      <c r="E6829" s="202"/>
      <c r="U6829" s="204"/>
    </row>
    <row r="6830" spans="2:21" x14ac:dyDescent="0.2">
      <c r="B6830" s="203"/>
      <c r="C6830" s="237"/>
      <c r="D6830" s="202"/>
      <c r="E6830" s="202"/>
      <c r="U6830" s="204"/>
    </row>
    <row r="6831" spans="2:21" x14ac:dyDescent="0.2">
      <c r="B6831" s="203"/>
      <c r="C6831" s="237"/>
      <c r="D6831" s="202"/>
      <c r="E6831" s="202"/>
      <c r="U6831" s="204"/>
    </row>
    <row r="6832" spans="2:21" x14ac:dyDescent="0.2">
      <c r="B6832" s="203"/>
      <c r="C6832" s="237"/>
      <c r="D6832" s="202"/>
      <c r="E6832" s="202"/>
      <c r="U6832" s="204"/>
    </row>
    <row r="6833" spans="2:21" x14ac:dyDescent="0.2">
      <c r="B6833" s="203"/>
      <c r="C6833" s="237"/>
      <c r="D6833" s="202"/>
      <c r="E6833" s="202"/>
      <c r="U6833" s="204"/>
    </row>
    <row r="6834" spans="2:21" x14ac:dyDescent="0.2">
      <c r="B6834" s="203"/>
      <c r="C6834" s="237"/>
      <c r="D6834" s="202"/>
      <c r="E6834" s="202"/>
      <c r="U6834" s="204"/>
    </row>
    <row r="6835" spans="2:21" x14ac:dyDescent="0.2">
      <c r="B6835" s="203"/>
      <c r="C6835" s="237"/>
      <c r="D6835" s="202"/>
      <c r="E6835" s="202"/>
      <c r="U6835" s="204"/>
    </row>
    <row r="6836" spans="2:21" x14ac:dyDescent="0.2">
      <c r="B6836" s="203"/>
      <c r="C6836" s="237"/>
      <c r="D6836" s="202"/>
      <c r="E6836" s="202"/>
      <c r="U6836" s="204"/>
    </row>
    <row r="6837" spans="2:21" x14ac:dyDescent="0.2">
      <c r="B6837" s="203"/>
      <c r="C6837" s="237"/>
      <c r="D6837" s="202"/>
      <c r="E6837" s="202"/>
      <c r="U6837" s="204"/>
    </row>
    <row r="6838" spans="2:21" x14ac:dyDescent="0.2">
      <c r="B6838" s="203"/>
      <c r="C6838" s="237"/>
      <c r="D6838" s="202"/>
      <c r="E6838" s="202"/>
      <c r="U6838" s="204"/>
    </row>
    <row r="6839" spans="2:21" x14ac:dyDescent="0.2">
      <c r="B6839" s="203"/>
      <c r="C6839" s="237"/>
      <c r="D6839" s="202"/>
      <c r="E6839" s="202"/>
      <c r="U6839" s="204"/>
    </row>
    <row r="6840" spans="2:21" x14ac:dyDescent="0.2">
      <c r="B6840" s="203"/>
      <c r="C6840" s="237"/>
      <c r="D6840" s="202"/>
      <c r="E6840" s="202"/>
      <c r="U6840" s="204"/>
    </row>
    <row r="6841" spans="2:21" x14ac:dyDescent="0.2">
      <c r="B6841" s="203"/>
      <c r="C6841" s="237"/>
      <c r="D6841" s="202"/>
      <c r="E6841" s="202"/>
      <c r="U6841" s="204"/>
    </row>
    <row r="6842" spans="2:21" x14ac:dyDescent="0.2">
      <c r="B6842" s="203"/>
      <c r="C6842" s="237"/>
      <c r="D6842" s="202"/>
      <c r="E6842" s="202"/>
      <c r="U6842" s="204"/>
    </row>
    <row r="6843" spans="2:21" x14ac:dyDescent="0.2">
      <c r="B6843" s="203"/>
      <c r="C6843" s="237"/>
      <c r="D6843" s="202"/>
      <c r="E6843" s="202"/>
      <c r="U6843" s="204"/>
    </row>
    <row r="6844" spans="2:21" x14ac:dyDescent="0.2">
      <c r="B6844" s="203"/>
      <c r="C6844" s="237"/>
      <c r="D6844" s="202"/>
      <c r="E6844" s="202"/>
      <c r="U6844" s="204"/>
    </row>
    <row r="6845" spans="2:21" x14ac:dyDescent="0.2">
      <c r="B6845" s="203"/>
      <c r="C6845" s="237"/>
      <c r="D6845" s="202"/>
      <c r="E6845" s="202"/>
      <c r="U6845" s="204"/>
    </row>
    <row r="6846" spans="2:21" x14ac:dyDescent="0.2">
      <c r="B6846" s="203"/>
      <c r="C6846" s="237"/>
      <c r="D6846" s="202"/>
      <c r="E6846" s="202"/>
      <c r="U6846" s="204"/>
    </row>
    <row r="6847" spans="2:21" x14ac:dyDescent="0.2">
      <c r="B6847" s="203"/>
      <c r="C6847" s="237"/>
      <c r="D6847" s="202"/>
      <c r="E6847" s="202"/>
      <c r="U6847" s="204"/>
    </row>
    <row r="6848" spans="2:21" x14ac:dyDescent="0.2">
      <c r="B6848" s="203"/>
      <c r="C6848" s="237"/>
      <c r="D6848" s="202"/>
      <c r="E6848" s="202"/>
      <c r="U6848" s="204"/>
    </row>
    <row r="6849" spans="2:21" x14ac:dyDescent="0.2">
      <c r="B6849" s="203"/>
      <c r="C6849" s="237"/>
      <c r="D6849" s="202"/>
      <c r="E6849" s="202"/>
      <c r="U6849" s="204"/>
    </row>
    <row r="6850" spans="2:21" x14ac:dyDescent="0.2">
      <c r="B6850" s="203"/>
      <c r="C6850" s="237"/>
      <c r="D6850" s="202"/>
      <c r="E6850" s="202"/>
      <c r="U6850" s="204"/>
    </row>
    <row r="6851" spans="2:21" x14ac:dyDescent="0.2">
      <c r="B6851" s="203"/>
      <c r="C6851" s="237"/>
      <c r="D6851" s="202"/>
      <c r="E6851" s="202"/>
      <c r="U6851" s="204"/>
    </row>
    <row r="6852" spans="2:21" x14ac:dyDescent="0.2">
      <c r="B6852" s="203"/>
      <c r="C6852" s="237"/>
      <c r="D6852" s="202"/>
      <c r="E6852" s="202"/>
      <c r="U6852" s="204"/>
    </row>
    <row r="6853" spans="2:21" x14ac:dyDescent="0.2">
      <c r="B6853" s="203"/>
      <c r="C6853" s="237"/>
      <c r="D6853" s="202"/>
      <c r="E6853" s="202"/>
      <c r="U6853" s="204"/>
    </row>
    <row r="6854" spans="2:21" x14ac:dyDescent="0.2">
      <c r="B6854" s="203"/>
      <c r="C6854" s="237"/>
      <c r="D6854" s="202"/>
      <c r="E6854" s="202"/>
      <c r="U6854" s="204"/>
    </row>
    <row r="6855" spans="2:21" x14ac:dyDescent="0.2">
      <c r="B6855" s="203"/>
      <c r="C6855" s="237"/>
      <c r="D6855" s="202"/>
      <c r="E6855" s="202"/>
      <c r="U6855" s="204"/>
    </row>
    <row r="6856" spans="2:21" x14ac:dyDescent="0.2">
      <c r="B6856" s="203"/>
      <c r="C6856" s="237"/>
      <c r="D6856" s="202"/>
      <c r="E6856" s="202"/>
      <c r="U6856" s="204"/>
    </row>
    <row r="6857" spans="2:21" x14ac:dyDescent="0.2">
      <c r="B6857" s="203"/>
      <c r="C6857" s="237"/>
      <c r="D6857" s="202"/>
      <c r="E6857" s="202"/>
      <c r="U6857" s="204"/>
    </row>
    <row r="6858" spans="2:21" x14ac:dyDescent="0.2">
      <c r="B6858" s="203"/>
      <c r="C6858" s="237"/>
      <c r="D6858" s="202"/>
      <c r="E6858" s="202"/>
      <c r="U6858" s="204"/>
    </row>
    <row r="6859" spans="2:21" x14ac:dyDescent="0.2">
      <c r="B6859" s="203"/>
      <c r="C6859" s="237"/>
      <c r="D6859" s="202"/>
      <c r="E6859" s="202"/>
      <c r="U6859" s="204"/>
    </row>
    <row r="6860" spans="2:21" x14ac:dyDescent="0.2">
      <c r="B6860" s="203"/>
      <c r="C6860" s="237"/>
      <c r="D6860" s="202"/>
      <c r="E6860" s="202"/>
      <c r="U6860" s="204"/>
    </row>
    <row r="6861" spans="2:21" x14ac:dyDescent="0.2">
      <c r="B6861" s="203"/>
      <c r="C6861" s="237"/>
      <c r="D6861" s="202"/>
      <c r="E6861" s="202"/>
      <c r="U6861" s="204"/>
    </row>
    <row r="6862" spans="2:21" x14ac:dyDescent="0.2">
      <c r="B6862" s="203"/>
      <c r="C6862" s="237"/>
      <c r="D6862" s="202"/>
      <c r="E6862" s="202"/>
      <c r="U6862" s="204"/>
    </row>
    <row r="6863" spans="2:21" x14ac:dyDescent="0.2">
      <c r="B6863" s="203"/>
      <c r="C6863" s="237"/>
      <c r="D6863" s="202"/>
      <c r="E6863" s="202"/>
      <c r="U6863" s="204"/>
    </row>
    <row r="6864" spans="2:21" x14ac:dyDescent="0.2">
      <c r="B6864" s="203"/>
      <c r="C6864" s="237"/>
      <c r="D6864" s="202"/>
      <c r="E6864" s="202"/>
      <c r="U6864" s="204"/>
    </row>
    <row r="6865" spans="2:21" x14ac:dyDescent="0.2">
      <c r="B6865" s="203"/>
      <c r="C6865" s="237"/>
      <c r="D6865" s="202"/>
      <c r="E6865" s="202"/>
      <c r="U6865" s="204"/>
    </row>
    <row r="6866" spans="2:21" x14ac:dyDescent="0.2">
      <c r="B6866" s="203"/>
      <c r="C6866" s="237"/>
      <c r="D6866" s="202"/>
      <c r="E6866" s="202"/>
      <c r="U6866" s="204"/>
    </row>
    <row r="6867" spans="2:21" x14ac:dyDescent="0.2">
      <c r="B6867" s="203"/>
      <c r="C6867" s="237"/>
      <c r="D6867" s="202"/>
      <c r="E6867" s="202"/>
      <c r="U6867" s="204"/>
    </row>
    <row r="6868" spans="2:21" x14ac:dyDescent="0.2">
      <c r="B6868" s="203"/>
      <c r="C6868" s="237"/>
      <c r="D6868" s="202"/>
      <c r="E6868" s="202"/>
      <c r="U6868" s="204"/>
    </row>
    <row r="6869" spans="2:21" x14ac:dyDescent="0.2">
      <c r="B6869" s="203"/>
      <c r="C6869" s="237"/>
      <c r="D6869" s="202"/>
      <c r="E6869" s="202"/>
      <c r="U6869" s="204"/>
    </row>
    <row r="6870" spans="2:21" x14ac:dyDescent="0.2">
      <c r="B6870" s="203"/>
      <c r="C6870" s="237"/>
      <c r="D6870" s="202"/>
      <c r="E6870" s="202"/>
      <c r="U6870" s="204"/>
    </row>
    <row r="6871" spans="2:21" x14ac:dyDescent="0.2">
      <c r="B6871" s="203"/>
      <c r="C6871" s="237"/>
      <c r="D6871" s="202"/>
      <c r="E6871" s="202"/>
      <c r="U6871" s="204"/>
    </row>
    <row r="6872" spans="2:21" x14ac:dyDescent="0.2">
      <c r="B6872" s="203"/>
      <c r="C6872" s="237"/>
      <c r="D6872" s="202"/>
      <c r="E6872" s="202"/>
      <c r="U6872" s="204"/>
    </row>
    <row r="6873" spans="2:21" x14ac:dyDescent="0.2">
      <c r="B6873" s="203"/>
      <c r="C6873" s="237"/>
      <c r="D6873" s="202"/>
      <c r="E6873" s="202"/>
      <c r="U6873" s="204"/>
    </row>
    <row r="6874" spans="2:21" x14ac:dyDescent="0.2">
      <c r="B6874" s="203"/>
      <c r="C6874" s="237"/>
      <c r="D6874" s="202"/>
      <c r="E6874" s="202"/>
      <c r="U6874" s="204"/>
    </row>
    <row r="6875" spans="2:21" x14ac:dyDescent="0.2">
      <c r="B6875" s="203"/>
      <c r="C6875" s="237"/>
      <c r="D6875" s="202"/>
      <c r="E6875" s="202"/>
      <c r="U6875" s="204"/>
    </row>
    <row r="6876" spans="2:21" x14ac:dyDescent="0.2">
      <c r="B6876" s="203"/>
      <c r="C6876" s="237"/>
      <c r="D6876" s="202"/>
      <c r="E6876" s="202"/>
      <c r="U6876" s="204"/>
    </row>
    <row r="6877" spans="2:21" x14ac:dyDescent="0.2">
      <c r="B6877" s="203"/>
      <c r="C6877" s="237"/>
      <c r="D6877" s="202"/>
      <c r="E6877" s="202"/>
      <c r="U6877" s="204"/>
    </row>
    <row r="6878" spans="2:21" x14ac:dyDescent="0.2">
      <c r="B6878" s="203"/>
      <c r="C6878" s="237"/>
      <c r="D6878" s="202"/>
      <c r="E6878" s="202"/>
      <c r="U6878" s="204"/>
    </row>
    <row r="6879" spans="2:21" x14ac:dyDescent="0.2">
      <c r="B6879" s="203"/>
      <c r="C6879" s="237"/>
      <c r="D6879" s="202"/>
      <c r="E6879" s="202"/>
      <c r="U6879" s="204"/>
    </row>
    <row r="6880" spans="2:21" x14ac:dyDescent="0.2">
      <c r="B6880" s="203"/>
      <c r="C6880" s="237"/>
      <c r="D6880" s="202"/>
      <c r="E6880" s="202"/>
      <c r="U6880" s="204"/>
    </row>
    <row r="6881" spans="2:21" x14ac:dyDescent="0.2">
      <c r="B6881" s="203"/>
      <c r="C6881" s="237"/>
      <c r="D6881" s="202"/>
      <c r="E6881" s="202"/>
      <c r="U6881" s="204"/>
    </row>
    <row r="6882" spans="2:21" x14ac:dyDescent="0.2">
      <c r="B6882" s="203"/>
      <c r="C6882" s="237"/>
      <c r="D6882" s="202"/>
      <c r="E6882" s="202"/>
      <c r="U6882" s="204"/>
    </row>
    <row r="6883" spans="2:21" x14ac:dyDescent="0.2">
      <c r="B6883" s="203"/>
      <c r="C6883" s="237"/>
      <c r="D6883" s="202"/>
      <c r="E6883" s="202"/>
      <c r="U6883" s="204"/>
    </row>
    <row r="6884" spans="2:21" x14ac:dyDescent="0.2">
      <c r="B6884" s="203"/>
      <c r="C6884" s="237"/>
      <c r="D6884" s="202"/>
      <c r="E6884" s="202"/>
      <c r="U6884" s="204"/>
    </row>
    <row r="6885" spans="2:21" x14ac:dyDescent="0.2">
      <c r="B6885" s="203"/>
      <c r="C6885" s="237"/>
      <c r="D6885" s="202"/>
      <c r="E6885" s="202"/>
      <c r="U6885" s="204"/>
    </row>
    <row r="6886" spans="2:21" x14ac:dyDescent="0.2">
      <c r="B6886" s="203"/>
      <c r="C6886" s="237"/>
      <c r="D6886" s="202"/>
      <c r="E6886" s="202"/>
      <c r="U6886" s="204"/>
    </row>
    <row r="6887" spans="2:21" x14ac:dyDescent="0.2">
      <c r="B6887" s="203"/>
      <c r="C6887" s="237"/>
      <c r="D6887" s="202"/>
      <c r="E6887" s="202"/>
      <c r="U6887" s="204"/>
    </row>
    <row r="6888" spans="2:21" x14ac:dyDescent="0.2">
      <c r="B6888" s="203"/>
      <c r="C6888" s="237"/>
      <c r="D6888" s="202"/>
      <c r="E6888" s="202"/>
      <c r="U6888" s="204"/>
    </row>
    <row r="6889" spans="2:21" x14ac:dyDescent="0.2">
      <c r="B6889" s="203"/>
      <c r="C6889" s="237"/>
      <c r="D6889" s="202"/>
      <c r="E6889" s="202"/>
      <c r="U6889" s="204"/>
    </row>
    <row r="6890" spans="2:21" x14ac:dyDescent="0.2">
      <c r="B6890" s="203"/>
      <c r="C6890" s="237"/>
      <c r="D6890" s="202"/>
      <c r="E6890" s="202"/>
      <c r="U6890" s="204"/>
    </row>
    <row r="6891" spans="2:21" x14ac:dyDescent="0.2">
      <c r="B6891" s="203"/>
      <c r="C6891" s="237"/>
      <c r="D6891" s="202"/>
      <c r="E6891" s="202"/>
      <c r="U6891" s="204"/>
    </row>
    <row r="6892" spans="2:21" x14ac:dyDescent="0.2">
      <c r="B6892" s="203"/>
      <c r="C6892" s="237"/>
      <c r="D6892" s="202"/>
      <c r="E6892" s="202"/>
      <c r="U6892" s="204"/>
    </row>
    <row r="6893" spans="2:21" x14ac:dyDescent="0.2">
      <c r="B6893" s="203"/>
      <c r="C6893" s="237"/>
      <c r="D6893" s="202"/>
      <c r="E6893" s="202"/>
      <c r="U6893" s="204"/>
    </row>
    <row r="6894" spans="2:21" x14ac:dyDescent="0.2">
      <c r="B6894" s="203"/>
      <c r="C6894" s="237"/>
      <c r="D6894" s="202"/>
      <c r="E6894" s="202"/>
      <c r="U6894" s="204"/>
    </row>
    <row r="6895" spans="2:21" x14ac:dyDescent="0.2">
      <c r="B6895" s="203"/>
      <c r="C6895" s="237"/>
      <c r="D6895" s="202"/>
      <c r="E6895" s="202"/>
      <c r="U6895" s="204"/>
    </row>
    <row r="6896" spans="2:21" x14ac:dyDescent="0.2">
      <c r="B6896" s="203"/>
      <c r="C6896" s="237"/>
      <c r="D6896" s="202"/>
      <c r="E6896" s="202"/>
      <c r="U6896" s="204"/>
    </row>
    <row r="6897" spans="2:21" x14ac:dyDescent="0.2">
      <c r="B6897" s="203"/>
      <c r="C6897" s="237"/>
      <c r="D6897" s="202"/>
      <c r="E6897" s="202"/>
      <c r="U6897" s="204"/>
    </row>
    <row r="6898" spans="2:21" x14ac:dyDescent="0.2">
      <c r="B6898" s="203"/>
      <c r="C6898" s="237"/>
      <c r="D6898" s="202"/>
      <c r="E6898" s="202"/>
      <c r="U6898" s="204"/>
    </row>
    <row r="6899" spans="2:21" x14ac:dyDescent="0.2">
      <c r="B6899" s="203"/>
      <c r="C6899" s="237"/>
      <c r="D6899" s="202"/>
      <c r="E6899" s="202"/>
      <c r="U6899" s="204"/>
    </row>
    <row r="6900" spans="2:21" x14ac:dyDescent="0.2">
      <c r="B6900" s="203"/>
      <c r="C6900" s="237"/>
      <c r="D6900" s="202"/>
      <c r="E6900" s="202"/>
      <c r="U6900" s="204"/>
    </row>
    <row r="6901" spans="2:21" x14ac:dyDescent="0.2">
      <c r="B6901" s="203"/>
      <c r="C6901" s="237"/>
      <c r="D6901" s="202"/>
      <c r="E6901" s="202"/>
      <c r="U6901" s="204"/>
    </row>
    <row r="6902" spans="2:21" x14ac:dyDescent="0.2">
      <c r="B6902" s="203"/>
      <c r="C6902" s="237"/>
      <c r="D6902" s="202"/>
      <c r="E6902" s="202"/>
      <c r="U6902" s="204"/>
    </row>
    <row r="6903" spans="2:21" x14ac:dyDescent="0.2">
      <c r="B6903" s="203"/>
      <c r="C6903" s="237"/>
      <c r="D6903" s="202"/>
      <c r="E6903" s="202"/>
      <c r="U6903" s="204"/>
    </row>
    <row r="6904" spans="2:21" x14ac:dyDescent="0.2">
      <c r="B6904" s="203"/>
      <c r="C6904" s="237"/>
      <c r="D6904" s="202"/>
      <c r="E6904" s="202"/>
      <c r="U6904" s="204"/>
    </row>
    <row r="6905" spans="2:21" x14ac:dyDescent="0.2">
      <c r="B6905" s="203"/>
      <c r="C6905" s="237"/>
      <c r="D6905" s="202"/>
      <c r="E6905" s="202"/>
      <c r="U6905" s="204"/>
    </row>
    <row r="6906" spans="2:21" x14ac:dyDescent="0.2">
      <c r="B6906" s="203"/>
      <c r="C6906" s="237"/>
      <c r="D6906" s="202"/>
      <c r="E6906" s="202"/>
      <c r="U6906" s="204"/>
    </row>
    <row r="6907" spans="2:21" x14ac:dyDescent="0.2">
      <c r="B6907" s="203"/>
      <c r="C6907" s="237"/>
      <c r="D6907" s="202"/>
      <c r="E6907" s="202"/>
      <c r="U6907" s="204"/>
    </row>
    <row r="6908" spans="2:21" x14ac:dyDescent="0.2">
      <c r="B6908" s="203"/>
      <c r="C6908" s="237"/>
      <c r="D6908" s="202"/>
      <c r="E6908" s="202"/>
      <c r="U6908" s="204"/>
    </row>
    <row r="6909" spans="2:21" x14ac:dyDescent="0.2">
      <c r="B6909" s="203"/>
      <c r="C6909" s="237"/>
      <c r="D6909" s="202"/>
      <c r="E6909" s="202"/>
      <c r="U6909" s="204"/>
    </row>
    <row r="6910" spans="2:21" x14ac:dyDescent="0.2">
      <c r="B6910" s="203"/>
      <c r="C6910" s="237"/>
      <c r="D6910" s="202"/>
      <c r="E6910" s="202"/>
      <c r="U6910" s="204"/>
    </row>
    <row r="6911" spans="2:21" x14ac:dyDescent="0.2">
      <c r="B6911" s="203"/>
      <c r="C6911" s="237"/>
      <c r="D6911" s="202"/>
      <c r="E6911" s="202"/>
      <c r="U6911" s="204"/>
    </row>
    <row r="6912" spans="2:21" x14ac:dyDescent="0.2">
      <c r="B6912" s="203"/>
      <c r="C6912" s="237"/>
      <c r="D6912" s="202"/>
      <c r="E6912" s="202"/>
      <c r="U6912" s="204"/>
    </row>
    <row r="6913" spans="2:21" x14ac:dyDescent="0.2">
      <c r="B6913" s="203"/>
      <c r="C6913" s="237"/>
      <c r="D6913" s="202"/>
      <c r="E6913" s="202"/>
      <c r="U6913" s="204"/>
    </row>
    <row r="6914" spans="2:21" x14ac:dyDescent="0.2">
      <c r="B6914" s="203"/>
      <c r="C6914" s="237"/>
      <c r="D6914" s="202"/>
      <c r="E6914" s="202"/>
      <c r="U6914" s="204"/>
    </row>
    <row r="6915" spans="2:21" x14ac:dyDescent="0.2">
      <c r="B6915" s="203"/>
      <c r="C6915" s="237"/>
      <c r="D6915" s="202"/>
      <c r="E6915" s="202"/>
      <c r="U6915" s="204"/>
    </row>
    <row r="6916" spans="2:21" x14ac:dyDescent="0.2">
      <c r="B6916" s="203"/>
      <c r="C6916" s="237"/>
      <c r="D6916" s="202"/>
      <c r="E6916" s="202"/>
      <c r="U6916" s="204"/>
    </row>
    <row r="6917" spans="2:21" x14ac:dyDescent="0.2">
      <c r="B6917" s="203"/>
      <c r="C6917" s="237"/>
      <c r="D6917" s="202"/>
      <c r="E6917" s="202"/>
      <c r="U6917" s="204"/>
    </row>
    <row r="6918" spans="2:21" x14ac:dyDescent="0.2">
      <c r="B6918" s="203"/>
      <c r="C6918" s="237"/>
      <c r="D6918" s="202"/>
      <c r="E6918" s="202"/>
      <c r="U6918" s="204"/>
    </row>
    <row r="6919" spans="2:21" x14ac:dyDescent="0.2">
      <c r="B6919" s="203"/>
      <c r="C6919" s="237"/>
      <c r="D6919" s="202"/>
      <c r="E6919" s="202"/>
      <c r="U6919" s="204"/>
    </row>
    <row r="6920" spans="2:21" x14ac:dyDescent="0.2">
      <c r="B6920" s="203"/>
      <c r="C6920" s="237"/>
      <c r="D6920" s="202"/>
      <c r="E6920" s="202"/>
      <c r="U6920" s="204"/>
    </row>
    <row r="6921" spans="2:21" x14ac:dyDescent="0.2">
      <c r="B6921" s="203"/>
      <c r="C6921" s="237"/>
      <c r="D6921" s="202"/>
      <c r="E6921" s="202"/>
      <c r="U6921" s="204"/>
    </row>
    <row r="6922" spans="2:21" x14ac:dyDescent="0.2">
      <c r="B6922" s="203"/>
      <c r="C6922" s="237"/>
      <c r="D6922" s="202"/>
      <c r="E6922" s="202"/>
      <c r="U6922" s="204"/>
    </row>
    <row r="6923" spans="2:21" x14ac:dyDescent="0.2">
      <c r="B6923" s="203"/>
      <c r="C6923" s="237"/>
      <c r="D6923" s="202"/>
      <c r="E6923" s="202"/>
      <c r="U6923" s="204"/>
    </row>
    <row r="6924" spans="2:21" x14ac:dyDescent="0.2">
      <c r="B6924" s="203"/>
      <c r="C6924" s="237"/>
      <c r="D6924" s="202"/>
      <c r="E6924" s="202"/>
      <c r="U6924" s="204"/>
    </row>
    <row r="6925" spans="2:21" x14ac:dyDescent="0.2">
      <c r="B6925" s="203"/>
      <c r="C6925" s="237"/>
      <c r="D6925" s="202"/>
      <c r="E6925" s="202"/>
      <c r="U6925" s="204"/>
    </row>
    <row r="6926" spans="2:21" x14ac:dyDescent="0.2">
      <c r="B6926" s="203"/>
      <c r="C6926" s="237"/>
      <c r="D6926" s="202"/>
      <c r="E6926" s="202"/>
      <c r="U6926" s="204"/>
    </row>
    <row r="6927" spans="2:21" x14ac:dyDescent="0.2">
      <c r="B6927" s="203"/>
      <c r="C6927" s="237"/>
      <c r="D6927" s="202"/>
      <c r="E6927" s="202"/>
      <c r="U6927" s="204"/>
    </row>
    <row r="6928" spans="2:21" x14ac:dyDescent="0.2">
      <c r="B6928" s="203"/>
      <c r="C6928" s="237"/>
      <c r="D6928" s="202"/>
      <c r="E6928" s="202"/>
      <c r="U6928" s="204"/>
    </row>
    <row r="6929" spans="2:21" x14ac:dyDescent="0.2">
      <c r="B6929" s="203"/>
      <c r="C6929" s="237"/>
      <c r="D6929" s="202"/>
      <c r="E6929" s="202"/>
      <c r="U6929" s="204"/>
    </row>
    <row r="6930" spans="2:21" x14ac:dyDescent="0.2">
      <c r="B6930" s="203"/>
      <c r="C6930" s="237"/>
      <c r="D6930" s="202"/>
      <c r="E6930" s="202"/>
      <c r="U6930" s="204"/>
    </row>
    <row r="6931" spans="2:21" x14ac:dyDescent="0.2">
      <c r="B6931" s="203"/>
      <c r="C6931" s="237"/>
      <c r="D6931" s="202"/>
      <c r="E6931" s="202"/>
      <c r="U6931" s="204"/>
    </row>
    <row r="6932" spans="2:21" x14ac:dyDescent="0.2">
      <c r="B6932" s="203"/>
      <c r="C6932" s="237"/>
      <c r="D6932" s="202"/>
      <c r="E6932" s="202"/>
      <c r="U6932" s="204"/>
    </row>
    <row r="6933" spans="2:21" x14ac:dyDescent="0.2">
      <c r="B6933" s="203"/>
      <c r="C6933" s="237"/>
      <c r="D6933" s="202"/>
      <c r="E6933" s="202"/>
      <c r="U6933" s="204"/>
    </row>
    <row r="6934" spans="2:21" x14ac:dyDescent="0.2">
      <c r="B6934" s="203"/>
      <c r="C6934" s="237"/>
      <c r="D6934" s="202"/>
      <c r="E6934" s="202"/>
      <c r="U6934" s="204"/>
    </row>
    <row r="6935" spans="2:21" x14ac:dyDescent="0.2">
      <c r="B6935" s="203"/>
      <c r="C6935" s="237"/>
      <c r="D6935" s="202"/>
      <c r="E6935" s="202"/>
      <c r="U6935" s="204"/>
    </row>
    <row r="6936" spans="2:21" x14ac:dyDescent="0.2">
      <c r="B6936" s="203"/>
      <c r="C6936" s="237"/>
      <c r="D6936" s="202"/>
      <c r="E6936" s="202"/>
      <c r="U6936" s="204"/>
    </row>
    <row r="6937" spans="2:21" x14ac:dyDescent="0.2">
      <c r="B6937" s="203"/>
      <c r="C6937" s="237"/>
      <c r="D6937" s="202"/>
      <c r="E6937" s="202"/>
      <c r="U6937" s="204"/>
    </row>
    <row r="6938" spans="2:21" x14ac:dyDescent="0.2">
      <c r="B6938" s="203"/>
      <c r="C6938" s="237"/>
      <c r="D6938" s="202"/>
      <c r="E6938" s="202"/>
      <c r="U6938" s="204"/>
    </row>
    <row r="6939" spans="2:21" x14ac:dyDescent="0.2">
      <c r="B6939" s="203"/>
      <c r="C6939" s="237"/>
      <c r="D6939" s="202"/>
      <c r="E6939" s="202"/>
      <c r="U6939" s="204"/>
    </row>
    <row r="6940" spans="2:21" x14ac:dyDescent="0.2">
      <c r="B6940" s="203"/>
      <c r="C6940" s="237"/>
      <c r="D6940" s="202"/>
      <c r="E6940" s="202"/>
      <c r="U6940" s="204"/>
    </row>
    <row r="6941" spans="2:21" x14ac:dyDescent="0.2">
      <c r="B6941" s="203"/>
      <c r="C6941" s="237"/>
      <c r="D6941" s="202"/>
      <c r="E6941" s="202"/>
      <c r="U6941" s="204"/>
    </row>
    <row r="6942" spans="2:21" x14ac:dyDescent="0.2">
      <c r="B6942" s="203"/>
      <c r="C6942" s="237"/>
      <c r="D6942" s="202"/>
      <c r="E6942" s="202"/>
      <c r="U6942" s="204"/>
    </row>
    <row r="6943" spans="2:21" x14ac:dyDescent="0.2">
      <c r="B6943" s="203"/>
      <c r="C6943" s="237"/>
      <c r="D6943" s="202"/>
      <c r="E6943" s="202"/>
      <c r="U6943" s="204"/>
    </row>
    <row r="6944" spans="2:21" x14ac:dyDescent="0.2">
      <c r="B6944" s="203"/>
      <c r="C6944" s="237"/>
      <c r="D6944" s="202"/>
      <c r="E6944" s="202"/>
      <c r="U6944" s="204"/>
    </row>
    <row r="6945" spans="2:21" x14ac:dyDescent="0.2">
      <c r="B6945" s="203"/>
      <c r="C6945" s="237"/>
      <c r="D6945" s="202"/>
      <c r="E6945" s="202"/>
      <c r="U6945" s="204"/>
    </row>
    <row r="6946" spans="2:21" x14ac:dyDescent="0.2">
      <c r="B6946" s="203"/>
      <c r="C6946" s="237"/>
      <c r="D6946" s="202"/>
      <c r="E6946" s="202"/>
      <c r="U6946" s="204"/>
    </row>
    <row r="6947" spans="2:21" x14ac:dyDescent="0.2">
      <c r="B6947" s="203"/>
      <c r="C6947" s="237"/>
      <c r="D6947" s="202"/>
      <c r="E6947" s="202"/>
      <c r="U6947" s="204"/>
    </row>
    <row r="6948" spans="2:21" x14ac:dyDescent="0.2">
      <c r="B6948" s="203"/>
      <c r="C6948" s="237"/>
      <c r="D6948" s="202"/>
      <c r="E6948" s="202"/>
      <c r="U6948" s="204"/>
    </row>
    <row r="6949" spans="2:21" x14ac:dyDescent="0.2">
      <c r="B6949" s="203"/>
      <c r="C6949" s="237"/>
      <c r="D6949" s="202"/>
      <c r="E6949" s="202"/>
      <c r="U6949" s="204"/>
    </row>
    <row r="6950" spans="2:21" x14ac:dyDescent="0.2">
      <c r="B6950" s="203"/>
      <c r="C6950" s="237"/>
      <c r="D6950" s="202"/>
      <c r="E6950" s="202"/>
      <c r="U6950" s="204"/>
    </row>
    <row r="6951" spans="2:21" x14ac:dyDescent="0.2">
      <c r="B6951" s="203"/>
      <c r="C6951" s="237"/>
      <c r="D6951" s="202"/>
      <c r="E6951" s="202"/>
      <c r="U6951" s="204"/>
    </row>
    <row r="6952" spans="2:21" x14ac:dyDescent="0.2">
      <c r="B6952" s="203"/>
      <c r="C6952" s="237"/>
      <c r="D6952" s="202"/>
      <c r="E6952" s="202"/>
      <c r="U6952" s="204"/>
    </row>
    <row r="6953" spans="2:21" x14ac:dyDescent="0.2">
      <c r="B6953" s="203"/>
      <c r="C6953" s="237"/>
      <c r="D6953" s="202"/>
      <c r="E6953" s="202"/>
      <c r="U6953" s="204"/>
    </row>
    <row r="6954" spans="2:21" x14ac:dyDescent="0.2">
      <c r="B6954" s="203"/>
      <c r="C6954" s="237"/>
      <c r="D6954" s="202"/>
      <c r="E6954" s="202"/>
      <c r="U6954" s="204"/>
    </row>
    <row r="6955" spans="2:21" x14ac:dyDescent="0.2">
      <c r="B6955" s="203"/>
      <c r="C6955" s="237"/>
      <c r="D6955" s="202"/>
      <c r="E6955" s="202"/>
      <c r="U6955" s="204"/>
    </row>
    <row r="6956" spans="2:21" x14ac:dyDescent="0.2">
      <c r="B6956" s="203"/>
      <c r="C6956" s="237"/>
      <c r="D6956" s="202"/>
      <c r="E6956" s="202"/>
      <c r="U6956" s="204"/>
    </row>
    <row r="6957" spans="2:21" x14ac:dyDescent="0.2">
      <c r="B6957" s="203"/>
      <c r="C6957" s="237"/>
      <c r="D6957" s="202"/>
      <c r="E6957" s="202"/>
      <c r="U6957" s="204"/>
    </row>
    <row r="6958" spans="2:21" x14ac:dyDescent="0.2">
      <c r="B6958" s="203"/>
      <c r="C6958" s="237"/>
      <c r="D6958" s="202"/>
      <c r="E6958" s="202"/>
      <c r="U6958" s="204"/>
    </row>
    <row r="6959" spans="2:21" x14ac:dyDescent="0.2">
      <c r="B6959" s="203"/>
      <c r="C6959" s="237"/>
      <c r="D6959" s="202"/>
      <c r="E6959" s="202"/>
      <c r="U6959" s="204"/>
    </row>
    <row r="6960" spans="2:21" x14ac:dyDescent="0.2">
      <c r="B6960" s="203"/>
      <c r="C6960" s="237"/>
      <c r="D6960" s="202"/>
      <c r="E6960" s="202"/>
      <c r="U6960" s="204"/>
    </row>
    <row r="6961" spans="2:21" x14ac:dyDescent="0.2">
      <c r="B6961" s="203"/>
      <c r="C6961" s="237"/>
      <c r="D6961" s="202"/>
      <c r="E6961" s="202"/>
      <c r="U6961" s="204"/>
    </row>
    <row r="6962" spans="2:21" x14ac:dyDescent="0.2">
      <c r="B6962" s="203"/>
      <c r="C6962" s="237"/>
      <c r="D6962" s="202"/>
      <c r="E6962" s="202"/>
      <c r="U6962" s="204"/>
    </row>
    <row r="6963" spans="2:21" x14ac:dyDescent="0.2">
      <c r="B6963" s="203"/>
      <c r="C6963" s="237"/>
      <c r="D6963" s="202"/>
      <c r="E6963" s="202"/>
      <c r="U6963" s="204"/>
    </row>
    <row r="6964" spans="2:21" x14ac:dyDescent="0.2">
      <c r="B6964" s="203"/>
      <c r="C6964" s="237"/>
      <c r="D6964" s="202"/>
      <c r="E6964" s="202"/>
      <c r="U6964" s="204"/>
    </row>
    <row r="6965" spans="2:21" x14ac:dyDescent="0.2">
      <c r="B6965" s="203"/>
      <c r="C6965" s="237"/>
      <c r="D6965" s="202"/>
      <c r="E6965" s="202"/>
      <c r="U6965" s="204"/>
    </row>
    <row r="6966" spans="2:21" x14ac:dyDescent="0.2">
      <c r="B6966" s="203"/>
      <c r="C6966" s="237"/>
      <c r="D6966" s="202"/>
      <c r="E6966" s="202"/>
      <c r="U6966" s="204"/>
    </row>
    <row r="6967" spans="2:21" x14ac:dyDescent="0.2">
      <c r="B6967" s="203"/>
      <c r="C6967" s="237"/>
      <c r="D6967" s="202"/>
      <c r="E6967" s="202"/>
      <c r="U6967" s="204"/>
    </row>
    <row r="6968" spans="2:21" x14ac:dyDescent="0.2">
      <c r="B6968" s="203"/>
      <c r="C6968" s="237"/>
      <c r="D6968" s="202"/>
      <c r="E6968" s="202"/>
      <c r="U6968" s="204"/>
    </row>
    <row r="6969" spans="2:21" x14ac:dyDescent="0.2">
      <c r="B6969" s="203"/>
      <c r="C6969" s="237"/>
      <c r="D6969" s="202"/>
      <c r="E6969" s="202"/>
      <c r="U6969" s="204"/>
    </row>
    <row r="6970" spans="2:21" x14ac:dyDescent="0.2">
      <c r="B6970" s="203"/>
      <c r="C6970" s="237"/>
      <c r="D6970" s="202"/>
      <c r="E6970" s="202"/>
      <c r="U6970" s="204"/>
    </row>
    <row r="6971" spans="2:21" x14ac:dyDescent="0.2">
      <c r="B6971" s="203"/>
      <c r="C6971" s="237"/>
      <c r="D6971" s="202"/>
      <c r="E6971" s="202"/>
      <c r="U6971" s="204"/>
    </row>
    <row r="6972" spans="2:21" x14ac:dyDescent="0.2">
      <c r="B6972" s="203"/>
      <c r="C6972" s="237"/>
      <c r="D6972" s="202"/>
      <c r="E6972" s="202"/>
      <c r="U6972" s="204"/>
    </row>
    <row r="6973" spans="2:21" x14ac:dyDescent="0.2">
      <c r="B6973" s="203"/>
      <c r="C6973" s="237"/>
      <c r="D6973" s="202"/>
      <c r="E6973" s="202"/>
      <c r="U6973" s="204"/>
    </row>
    <row r="6974" spans="2:21" x14ac:dyDescent="0.2">
      <c r="B6974" s="203"/>
      <c r="C6974" s="237"/>
      <c r="D6974" s="202"/>
      <c r="E6974" s="202"/>
      <c r="U6974" s="204"/>
    </row>
    <row r="6975" spans="2:21" x14ac:dyDescent="0.2">
      <c r="B6975" s="203"/>
      <c r="C6975" s="237"/>
      <c r="D6975" s="202"/>
      <c r="E6975" s="202"/>
      <c r="U6975" s="204"/>
    </row>
    <row r="6976" spans="2:21" x14ac:dyDescent="0.2">
      <c r="B6976" s="203"/>
      <c r="C6976" s="237"/>
      <c r="D6976" s="202"/>
      <c r="E6976" s="202"/>
      <c r="U6976" s="204"/>
    </row>
    <row r="6977" spans="2:21" x14ac:dyDescent="0.2">
      <c r="B6977" s="203"/>
      <c r="C6977" s="237"/>
      <c r="D6977" s="202"/>
      <c r="E6977" s="202"/>
      <c r="U6977" s="204"/>
    </row>
    <row r="6978" spans="2:21" x14ac:dyDescent="0.2">
      <c r="B6978" s="203"/>
      <c r="C6978" s="237"/>
      <c r="D6978" s="202"/>
      <c r="E6978" s="202"/>
      <c r="U6978" s="204"/>
    </row>
    <row r="6979" spans="2:21" x14ac:dyDescent="0.2">
      <c r="B6979" s="203"/>
      <c r="C6979" s="237"/>
      <c r="D6979" s="202"/>
      <c r="E6979" s="202"/>
      <c r="U6979" s="204"/>
    </row>
    <row r="6980" spans="2:21" x14ac:dyDescent="0.2">
      <c r="B6980" s="203"/>
      <c r="C6980" s="237"/>
      <c r="D6980" s="202"/>
      <c r="E6980" s="202"/>
      <c r="U6980" s="204"/>
    </row>
    <row r="6981" spans="2:21" x14ac:dyDescent="0.2">
      <c r="B6981" s="203"/>
      <c r="C6981" s="237"/>
      <c r="D6981" s="202"/>
      <c r="E6981" s="202"/>
      <c r="U6981" s="204"/>
    </row>
    <row r="6982" spans="2:21" x14ac:dyDescent="0.2">
      <c r="B6982" s="203"/>
      <c r="C6982" s="237"/>
      <c r="D6982" s="202"/>
      <c r="E6982" s="202"/>
      <c r="U6982" s="204"/>
    </row>
    <row r="6983" spans="2:21" x14ac:dyDescent="0.2">
      <c r="B6983" s="203"/>
      <c r="C6983" s="237"/>
      <c r="D6983" s="202"/>
      <c r="E6983" s="202"/>
      <c r="U6983" s="204"/>
    </row>
    <row r="6984" spans="2:21" x14ac:dyDescent="0.2">
      <c r="B6984" s="203"/>
      <c r="C6984" s="237"/>
      <c r="D6984" s="202"/>
      <c r="E6984" s="202"/>
      <c r="U6984" s="204"/>
    </row>
    <row r="6985" spans="2:21" x14ac:dyDescent="0.2">
      <c r="B6985" s="203"/>
      <c r="C6985" s="237"/>
      <c r="D6985" s="202"/>
      <c r="E6985" s="202"/>
      <c r="U6985" s="204"/>
    </row>
    <row r="6986" spans="2:21" x14ac:dyDescent="0.2">
      <c r="B6986" s="203"/>
      <c r="C6986" s="237"/>
      <c r="D6986" s="202"/>
      <c r="E6986" s="202"/>
      <c r="U6986" s="204"/>
    </row>
    <row r="6987" spans="2:21" x14ac:dyDescent="0.2">
      <c r="B6987" s="203"/>
      <c r="C6987" s="237"/>
      <c r="D6987" s="202"/>
      <c r="E6987" s="202"/>
      <c r="U6987" s="204"/>
    </row>
    <row r="6988" spans="2:21" x14ac:dyDescent="0.2">
      <c r="B6988" s="203"/>
      <c r="C6988" s="237"/>
      <c r="D6988" s="202"/>
      <c r="E6988" s="202"/>
      <c r="U6988" s="204"/>
    </row>
    <row r="6989" spans="2:21" x14ac:dyDescent="0.2">
      <c r="B6989" s="203"/>
      <c r="C6989" s="237"/>
      <c r="D6989" s="202"/>
      <c r="E6989" s="202"/>
      <c r="U6989" s="204"/>
    </row>
    <row r="6990" spans="2:21" x14ac:dyDescent="0.2">
      <c r="B6990" s="203"/>
      <c r="C6990" s="237"/>
      <c r="D6990" s="202"/>
      <c r="E6990" s="202"/>
      <c r="U6990" s="204"/>
    </row>
    <row r="6991" spans="2:21" x14ac:dyDescent="0.2">
      <c r="B6991" s="203"/>
      <c r="C6991" s="237"/>
      <c r="D6991" s="202"/>
      <c r="E6991" s="202"/>
      <c r="U6991" s="204"/>
    </row>
    <row r="6992" spans="2:21" x14ac:dyDescent="0.2">
      <c r="B6992" s="203"/>
      <c r="C6992" s="237"/>
      <c r="D6992" s="202"/>
      <c r="E6992" s="202"/>
      <c r="U6992" s="204"/>
    </row>
    <row r="6993" spans="2:21" x14ac:dyDescent="0.2">
      <c r="B6993" s="203"/>
      <c r="C6993" s="237"/>
      <c r="D6993" s="202"/>
      <c r="E6993" s="202"/>
      <c r="U6993" s="204"/>
    </row>
    <row r="6994" spans="2:21" x14ac:dyDescent="0.2">
      <c r="B6994" s="203"/>
      <c r="C6994" s="237"/>
      <c r="D6994" s="202"/>
      <c r="E6994" s="202"/>
      <c r="U6994" s="204"/>
    </row>
    <row r="6995" spans="2:21" x14ac:dyDescent="0.2">
      <c r="B6995" s="203"/>
      <c r="C6995" s="237"/>
      <c r="D6995" s="202"/>
      <c r="E6995" s="202"/>
      <c r="U6995" s="204"/>
    </row>
    <row r="6996" spans="2:21" x14ac:dyDescent="0.2">
      <c r="B6996" s="203"/>
      <c r="C6996" s="237"/>
      <c r="D6996" s="202"/>
      <c r="E6996" s="202"/>
      <c r="U6996" s="204"/>
    </row>
    <row r="6997" spans="2:21" x14ac:dyDescent="0.2">
      <c r="B6997" s="203"/>
      <c r="C6997" s="237"/>
      <c r="D6997" s="202"/>
      <c r="E6997" s="202"/>
      <c r="U6997" s="204"/>
    </row>
    <row r="6998" spans="2:21" x14ac:dyDescent="0.2">
      <c r="B6998" s="203"/>
      <c r="C6998" s="237"/>
      <c r="D6998" s="202"/>
      <c r="E6998" s="202"/>
      <c r="U6998" s="204"/>
    </row>
    <row r="6999" spans="2:21" x14ac:dyDescent="0.2">
      <c r="B6999" s="203"/>
      <c r="C6999" s="237"/>
      <c r="D6999" s="202"/>
      <c r="E6999" s="202"/>
      <c r="U6999" s="204"/>
    </row>
    <row r="7000" spans="2:21" x14ac:dyDescent="0.2">
      <c r="B7000" s="203"/>
      <c r="C7000" s="237"/>
      <c r="D7000" s="202"/>
      <c r="E7000" s="202"/>
      <c r="U7000" s="204"/>
    </row>
    <row r="7001" spans="2:21" x14ac:dyDescent="0.2">
      <c r="B7001" s="203"/>
      <c r="C7001" s="237"/>
      <c r="D7001" s="202"/>
      <c r="E7001" s="202"/>
      <c r="U7001" s="204"/>
    </row>
    <row r="7002" spans="2:21" x14ac:dyDescent="0.2">
      <c r="B7002" s="203"/>
      <c r="C7002" s="237"/>
      <c r="D7002" s="202"/>
      <c r="E7002" s="202"/>
      <c r="U7002" s="204"/>
    </row>
    <row r="7003" spans="2:21" x14ac:dyDescent="0.2">
      <c r="B7003" s="203"/>
      <c r="C7003" s="237"/>
      <c r="D7003" s="202"/>
      <c r="E7003" s="202"/>
      <c r="U7003" s="204"/>
    </row>
    <row r="7004" spans="2:21" x14ac:dyDescent="0.2">
      <c r="B7004" s="203"/>
      <c r="C7004" s="237"/>
      <c r="D7004" s="202"/>
      <c r="E7004" s="202"/>
      <c r="U7004" s="204"/>
    </row>
    <row r="7005" spans="2:21" x14ac:dyDescent="0.2">
      <c r="B7005" s="203"/>
      <c r="C7005" s="237"/>
      <c r="D7005" s="202"/>
      <c r="E7005" s="202"/>
      <c r="U7005" s="204"/>
    </row>
    <row r="7006" spans="2:21" x14ac:dyDescent="0.2">
      <c r="B7006" s="203"/>
      <c r="C7006" s="237"/>
      <c r="D7006" s="202"/>
      <c r="E7006" s="202"/>
      <c r="U7006" s="204"/>
    </row>
    <row r="7007" spans="2:21" x14ac:dyDescent="0.2">
      <c r="B7007" s="203"/>
      <c r="C7007" s="237"/>
      <c r="D7007" s="202"/>
      <c r="E7007" s="202"/>
      <c r="U7007" s="204"/>
    </row>
    <row r="7008" spans="2:21" x14ac:dyDescent="0.2">
      <c r="B7008" s="203"/>
      <c r="C7008" s="237"/>
      <c r="D7008" s="202"/>
      <c r="E7008" s="202"/>
      <c r="U7008" s="204"/>
    </row>
    <row r="7009" spans="2:21" x14ac:dyDescent="0.2">
      <c r="B7009" s="203"/>
      <c r="C7009" s="237"/>
      <c r="D7009" s="202"/>
      <c r="E7009" s="202"/>
      <c r="U7009" s="204"/>
    </row>
    <row r="7010" spans="2:21" x14ac:dyDescent="0.2">
      <c r="B7010" s="203"/>
      <c r="C7010" s="237"/>
      <c r="D7010" s="202"/>
      <c r="E7010" s="202"/>
      <c r="U7010" s="204"/>
    </row>
    <row r="7011" spans="2:21" x14ac:dyDescent="0.2">
      <c r="B7011" s="203"/>
      <c r="C7011" s="237"/>
      <c r="D7011" s="202"/>
      <c r="E7011" s="202"/>
      <c r="U7011" s="204"/>
    </row>
    <row r="7012" spans="2:21" x14ac:dyDescent="0.2">
      <c r="B7012" s="203"/>
      <c r="C7012" s="237"/>
      <c r="D7012" s="202"/>
      <c r="E7012" s="202"/>
      <c r="U7012" s="204"/>
    </row>
    <row r="7013" spans="2:21" x14ac:dyDescent="0.2">
      <c r="B7013" s="203"/>
      <c r="C7013" s="237"/>
      <c r="D7013" s="202"/>
      <c r="E7013" s="202"/>
      <c r="U7013" s="204"/>
    </row>
    <row r="7014" spans="2:21" x14ac:dyDescent="0.2">
      <c r="B7014" s="203"/>
      <c r="C7014" s="237"/>
      <c r="D7014" s="202"/>
      <c r="E7014" s="202"/>
      <c r="U7014" s="204"/>
    </row>
    <row r="7015" spans="2:21" x14ac:dyDescent="0.2">
      <c r="B7015" s="203"/>
      <c r="C7015" s="237"/>
      <c r="D7015" s="202"/>
      <c r="E7015" s="202"/>
      <c r="U7015" s="204"/>
    </row>
    <row r="7016" spans="2:21" x14ac:dyDescent="0.2">
      <c r="B7016" s="203"/>
      <c r="C7016" s="237"/>
      <c r="D7016" s="202"/>
      <c r="E7016" s="202"/>
      <c r="U7016" s="204"/>
    </row>
    <row r="7017" spans="2:21" x14ac:dyDescent="0.2">
      <c r="B7017" s="203"/>
      <c r="C7017" s="237"/>
      <c r="D7017" s="202"/>
      <c r="E7017" s="202"/>
      <c r="U7017" s="204"/>
    </row>
    <row r="7018" spans="2:21" x14ac:dyDescent="0.2">
      <c r="B7018" s="203"/>
      <c r="C7018" s="237"/>
      <c r="D7018" s="202"/>
      <c r="E7018" s="202"/>
      <c r="U7018" s="204"/>
    </row>
    <row r="7019" spans="2:21" x14ac:dyDescent="0.2">
      <c r="B7019" s="203"/>
      <c r="C7019" s="237"/>
      <c r="D7019" s="202"/>
      <c r="E7019" s="202"/>
      <c r="U7019" s="204"/>
    </row>
    <row r="7020" spans="2:21" x14ac:dyDescent="0.2">
      <c r="B7020" s="203"/>
      <c r="C7020" s="237"/>
      <c r="D7020" s="202"/>
      <c r="E7020" s="202"/>
      <c r="U7020" s="204"/>
    </row>
    <row r="7021" spans="2:21" x14ac:dyDescent="0.2">
      <c r="B7021" s="203"/>
      <c r="C7021" s="237"/>
      <c r="D7021" s="202"/>
      <c r="E7021" s="202"/>
      <c r="U7021" s="204"/>
    </row>
    <row r="7022" spans="2:21" x14ac:dyDescent="0.2">
      <c r="B7022" s="203"/>
      <c r="C7022" s="237"/>
      <c r="D7022" s="202"/>
      <c r="E7022" s="202"/>
      <c r="U7022" s="204"/>
    </row>
    <row r="7023" spans="2:21" x14ac:dyDescent="0.2">
      <c r="B7023" s="203"/>
      <c r="C7023" s="237"/>
      <c r="D7023" s="202"/>
      <c r="E7023" s="202"/>
      <c r="U7023" s="204"/>
    </row>
    <row r="7024" spans="2:21" x14ac:dyDescent="0.2">
      <c r="B7024" s="203"/>
      <c r="C7024" s="237"/>
      <c r="D7024" s="202"/>
      <c r="E7024" s="202"/>
      <c r="U7024" s="204"/>
    </row>
    <row r="7025" spans="2:21" x14ac:dyDescent="0.2">
      <c r="B7025" s="203"/>
      <c r="C7025" s="237"/>
      <c r="D7025" s="202"/>
      <c r="E7025" s="202"/>
      <c r="U7025" s="204"/>
    </row>
    <row r="7026" spans="2:21" x14ac:dyDescent="0.2">
      <c r="B7026" s="203"/>
      <c r="C7026" s="237"/>
      <c r="D7026" s="202"/>
      <c r="E7026" s="202"/>
      <c r="U7026" s="204"/>
    </row>
    <row r="7027" spans="2:21" x14ac:dyDescent="0.2">
      <c r="B7027" s="203"/>
      <c r="C7027" s="237"/>
      <c r="D7027" s="202"/>
      <c r="E7027" s="202"/>
      <c r="U7027" s="204"/>
    </row>
    <row r="7028" spans="2:21" x14ac:dyDescent="0.2">
      <c r="B7028" s="203"/>
      <c r="C7028" s="237"/>
      <c r="D7028" s="202"/>
      <c r="E7028" s="202"/>
      <c r="U7028" s="204"/>
    </row>
    <row r="7029" spans="2:21" x14ac:dyDescent="0.2">
      <c r="B7029" s="203"/>
      <c r="C7029" s="237"/>
      <c r="D7029" s="202"/>
      <c r="E7029" s="202"/>
      <c r="U7029" s="204"/>
    </row>
    <row r="7030" spans="2:21" x14ac:dyDescent="0.2">
      <c r="B7030" s="203"/>
      <c r="C7030" s="237"/>
      <c r="D7030" s="202"/>
      <c r="E7030" s="202"/>
      <c r="U7030" s="204"/>
    </row>
    <row r="7031" spans="2:21" x14ac:dyDescent="0.2">
      <c r="B7031" s="203"/>
      <c r="C7031" s="237"/>
      <c r="D7031" s="202"/>
      <c r="E7031" s="202"/>
      <c r="U7031" s="204"/>
    </row>
    <row r="7032" spans="2:21" x14ac:dyDescent="0.2">
      <c r="B7032" s="203"/>
      <c r="C7032" s="237"/>
      <c r="D7032" s="202"/>
      <c r="E7032" s="202"/>
      <c r="U7032" s="204"/>
    </row>
    <row r="7033" spans="2:21" x14ac:dyDescent="0.2">
      <c r="B7033" s="203"/>
      <c r="C7033" s="237"/>
      <c r="D7033" s="202"/>
      <c r="E7033" s="202"/>
      <c r="U7033" s="204"/>
    </row>
    <row r="7034" spans="2:21" x14ac:dyDescent="0.2">
      <c r="B7034" s="203"/>
      <c r="C7034" s="237"/>
      <c r="D7034" s="202"/>
      <c r="E7034" s="202"/>
      <c r="U7034" s="204"/>
    </row>
    <row r="7035" spans="2:21" x14ac:dyDescent="0.2">
      <c r="B7035" s="203"/>
      <c r="C7035" s="237"/>
      <c r="D7035" s="202"/>
      <c r="E7035" s="202"/>
      <c r="U7035" s="204"/>
    </row>
    <row r="7036" spans="2:21" x14ac:dyDescent="0.2">
      <c r="B7036" s="203"/>
      <c r="C7036" s="237"/>
      <c r="D7036" s="202"/>
      <c r="E7036" s="202"/>
      <c r="U7036" s="204"/>
    </row>
    <row r="7037" spans="2:21" x14ac:dyDescent="0.2">
      <c r="B7037" s="203"/>
      <c r="C7037" s="237"/>
      <c r="D7037" s="202"/>
      <c r="E7037" s="202"/>
      <c r="U7037" s="204"/>
    </row>
    <row r="7038" spans="2:21" x14ac:dyDescent="0.2">
      <c r="B7038" s="203"/>
      <c r="C7038" s="237"/>
      <c r="D7038" s="202"/>
      <c r="E7038" s="202"/>
      <c r="U7038" s="204"/>
    </row>
    <row r="7039" spans="2:21" x14ac:dyDescent="0.2">
      <c r="B7039" s="203"/>
      <c r="C7039" s="237"/>
      <c r="D7039" s="202"/>
      <c r="E7039" s="202"/>
      <c r="U7039" s="204"/>
    </row>
    <row r="7040" spans="2:21" x14ac:dyDescent="0.2">
      <c r="B7040" s="203"/>
      <c r="C7040" s="237"/>
      <c r="D7040" s="202"/>
      <c r="E7040" s="202"/>
      <c r="U7040" s="204"/>
    </row>
    <row r="7041" spans="2:21" x14ac:dyDescent="0.2">
      <c r="B7041" s="203"/>
      <c r="C7041" s="237"/>
      <c r="D7041" s="202"/>
      <c r="E7041" s="202"/>
      <c r="U7041" s="204"/>
    </row>
    <row r="7042" spans="2:21" x14ac:dyDescent="0.2">
      <c r="B7042" s="203"/>
      <c r="C7042" s="237"/>
      <c r="D7042" s="202"/>
      <c r="E7042" s="202"/>
      <c r="U7042" s="204"/>
    </row>
    <row r="7043" spans="2:21" x14ac:dyDescent="0.2">
      <c r="B7043" s="203"/>
      <c r="C7043" s="237"/>
      <c r="D7043" s="202"/>
      <c r="E7043" s="202"/>
      <c r="U7043" s="204"/>
    </row>
    <row r="7044" spans="2:21" x14ac:dyDescent="0.2">
      <c r="B7044" s="203"/>
      <c r="C7044" s="237"/>
      <c r="D7044" s="202"/>
      <c r="E7044" s="202"/>
      <c r="U7044" s="204"/>
    </row>
    <row r="7045" spans="2:21" x14ac:dyDescent="0.2">
      <c r="B7045" s="203"/>
      <c r="C7045" s="237"/>
      <c r="D7045" s="202"/>
      <c r="E7045" s="202"/>
      <c r="U7045" s="204"/>
    </row>
    <row r="7046" spans="2:21" x14ac:dyDescent="0.2">
      <c r="B7046" s="203"/>
      <c r="C7046" s="237"/>
      <c r="D7046" s="202"/>
      <c r="E7046" s="202"/>
      <c r="U7046" s="204"/>
    </row>
    <row r="7047" spans="2:21" x14ac:dyDescent="0.2">
      <c r="B7047" s="203"/>
      <c r="C7047" s="237"/>
      <c r="D7047" s="202"/>
      <c r="E7047" s="202"/>
      <c r="U7047" s="204"/>
    </row>
    <row r="7048" spans="2:21" x14ac:dyDescent="0.2">
      <c r="B7048" s="203"/>
      <c r="C7048" s="237"/>
      <c r="D7048" s="202"/>
      <c r="E7048" s="202"/>
      <c r="U7048" s="204"/>
    </row>
    <row r="7049" spans="2:21" x14ac:dyDescent="0.2">
      <c r="B7049" s="203"/>
      <c r="C7049" s="237"/>
      <c r="D7049" s="202"/>
      <c r="E7049" s="202"/>
      <c r="U7049" s="204"/>
    </row>
    <row r="7050" spans="2:21" x14ac:dyDescent="0.2">
      <c r="B7050" s="203"/>
      <c r="C7050" s="237"/>
      <c r="D7050" s="202"/>
      <c r="E7050" s="202"/>
      <c r="U7050" s="204"/>
    </row>
    <row r="7051" spans="2:21" x14ac:dyDescent="0.2">
      <c r="B7051" s="203"/>
      <c r="C7051" s="237"/>
      <c r="D7051" s="202"/>
      <c r="E7051" s="202"/>
      <c r="U7051" s="204"/>
    </row>
    <row r="7052" spans="2:21" x14ac:dyDescent="0.2">
      <c r="B7052" s="203"/>
      <c r="C7052" s="237"/>
      <c r="D7052" s="202"/>
      <c r="E7052" s="202"/>
      <c r="U7052" s="204"/>
    </row>
    <row r="7053" spans="2:21" x14ac:dyDescent="0.2">
      <c r="B7053" s="203"/>
      <c r="C7053" s="237"/>
      <c r="D7053" s="202"/>
      <c r="E7053" s="202"/>
      <c r="U7053" s="204"/>
    </row>
    <row r="7054" spans="2:21" x14ac:dyDescent="0.2">
      <c r="B7054" s="203"/>
      <c r="C7054" s="237"/>
      <c r="D7054" s="202"/>
      <c r="E7054" s="202"/>
      <c r="U7054" s="204"/>
    </row>
    <row r="7055" spans="2:21" x14ac:dyDescent="0.2">
      <c r="B7055" s="203"/>
      <c r="C7055" s="237"/>
      <c r="D7055" s="202"/>
      <c r="E7055" s="202"/>
      <c r="U7055" s="204"/>
    </row>
    <row r="7056" spans="2:21" x14ac:dyDescent="0.2">
      <c r="B7056" s="203"/>
      <c r="C7056" s="237"/>
      <c r="D7056" s="202"/>
      <c r="E7056" s="202"/>
      <c r="U7056" s="204"/>
    </row>
    <row r="7057" spans="2:21" x14ac:dyDescent="0.2">
      <c r="B7057" s="203"/>
      <c r="C7057" s="237"/>
      <c r="D7057" s="202"/>
      <c r="E7057" s="202"/>
      <c r="U7057" s="204"/>
    </row>
    <row r="7058" spans="2:21" x14ac:dyDescent="0.2">
      <c r="B7058" s="203"/>
      <c r="C7058" s="237"/>
      <c r="D7058" s="202"/>
      <c r="E7058" s="202"/>
      <c r="U7058" s="204"/>
    </row>
    <row r="7059" spans="2:21" x14ac:dyDescent="0.2">
      <c r="B7059" s="203"/>
      <c r="C7059" s="237"/>
      <c r="D7059" s="202"/>
      <c r="E7059" s="202"/>
      <c r="U7059" s="204"/>
    </row>
    <row r="7060" spans="2:21" x14ac:dyDescent="0.2">
      <c r="B7060" s="203"/>
      <c r="C7060" s="237"/>
      <c r="D7060" s="202"/>
      <c r="E7060" s="202"/>
      <c r="U7060" s="204"/>
    </row>
    <row r="7061" spans="2:21" x14ac:dyDescent="0.2">
      <c r="B7061" s="203"/>
      <c r="C7061" s="237"/>
      <c r="D7061" s="202"/>
      <c r="E7061" s="202"/>
      <c r="U7061" s="204"/>
    </row>
    <row r="7062" spans="2:21" x14ac:dyDescent="0.2">
      <c r="B7062" s="203"/>
      <c r="C7062" s="237"/>
      <c r="D7062" s="202"/>
      <c r="E7062" s="202"/>
      <c r="U7062" s="204"/>
    </row>
    <row r="7063" spans="2:21" x14ac:dyDescent="0.2">
      <c r="B7063" s="203"/>
      <c r="C7063" s="237"/>
      <c r="D7063" s="202"/>
      <c r="E7063" s="202"/>
      <c r="U7063" s="204"/>
    </row>
    <row r="7064" spans="2:21" x14ac:dyDescent="0.2">
      <c r="B7064" s="203"/>
      <c r="C7064" s="237"/>
      <c r="D7064" s="202"/>
      <c r="E7064" s="202"/>
      <c r="U7064" s="204"/>
    </row>
    <row r="7065" spans="2:21" x14ac:dyDescent="0.2">
      <c r="B7065" s="203"/>
      <c r="C7065" s="237"/>
      <c r="D7065" s="202"/>
      <c r="E7065" s="202"/>
      <c r="U7065" s="204"/>
    </row>
    <row r="7066" spans="2:21" x14ac:dyDescent="0.2">
      <c r="B7066" s="203"/>
      <c r="C7066" s="237"/>
      <c r="D7066" s="202"/>
      <c r="E7066" s="202"/>
      <c r="U7066" s="204"/>
    </row>
    <row r="7067" spans="2:21" x14ac:dyDescent="0.2">
      <c r="B7067" s="203"/>
      <c r="C7067" s="237"/>
      <c r="D7067" s="202"/>
      <c r="E7067" s="202"/>
      <c r="U7067" s="204"/>
    </row>
    <row r="7068" spans="2:21" x14ac:dyDescent="0.2">
      <c r="B7068" s="203"/>
      <c r="C7068" s="237"/>
      <c r="D7068" s="202"/>
      <c r="E7068" s="202"/>
      <c r="U7068" s="204"/>
    </row>
    <row r="7069" spans="2:21" x14ac:dyDescent="0.2">
      <c r="B7069" s="203"/>
      <c r="C7069" s="237"/>
      <c r="D7069" s="202"/>
      <c r="E7069" s="202"/>
      <c r="U7069" s="204"/>
    </row>
    <row r="7070" spans="2:21" x14ac:dyDescent="0.2">
      <c r="B7070" s="203"/>
      <c r="C7070" s="237"/>
      <c r="D7070" s="202"/>
      <c r="E7070" s="202"/>
      <c r="U7070" s="204"/>
    </row>
    <row r="7071" spans="2:21" x14ac:dyDescent="0.2">
      <c r="B7071" s="203"/>
      <c r="C7071" s="237"/>
      <c r="D7071" s="202"/>
      <c r="E7071" s="202"/>
      <c r="U7071" s="204"/>
    </row>
    <row r="7072" spans="2:21" x14ac:dyDescent="0.2">
      <c r="B7072" s="203"/>
      <c r="C7072" s="237"/>
      <c r="D7072" s="202"/>
      <c r="E7072" s="202"/>
      <c r="U7072" s="204"/>
    </row>
    <row r="7073" spans="2:21" x14ac:dyDescent="0.2">
      <c r="B7073" s="203"/>
      <c r="C7073" s="237"/>
      <c r="D7073" s="202"/>
      <c r="E7073" s="202"/>
      <c r="U7073" s="204"/>
    </row>
    <row r="7074" spans="2:21" x14ac:dyDescent="0.2">
      <c r="B7074" s="203"/>
      <c r="C7074" s="237"/>
      <c r="D7074" s="202"/>
      <c r="E7074" s="202"/>
      <c r="U7074" s="204"/>
    </row>
    <row r="7075" spans="2:21" x14ac:dyDescent="0.2">
      <c r="B7075" s="203"/>
      <c r="C7075" s="237"/>
      <c r="D7075" s="202"/>
      <c r="E7075" s="202"/>
      <c r="U7075" s="204"/>
    </row>
    <row r="7076" spans="2:21" x14ac:dyDescent="0.2">
      <c r="B7076" s="203"/>
      <c r="C7076" s="237"/>
      <c r="D7076" s="202"/>
      <c r="E7076" s="202"/>
      <c r="U7076" s="204"/>
    </row>
    <row r="7077" spans="2:21" x14ac:dyDescent="0.2">
      <c r="B7077" s="203"/>
      <c r="C7077" s="237"/>
      <c r="D7077" s="202"/>
      <c r="E7077" s="202"/>
      <c r="U7077" s="204"/>
    </row>
    <row r="7078" spans="2:21" x14ac:dyDescent="0.2">
      <c r="B7078" s="203"/>
      <c r="C7078" s="237"/>
      <c r="D7078" s="202"/>
      <c r="E7078" s="202"/>
      <c r="U7078" s="204"/>
    </row>
    <row r="7079" spans="2:21" x14ac:dyDescent="0.2">
      <c r="B7079" s="203"/>
      <c r="C7079" s="237"/>
      <c r="D7079" s="202"/>
      <c r="E7079" s="202"/>
      <c r="U7079" s="204"/>
    </row>
    <row r="7080" spans="2:21" x14ac:dyDescent="0.2">
      <c r="B7080" s="203"/>
      <c r="C7080" s="237"/>
      <c r="D7080" s="202"/>
      <c r="E7080" s="202"/>
      <c r="U7080" s="204"/>
    </row>
    <row r="7081" spans="2:21" x14ac:dyDescent="0.2">
      <c r="B7081" s="203"/>
      <c r="C7081" s="237"/>
      <c r="D7081" s="202"/>
      <c r="E7081" s="202"/>
      <c r="U7081" s="204"/>
    </row>
    <row r="7082" spans="2:21" x14ac:dyDescent="0.2">
      <c r="B7082" s="203"/>
      <c r="C7082" s="237"/>
      <c r="D7082" s="202"/>
      <c r="E7082" s="202"/>
      <c r="U7082" s="204"/>
    </row>
    <row r="7083" spans="2:21" x14ac:dyDescent="0.2">
      <c r="B7083" s="203"/>
      <c r="C7083" s="237"/>
      <c r="D7083" s="202"/>
      <c r="E7083" s="202"/>
      <c r="U7083" s="204"/>
    </row>
    <row r="7084" spans="2:21" x14ac:dyDescent="0.2">
      <c r="B7084" s="203"/>
      <c r="C7084" s="237"/>
      <c r="D7084" s="202"/>
      <c r="E7084" s="202"/>
      <c r="U7084" s="204"/>
    </row>
    <row r="7085" spans="2:21" x14ac:dyDescent="0.2">
      <c r="B7085" s="203"/>
      <c r="C7085" s="237"/>
      <c r="D7085" s="202"/>
      <c r="E7085" s="202"/>
      <c r="U7085" s="204"/>
    </row>
    <row r="7086" spans="2:21" x14ac:dyDescent="0.2">
      <c r="B7086" s="203"/>
      <c r="C7086" s="237"/>
      <c r="D7086" s="202"/>
      <c r="E7086" s="202"/>
      <c r="U7086" s="204"/>
    </row>
    <row r="7087" spans="2:21" x14ac:dyDescent="0.2">
      <c r="B7087" s="203"/>
      <c r="C7087" s="237"/>
      <c r="D7087" s="202"/>
      <c r="E7087" s="202"/>
      <c r="U7087" s="204"/>
    </row>
    <row r="7088" spans="2:21" x14ac:dyDescent="0.2">
      <c r="B7088" s="203"/>
      <c r="C7088" s="237"/>
      <c r="D7088" s="202"/>
      <c r="E7088" s="202"/>
      <c r="U7088" s="204"/>
    </row>
    <row r="7089" spans="2:21" x14ac:dyDescent="0.2">
      <c r="B7089" s="203"/>
      <c r="C7089" s="237"/>
      <c r="D7089" s="202"/>
      <c r="E7089" s="202"/>
      <c r="U7089" s="204"/>
    </row>
    <row r="7090" spans="2:21" x14ac:dyDescent="0.2">
      <c r="B7090" s="203"/>
      <c r="C7090" s="237"/>
      <c r="D7090" s="202"/>
      <c r="E7090" s="202"/>
      <c r="U7090" s="204"/>
    </row>
    <row r="7091" spans="2:21" x14ac:dyDescent="0.2">
      <c r="B7091" s="203"/>
      <c r="C7091" s="237"/>
      <c r="D7091" s="202"/>
      <c r="E7091" s="202"/>
      <c r="U7091" s="204"/>
    </row>
    <row r="7092" spans="2:21" x14ac:dyDescent="0.2">
      <c r="B7092" s="203"/>
      <c r="C7092" s="237"/>
      <c r="D7092" s="202"/>
      <c r="E7092" s="202"/>
      <c r="U7092" s="204"/>
    </row>
    <row r="7093" spans="2:21" x14ac:dyDescent="0.2">
      <c r="B7093" s="203"/>
      <c r="C7093" s="237"/>
      <c r="D7093" s="202"/>
      <c r="E7093" s="202"/>
      <c r="U7093" s="204"/>
    </row>
    <row r="7094" spans="2:21" x14ac:dyDescent="0.2">
      <c r="B7094" s="203"/>
      <c r="C7094" s="237"/>
      <c r="D7094" s="202"/>
      <c r="E7094" s="202"/>
      <c r="U7094" s="204"/>
    </row>
    <row r="7095" spans="2:21" x14ac:dyDescent="0.2">
      <c r="B7095" s="203"/>
      <c r="C7095" s="237"/>
      <c r="D7095" s="202"/>
      <c r="E7095" s="202"/>
      <c r="U7095" s="204"/>
    </row>
    <row r="7096" spans="2:21" x14ac:dyDescent="0.2">
      <c r="B7096" s="203"/>
      <c r="C7096" s="237"/>
      <c r="D7096" s="202"/>
      <c r="E7096" s="202"/>
      <c r="U7096" s="204"/>
    </row>
    <row r="7097" spans="2:21" x14ac:dyDescent="0.2">
      <c r="B7097" s="203"/>
      <c r="C7097" s="237"/>
      <c r="D7097" s="202"/>
      <c r="E7097" s="202"/>
      <c r="U7097" s="204"/>
    </row>
    <row r="7098" spans="2:21" x14ac:dyDescent="0.2">
      <c r="B7098" s="203"/>
      <c r="C7098" s="237"/>
      <c r="D7098" s="202"/>
      <c r="E7098" s="202"/>
      <c r="U7098" s="204"/>
    </row>
    <row r="7099" spans="2:21" x14ac:dyDescent="0.2">
      <c r="B7099" s="203"/>
      <c r="C7099" s="237"/>
      <c r="D7099" s="202"/>
      <c r="E7099" s="202"/>
      <c r="U7099" s="204"/>
    </row>
    <row r="7100" spans="2:21" x14ac:dyDescent="0.2">
      <c r="B7100" s="203"/>
      <c r="C7100" s="237"/>
      <c r="D7100" s="202"/>
      <c r="E7100" s="202"/>
      <c r="U7100" s="204"/>
    </row>
    <row r="7101" spans="2:21" x14ac:dyDescent="0.2">
      <c r="B7101" s="203"/>
      <c r="C7101" s="237"/>
      <c r="D7101" s="202"/>
      <c r="E7101" s="202"/>
      <c r="U7101" s="204"/>
    </row>
    <row r="7102" spans="2:21" x14ac:dyDescent="0.2">
      <c r="B7102" s="203"/>
      <c r="C7102" s="237"/>
      <c r="D7102" s="202"/>
      <c r="E7102" s="202"/>
      <c r="U7102" s="204"/>
    </row>
    <row r="7103" spans="2:21" x14ac:dyDescent="0.2">
      <c r="B7103" s="203"/>
      <c r="C7103" s="237"/>
      <c r="D7103" s="202"/>
      <c r="E7103" s="202"/>
      <c r="U7103" s="204"/>
    </row>
    <row r="7104" spans="2:21" x14ac:dyDescent="0.2">
      <c r="B7104" s="203"/>
      <c r="C7104" s="237"/>
      <c r="D7104" s="202"/>
      <c r="E7104" s="202"/>
      <c r="U7104" s="204"/>
    </row>
    <row r="7105" spans="2:21" x14ac:dyDescent="0.2">
      <c r="B7105" s="203"/>
      <c r="C7105" s="237"/>
      <c r="D7105" s="202"/>
      <c r="E7105" s="202"/>
      <c r="U7105" s="204"/>
    </row>
    <row r="7106" spans="2:21" x14ac:dyDescent="0.2">
      <c r="B7106" s="203"/>
      <c r="C7106" s="237"/>
      <c r="D7106" s="202"/>
      <c r="E7106" s="202"/>
      <c r="U7106" s="204"/>
    </row>
    <row r="7107" spans="2:21" x14ac:dyDescent="0.2">
      <c r="B7107" s="203"/>
      <c r="C7107" s="237"/>
      <c r="D7107" s="202"/>
      <c r="E7107" s="202"/>
      <c r="U7107" s="204"/>
    </row>
    <row r="7108" spans="2:21" x14ac:dyDescent="0.2">
      <c r="B7108" s="203"/>
      <c r="C7108" s="237"/>
      <c r="D7108" s="202"/>
      <c r="E7108" s="202"/>
      <c r="U7108" s="204"/>
    </row>
    <row r="7109" spans="2:21" x14ac:dyDescent="0.2">
      <c r="B7109" s="203"/>
      <c r="C7109" s="237"/>
      <c r="D7109" s="202"/>
      <c r="E7109" s="202"/>
      <c r="U7109" s="204"/>
    </row>
    <row r="7110" spans="2:21" x14ac:dyDescent="0.2">
      <c r="B7110" s="203"/>
      <c r="C7110" s="237"/>
      <c r="D7110" s="202"/>
      <c r="E7110" s="202"/>
      <c r="U7110" s="204"/>
    </row>
    <row r="7111" spans="2:21" x14ac:dyDescent="0.2">
      <c r="B7111" s="203"/>
      <c r="C7111" s="237"/>
      <c r="D7111" s="202"/>
      <c r="E7111" s="202"/>
      <c r="U7111" s="204"/>
    </row>
    <row r="7112" spans="2:21" x14ac:dyDescent="0.2">
      <c r="B7112" s="203"/>
      <c r="C7112" s="237"/>
      <c r="D7112" s="202"/>
      <c r="E7112" s="202"/>
      <c r="U7112" s="204"/>
    </row>
    <row r="7113" spans="2:21" x14ac:dyDescent="0.2">
      <c r="B7113" s="203"/>
      <c r="C7113" s="237"/>
      <c r="D7113" s="202"/>
      <c r="E7113" s="202"/>
      <c r="U7113" s="204"/>
    </row>
    <row r="7114" spans="2:21" x14ac:dyDescent="0.2">
      <c r="B7114" s="203"/>
      <c r="C7114" s="237"/>
      <c r="D7114" s="202"/>
      <c r="E7114" s="202"/>
      <c r="U7114" s="204"/>
    </row>
    <row r="7115" spans="2:21" x14ac:dyDescent="0.2">
      <c r="B7115" s="203"/>
      <c r="C7115" s="237"/>
      <c r="D7115" s="202"/>
      <c r="E7115" s="202"/>
      <c r="U7115" s="204"/>
    </row>
    <row r="7116" spans="2:21" x14ac:dyDescent="0.2">
      <c r="B7116" s="203"/>
      <c r="C7116" s="237"/>
      <c r="D7116" s="202"/>
      <c r="E7116" s="202"/>
      <c r="U7116" s="204"/>
    </row>
    <row r="7117" spans="2:21" x14ac:dyDescent="0.2">
      <c r="B7117" s="203"/>
      <c r="C7117" s="237"/>
      <c r="D7117" s="202"/>
      <c r="E7117" s="202"/>
      <c r="U7117" s="204"/>
    </row>
    <row r="7118" spans="2:21" x14ac:dyDescent="0.2">
      <c r="B7118" s="203"/>
      <c r="C7118" s="237"/>
      <c r="D7118" s="202"/>
      <c r="E7118" s="202"/>
      <c r="U7118" s="204"/>
    </row>
    <row r="7119" spans="2:21" x14ac:dyDescent="0.2">
      <c r="B7119" s="203"/>
      <c r="C7119" s="237"/>
      <c r="D7119" s="202"/>
      <c r="E7119" s="202"/>
      <c r="U7119" s="204"/>
    </row>
    <row r="7120" spans="2:21" x14ac:dyDescent="0.2">
      <c r="B7120" s="203"/>
      <c r="C7120" s="237"/>
      <c r="D7120" s="202"/>
      <c r="E7120" s="202"/>
      <c r="U7120" s="204"/>
    </row>
    <row r="7121" spans="2:21" x14ac:dyDescent="0.2">
      <c r="B7121" s="203"/>
      <c r="C7121" s="237"/>
      <c r="D7121" s="202"/>
      <c r="E7121" s="202"/>
      <c r="U7121" s="204"/>
    </row>
    <row r="7122" spans="2:21" x14ac:dyDescent="0.2">
      <c r="B7122" s="203"/>
      <c r="C7122" s="237"/>
      <c r="D7122" s="202"/>
      <c r="E7122" s="202"/>
      <c r="U7122" s="204"/>
    </row>
    <row r="7123" spans="2:21" x14ac:dyDescent="0.2">
      <c r="B7123" s="203"/>
      <c r="C7123" s="237"/>
      <c r="D7123" s="202"/>
      <c r="E7123" s="202"/>
      <c r="U7123" s="204"/>
    </row>
    <row r="7124" spans="2:21" x14ac:dyDescent="0.2">
      <c r="B7124" s="203"/>
      <c r="C7124" s="237"/>
      <c r="D7124" s="202"/>
      <c r="E7124" s="202"/>
      <c r="U7124" s="204"/>
    </row>
    <row r="7125" spans="2:21" x14ac:dyDescent="0.2">
      <c r="B7125" s="203"/>
      <c r="C7125" s="237"/>
      <c r="D7125" s="202"/>
      <c r="E7125" s="202"/>
      <c r="U7125" s="204"/>
    </row>
    <row r="7126" spans="2:21" x14ac:dyDescent="0.2">
      <c r="B7126" s="203"/>
      <c r="C7126" s="237"/>
      <c r="D7126" s="202"/>
      <c r="E7126" s="202"/>
      <c r="U7126" s="204"/>
    </row>
    <row r="7127" spans="2:21" x14ac:dyDescent="0.2">
      <c r="B7127" s="203"/>
      <c r="C7127" s="237"/>
      <c r="D7127" s="202"/>
      <c r="E7127" s="202"/>
      <c r="U7127" s="204"/>
    </row>
    <row r="7128" spans="2:21" x14ac:dyDescent="0.2">
      <c r="B7128" s="203"/>
      <c r="C7128" s="237"/>
      <c r="D7128" s="202"/>
      <c r="E7128" s="202"/>
      <c r="U7128" s="204"/>
    </row>
    <row r="7129" spans="2:21" x14ac:dyDescent="0.2">
      <c r="B7129" s="203"/>
      <c r="C7129" s="237"/>
      <c r="D7129" s="202"/>
      <c r="E7129" s="202"/>
      <c r="U7129" s="204"/>
    </row>
    <row r="7130" spans="2:21" x14ac:dyDescent="0.2">
      <c r="B7130" s="203"/>
      <c r="C7130" s="237"/>
      <c r="D7130" s="202"/>
      <c r="E7130" s="202"/>
      <c r="U7130" s="204"/>
    </row>
    <row r="7131" spans="2:21" x14ac:dyDescent="0.2">
      <c r="B7131" s="203"/>
      <c r="C7131" s="237"/>
      <c r="D7131" s="202"/>
      <c r="E7131" s="202"/>
      <c r="U7131" s="204"/>
    </row>
    <row r="7132" spans="2:21" x14ac:dyDescent="0.2">
      <c r="B7132" s="203"/>
      <c r="C7132" s="237"/>
      <c r="D7132" s="202"/>
      <c r="E7132" s="202"/>
      <c r="U7132" s="204"/>
    </row>
    <row r="7133" spans="2:21" x14ac:dyDescent="0.2">
      <c r="B7133" s="203"/>
      <c r="C7133" s="237"/>
      <c r="D7133" s="202"/>
      <c r="E7133" s="202"/>
      <c r="U7133" s="204"/>
    </row>
    <row r="7134" spans="2:21" x14ac:dyDescent="0.2">
      <c r="B7134" s="203"/>
      <c r="C7134" s="237"/>
      <c r="D7134" s="202"/>
      <c r="E7134" s="202"/>
      <c r="U7134" s="204"/>
    </row>
    <row r="7135" spans="2:21" x14ac:dyDescent="0.2">
      <c r="B7135" s="203"/>
      <c r="C7135" s="237"/>
      <c r="D7135" s="202"/>
      <c r="E7135" s="202"/>
      <c r="U7135" s="204"/>
    </row>
    <row r="7136" spans="2:21" x14ac:dyDescent="0.2">
      <c r="B7136" s="203"/>
      <c r="C7136" s="237"/>
      <c r="D7136" s="202"/>
      <c r="E7136" s="202"/>
      <c r="U7136" s="204"/>
    </row>
    <row r="7137" spans="2:21" x14ac:dyDescent="0.2">
      <c r="B7137" s="203"/>
      <c r="C7137" s="237"/>
      <c r="D7137" s="202"/>
      <c r="E7137" s="202"/>
      <c r="U7137" s="204"/>
    </row>
    <row r="7138" spans="2:21" x14ac:dyDescent="0.2">
      <c r="B7138" s="203"/>
      <c r="C7138" s="237"/>
      <c r="D7138" s="202"/>
      <c r="E7138" s="202"/>
      <c r="U7138" s="204"/>
    </row>
    <row r="7139" spans="2:21" x14ac:dyDescent="0.2">
      <c r="B7139" s="203"/>
      <c r="C7139" s="237"/>
      <c r="D7139" s="202"/>
      <c r="E7139" s="202"/>
      <c r="U7139" s="204"/>
    </row>
    <row r="7140" spans="2:21" x14ac:dyDescent="0.2">
      <c r="B7140" s="203"/>
      <c r="C7140" s="237"/>
      <c r="D7140" s="202"/>
      <c r="E7140" s="202"/>
      <c r="U7140" s="204"/>
    </row>
    <row r="7141" spans="2:21" x14ac:dyDescent="0.2">
      <c r="B7141" s="203"/>
      <c r="C7141" s="237"/>
      <c r="D7141" s="202"/>
      <c r="E7141" s="202"/>
      <c r="U7141" s="204"/>
    </row>
    <row r="7142" spans="2:21" x14ac:dyDescent="0.2">
      <c r="B7142" s="203"/>
      <c r="C7142" s="237"/>
      <c r="D7142" s="202"/>
      <c r="E7142" s="202"/>
      <c r="U7142" s="204"/>
    </row>
    <row r="7143" spans="2:21" x14ac:dyDescent="0.2">
      <c r="B7143" s="203"/>
      <c r="C7143" s="237"/>
      <c r="D7143" s="202"/>
      <c r="E7143" s="202"/>
      <c r="U7143" s="204"/>
    </row>
    <row r="7144" spans="2:21" x14ac:dyDescent="0.2">
      <c r="B7144" s="203"/>
      <c r="C7144" s="237"/>
      <c r="D7144" s="202"/>
      <c r="E7144" s="202"/>
      <c r="U7144" s="204"/>
    </row>
    <row r="7145" spans="2:21" x14ac:dyDescent="0.2">
      <c r="B7145" s="203"/>
      <c r="C7145" s="237"/>
      <c r="D7145" s="202"/>
      <c r="E7145" s="202"/>
      <c r="U7145" s="204"/>
    </row>
    <row r="7146" spans="2:21" x14ac:dyDescent="0.2">
      <c r="B7146" s="203"/>
      <c r="C7146" s="237"/>
      <c r="D7146" s="202"/>
      <c r="E7146" s="202"/>
      <c r="U7146" s="204"/>
    </row>
    <row r="7147" spans="2:21" x14ac:dyDescent="0.2">
      <c r="B7147" s="203"/>
      <c r="C7147" s="237"/>
      <c r="D7147" s="202"/>
      <c r="E7147" s="202"/>
      <c r="U7147" s="204"/>
    </row>
    <row r="7148" spans="2:21" x14ac:dyDescent="0.2">
      <c r="B7148" s="203"/>
      <c r="C7148" s="237"/>
      <c r="D7148" s="202"/>
      <c r="E7148" s="202"/>
      <c r="U7148" s="204"/>
    </row>
    <row r="7149" spans="2:21" x14ac:dyDescent="0.2">
      <c r="B7149" s="203"/>
      <c r="C7149" s="237"/>
      <c r="D7149" s="202"/>
      <c r="E7149" s="202"/>
      <c r="U7149" s="204"/>
    </row>
    <row r="7150" spans="2:21" x14ac:dyDescent="0.2">
      <c r="B7150" s="203"/>
      <c r="C7150" s="237"/>
      <c r="D7150" s="202"/>
      <c r="E7150" s="202"/>
      <c r="U7150" s="204"/>
    </row>
    <row r="7151" spans="2:21" x14ac:dyDescent="0.2">
      <c r="B7151" s="203"/>
      <c r="C7151" s="237"/>
      <c r="D7151" s="202"/>
      <c r="E7151" s="202"/>
      <c r="U7151" s="204"/>
    </row>
    <row r="7152" spans="2:21" x14ac:dyDescent="0.2">
      <c r="B7152" s="203"/>
      <c r="C7152" s="237"/>
      <c r="D7152" s="202"/>
      <c r="E7152" s="202"/>
      <c r="U7152" s="204"/>
    </row>
    <row r="7153" spans="2:21" x14ac:dyDescent="0.2">
      <c r="B7153" s="203"/>
      <c r="C7153" s="237"/>
      <c r="D7153" s="202"/>
      <c r="E7153" s="202"/>
      <c r="U7153" s="204"/>
    </row>
    <row r="7154" spans="2:21" x14ac:dyDescent="0.2">
      <c r="B7154" s="203"/>
      <c r="C7154" s="237"/>
      <c r="D7154" s="202"/>
      <c r="E7154" s="202"/>
      <c r="U7154" s="204"/>
    </row>
    <row r="7155" spans="2:21" x14ac:dyDescent="0.2">
      <c r="B7155" s="203"/>
      <c r="C7155" s="237"/>
      <c r="D7155" s="202"/>
      <c r="E7155" s="202"/>
      <c r="U7155" s="204"/>
    </row>
    <row r="7156" spans="2:21" x14ac:dyDescent="0.2">
      <c r="B7156" s="203"/>
      <c r="C7156" s="237"/>
      <c r="D7156" s="202"/>
      <c r="E7156" s="202"/>
      <c r="U7156" s="204"/>
    </row>
    <row r="7157" spans="2:21" x14ac:dyDescent="0.2">
      <c r="B7157" s="203"/>
      <c r="C7157" s="237"/>
      <c r="D7157" s="202"/>
      <c r="E7157" s="202"/>
      <c r="U7157" s="204"/>
    </row>
    <row r="7158" spans="2:21" x14ac:dyDescent="0.2">
      <c r="B7158" s="203"/>
      <c r="C7158" s="237"/>
      <c r="D7158" s="202"/>
      <c r="E7158" s="202"/>
      <c r="U7158" s="204"/>
    </row>
    <row r="7159" spans="2:21" x14ac:dyDescent="0.2">
      <c r="B7159" s="203"/>
      <c r="C7159" s="237"/>
      <c r="D7159" s="202"/>
      <c r="E7159" s="202"/>
      <c r="U7159" s="204"/>
    </row>
    <row r="7160" spans="2:21" x14ac:dyDescent="0.2">
      <c r="B7160" s="203"/>
      <c r="C7160" s="237"/>
      <c r="D7160" s="202"/>
      <c r="E7160" s="202"/>
      <c r="U7160" s="204"/>
    </row>
    <row r="7161" spans="2:21" x14ac:dyDescent="0.2">
      <c r="B7161" s="203"/>
      <c r="C7161" s="237"/>
      <c r="D7161" s="202"/>
      <c r="E7161" s="202"/>
      <c r="U7161" s="204"/>
    </row>
    <row r="7162" spans="2:21" x14ac:dyDescent="0.2">
      <c r="B7162" s="203"/>
      <c r="C7162" s="237"/>
      <c r="D7162" s="202"/>
      <c r="E7162" s="202"/>
      <c r="U7162" s="204"/>
    </row>
    <row r="7163" spans="2:21" x14ac:dyDescent="0.2">
      <c r="B7163" s="203"/>
      <c r="C7163" s="237"/>
      <c r="D7163" s="202"/>
      <c r="E7163" s="202"/>
      <c r="U7163" s="204"/>
    </row>
    <row r="7164" spans="2:21" x14ac:dyDescent="0.2">
      <c r="B7164" s="203"/>
      <c r="C7164" s="237"/>
      <c r="D7164" s="202"/>
      <c r="E7164" s="202"/>
      <c r="U7164" s="204"/>
    </row>
    <row r="7165" spans="2:21" x14ac:dyDescent="0.2">
      <c r="B7165" s="203"/>
      <c r="C7165" s="237"/>
      <c r="D7165" s="202"/>
      <c r="E7165" s="202"/>
      <c r="U7165" s="204"/>
    </row>
    <row r="7166" spans="2:21" x14ac:dyDescent="0.2">
      <c r="B7166" s="203"/>
      <c r="C7166" s="237"/>
      <c r="D7166" s="202"/>
      <c r="E7166" s="202"/>
      <c r="U7166" s="204"/>
    </row>
    <row r="7167" spans="2:21" x14ac:dyDescent="0.2">
      <c r="B7167" s="203"/>
      <c r="C7167" s="237"/>
      <c r="D7167" s="202"/>
      <c r="E7167" s="202"/>
      <c r="U7167" s="204"/>
    </row>
    <row r="7168" spans="2:21" x14ac:dyDescent="0.2">
      <c r="B7168" s="203"/>
      <c r="C7168" s="237"/>
      <c r="D7168" s="202"/>
      <c r="E7168" s="202"/>
      <c r="U7168" s="204"/>
    </row>
    <row r="7169" spans="2:21" x14ac:dyDescent="0.2">
      <c r="B7169" s="203"/>
      <c r="C7169" s="237"/>
      <c r="D7169" s="202"/>
      <c r="E7169" s="202"/>
      <c r="U7169" s="204"/>
    </row>
    <row r="7170" spans="2:21" x14ac:dyDescent="0.2">
      <c r="B7170" s="203"/>
      <c r="C7170" s="237"/>
      <c r="D7170" s="202"/>
      <c r="E7170" s="202"/>
      <c r="U7170" s="204"/>
    </row>
    <row r="7171" spans="2:21" x14ac:dyDescent="0.2">
      <c r="B7171" s="203"/>
      <c r="C7171" s="237"/>
      <c r="D7171" s="202"/>
      <c r="E7171" s="202"/>
      <c r="U7171" s="204"/>
    </row>
    <row r="7172" spans="2:21" x14ac:dyDescent="0.2">
      <c r="B7172" s="203"/>
      <c r="C7172" s="237"/>
      <c r="D7172" s="202"/>
      <c r="E7172" s="202"/>
      <c r="U7172" s="204"/>
    </row>
    <row r="7173" spans="2:21" x14ac:dyDescent="0.2">
      <c r="B7173" s="203"/>
      <c r="C7173" s="237"/>
      <c r="D7173" s="202"/>
      <c r="E7173" s="202"/>
      <c r="U7173" s="204"/>
    </row>
    <row r="7174" spans="2:21" x14ac:dyDescent="0.2">
      <c r="B7174" s="203"/>
      <c r="C7174" s="237"/>
      <c r="D7174" s="202"/>
      <c r="E7174" s="202"/>
      <c r="U7174" s="204"/>
    </row>
    <row r="7175" spans="2:21" x14ac:dyDescent="0.2">
      <c r="B7175" s="203"/>
      <c r="C7175" s="237"/>
      <c r="D7175" s="202"/>
      <c r="E7175" s="202"/>
      <c r="U7175" s="204"/>
    </row>
    <row r="7176" spans="2:21" x14ac:dyDescent="0.2">
      <c r="B7176" s="203"/>
      <c r="C7176" s="237"/>
      <c r="D7176" s="202"/>
      <c r="E7176" s="202"/>
      <c r="U7176" s="204"/>
    </row>
    <row r="7177" spans="2:21" x14ac:dyDescent="0.2">
      <c r="B7177" s="203"/>
      <c r="C7177" s="237"/>
      <c r="D7177" s="202"/>
      <c r="E7177" s="202"/>
      <c r="U7177" s="204"/>
    </row>
    <row r="7178" spans="2:21" x14ac:dyDescent="0.2">
      <c r="B7178" s="203"/>
      <c r="C7178" s="237"/>
      <c r="D7178" s="202"/>
      <c r="E7178" s="202"/>
      <c r="U7178" s="204"/>
    </row>
    <row r="7179" spans="2:21" x14ac:dyDescent="0.2">
      <c r="B7179" s="203"/>
      <c r="C7179" s="237"/>
      <c r="D7179" s="202"/>
      <c r="E7179" s="202"/>
      <c r="U7179" s="204"/>
    </row>
    <row r="7180" spans="2:21" x14ac:dyDescent="0.2">
      <c r="B7180" s="203"/>
      <c r="C7180" s="237"/>
      <c r="D7180" s="202"/>
      <c r="E7180" s="202"/>
      <c r="U7180" s="204"/>
    </row>
    <row r="7181" spans="2:21" x14ac:dyDescent="0.2">
      <c r="B7181" s="203"/>
      <c r="C7181" s="237"/>
      <c r="D7181" s="202"/>
      <c r="E7181" s="202"/>
      <c r="U7181" s="204"/>
    </row>
    <row r="7182" spans="2:21" x14ac:dyDescent="0.2">
      <c r="B7182" s="203"/>
      <c r="C7182" s="237"/>
      <c r="D7182" s="202"/>
      <c r="E7182" s="202"/>
      <c r="U7182" s="204"/>
    </row>
    <row r="7183" spans="2:21" x14ac:dyDescent="0.2">
      <c r="B7183" s="203"/>
      <c r="C7183" s="237"/>
      <c r="D7183" s="202"/>
      <c r="E7183" s="202"/>
      <c r="U7183" s="204"/>
    </row>
    <row r="7184" spans="2:21" x14ac:dyDescent="0.2">
      <c r="B7184" s="203"/>
      <c r="C7184" s="237"/>
      <c r="D7184" s="202"/>
      <c r="E7184" s="202"/>
      <c r="U7184" s="204"/>
    </row>
    <row r="7185" spans="2:21" x14ac:dyDescent="0.2">
      <c r="B7185" s="203"/>
      <c r="C7185" s="237"/>
      <c r="D7185" s="202"/>
      <c r="E7185" s="202"/>
      <c r="U7185" s="204"/>
    </row>
    <row r="7186" spans="2:21" x14ac:dyDescent="0.2">
      <c r="B7186" s="203"/>
      <c r="C7186" s="237"/>
      <c r="D7186" s="202"/>
      <c r="E7186" s="202"/>
      <c r="U7186" s="204"/>
    </row>
    <row r="7187" spans="2:21" x14ac:dyDescent="0.2">
      <c r="B7187" s="203"/>
      <c r="C7187" s="237"/>
      <c r="D7187" s="202"/>
      <c r="E7187" s="202"/>
      <c r="U7187" s="204"/>
    </row>
    <row r="7188" spans="2:21" x14ac:dyDescent="0.2">
      <c r="B7188" s="203"/>
      <c r="C7188" s="237"/>
      <c r="D7188" s="202"/>
      <c r="E7188" s="202"/>
      <c r="U7188" s="204"/>
    </row>
    <row r="7189" spans="2:21" x14ac:dyDescent="0.2">
      <c r="B7189" s="203"/>
      <c r="C7189" s="237"/>
      <c r="D7189" s="202"/>
      <c r="E7189" s="202"/>
      <c r="U7189" s="204"/>
    </row>
    <row r="7190" spans="2:21" x14ac:dyDescent="0.2">
      <c r="B7190" s="203"/>
      <c r="C7190" s="237"/>
      <c r="D7190" s="202"/>
      <c r="E7190" s="202"/>
      <c r="U7190" s="204"/>
    </row>
    <row r="7191" spans="2:21" x14ac:dyDescent="0.2">
      <c r="B7191" s="203"/>
      <c r="C7191" s="237"/>
      <c r="D7191" s="202"/>
      <c r="E7191" s="202"/>
      <c r="U7191" s="204"/>
    </row>
    <row r="7192" spans="2:21" x14ac:dyDescent="0.2">
      <c r="B7192" s="203"/>
      <c r="C7192" s="237"/>
      <c r="D7192" s="202"/>
      <c r="E7192" s="202"/>
      <c r="U7192" s="204"/>
    </row>
    <row r="7193" spans="2:21" x14ac:dyDescent="0.2">
      <c r="B7193" s="203"/>
      <c r="C7193" s="237"/>
      <c r="D7193" s="202"/>
      <c r="E7193" s="202"/>
      <c r="U7193" s="204"/>
    </row>
    <row r="7194" spans="2:21" x14ac:dyDescent="0.2">
      <c r="B7194" s="203"/>
      <c r="C7194" s="237"/>
      <c r="D7194" s="202"/>
      <c r="E7194" s="202"/>
      <c r="U7194" s="204"/>
    </row>
    <row r="7195" spans="2:21" x14ac:dyDescent="0.2">
      <c r="B7195" s="203"/>
      <c r="C7195" s="237"/>
      <c r="D7195" s="202"/>
      <c r="E7195" s="202"/>
      <c r="U7195" s="204"/>
    </row>
    <row r="7196" spans="2:21" x14ac:dyDescent="0.2">
      <c r="B7196" s="203"/>
      <c r="C7196" s="237"/>
      <c r="D7196" s="202"/>
      <c r="E7196" s="202"/>
      <c r="U7196" s="204"/>
    </row>
    <row r="7197" spans="2:21" x14ac:dyDescent="0.2">
      <c r="B7197" s="203"/>
      <c r="C7197" s="237"/>
      <c r="D7197" s="202"/>
      <c r="E7197" s="202"/>
      <c r="U7197" s="204"/>
    </row>
    <row r="7198" spans="2:21" x14ac:dyDescent="0.2">
      <c r="B7198" s="203"/>
      <c r="C7198" s="237"/>
      <c r="D7198" s="202"/>
      <c r="E7198" s="202"/>
      <c r="U7198" s="204"/>
    </row>
    <row r="7199" spans="2:21" x14ac:dyDescent="0.2">
      <c r="B7199" s="203"/>
      <c r="C7199" s="237"/>
      <c r="D7199" s="202"/>
      <c r="E7199" s="202"/>
      <c r="U7199" s="204"/>
    </row>
    <row r="7200" spans="2:21" x14ac:dyDescent="0.2">
      <c r="B7200" s="203"/>
      <c r="C7200" s="237"/>
      <c r="D7200" s="202"/>
      <c r="E7200" s="202"/>
      <c r="U7200" s="204"/>
    </row>
    <row r="7201" spans="2:21" x14ac:dyDescent="0.2">
      <c r="B7201" s="203"/>
      <c r="C7201" s="237"/>
      <c r="D7201" s="202"/>
      <c r="E7201" s="202"/>
      <c r="U7201" s="204"/>
    </row>
    <row r="7202" spans="2:21" x14ac:dyDescent="0.2">
      <c r="B7202" s="203"/>
      <c r="C7202" s="237"/>
      <c r="D7202" s="202"/>
      <c r="E7202" s="202"/>
      <c r="U7202" s="204"/>
    </row>
    <row r="7203" spans="2:21" x14ac:dyDescent="0.2">
      <c r="B7203" s="203"/>
      <c r="C7203" s="237"/>
      <c r="D7203" s="202"/>
      <c r="E7203" s="202"/>
      <c r="U7203" s="204"/>
    </row>
    <row r="7204" spans="2:21" x14ac:dyDescent="0.2">
      <c r="B7204" s="203"/>
      <c r="C7204" s="237"/>
      <c r="D7204" s="202"/>
      <c r="E7204" s="202"/>
      <c r="U7204" s="204"/>
    </row>
    <row r="7205" spans="2:21" x14ac:dyDescent="0.2">
      <c r="B7205" s="203"/>
      <c r="C7205" s="237"/>
      <c r="D7205" s="202"/>
      <c r="E7205" s="202"/>
      <c r="U7205" s="204"/>
    </row>
    <row r="7206" spans="2:21" x14ac:dyDescent="0.2">
      <c r="B7206" s="203"/>
      <c r="C7206" s="237"/>
      <c r="D7206" s="202"/>
      <c r="E7206" s="202"/>
      <c r="U7206" s="204"/>
    </row>
    <row r="7207" spans="2:21" x14ac:dyDescent="0.2">
      <c r="B7207" s="203"/>
      <c r="C7207" s="237"/>
      <c r="D7207" s="202"/>
      <c r="E7207" s="202"/>
      <c r="U7207" s="204"/>
    </row>
    <row r="7208" spans="2:21" x14ac:dyDescent="0.2">
      <c r="B7208" s="203"/>
      <c r="C7208" s="237"/>
      <c r="D7208" s="202"/>
      <c r="E7208" s="202"/>
      <c r="U7208" s="204"/>
    </row>
    <row r="7209" spans="2:21" x14ac:dyDescent="0.2">
      <c r="B7209" s="203"/>
      <c r="C7209" s="237"/>
      <c r="D7209" s="202"/>
      <c r="E7209" s="202"/>
      <c r="U7209" s="204"/>
    </row>
    <row r="7210" spans="2:21" x14ac:dyDescent="0.2">
      <c r="B7210" s="203"/>
      <c r="C7210" s="237"/>
      <c r="D7210" s="202"/>
      <c r="E7210" s="202"/>
      <c r="U7210" s="204"/>
    </row>
    <row r="7211" spans="2:21" x14ac:dyDescent="0.2">
      <c r="B7211" s="203"/>
      <c r="C7211" s="237"/>
      <c r="D7211" s="202"/>
      <c r="E7211" s="202"/>
      <c r="U7211" s="204"/>
    </row>
    <row r="7212" spans="2:21" x14ac:dyDescent="0.2">
      <c r="B7212" s="203"/>
      <c r="C7212" s="237"/>
      <c r="D7212" s="202"/>
      <c r="E7212" s="202"/>
      <c r="U7212" s="204"/>
    </row>
    <row r="7213" spans="2:21" x14ac:dyDescent="0.2">
      <c r="B7213" s="203"/>
      <c r="C7213" s="237"/>
      <c r="D7213" s="202"/>
      <c r="E7213" s="202"/>
      <c r="U7213" s="204"/>
    </row>
    <row r="7214" spans="2:21" x14ac:dyDescent="0.2">
      <c r="B7214" s="203"/>
      <c r="C7214" s="237"/>
      <c r="D7214" s="202"/>
      <c r="E7214" s="202"/>
      <c r="U7214" s="204"/>
    </row>
    <row r="7215" spans="2:21" x14ac:dyDescent="0.2">
      <c r="B7215" s="203"/>
      <c r="C7215" s="237"/>
      <c r="D7215" s="202"/>
      <c r="E7215" s="202"/>
      <c r="U7215" s="204"/>
    </row>
    <row r="7216" spans="2:21" x14ac:dyDescent="0.2">
      <c r="B7216" s="203"/>
      <c r="C7216" s="237"/>
      <c r="D7216" s="202"/>
      <c r="E7216" s="202"/>
      <c r="U7216" s="204"/>
    </row>
    <row r="7217" spans="2:21" x14ac:dyDescent="0.2">
      <c r="B7217" s="203"/>
      <c r="C7217" s="237"/>
      <c r="D7217" s="202"/>
      <c r="E7217" s="202"/>
      <c r="U7217" s="204"/>
    </row>
    <row r="7218" spans="2:21" x14ac:dyDescent="0.2">
      <c r="B7218" s="203"/>
      <c r="C7218" s="237"/>
      <c r="D7218" s="202"/>
      <c r="E7218" s="202"/>
      <c r="U7218" s="204"/>
    </row>
    <row r="7219" spans="2:21" x14ac:dyDescent="0.2">
      <c r="B7219" s="203"/>
      <c r="C7219" s="237"/>
      <c r="D7219" s="202"/>
      <c r="E7219" s="202"/>
      <c r="U7219" s="204"/>
    </row>
    <row r="7220" spans="2:21" x14ac:dyDescent="0.2">
      <c r="B7220" s="203"/>
      <c r="C7220" s="237"/>
      <c r="D7220" s="202"/>
      <c r="E7220" s="202"/>
      <c r="U7220" s="204"/>
    </row>
    <row r="7221" spans="2:21" x14ac:dyDescent="0.2">
      <c r="B7221" s="203"/>
      <c r="C7221" s="237"/>
      <c r="D7221" s="202"/>
      <c r="E7221" s="202"/>
      <c r="U7221" s="204"/>
    </row>
    <row r="7222" spans="2:21" x14ac:dyDescent="0.2">
      <c r="B7222" s="203"/>
      <c r="C7222" s="237"/>
      <c r="D7222" s="202"/>
      <c r="E7222" s="202"/>
      <c r="U7222" s="204"/>
    </row>
    <row r="7223" spans="2:21" x14ac:dyDescent="0.2">
      <c r="B7223" s="203"/>
      <c r="C7223" s="237"/>
      <c r="D7223" s="202"/>
      <c r="E7223" s="202"/>
      <c r="U7223" s="204"/>
    </row>
    <row r="7224" spans="2:21" x14ac:dyDescent="0.2">
      <c r="B7224" s="203"/>
      <c r="C7224" s="237"/>
      <c r="D7224" s="202"/>
      <c r="E7224" s="202"/>
      <c r="U7224" s="204"/>
    </row>
    <row r="7225" spans="2:21" x14ac:dyDescent="0.2">
      <c r="B7225" s="203"/>
      <c r="C7225" s="237"/>
      <c r="D7225" s="202"/>
      <c r="E7225" s="202"/>
      <c r="U7225" s="204"/>
    </row>
    <row r="7226" spans="2:21" x14ac:dyDescent="0.2">
      <c r="B7226" s="203"/>
      <c r="C7226" s="237"/>
      <c r="D7226" s="202"/>
      <c r="E7226" s="202"/>
      <c r="U7226" s="204"/>
    </row>
    <row r="7227" spans="2:21" x14ac:dyDescent="0.2">
      <c r="B7227" s="203"/>
      <c r="C7227" s="237"/>
      <c r="D7227" s="202"/>
      <c r="E7227" s="202"/>
      <c r="U7227" s="204"/>
    </row>
    <row r="7228" spans="2:21" x14ac:dyDescent="0.2">
      <c r="B7228" s="203"/>
      <c r="C7228" s="237"/>
      <c r="D7228" s="202"/>
      <c r="E7228" s="202"/>
      <c r="U7228" s="204"/>
    </row>
    <row r="7229" spans="2:21" x14ac:dyDescent="0.2">
      <c r="B7229" s="203"/>
      <c r="C7229" s="237"/>
      <c r="D7229" s="202"/>
      <c r="E7229" s="202"/>
      <c r="U7229" s="204"/>
    </row>
    <row r="7230" spans="2:21" x14ac:dyDescent="0.2">
      <c r="B7230" s="203"/>
      <c r="C7230" s="237"/>
      <c r="D7230" s="202"/>
      <c r="E7230" s="202"/>
      <c r="U7230" s="204"/>
    </row>
    <row r="7231" spans="2:21" x14ac:dyDescent="0.2">
      <c r="B7231" s="203"/>
      <c r="C7231" s="237"/>
      <c r="D7231" s="202"/>
      <c r="E7231" s="202"/>
      <c r="U7231" s="204"/>
    </row>
    <row r="7232" spans="2:21" x14ac:dyDescent="0.2">
      <c r="B7232" s="203"/>
      <c r="C7232" s="237"/>
      <c r="D7232" s="202"/>
      <c r="E7232" s="202"/>
      <c r="U7232" s="204"/>
    </row>
    <row r="7233" spans="2:21" x14ac:dyDescent="0.2">
      <c r="B7233" s="203"/>
      <c r="C7233" s="237"/>
      <c r="D7233" s="202"/>
      <c r="E7233" s="202"/>
      <c r="U7233" s="204"/>
    </row>
    <row r="7234" spans="2:21" x14ac:dyDescent="0.2">
      <c r="B7234" s="203"/>
      <c r="C7234" s="237"/>
      <c r="D7234" s="202"/>
      <c r="E7234" s="202"/>
      <c r="U7234" s="204"/>
    </row>
    <row r="7235" spans="2:21" x14ac:dyDescent="0.2">
      <c r="B7235" s="203"/>
      <c r="C7235" s="237"/>
      <c r="D7235" s="202"/>
      <c r="E7235" s="202"/>
      <c r="U7235" s="204"/>
    </row>
    <row r="7236" spans="2:21" x14ac:dyDescent="0.2">
      <c r="B7236" s="203"/>
      <c r="C7236" s="237"/>
      <c r="D7236" s="202"/>
      <c r="E7236" s="202"/>
      <c r="U7236" s="204"/>
    </row>
    <row r="7237" spans="2:21" x14ac:dyDescent="0.2">
      <c r="B7237" s="203"/>
      <c r="C7237" s="237"/>
      <c r="D7237" s="202"/>
      <c r="E7237" s="202"/>
      <c r="U7237" s="204"/>
    </row>
    <row r="7238" spans="2:21" x14ac:dyDescent="0.2">
      <c r="B7238" s="203"/>
      <c r="C7238" s="237"/>
      <c r="D7238" s="202"/>
      <c r="E7238" s="202"/>
      <c r="U7238" s="204"/>
    </row>
    <row r="7239" spans="2:21" x14ac:dyDescent="0.2">
      <c r="B7239" s="203"/>
      <c r="C7239" s="237"/>
      <c r="D7239" s="202"/>
      <c r="E7239" s="202"/>
      <c r="U7239" s="204"/>
    </row>
    <row r="7240" spans="2:21" x14ac:dyDescent="0.2">
      <c r="B7240" s="203"/>
      <c r="C7240" s="237"/>
      <c r="D7240" s="202"/>
      <c r="E7240" s="202"/>
      <c r="U7240" s="204"/>
    </row>
    <row r="7241" spans="2:21" x14ac:dyDescent="0.2">
      <c r="B7241" s="203"/>
      <c r="C7241" s="237"/>
      <c r="D7241" s="202"/>
      <c r="E7241" s="202"/>
      <c r="U7241" s="204"/>
    </row>
    <row r="7242" spans="2:21" x14ac:dyDescent="0.2">
      <c r="B7242" s="203"/>
      <c r="C7242" s="237"/>
      <c r="D7242" s="202"/>
      <c r="E7242" s="202"/>
      <c r="U7242" s="204"/>
    </row>
    <row r="7243" spans="2:21" x14ac:dyDescent="0.2">
      <c r="B7243" s="203"/>
      <c r="C7243" s="237"/>
      <c r="D7243" s="202"/>
      <c r="E7243" s="202"/>
      <c r="U7243" s="204"/>
    </row>
    <row r="7244" spans="2:21" x14ac:dyDescent="0.2">
      <c r="B7244" s="203"/>
      <c r="C7244" s="237"/>
      <c r="D7244" s="202"/>
      <c r="E7244" s="202"/>
      <c r="U7244" s="204"/>
    </row>
    <row r="7245" spans="2:21" x14ac:dyDescent="0.2">
      <c r="B7245" s="203"/>
      <c r="C7245" s="237"/>
      <c r="D7245" s="202"/>
      <c r="E7245" s="202"/>
      <c r="U7245" s="204"/>
    </row>
    <row r="7246" spans="2:21" x14ac:dyDescent="0.2">
      <c r="B7246" s="203"/>
      <c r="C7246" s="237"/>
      <c r="D7246" s="202"/>
      <c r="E7246" s="202"/>
      <c r="U7246" s="204"/>
    </row>
    <row r="7247" spans="2:21" x14ac:dyDescent="0.2">
      <c r="B7247" s="203"/>
      <c r="C7247" s="237"/>
      <c r="D7247" s="202"/>
      <c r="E7247" s="202"/>
      <c r="U7247" s="204"/>
    </row>
    <row r="7248" spans="2:21" x14ac:dyDescent="0.2">
      <c r="B7248" s="203"/>
      <c r="C7248" s="237"/>
      <c r="D7248" s="202"/>
      <c r="E7248" s="202"/>
      <c r="U7248" s="204"/>
    </row>
    <row r="7249" spans="2:21" x14ac:dyDescent="0.2">
      <c r="B7249" s="203"/>
      <c r="C7249" s="237"/>
      <c r="D7249" s="202"/>
      <c r="E7249" s="202"/>
      <c r="U7249" s="204"/>
    </row>
    <row r="7250" spans="2:21" x14ac:dyDescent="0.2">
      <c r="B7250" s="203"/>
      <c r="C7250" s="237"/>
      <c r="D7250" s="202"/>
      <c r="E7250" s="202"/>
      <c r="U7250" s="204"/>
    </row>
    <row r="7251" spans="2:21" x14ac:dyDescent="0.2">
      <c r="B7251" s="203"/>
      <c r="C7251" s="237"/>
      <c r="D7251" s="202"/>
      <c r="E7251" s="202"/>
      <c r="U7251" s="204"/>
    </row>
    <row r="7252" spans="2:21" x14ac:dyDescent="0.2">
      <c r="B7252" s="203"/>
      <c r="C7252" s="237"/>
      <c r="D7252" s="202"/>
      <c r="E7252" s="202"/>
      <c r="U7252" s="204"/>
    </row>
    <row r="7253" spans="2:21" x14ac:dyDescent="0.2">
      <c r="B7253" s="203"/>
      <c r="C7253" s="237"/>
      <c r="D7253" s="202"/>
      <c r="E7253" s="202"/>
      <c r="U7253" s="204"/>
    </row>
    <row r="7254" spans="2:21" x14ac:dyDescent="0.2">
      <c r="B7254" s="203"/>
      <c r="C7254" s="237"/>
      <c r="D7254" s="202"/>
      <c r="E7254" s="202"/>
      <c r="U7254" s="204"/>
    </row>
    <row r="7255" spans="2:21" x14ac:dyDescent="0.2">
      <c r="B7255" s="203"/>
      <c r="C7255" s="237"/>
      <c r="D7255" s="202"/>
      <c r="E7255" s="202"/>
      <c r="U7255" s="204"/>
    </row>
    <row r="7256" spans="2:21" x14ac:dyDescent="0.2">
      <c r="B7256" s="203"/>
      <c r="C7256" s="237"/>
      <c r="D7256" s="202"/>
      <c r="E7256" s="202"/>
      <c r="U7256" s="204"/>
    </row>
    <row r="7257" spans="2:21" x14ac:dyDescent="0.2">
      <c r="B7257" s="203"/>
      <c r="C7257" s="237"/>
      <c r="D7257" s="202"/>
      <c r="E7257" s="202"/>
      <c r="U7257" s="204"/>
    </row>
    <row r="7258" spans="2:21" x14ac:dyDescent="0.2">
      <c r="B7258" s="203"/>
      <c r="C7258" s="237"/>
      <c r="D7258" s="202"/>
      <c r="E7258" s="202"/>
      <c r="U7258" s="204"/>
    </row>
    <row r="7259" spans="2:21" x14ac:dyDescent="0.2">
      <c r="B7259" s="203"/>
      <c r="C7259" s="237"/>
      <c r="D7259" s="202"/>
      <c r="E7259" s="202"/>
      <c r="U7259" s="204"/>
    </row>
    <row r="7260" spans="2:21" x14ac:dyDescent="0.2">
      <c r="B7260" s="203"/>
      <c r="C7260" s="237"/>
      <c r="D7260" s="202"/>
      <c r="E7260" s="202"/>
      <c r="U7260" s="204"/>
    </row>
    <row r="7261" spans="2:21" x14ac:dyDescent="0.2">
      <c r="B7261" s="203"/>
      <c r="C7261" s="237"/>
      <c r="D7261" s="202"/>
      <c r="E7261" s="202"/>
      <c r="U7261" s="204"/>
    </row>
    <row r="7262" spans="2:21" x14ac:dyDescent="0.2">
      <c r="B7262" s="203"/>
      <c r="C7262" s="237"/>
      <c r="D7262" s="202"/>
      <c r="E7262" s="202"/>
      <c r="U7262" s="204"/>
    </row>
    <row r="7263" spans="2:21" x14ac:dyDescent="0.2">
      <c r="B7263" s="203"/>
      <c r="C7263" s="237"/>
      <c r="D7263" s="202"/>
      <c r="E7263" s="202"/>
      <c r="U7263" s="204"/>
    </row>
    <row r="7264" spans="2:21" x14ac:dyDescent="0.2">
      <c r="B7264" s="203"/>
      <c r="C7264" s="237"/>
      <c r="D7264" s="202"/>
      <c r="E7264" s="202"/>
      <c r="U7264" s="204"/>
    </row>
    <row r="7265" spans="2:21" x14ac:dyDescent="0.2">
      <c r="B7265" s="203"/>
      <c r="C7265" s="237"/>
      <c r="D7265" s="202"/>
      <c r="E7265" s="202"/>
      <c r="U7265" s="204"/>
    </row>
    <row r="7266" spans="2:21" x14ac:dyDescent="0.2">
      <c r="B7266" s="203"/>
      <c r="C7266" s="237"/>
      <c r="D7266" s="202"/>
      <c r="E7266" s="202"/>
      <c r="U7266" s="204"/>
    </row>
    <row r="7267" spans="2:21" x14ac:dyDescent="0.2">
      <c r="B7267" s="203"/>
      <c r="C7267" s="237"/>
      <c r="D7267" s="202"/>
      <c r="E7267" s="202"/>
      <c r="U7267" s="204"/>
    </row>
    <row r="7268" spans="2:21" x14ac:dyDescent="0.2">
      <c r="B7268" s="203"/>
      <c r="C7268" s="237"/>
      <c r="D7268" s="202"/>
      <c r="E7268" s="202"/>
      <c r="U7268" s="204"/>
    </row>
    <row r="7269" spans="2:21" x14ac:dyDescent="0.2">
      <c r="B7269" s="203"/>
      <c r="C7269" s="237"/>
      <c r="D7269" s="202"/>
      <c r="E7269" s="202"/>
      <c r="U7269" s="204"/>
    </row>
    <row r="7270" spans="2:21" x14ac:dyDescent="0.2">
      <c r="B7270" s="203"/>
      <c r="C7270" s="237"/>
      <c r="D7270" s="202"/>
      <c r="E7270" s="202"/>
      <c r="U7270" s="204"/>
    </row>
    <row r="7271" spans="2:21" x14ac:dyDescent="0.2">
      <c r="B7271" s="203"/>
      <c r="C7271" s="237"/>
      <c r="D7271" s="202"/>
      <c r="E7271" s="202"/>
      <c r="U7271" s="204"/>
    </row>
    <row r="7272" spans="2:21" x14ac:dyDescent="0.2">
      <c r="B7272" s="203"/>
      <c r="C7272" s="237"/>
      <c r="D7272" s="202"/>
      <c r="E7272" s="202"/>
      <c r="U7272" s="204"/>
    </row>
    <row r="7273" spans="2:21" x14ac:dyDescent="0.2">
      <c r="B7273" s="203"/>
      <c r="C7273" s="237"/>
      <c r="D7273" s="202"/>
      <c r="E7273" s="202"/>
      <c r="U7273" s="204"/>
    </row>
    <row r="7274" spans="2:21" x14ac:dyDescent="0.2">
      <c r="B7274" s="203"/>
      <c r="C7274" s="237"/>
      <c r="D7274" s="202"/>
      <c r="E7274" s="202"/>
      <c r="U7274" s="204"/>
    </row>
    <row r="7275" spans="2:21" x14ac:dyDescent="0.2">
      <c r="B7275" s="203"/>
      <c r="C7275" s="237"/>
      <c r="D7275" s="202"/>
      <c r="E7275" s="202"/>
      <c r="U7275" s="204"/>
    </row>
    <row r="7276" spans="2:21" x14ac:dyDescent="0.2">
      <c r="B7276" s="203"/>
      <c r="C7276" s="237"/>
      <c r="D7276" s="202"/>
      <c r="E7276" s="202"/>
      <c r="U7276" s="204"/>
    </row>
    <row r="7277" spans="2:21" x14ac:dyDescent="0.2">
      <c r="B7277" s="203"/>
      <c r="C7277" s="237"/>
      <c r="D7277" s="202"/>
      <c r="E7277" s="202"/>
      <c r="U7277" s="204"/>
    </row>
    <row r="7278" spans="2:21" x14ac:dyDescent="0.2">
      <c r="B7278" s="203"/>
      <c r="C7278" s="237"/>
      <c r="D7278" s="202"/>
      <c r="E7278" s="202"/>
      <c r="U7278" s="204"/>
    </row>
    <row r="7279" spans="2:21" x14ac:dyDescent="0.2">
      <c r="B7279" s="203"/>
      <c r="C7279" s="237"/>
      <c r="D7279" s="202"/>
      <c r="E7279" s="202"/>
      <c r="U7279" s="204"/>
    </row>
    <row r="7280" spans="2:21" x14ac:dyDescent="0.2">
      <c r="B7280" s="203"/>
      <c r="C7280" s="237"/>
      <c r="D7280" s="202"/>
      <c r="E7280" s="202"/>
      <c r="U7280" s="204"/>
    </row>
    <row r="7281" spans="2:21" x14ac:dyDescent="0.2">
      <c r="B7281" s="203"/>
      <c r="C7281" s="237"/>
      <c r="D7281" s="202"/>
      <c r="E7281" s="202"/>
      <c r="U7281" s="204"/>
    </row>
    <row r="7282" spans="2:21" x14ac:dyDescent="0.2">
      <c r="B7282" s="203"/>
      <c r="C7282" s="237"/>
      <c r="D7282" s="202"/>
      <c r="E7282" s="202"/>
      <c r="U7282" s="204"/>
    </row>
    <row r="7283" spans="2:21" x14ac:dyDescent="0.2">
      <c r="B7283" s="203"/>
      <c r="C7283" s="237"/>
      <c r="D7283" s="202"/>
      <c r="E7283" s="202"/>
      <c r="U7283" s="204"/>
    </row>
    <row r="7284" spans="2:21" x14ac:dyDescent="0.2">
      <c r="B7284" s="203"/>
      <c r="C7284" s="237"/>
      <c r="D7284" s="202"/>
      <c r="E7284" s="202"/>
      <c r="U7284" s="204"/>
    </row>
    <row r="7285" spans="2:21" x14ac:dyDescent="0.2">
      <c r="B7285" s="203"/>
      <c r="C7285" s="237"/>
      <c r="D7285" s="202"/>
      <c r="E7285" s="202"/>
      <c r="U7285" s="204"/>
    </row>
    <row r="7286" spans="2:21" x14ac:dyDescent="0.2">
      <c r="B7286" s="203"/>
      <c r="C7286" s="237"/>
      <c r="D7286" s="202"/>
      <c r="E7286" s="202"/>
      <c r="U7286" s="204"/>
    </row>
    <row r="7287" spans="2:21" x14ac:dyDescent="0.2">
      <c r="B7287" s="203"/>
      <c r="C7287" s="237"/>
      <c r="D7287" s="202"/>
      <c r="E7287" s="202"/>
      <c r="U7287" s="204"/>
    </row>
    <row r="7288" spans="2:21" x14ac:dyDescent="0.2">
      <c r="B7288" s="203"/>
      <c r="C7288" s="237"/>
      <c r="D7288" s="202"/>
      <c r="E7288" s="202"/>
      <c r="U7288" s="204"/>
    </row>
    <row r="7289" spans="2:21" x14ac:dyDescent="0.2">
      <c r="B7289" s="203"/>
      <c r="C7289" s="237"/>
      <c r="D7289" s="202"/>
      <c r="E7289" s="202"/>
      <c r="U7289" s="204"/>
    </row>
    <row r="7290" spans="2:21" x14ac:dyDescent="0.2">
      <c r="B7290" s="203"/>
      <c r="C7290" s="237"/>
      <c r="D7290" s="202"/>
      <c r="E7290" s="202"/>
      <c r="U7290" s="204"/>
    </row>
    <row r="7291" spans="2:21" x14ac:dyDescent="0.2">
      <c r="B7291" s="203"/>
      <c r="C7291" s="237"/>
      <c r="D7291" s="202"/>
      <c r="E7291" s="202"/>
      <c r="U7291" s="204"/>
    </row>
    <row r="7292" spans="2:21" x14ac:dyDescent="0.2">
      <c r="B7292" s="203"/>
      <c r="C7292" s="237"/>
      <c r="D7292" s="202"/>
      <c r="E7292" s="202"/>
      <c r="U7292" s="204"/>
    </row>
    <row r="7293" spans="2:21" x14ac:dyDescent="0.2">
      <c r="B7293" s="203"/>
      <c r="C7293" s="237"/>
      <c r="D7293" s="202"/>
      <c r="E7293" s="202"/>
      <c r="U7293" s="204"/>
    </row>
    <row r="7294" spans="2:21" x14ac:dyDescent="0.2">
      <c r="B7294" s="203"/>
      <c r="C7294" s="237"/>
      <c r="D7294" s="202"/>
      <c r="E7294" s="202"/>
      <c r="U7294" s="204"/>
    </row>
    <row r="7295" spans="2:21" x14ac:dyDescent="0.2">
      <c r="B7295" s="203"/>
      <c r="C7295" s="237"/>
      <c r="D7295" s="202"/>
      <c r="E7295" s="202"/>
      <c r="U7295" s="204"/>
    </row>
    <row r="7296" spans="2:21" x14ac:dyDescent="0.2">
      <c r="B7296" s="203"/>
      <c r="C7296" s="237"/>
      <c r="D7296" s="202"/>
      <c r="E7296" s="202"/>
      <c r="U7296" s="204"/>
    </row>
    <row r="7297" spans="2:21" x14ac:dyDescent="0.2">
      <c r="B7297" s="203"/>
      <c r="C7297" s="237"/>
      <c r="D7297" s="202"/>
      <c r="E7297" s="202"/>
      <c r="U7297" s="204"/>
    </row>
    <row r="7298" spans="2:21" x14ac:dyDescent="0.2">
      <c r="B7298" s="203"/>
      <c r="C7298" s="237"/>
      <c r="D7298" s="202"/>
      <c r="E7298" s="202"/>
      <c r="U7298" s="204"/>
    </row>
    <row r="7299" spans="2:21" x14ac:dyDescent="0.2">
      <c r="B7299" s="203"/>
      <c r="C7299" s="237"/>
      <c r="D7299" s="202"/>
      <c r="E7299" s="202"/>
      <c r="U7299" s="204"/>
    </row>
    <row r="7300" spans="2:21" x14ac:dyDescent="0.2">
      <c r="B7300" s="203"/>
      <c r="C7300" s="237"/>
      <c r="D7300" s="202"/>
      <c r="E7300" s="202"/>
      <c r="U7300" s="204"/>
    </row>
    <row r="7301" spans="2:21" x14ac:dyDescent="0.2">
      <c r="B7301" s="203"/>
      <c r="C7301" s="237"/>
      <c r="D7301" s="202"/>
      <c r="E7301" s="202"/>
      <c r="U7301" s="204"/>
    </row>
    <row r="7302" spans="2:21" x14ac:dyDescent="0.2">
      <c r="B7302" s="203"/>
      <c r="C7302" s="237"/>
      <c r="D7302" s="202"/>
      <c r="E7302" s="202"/>
      <c r="U7302" s="204"/>
    </row>
    <row r="7303" spans="2:21" x14ac:dyDescent="0.2">
      <c r="B7303" s="203"/>
      <c r="C7303" s="237"/>
      <c r="D7303" s="202"/>
      <c r="E7303" s="202"/>
      <c r="U7303" s="204"/>
    </row>
    <row r="7304" spans="2:21" x14ac:dyDescent="0.2">
      <c r="B7304" s="203"/>
      <c r="C7304" s="237"/>
      <c r="D7304" s="202"/>
      <c r="E7304" s="202"/>
      <c r="U7304" s="204"/>
    </row>
    <row r="7305" spans="2:21" x14ac:dyDescent="0.2">
      <c r="B7305" s="203"/>
      <c r="C7305" s="237"/>
      <c r="D7305" s="202"/>
      <c r="E7305" s="202"/>
      <c r="U7305" s="204"/>
    </row>
    <row r="7306" spans="2:21" x14ac:dyDescent="0.2">
      <c r="B7306" s="203"/>
      <c r="C7306" s="237"/>
      <c r="D7306" s="202"/>
      <c r="E7306" s="202"/>
      <c r="U7306" s="204"/>
    </row>
    <row r="7307" spans="2:21" x14ac:dyDescent="0.2">
      <c r="B7307" s="203"/>
      <c r="C7307" s="237"/>
      <c r="D7307" s="202"/>
      <c r="E7307" s="202"/>
      <c r="U7307" s="204"/>
    </row>
    <row r="7308" spans="2:21" x14ac:dyDescent="0.2">
      <c r="B7308" s="203"/>
      <c r="C7308" s="237"/>
      <c r="D7308" s="202"/>
      <c r="E7308" s="202"/>
      <c r="U7308" s="204"/>
    </row>
    <row r="7309" spans="2:21" x14ac:dyDescent="0.2">
      <c r="B7309" s="203"/>
      <c r="C7309" s="237"/>
      <c r="D7309" s="202"/>
      <c r="E7309" s="202"/>
      <c r="U7309" s="204"/>
    </row>
    <row r="7310" spans="2:21" x14ac:dyDescent="0.2">
      <c r="B7310" s="203"/>
      <c r="C7310" s="237"/>
      <c r="D7310" s="202"/>
      <c r="E7310" s="202"/>
      <c r="U7310" s="204"/>
    </row>
    <row r="7311" spans="2:21" x14ac:dyDescent="0.2">
      <c r="B7311" s="203"/>
      <c r="C7311" s="237"/>
      <c r="D7311" s="202"/>
      <c r="E7311" s="202"/>
      <c r="U7311" s="204"/>
    </row>
    <row r="7312" spans="2:21" x14ac:dyDescent="0.2">
      <c r="B7312" s="203"/>
      <c r="C7312" s="237"/>
      <c r="D7312" s="202"/>
      <c r="E7312" s="202"/>
      <c r="U7312" s="204"/>
    </row>
    <row r="7313" spans="2:21" x14ac:dyDescent="0.2">
      <c r="B7313" s="203"/>
      <c r="C7313" s="237"/>
      <c r="D7313" s="202"/>
      <c r="E7313" s="202"/>
      <c r="U7313" s="204"/>
    </row>
    <row r="7314" spans="2:21" x14ac:dyDescent="0.2">
      <c r="B7314" s="203"/>
      <c r="C7314" s="237"/>
      <c r="D7314" s="202"/>
      <c r="E7314" s="202"/>
      <c r="U7314" s="204"/>
    </row>
    <row r="7315" spans="2:21" x14ac:dyDescent="0.2">
      <c r="B7315" s="203"/>
      <c r="C7315" s="237"/>
      <c r="D7315" s="202"/>
      <c r="E7315" s="202"/>
      <c r="U7315" s="204"/>
    </row>
    <row r="7316" spans="2:21" x14ac:dyDescent="0.2">
      <c r="B7316" s="203"/>
      <c r="C7316" s="237"/>
      <c r="D7316" s="202"/>
      <c r="E7316" s="202"/>
      <c r="U7316" s="204"/>
    </row>
    <row r="7317" spans="2:21" x14ac:dyDescent="0.2">
      <c r="B7317" s="203"/>
      <c r="C7317" s="237"/>
      <c r="D7317" s="202"/>
      <c r="E7317" s="202"/>
      <c r="U7317" s="204"/>
    </row>
    <row r="7318" spans="2:21" x14ac:dyDescent="0.2">
      <c r="B7318" s="203"/>
      <c r="C7318" s="237"/>
      <c r="D7318" s="202"/>
      <c r="E7318" s="202"/>
      <c r="U7318" s="204"/>
    </row>
    <row r="7319" spans="2:21" x14ac:dyDescent="0.2">
      <c r="B7319" s="203"/>
      <c r="C7319" s="237"/>
      <c r="D7319" s="202"/>
      <c r="E7319" s="202"/>
      <c r="U7319" s="204"/>
    </row>
    <row r="7320" spans="2:21" x14ac:dyDescent="0.2">
      <c r="B7320" s="203"/>
      <c r="C7320" s="237"/>
      <c r="D7320" s="202"/>
      <c r="E7320" s="202"/>
      <c r="U7320" s="204"/>
    </row>
    <row r="7321" spans="2:21" x14ac:dyDescent="0.2">
      <c r="B7321" s="203"/>
      <c r="C7321" s="237"/>
      <c r="D7321" s="202"/>
      <c r="E7321" s="202"/>
      <c r="U7321" s="204"/>
    </row>
    <row r="7322" spans="2:21" x14ac:dyDescent="0.2">
      <c r="B7322" s="203"/>
      <c r="C7322" s="237"/>
      <c r="D7322" s="202"/>
      <c r="E7322" s="202"/>
      <c r="U7322" s="204"/>
    </row>
    <row r="7323" spans="2:21" x14ac:dyDescent="0.2">
      <c r="B7323" s="203"/>
      <c r="C7323" s="237"/>
      <c r="D7323" s="202"/>
      <c r="E7323" s="202"/>
      <c r="U7323" s="204"/>
    </row>
    <row r="7324" spans="2:21" x14ac:dyDescent="0.2">
      <c r="B7324" s="203"/>
      <c r="C7324" s="237"/>
      <c r="D7324" s="202"/>
      <c r="E7324" s="202"/>
      <c r="U7324" s="204"/>
    </row>
    <row r="7325" spans="2:21" x14ac:dyDescent="0.2">
      <c r="B7325" s="203"/>
      <c r="C7325" s="237"/>
      <c r="D7325" s="202"/>
      <c r="E7325" s="202"/>
      <c r="U7325" s="204"/>
    </row>
    <row r="7326" spans="2:21" x14ac:dyDescent="0.2">
      <c r="B7326" s="203"/>
      <c r="C7326" s="237"/>
      <c r="D7326" s="202"/>
      <c r="E7326" s="202"/>
      <c r="U7326" s="204"/>
    </row>
    <row r="7327" spans="2:21" x14ac:dyDescent="0.2">
      <c r="B7327" s="203"/>
      <c r="C7327" s="237"/>
      <c r="D7327" s="202"/>
      <c r="E7327" s="202"/>
      <c r="U7327" s="204"/>
    </row>
    <row r="7328" spans="2:21" x14ac:dyDescent="0.2">
      <c r="B7328" s="203"/>
      <c r="C7328" s="237"/>
      <c r="D7328" s="202"/>
      <c r="E7328" s="202"/>
      <c r="U7328" s="204"/>
    </row>
    <row r="7329" spans="2:21" x14ac:dyDescent="0.2">
      <c r="B7329" s="203"/>
      <c r="C7329" s="237"/>
      <c r="D7329" s="202"/>
      <c r="E7329" s="202"/>
      <c r="U7329" s="204"/>
    </row>
    <row r="7330" spans="2:21" x14ac:dyDescent="0.2">
      <c r="B7330" s="203"/>
      <c r="C7330" s="237"/>
      <c r="D7330" s="202"/>
      <c r="E7330" s="202"/>
      <c r="U7330" s="204"/>
    </row>
    <row r="7331" spans="2:21" x14ac:dyDescent="0.2">
      <c r="B7331" s="203"/>
      <c r="C7331" s="237"/>
      <c r="D7331" s="202"/>
      <c r="E7331" s="202"/>
      <c r="U7331" s="204"/>
    </row>
    <row r="7332" spans="2:21" x14ac:dyDescent="0.2">
      <c r="B7332" s="203"/>
      <c r="C7332" s="237"/>
      <c r="D7332" s="202"/>
      <c r="E7332" s="202"/>
      <c r="U7332" s="204"/>
    </row>
    <row r="7333" spans="2:21" x14ac:dyDescent="0.2">
      <c r="B7333" s="203"/>
      <c r="C7333" s="237"/>
      <c r="D7333" s="202"/>
      <c r="E7333" s="202"/>
      <c r="U7333" s="204"/>
    </row>
    <row r="7334" spans="2:21" x14ac:dyDescent="0.2">
      <c r="B7334" s="203"/>
      <c r="C7334" s="237"/>
      <c r="D7334" s="202"/>
      <c r="E7334" s="202"/>
      <c r="U7334" s="204"/>
    </row>
    <row r="7335" spans="2:21" x14ac:dyDescent="0.2">
      <c r="B7335" s="203"/>
      <c r="C7335" s="237"/>
      <c r="D7335" s="202"/>
      <c r="E7335" s="202"/>
      <c r="U7335" s="204"/>
    </row>
    <row r="7336" spans="2:21" x14ac:dyDescent="0.2">
      <c r="B7336" s="203"/>
      <c r="C7336" s="237"/>
      <c r="D7336" s="202"/>
      <c r="E7336" s="202"/>
      <c r="U7336" s="204"/>
    </row>
    <row r="7337" spans="2:21" x14ac:dyDescent="0.2">
      <c r="B7337" s="203"/>
      <c r="C7337" s="237"/>
      <c r="D7337" s="202"/>
      <c r="E7337" s="202"/>
      <c r="U7337" s="204"/>
    </row>
    <row r="7338" spans="2:21" x14ac:dyDescent="0.2">
      <c r="B7338" s="203"/>
      <c r="C7338" s="237"/>
      <c r="D7338" s="202"/>
      <c r="E7338" s="202"/>
      <c r="U7338" s="204"/>
    </row>
    <row r="7339" spans="2:21" x14ac:dyDescent="0.2">
      <c r="B7339" s="203"/>
      <c r="C7339" s="237"/>
      <c r="D7339" s="202"/>
      <c r="E7339" s="202"/>
      <c r="U7339" s="204"/>
    </row>
    <row r="7340" spans="2:21" x14ac:dyDescent="0.2">
      <c r="B7340" s="203"/>
      <c r="C7340" s="237"/>
      <c r="D7340" s="202"/>
      <c r="E7340" s="202"/>
      <c r="U7340" s="204"/>
    </row>
    <row r="7341" spans="2:21" x14ac:dyDescent="0.2">
      <c r="B7341" s="203"/>
      <c r="C7341" s="237"/>
      <c r="D7341" s="202"/>
      <c r="E7341" s="202"/>
      <c r="U7341" s="204"/>
    </row>
    <row r="7342" spans="2:21" x14ac:dyDescent="0.2">
      <c r="B7342" s="203"/>
      <c r="C7342" s="237"/>
      <c r="D7342" s="202"/>
      <c r="E7342" s="202"/>
      <c r="U7342" s="204"/>
    </row>
    <row r="7343" spans="2:21" x14ac:dyDescent="0.2">
      <c r="B7343" s="203"/>
      <c r="C7343" s="237"/>
      <c r="D7343" s="202"/>
      <c r="E7343" s="202"/>
      <c r="U7343" s="204"/>
    </row>
    <row r="7344" spans="2:21" x14ac:dyDescent="0.2">
      <c r="B7344" s="203"/>
      <c r="C7344" s="237"/>
      <c r="D7344" s="202"/>
      <c r="E7344" s="202"/>
      <c r="U7344" s="204"/>
    </row>
    <row r="7345" spans="2:21" x14ac:dyDescent="0.2">
      <c r="B7345" s="203"/>
      <c r="C7345" s="237"/>
      <c r="D7345" s="202"/>
      <c r="E7345" s="202"/>
      <c r="U7345" s="204"/>
    </row>
    <row r="7346" spans="2:21" x14ac:dyDescent="0.2">
      <c r="B7346" s="203"/>
      <c r="C7346" s="237"/>
      <c r="D7346" s="202"/>
      <c r="E7346" s="202"/>
      <c r="U7346" s="204"/>
    </row>
    <row r="7347" spans="2:21" x14ac:dyDescent="0.2">
      <c r="B7347" s="203"/>
      <c r="C7347" s="237"/>
      <c r="D7347" s="202"/>
      <c r="E7347" s="202"/>
      <c r="U7347" s="204"/>
    </row>
    <row r="7348" spans="2:21" x14ac:dyDescent="0.2">
      <c r="B7348" s="203"/>
      <c r="C7348" s="237"/>
      <c r="D7348" s="202"/>
      <c r="E7348" s="202"/>
      <c r="U7348" s="204"/>
    </row>
    <row r="7349" spans="2:21" x14ac:dyDescent="0.2">
      <c r="B7349" s="203"/>
      <c r="C7349" s="237"/>
      <c r="D7349" s="202"/>
      <c r="E7349" s="202"/>
      <c r="U7349" s="204"/>
    </row>
    <row r="7350" spans="2:21" x14ac:dyDescent="0.2">
      <c r="B7350" s="203"/>
      <c r="C7350" s="237"/>
      <c r="D7350" s="202"/>
      <c r="E7350" s="202"/>
      <c r="U7350" s="204"/>
    </row>
    <row r="7351" spans="2:21" x14ac:dyDescent="0.2">
      <c r="B7351" s="203"/>
      <c r="C7351" s="237"/>
      <c r="D7351" s="202"/>
      <c r="E7351" s="202"/>
      <c r="U7351" s="204"/>
    </row>
    <row r="7352" spans="2:21" x14ac:dyDescent="0.2">
      <c r="B7352" s="203"/>
      <c r="C7352" s="237"/>
      <c r="D7352" s="202"/>
      <c r="E7352" s="202"/>
      <c r="U7352" s="204"/>
    </row>
    <row r="7353" spans="2:21" x14ac:dyDescent="0.2">
      <c r="B7353" s="203"/>
      <c r="C7353" s="237"/>
      <c r="D7353" s="202"/>
      <c r="E7353" s="202"/>
      <c r="U7353" s="204"/>
    </row>
    <row r="7354" spans="2:21" x14ac:dyDescent="0.2">
      <c r="B7354" s="203"/>
      <c r="C7354" s="237"/>
      <c r="D7354" s="202"/>
      <c r="E7354" s="202"/>
      <c r="U7354" s="204"/>
    </row>
    <row r="7355" spans="2:21" x14ac:dyDescent="0.2">
      <c r="B7355" s="203"/>
      <c r="C7355" s="237"/>
      <c r="D7355" s="202"/>
      <c r="E7355" s="202"/>
      <c r="U7355" s="204"/>
    </row>
    <row r="7356" spans="2:21" x14ac:dyDescent="0.2">
      <c r="B7356" s="203"/>
      <c r="C7356" s="237"/>
      <c r="D7356" s="202"/>
      <c r="E7356" s="202"/>
      <c r="U7356" s="204"/>
    </row>
    <row r="7357" spans="2:21" x14ac:dyDescent="0.2">
      <c r="B7357" s="203"/>
      <c r="C7357" s="237"/>
      <c r="D7357" s="202"/>
      <c r="E7357" s="202"/>
      <c r="U7357" s="204"/>
    </row>
    <row r="7358" spans="2:21" x14ac:dyDescent="0.2">
      <c r="B7358" s="203"/>
      <c r="C7358" s="237"/>
      <c r="D7358" s="202"/>
      <c r="E7358" s="202"/>
      <c r="U7358" s="204"/>
    </row>
    <row r="7359" spans="2:21" x14ac:dyDescent="0.2">
      <c r="B7359" s="203"/>
      <c r="C7359" s="237"/>
      <c r="D7359" s="202"/>
      <c r="E7359" s="202"/>
      <c r="U7359" s="204"/>
    </row>
    <row r="7360" spans="2:21" x14ac:dyDescent="0.2">
      <c r="B7360" s="203"/>
      <c r="C7360" s="237"/>
      <c r="D7360" s="202"/>
      <c r="E7360" s="202"/>
      <c r="U7360" s="204"/>
    </row>
    <row r="7361" spans="2:21" x14ac:dyDescent="0.2">
      <c r="B7361" s="203"/>
      <c r="C7361" s="237"/>
      <c r="D7361" s="202"/>
      <c r="E7361" s="202"/>
      <c r="U7361" s="204"/>
    </row>
    <row r="7362" spans="2:21" x14ac:dyDescent="0.2">
      <c r="B7362" s="203"/>
      <c r="C7362" s="237"/>
      <c r="D7362" s="202"/>
      <c r="E7362" s="202"/>
      <c r="U7362" s="204"/>
    </row>
    <row r="7363" spans="2:21" x14ac:dyDescent="0.2">
      <c r="B7363" s="203"/>
      <c r="C7363" s="237"/>
      <c r="D7363" s="202"/>
      <c r="E7363" s="202"/>
      <c r="U7363" s="204"/>
    </row>
    <row r="7364" spans="2:21" x14ac:dyDescent="0.2">
      <c r="B7364" s="203"/>
      <c r="C7364" s="237"/>
      <c r="D7364" s="202"/>
      <c r="E7364" s="202"/>
      <c r="U7364" s="204"/>
    </row>
    <row r="7365" spans="2:21" x14ac:dyDescent="0.2">
      <c r="B7365" s="203"/>
      <c r="C7365" s="237"/>
      <c r="D7365" s="202"/>
      <c r="E7365" s="202"/>
      <c r="U7365" s="204"/>
    </row>
    <row r="7366" spans="2:21" x14ac:dyDescent="0.2">
      <c r="B7366" s="203"/>
      <c r="C7366" s="237"/>
      <c r="D7366" s="202"/>
      <c r="E7366" s="202"/>
      <c r="U7366" s="204"/>
    </row>
    <row r="7367" spans="2:21" x14ac:dyDescent="0.2">
      <c r="B7367" s="203"/>
      <c r="C7367" s="237"/>
      <c r="D7367" s="202"/>
      <c r="E7367" s="202"/>
      <c r="U7367" s="204"/>
    </row>
    <row r="7368" spans="2:21" x14ac:dyDescent="0.2">
      <c r="B7368" s="203"/>
      <c r="C7368" s="237"/>
      <c r="D7368" s="202"/>
      <c r="E7368" s="202"/>
      <c r="U7368" s="204"/>
    </row>
    <row r="7369" spans="2:21" x14ac:dyDescent="0.2">
      <c r="B7369" s="203"/>
      <c r="C7369" s="237"/>
      <c r="D7369" s="202"/>
      <c r="E7369" s="202"/>
      <c r="U7369" s="204"/>
    </row>
    <row r="7370" spans="2:21" x14ac:dyDescent="0.2">
      <c r="B7370" s="203"/>
      <c r="C7370" s="237"/>
      <c r="D7370" s="202"/>
      <c r="E7370" s="202"/>
      <c r="U7370" s="204"/>
    </row>
    <row r="7371" spans="2:21" x14ac:dyDescent="0.2">
      <c r="B7371" s="203"/>
      <c r="C7371" s="237"/>
      <c r="D7371" s="202"/>
      <c r="E7371" s="202"/>
      <c r="U7371" s="204"/>
    </row>
    <row r="7372" spans="2:21" x14ac:dyDescent="0.2">
      <c r="B7372" s="203"/>
      <c r="C7372" s="237"/>
      <c r="D7372" s="202"/>
      <c r="E7372" s="202"/>
      <c r="U7372" s="204"/>
    </row>
    <row r="7373" spans="2:21" x14ac:dyDescent="0.2">
      <c r="B7373" s="203"/>
      <c r="C7373" s="237"/>
      <c r="D7373" s="202"/>
      <c r="E7373" s="202"/>
      <c r="U7373" s="204"/>
    </row>
    <row r="7374" spans="2:21" x14ac:dyDescent="0.2">
      <c r="B7374" s="203"/>
      <c r="C7374" s="237"/>
      <c r="D7374" s="202"/>
      <c r="E7374" s="202"/>
      <c r="U7374" s="204"/>
    </row>
    <row r="7375" spans="2:21" x14ac:dyDescent="0.2">
      <c r="B7375" s="203"/>
      <c r="C7375" s="237"/>
      <c r="D7375" s="202"/>
      <c r="E7375" s="202"/>
      <c r="U7375" s="204"/>
    </row>
    <row r="7376" spans="2:21" x14ac:dyDescent="0.2">
      <c r="B7376" s="203"/>
      <c r="C7376" s="237"/>
      <c r="D7376" s="202"/>
      <c r="E7376" s="202"/>
      <c r="U7376" s="204"/>
    </row>
    <row r="7377" spans="2:21" x14ac:dyDescent="0.2">
      <c r="B7377" s="203"/>
      <c r="C7377" s="237"/>
      <c r="D7377" s="202"/>
      <c r="E7377" s="202"/>
      <c r="U7377" s="204"/>
    </row>
    <row r="7378" spans="2:21" x14ac:dyDescent="0.2">
      <c r="B7378" s="203"/>
      <c r="C7378" s="237"/>
      <c r="D7378" s="202"/>
      <c r="E7378" s="202"/>
      <c r="U7378" s="204"/>
    </row>
    <row r="7379" spans="2:21" x14ac:dyDescent="0.2">
      <c r="B7379" s="203"/>
      <c r="C7379" s="237"/>
      <c r="D7379" s="202"/>
      <c r="E7379" s="202"/>
      <c r="U7379" s="204"/>
    </row>
    <row r="7380" spans="2:21" x14ac:dyDescent="0.2">
      <c r="B7380" s="203"/>
      <c r="C7380" s="237"/>
      <c r="D7380" s="202"/>
      <c r="E7380" s="202"/>
      <c r="U7380" s="204"/>
    </row>
    <row r="7381" spans="2:21" x14ac:dyDescent="0.2">
      <c r="B7381" s="203"/>
      <c r="C7381" s="237"/>
      <c r="D7381" s="202"/>
      <c r="E7381" s="202"/>
      <c r="U7381" s="204"/>
    </row>
    <row r="7382" spans="2:21" x14ac:dyDescent="0.2">
      <c r="B7382" s="203"/>
      <c r="C7382" s="237"/>
      <c r="D7382" s="202"/>
      <c r="E7382" s="202"/>
      <c r="U7382" s="204"/>
    </row>
    <row r="7383" spans="2:21" x14ac:dyDescent="0.2">
      <c r="B7383" s="203"/>
      <c r="C7383" s="237"/>
      <c r="D7383" s="202"/>
      <c r="E7383" s="202"/>
      <c r="U7383" s="204"/>
    </row>
    <row r="7384" spans="2:21" x14ac:dyDescent="0.2">
      <c r="B7384" s="203"/>
      <c r="C7384" s="237"/>
      <c r="D7384" s="202"/>
      <c r="E7384" s="202"/>
      <c r="U7384" s="204"/>
    </row>
    <row r="7385" spans="2:21" x14ac:dyDescent="0.2">
      <c r="B7385" s="203"/>
      <c r="C7385" s="237"/>
      <c r="D7385" s="202"/>
      <c r="E7385" s="202"/>
      <c r="U7385" s="204"/>
    </row>
    <row r="7386" spans="2:21" x14ac:dyDescent="0.2">
      <c r="B7386" s="203"/>
      <c r="C7386" s="237"/>
      <c r="D7386" s="202"/>
      <c r="E7386" s="202"/>
      <c r="U7386" s="204"/>
    </row>
    <row r="7387" spans="2:21" x14ac:dyDescent="0.2">
      <c r="B7387" s="203"/>
      <c r="C7387" s="237"/>
      <c r="D7387" s="202"/>
      <c r="E7387" s="202"/>
      <c r="U7387" s="204"/>
    </row>
    <row r="7388" spans="2:21" x14ac:dyDescent="0.2">
      <c r="B7388" s="203"/>
      <c r="C7388" s="237"/>
      <c r="D7388" s="202"/>
      <c r="E7388" s="202"/>
      <c r="U7388" s="204"/>
    </row>
    <row r="7389" spans="2:21" x14ac:dyDescent="0.2">
      <c r="B7389" s="203"/>
      <c r="C7389" s="237"/>
      <c r="D7389" s="202"/>
      <c r="E7389" s="202"/>
      <c r="U7389" s="204"/>
    </row>
    <row r="7390" spans="2:21" x14ac:dyDescent="0.2">
      <c r="B7390" s="203"/>
      <c r="C7390" s="237"/>
      <c r="D7390" s="202"/>
      <c r="E7390" s="202"/>
      <c r="U7390" s="204"/>
    </row>
    <row r="7391" spans="2:21" x14ac:dyDescent="0.2">
      <c r="B7391" s="203"/>
      <c r="C7391" s="237"/>
      <c r="D7391" s="202"/>
      <c r="E7391" s="202"/>
      <c r="U7391" s="204"/>
    </row>
    <row r="7392" spans="2:21" x14ac:dyDescent="0.2">
      <c r="B7392" s="203"/>
      <c r="C7392" s="237"/>
      <c r="D7392" s="202"/>
      <c r="E7392" s="202"/>
      <c r="U7392" s="204"/>
    </row>
    <row r="7393" spans="2:21" x14ac:dyDescent="0.2">
      <c r="B7393" s="203"/>
      <c r="C7393" s="237"/>
      <c r="D7393" s="202"/>
      <c r="E7393" s="202"/>
      <c r="U7393" s="204"/>
    </row>
    <row r="7394" spans="2:21" x14ac:dyDescent="0.2">
      <c r="B7394" s="203"/>
      <c r="C7394" s="237"/>
      <c r="D7394" s="202"/>
      <c r="E7394" s="202"/>
      <c r="U7394" s="204"/>
    </row>
    <row r="7395" spans="2:21" x14ac:dyDescent="0.2">
      <c r="B7395" s="203"/>
      <c r="C7395" s="237"/>
      <c r="D7395" s="202"/>
      <c r="E7395" s="202"/>
      <c r="U7395" s="204"/>
    </row>
    <row r="7396" spans="2:21" x14ac:dyDescent="0.2">
      <c r="B7396" s="203"/>
      <c r="C7396" s="237"/>
      <c r="D7396" s="202"/>
      <c r="E7396" s="202"/>
      <c r="U7396" s="204"/>
    </row>
    <row r="7397" spans="2:21" x14ac:dyDescent="0.2">
      <c r="B7397" s="203"/>
      <c r="C7397" s="237"/>
      <c r="D7397" s="202"/>
      <c r="E7397" s="202"/>
      <c r="U7397" s="204"/>
    </row>
    <row r="7398" spans="2:21" x14ac:dyDescent="0.2">
      <c r="B7398" s="203"/>
      <c r="C7398" s="237"/>
      <c r="D7398" s="202"/>
      <c r="E7398" s="202"/>
      <c r="U7398" s="204"/>
    </row>
    <row r="7399" spans="2:21" x14ac:dyDescent="0.2">
      <c r="B7399" s="203"/>
      <c r="C7399" s="237"/>
      <c r="D7399" s="202"/>
      <c r="E7399" s="202"/>
      <c r="U7399" s="204"/>
    </row>
    <row r="7400" spans="2:21" x14ac:dyDescent="0.2">
      <c r="B7400" s="203"/>
      <c r="C7400" s="237"/>
      <c r="D7400" s="202"/>
      <c r="E7400" s="202"/>
      <c r="U7400" s="204"/>
    </row>
    <row r="7401" spans="2:21" x14ac:dyDescent="0.2">
      <c r="B7401" s="203"/>
      <c r="C7401" s="237"/>
      <c r="D7401" s="202"/>
      <c r="E7401" s="202"/>
      <c r="U7401" s="204"/>
    </row>
    <row r="7402" spans="2:21" x14ac:dyDescent="0.2">
      <c r="B7402" s="203"/>
      <c r="C7402" s="237"/>
      <c r="D7402" s="202"/>
      <c r="E7402" s="202"/>
      <c r="U7402" s="204"/>
    </row>
    <row r="7403" spans="2:21" x14ac:dyDescent="0.2">
      <c r="B7403" s="203"/>
      <c r="C7403" s="237"/>
      <c r="D7403" s="202"/>
      <c r="E7403" s="202"/>
      <c r="U7403" s="204"/>
    </row>
    <row r="7404" spans="2:21" x14ac:dyDescent="0.2">
      <c r="B7404" s="203"/>
      <c r="C7404" s="237"/>
      <c r="D7404" s="202"/>
      <c r="E7404" s="202"/>
      <c r="U7404" s="204"/>
    </row>
    <row r="7405" spans="2:21" x14ac:dyDescent="0.2">
      <c r="B7405" s="203"/>
      <c r="C7405" s="237"/>
      <c r="D7405" s="202"/>
      <c r="E7405" s="202"/>
      <c r="U7405" s="204"/>
    </row>
    <row r="7406" spans="2:21" x14ac:dyDescent="0.2">
      <c r="B7406" s="203"/>
      <c r="C7406" s="237"/>
      <c r="D7406" s="202"/>
      <c r="E7406" s="202"/>
      <c r="U7406" s="204"/>
    </row>
    <row r="7407" spans="2:21" x14ac:dyDescent="0.2">
      <c r="B7407" s="203"/>
      <c r="C7407" s="237"/>
      <c r="D7407" s="202"/>
      <c r="E7407" s="202"/>
      <c r="U7407" s="204"/>
    </row>
    <row r="7408" spans="2:21" x14ac:dyDescent="0.2">
      <c r="B7408" s="203"/>
      <c r="C7408" s="237"/>
      <c r="D7408" s="202"/>
      <c r="E7408" s="202"/>
      <c r="U7408" s="204"/>
    </row>
    <row r="7409" spans="2:21" x14ac:dyDescent="0.2">
      <c r="B7409" s="203"/>
      <c r="C7409" s="237"/>
      <c r="D7409" s="202"/>
      <c r="E7409" s="202"/>
      <c r="U7409" s="204"/>
    </row>
    <row r="7410" spans="2:21" x14ac:dyDescent="0.2">
      <c r="B7410" s="203"/>
      <c r="C7410" s="237"/>
      <c r="D7410" s="202"/>
      <c r="E7410" s="202"/>
      <c r="U7410" s="204"/>
    </row>
    <row r="7411" spans="2:21" x14ac:dyDescent="0.2">
      <c r="B7411" s="203"/>
      <c r="C7411" s="237"/>
      <c r="D7411" s="202"/>
      <c r="E7411" s="202"/>
      <c r="U7411" s="204"/>
    </row>
    <row r="7412" spans="2:21" x14ac:dyDescent="0.2">
      <c r="B7412" s="203"/>
      <c r="C7412" s="237"/>
      <c r="D7412" s="202"/>
      <c r="E7412" s="202"/>
      <c r="U7412" s="204"/>
    </row>
    <row r="7413" spans="2:21" x14ac:dyDescent="0.2">
      <c r="B7413" s="203"/>
      <c r="C7413" s="237"/>
      <c r="D7413" s="202"/>
      <c r="E7413" s="202"/>
      <c r="U7413" s="204"/>
    </row>
    <row r="7414" spans="2:21" x14ac:dyDescent="0.2">
      <c r="B7414" s="203"/>
      <c r="C7414" s="237"/>
      <c r="D7414" s="202"/>
      <c r="E7414" s="202"/>
      <c r="U7414" s="204"/>
    </row>
    <row r="7415" spans="2:21" x14ac:dyDescent="0.2">
      <c r="B7415" s="203"/>
      <c r="C7415" s="237"/>
      <c r="D7415" s="202"/>
      <c r="E7415" s="202"/>
      <c r="U7415" s="204"/>
    </row>
    <row r="7416" spans="2:21" x14ac:dyDescent="0.2">
      <c r="B7416" s="203"/>
      <c r="C7416" s="237"/>
      <c r="D7416" s="202"/>
      <c r="E7416" s="202"/>
      <c r="U7416" s="204"/>
    </row>
    <row r="7417" spans="2:21" x14ac:dyDescent="0.2">
      <c r="B7417" s="203"/>
      <c r="C7417" s="237"/>
      <c r="D7417" s="202"/>
      <c r="E7417" s="202"/>
      <c r="U7417" s="204"/>
    </row>
    <row r="7418" spans="2:21" x14ac:dyDescent="0.2">
      <c r="B7418" s="203"/>
      <c r="C7418" s="237"/>
      <c r="D7418" s="202"/>
      <c r="E7418" s="202"/>
      <c r="U7418" s="204"/>
    </row>
    <row r="7419" spans="2:21" x14ac:dyDescent="0.2">
      <c r="B7419" s="203"/>
      <c r="C7419" s="237"/>
      <c r="D7419" s="202"/>
      <c r="E7419" s="202"/>
      <c r="U7419" s="204"/>
    </row>
    <row r="7420" spans="2:21" x14ac:dyDescent="0.2">
      <c r="B7420" s="203"/>
      <c r="C7420" s="237"/>
      <c r="D7420" s="202"/>
      <c r="E7420" s="202"/>
      <c r="U7420" s="204"/>
    </row>
    <row r="7421" spans="2:21" x14ac:dyDescent="0.2">
      <c r="B7421" s="203"/>
      <c r="C7421" s="237"/>
      <c r="D7421" s="202"/>
      <c r="E7421" s="202"/>
      <c r="U7421" s="204"/>
    </row>
    <row r="7422" spans="2:21" x14ac:dyDescent="0.2">
      <c r="B7422" s="203"/>
      <c r="C7422" s="237"/>
      <c r="D7422" s="202"/>
      <c r="E7422" s="202"/>
      <c r="U7422" s="204"/>
    </row>
    <row r="7423" spans="2:21" x14ac:dyDescent="0.2">
      <c r="B7423" s="203"/>
      <c r="C7423" s="237"/>
      <c r="D7423" s="202"/>
      <c r="E7423" s="202"/>
      <c r="U7423" s="204"/>
    </row>
    <row r="7424" spans="2:21" x14ac:dyDescent="0.2">
      <c r="B7424" s="203"/>
      <c r="C7424" s="237"/>
      <c r="D7424" s="202"/>
      <c r="E7424" s="202"/>
      <c r="U7424" s="204"/>
    </row>
    <row r="7425" spans="2:21" x14ac:dyDescent="0.2">
      <c r="B7425" s="203"/>
      <c r="C7425" s="237"/>
      <c r="D7425" s="202"/>
      <c r="E7425" s="202"/>
      <c r="U7425" s="204"/>
    </row>
    <row r="7426" spans="2:21" x14ac:dyDescent="0.2">
      <c r="B7426" s="203"/>
      <c r="C7426" s="237"/>
      <c r="D7426" s="202"/>
      <c r="E7426" s="202"/>
      <c r="U7426" s="204"/>
    </row>
    <row r="7427" spans="2:21" x14ac:dyDescent="0.2">
      <c r="B7427" s="203"/>
      <c r="C7427" s="237"/>
      <c r="D7427" s="202"/>
      <c r="E7427" s="202"/>
      <c r="U7427" s="204"/>
    </row>
    <row r="7428" spans="2:21" x14ac:dyDescent="0.2">
      <c r="B7428" s="203"/>
      <c r="C7428" s="237"/>
      <c r="D7428" s="202"/>
      <c r="E7428" s="202"/>
      <c r="U7428" s="204"/>
    </row>
    <row r="7429" spans="2:21" x14ac:dyDescent="0.2">
      <c r="B7429" s="203"/>
      <c r="C7429" s="237"/>
      <c r="D7429" s="202"/>
      <c r="E7429" s="202"/>
      <c r="U7429" s="204"/>
    </row>
    <row r="7430" spans="2:21" x14ac:dyDescent="0.2">
      <c r="B7430" s="203"/>
      <c r="C7430" s="237"/>
      <c r="D7430" s="202"/>
      <c r="E7430" s="202"/>
      <c r="U7430" s="204"/>
    </row>
    <row r="7431" spans="2:21" x14ac:dyDescent="0.2">
      <c r="B7431" s="203"/>
      <c r="C7431" s="237"/>
      <c r="D7431" s="202"/>
      <c r="E7431" s="202"/>
      <c r="U7431" s="204"/>
    </row>
    <row r="7432" spans="2:21" x14ac:dyDescent="0.2">
      <c r="B7432" s="203"/>
      <c r="C7432" s="237"/>
      <c r="D7432" s="202"/>
      <c r="E7432" s="202"/>
      <c r="U7432" s="204"/>
    </row>
    <row r="7433" spans="2:21" x14ac:dyDescent="0.2">
      <c r="B7433" s="203"/>
      <c r="C7433" s="237"/>
      <c r="D7433" s="202"/>
      <c r="E7433" s="202"/>
      <c r="U7433" s="204"/>
    </row>
    <row r="7434" spans="2:21" x14ac:dyDescent="0.2">
      <c r="B7434" s="203"/>
      <c r="C7434" s="237"/>
      <c r="D7434" s="202"/>
      <c r="E7434" s="202"/>
      <c r="U7434" s="204"/>
    </row>
    <row r="7435" spans="2:21" x14ac:dyDescent="0.2">
      <c r="B7435" s="203"/>
      <c r="C7435" s="237"/>
      <c r="D7435" s="202"/>
      <c r="E7435" s="202"/>
      <c r="U7435" s="204"/>
    </row>
    <row r="7436" spans="2:21" x14ac:dyDescent="0.2">
      <c r="B7436" s="203"/>
      <c r="C7436" s="237"/>
      <c r="D7436" s="202"/>
      <c r="E7436" s="202"/>
      <c r="U7436" s="204"/>
    </row>
    <row r="7437" spans="2:21" x14ac:dyDescent="0.2">
      <c r="B7437" s="203"/>
      <c r="C7437" s="237"/>
      <c r="D7437" s="202"/>
      <c r="E7437" s="202"/>
      <c r="U7437" s="204"/>
    </row>
    <row r="7438" spans="2:21" x14ac:dyDescent="0.2">
      <c r="B7438" s="203"/>
      <c r="C7438" s="237"/>
      <c r="D7438" s="202"/>
      <c r="E7438" s="202"/>
      <c r="U7438" s="204"/>
    </row>
    <row r="7439" spans="2:21" x14ac:dyDescent="0.2">
      <c r="B7439" s="203"/>
      <c r="C7439" s="237"/>
      <c r="D7439" s="202"/>
      <c r="E7439" s="202"/>
      <c r="U7439" s="204"/>
    </row>
    <row r="7440" spans="2:21" x14ac:dyDescent="0.2">
      <c r="B7440" s="203"/>
      <c r="C7440" s="237"/>
      <c r="D7440" s="202"/>
      <c r="E7440" s="202"/>
      <c r="U7440" s="204"/>
    </row>
    <row r="7441" spans="2:21" x14ac:dyDescent="0.2">
      <c r="B7441" s="203"/>
      <c r="C7441" s="237"/>
      <c r="D7441" s="202"/>
      <c r="E7441" s="202"/>
      <c r="U7441" s="204"/>
    </row>
    <row r="7442" spans="2:21" x14ac:dyDescent="0.2">
      <c r="B7442" s="203"/>
      <c r="C7442" s="237"/>
      <c r="D7442" s="202"/>
      <c r="E7442" s="202"/>
      <c r="U7442" s="204"/>
    </row>
    <row r="7443" spans="2:21" x14ac:dyDescent="0.2">
      <c r="B7443" s="203"/>
      <c r="C7443" s="237"/>
      <c r="D7443" s="202"/>
      <c r="E7443" s="202"/>
      <c r="U7443" s="204"/>
    </row>
    <row r="7444" spans="2:21" x14ac:dyDescent="0.2">
      <c r="B7444" s="203"/>
      <c r="C7444" s="237"/>
      <c r="D7444" s="202"/>
      <c r="E7444" s="202"/>
      <c r="U7444" s="204"/>
    </row>
    <row r="7445" spans="2:21" x14ac:dyDescent="0.2">
      <c r="B7445" s="203"/>
      <c r="C7445" s="237"/>
      <c r="D7445" s="202"/>
      <c r="E7445" s="202"/>
      <c r="U7445" s="204"/>
    </row>
    <row r="7446" spans="2:21" x14ac:dyDescent="0.2">
      <c r="B7446" s="203"/>
      <c r="C7446" s="237"/>
      <c r="D7446" s="202"/>
      <c r="E7446" s="202"/>
      <c r="U7446" s="204"/>
    </row>
    <row r="7447" spans="2:21" x14ac:dyDescent="0.2">
      <c r="B7447" s="203"/>
      <c r="C7447" s="237"/>
      <c r="D7447" s="202"/>
      <c r="E7447" s="202"/>
      <c r="U7447" s="204"/>
    </row>
    <row r="7448" spans="2:21" x14ac:dyDescent="0.2">
      <c r="B7448" s="203"/>
      <c r="C7448" s="237"/>
      <c r="D7448" s="202"/>
      <c r="E7448" s="202"/>
      <c r="U7448" s="204"/>
    </row>
    <row r="7449" spans="2:21" x14ac:dyDescent="0.2">
      <c r="B7449" s="203"/>
      <c r="C7449" s="237"/>
      <c r="D7449" s="202"/>
      <c r="E7449" s="202"/>
      <c r="U7449" s="204"/>
    </row>
    <row r="7450" spans="2:21" x14ac:dyDescent="0.2">
      <c r="B7450" s="203"/>
      <c r="C7450" s="237"/>
      <c r="D7450" s="202"/>
      <c r="E7450" s="202"/>
      <c r="U7450" s="204"/>
    </row>
    <row r="7451" spans="2:21" x14ac:dyDescent="0.2">
      <c r="B7451" s="203"/>
      <c r="C7451" s="237"/>
      <c r="D7451" s="202"/>
      <c r="E7451" s="202"/>
      <c r="U7451" s="204"/>
    </row>
    <row r="7452" spans="2:21" x14ac:dyDescent="0.2">
      <c r="B7452" s="203"/>
      <c r="C7452" s="237"/>
      <c r="D7452" s="202"/>
      <c r="E7452" s="202"/>
      <c r="U7452" s="204"/>
    </row>
    <row r="7453" spans="2:21" x14ac:dyDescent="0.2">
      <c r="B7453" s="203"/>
      <c r="C7453" s="237"/>
      <c r="D7453" s="202"/>
      <c r="E7453" s="202"/>
      <c r="U7453" s="204"/>
    </row>
    <row r="7454" spans="2:21" x14ac:dyDescent="0.2">
      <c r="B7454" s="203"/>
      <c r="C7454" s="237"/>
      <c r="D7454" s="202"/>
      <c r="E7454" s="202"/>
      <c r="U7454" s="204"/>
    </row>
    <row r="7455" spans="2:21" x14ac:dyDescent="0.2">
      <c r="B7455" s="203"/>
      <c r="C7455" s="237"/>
      <c r="D7455" s="202"/>
      <c r="E7455" s="202"/>
      <c r="U7455" s="204"/>
    </row>
    <row r="7456" spans="2:21" x14ac:dyDescent="0.2">
      <c r="B7456" s="203"/>
      <c r="C7456" s="237"/>
      <c r="D7456" s="202"/>
      <c r="E7456" s="202"/>
      <c r="U7456" s="204"/>
    </row>
    <row r="7457" spans="2:21" x14ac:dyDescent="0.2">
      <c r="B7457" s="203"/>
      <c r="C7457" s="237"/>
      <c r="D7457" s="202"/>
      <c r="E7457" s="202"/>
      <c r="U7457" s="204"/>
    </row>
    <row r="7458" spans="2:21" x14ac:dyDescent="0.2">
      <c r="B7458" s="203"/>
      <c r="C7458" s="237"/>
      <c r="D7458" s="202"/>
      <c r="E7458" s="202"/>
      <c r="U7458" s="204"/>
    </row>
    <row r="7459" spans="2:21" x14ac:dyDescent="0.2">
      <c r="B7459" s="203"/>
      <c r="C7459" s="237"/>
      <c r="D7459" s="202"/>
      <c r="E7459" s="202"/>
      <c r="U7459" s="204"/>
    </row>
    <row r="7460" spans="2:21" x14ac:dyDescent="0.2">
      <c r="B7460" s="203"/>
      <c r="C7460" s="237"/>
      <c r="D7460" s="202"/>
      <c r="E7460" s="202"/>
      <c r="U7460" s="204"/>
    </row>
    <row r="7461" spans="2:21" x14ac:dyDescent="0.2">
      <c r="B7461" s="203"/>
      <c r="C7461" s="237"/>
      <c r="D7461" s="202"/>
      <c r="E7461" s="202"/>
      <c r="U7461" s="204"/>
    </row>
    <row r="7462" spans="2:21" x14ac:dyDescent="0.2">
      <c r="B7462" s="203"/>
      <c r="C7462" s="237"/>
      <c r="D7462" s="202"/>
      <c r="E7462" s="202"/>
      <c r="U7462" s="204"/>
    </row>
    <row r="7463" spans="2:21" x14ac:dyDescent="0.2">
      <c r="B7463" s="203"/>
      <c r="C7463" s="237"/>
      <c r="D7463" s="202"/>
      <c r="E7463" s="202"/>
      <c r="U7463" s="204"/>
    </row>
    <row r="7464" spans="2:21" x14ac:dyDescent="0.2">
      <c r="B7464" s="203"/>
      <c r="C7464" s="237"/>
      <c r="D7464" s="202"/>
      <c r="E7464" s="202"/>
      <c r="U7464" s="204"/>
    </row>
    <row r="7465" spans="2:21" x14ac:dyDescent="0.2">
      <c r="B7465" s="203"/>
      <c r="C7465" s="237"/>
      <c r="D7465" s="202"/>
      <c r="E7465" s="202"/>
      <c r="U7465" s="204"/>
    </row>
    <row r="7466" spans="2:21" x14ac:dyDescent="0.2">
      <c r="B7466" s="203"/>
      <c r="C7466" s="237"/>
      <c r="D7466" s="202"/>
      <c r="E7466" s="202"/>
      <c r="U7466" s="204"/>
    </row>
    <row r="7467" spans="2:21" x14ac:dyDescent="0.2">
      <c r="B7467" s="203"/>
      <c r="C7467" s="237"/>
      <c r="D7467" s="202"/>
      <c r="E7467" s="202"/>
      <c r="U7467" s="204"/>
    </row>
    <row r="7468" spans="2:21" x14ac:dyDescent="0.2">
      <c r="B7468" s="203"/>
      <c r="C7468" s="237"/>
      <c r="D7468" s="202"/>
      <c r="E7468" s="202"/>
      <c r="U7468" s="204"/>
    </row>
    <row r="7469" spans="2:21" x14ac:dyDescent="0.2">
      <c r="B7469" s="203"/>
      <c r="C7469" s="237"/>
      <c r="D7469" s="202"/>
      <c r="E7469" s="202"/>
      <c r="U7469" s="204"/>
    </row>
    <row r="7470" spans="2:21" x14ac:dyDescent="0.2">
      <c r="B7470" s="203"/>
      <c r="C7470" s="237"/>
      <c r="D7470" s="202"/>
      <c r="E7470" s="202"/>
      <c r="U7470" s="204"/>
    </row>
    <row r="7471" spans="2:21" x14ac:dyDescent="0.2">
      <c r="B7471" s="203"/>
      <c r="C7471" s="237"/>
      <c r="D7471" s="202"/>
      <c r="E7471" s="202"/>
      <c r="U7471" s="204"/>
    </row>
    <row r="7472" spans="2:21" x14ac:dyDescent="0.2">
      <c r="B7472" s="203"/>
      <c r="C7472" s="237"/>
      <c r="D7472" s="202"/>
      <c r="E7472" s="202"/>
      <c r="U7472" s="204"/>
    </row>
    <row r="7473" spans="2:21" x14ac:dyDescent="0.2">
      <c r="B7473" s="203"/>
      <c r="C7473" s="237"/>
      <c r="D7473" s="202"/>
      <c r="E7473" s="202"/>
      <c r="U7473" s="204"/>
    </row>
    <row r="7474" spans="2:21" x14ac:dyDescent="0.2">
      <c r="B7474" s="203"/>
      <c r="C7474" s="237"/>
      <c r="D7474" s="202"/>
      <c r="E7474" s="202"/>
      <c r="U7474" s="204"/>
    </row>
    <row r="7475" spans="2:21" x14ac:dyDescent="0.2">
      <c r="B7475" s="203"/>
      <c r="C7475" s="237"/>
      <c r="D7475" s="202"/>
      <c r="E7475" s="202"/>
      <c r="U7475" s="204"/>
    </row>
    <row r="7476" spans="2:21" x14ac:dyDescent="0.2">
      <c r="B7476" s="203"/>
      <c r="C7476" s="237"/>
      <c r="D7476" s="202"/>
      <c r="E7476" s="202"/>
      <c r="U7476" s="204"/>
    </row>
    <row r="7477" spans="2:21" x14ac:dyDescent="0.2">
      <c r="B7477" s="203"/>
      <c r="C7477" s="237"/>
      <c r="D7477" s="202"/>
      <c r="E7477" s="202"/>
      <c r="U7477" s="204"/>
    </row>
    <row r="7478" spans="2:21" x14ac:dyDescent="0.2">
      <c r="B7478" s="203"/>
      <c r="C7478" s="237"/>
      <c r="D7478" s="202"/>
      <c r="E7478" s="202"/>
      <c r="U7478" s="204"/>
    </row>
    <row r="7479" spans="2:21" x14ac:dyDescent="0.2">
      <c r="B7479" s="203"/>
      <c r="C7479" s="237"/>
      <c r="D7479" s="202"/>
      <c r="E7479" s="202"/>
      <c r="U7479" s="204"/>
    </row>
    <row r="7480" spans="2:21" x14ac:dyDescent="0.2">
      <c r="B7480" s="203"/>
      <c r="C7480" s="237"/>
      <c r="D7480" s="202"/>
      <c r="E7480" s="202"/>
      <c r="U7480" s="204"/>
    </row>
    <row r="7481" spans="2:21" x14ac:dyDescent="0.2">
      <c r="B7481" s="203"/>
      <c r="C7481" s="237"/>
      <c r="D7481" s="202"/>
      <c r="E7481" s="202"/>
      <c r="U7481" s="204"/>
    </row>
    <row r="7482" spans="2:21" x14ac:dyDescent="0.2">
      <c r="B7482" s="203"/>
      <c r="C7482" s="237"/>
      <c r="D7482" s="202"/>
      <c r="E7482" s="202"/>
      <c r="U7482" s="204"/>
    </row>
    <row r="7483" spans="2:21" x14ac:dyDescent="0.2">
      <c r="B7483" s="203"/>
      <c r="C7483" s="237"/>
      <c r="D7483" s="202"/>
      <c r="E7483" s="202"/>
      <c r="U7483" s="204"/>
    </row>
    <row r="7484" spans="2:21" x14ac:dyDescent="0.2">
      <c r="B7484" s="203"/>
      <c r="C7484" s="237"/>
      <c r="D7484" s="202"/>
      <c r="E7484" s="202"/>
      <c r="U7484" s="204"/>
    </row>
    <row r="7485" spans="2:21" x14ac:dyDescent="0.2">
      <c r="B7485" s="203"/>
      <c r="C7485" s="237"/>
      <c r="D7485" s="202"/>
      <c r="E7485" s="202"/>
      <c r="U7485" s="204"/>
    </row>
    <row r="7486" spans="2:21" x14ac:dyDescent="0.2">
      <c r="B7486" s="203"/>
      <c r="C7486" s="237"/>
      <c r="D7486" s="202"/>
      <c r="E7486" s="202"/>
      <c r="U7486" s="204"/>
    </row>
    <row r="7487" spans="2:21" x14ac:dyDescent="0.2">
      <c r="B7487" s="203"/>
      <c r="C7487" s="237"/>
      <c r="D7487" s="202"/>
      <c r="E7487" s="202"/>
      <c r="U7487" s="204"/>
    </row>
    <row r="7488" spans="2:21" x14ac:dyDescent="0.2">
      <c r="B7488" s="203"/>
      <c r="C7488" s="237"/>
      <c r="D7488" s="202"/>
      <c r="E7488" s="202"/>
      <c r="U7488" s="204"/>
    </row>
    <row r="7489" spans="2:21" x14ac:dyDescent="0.2">
      <c r="B7489" s="203"/>
      <c r="C7489" s="237"/>
      <c r="D7489" s="202"/>
      <c r="E7489" s="202"/>
      <c r="U7489" s="204"/>
    </row>
    <row r="7490" spans="2:21" x14ac:dyDescent="0.2">
      <c r="B7490" s="203"/>
      <c r="C7490" s="237"/>
      <c r="D7490" s="202"/>
      <c r="E7490" s="202"/>
      <c r="U7490" s="204"/>
    </row>
    <row r="7491" spans="2:21" x14ac:dyDescent="0.2">
      <c r="B7491" s="203"/>
      <c r="C7491" s="237"/>
      <c r="D7491" s="202"/>
      <c r="E7491" s="202"/>
      <c r="U7491" s="204"/>
    </row>
    <row r="7492" spans="2:21" x14ac:dyDescent="0.2">
      <c r="B7492" s="203"/>
      <c r="C7492" s="237"/>
      <c r="D7492" s="202"/>
      <c r="E7492" s="202"/>
      <c r="U7492" s="204"/>
    </row>
    <row r="7493" spans="2:21" x14ac:dyDescent="0.2">
      <c r="B7493" s="203"/>
      <c r="C7493" s="237"/>
      <c r="D7493" s="202"/>
      <c r="E7493" s="202"/>
      <c r="U7493" s="204"/>
    </row>
    <row r="7494" spans="2:21" x14ac:dyDescent="0.2">
      <c r="B7494" s="203"/>
      <c r="C7494" s="237"/>
      <c r="D7494" s="202"/>
      <c r="E7494" s="202"/>
      <c r="U7494" s="204"/>
    </row>
    <row r="7495" spans="2:21" x14ac:dyDescent="0.2">
      <c r="B7495" s="203"/>
      <c r="C7495" s="237"/>
      <c r="D7495" s="202"/>
      <c r="E7495" s="202"/>
      <c r="U7495" s="204"/>
    </row>
    <row r="7496" spans="2:21" x14ac:dyDescent="0.2">
      <c r="B7496" s="203"/>
      <c r="C7496" s="237"/>
      <c r="D7496" s="202"/>
      <c r="E7496" s="202"/>
      <c r="U7496" s="204"/>
    </row>
    <row r="7497" spans="2:21" x14ac:dyDescent="0.2">
      <c r="B7497" s="203"/>
      <c r="C7497" s="237"/>
      <c r="D7497" s="202"/>
      <c r="E7497" s="202"/>
      <c r="U7497" s="204"/>
    </row>
    <row r="7498" spans="2:21" x14ac:dyDescent="0.2">
      <c r="B7498" s="203"/>
      <c r="C7498" s="237"/>
      <c r="D7498" s="202"/>
      <c r="E7498" s="202"/>
      <c r="U7498" s="204"/>
    </row>
    <row r="7499" spans="2:21" x14ac:dyDescent="0.2">
      <c r="B7499" s="203"/>
      <c r="C7499" s="237"/>
      <c r="D7499" s="202"/>
      <c r="E7499" s="202"/>
      <c r="U7499" s="204"/>
    </row>
    <row r="7500" spans="2:21" x14ac:dyDescent="0.2">
      <c r="B7500" s="203"/>
      <c r="C7500" s="237"/>
      <c r="D7500" s="202"/>
      <c r="E7500" s="202"/>
      <c r="U7500" s="204"/>
    </row>
    <row r="7501" spans="2:21" x14ac:dyDescent="0.2">
      <c r="B7501" s="203"/>
      <c r="C7501" s="237"/>
      <c r="D7501" s="202"/>
      <c r="E7501" s="202"/>
      <c r="U7501" s="204"/>
    </row>
    <row r="7502" spans="2:21" x14ac:dyDescent="0.2">
      <c r="B7502" s="203"/>
      <c r="C7502" s="237"/>
      <c r="D7502" s="202"/>
      <c r="E7502" s="202"/>
      <c r="U7502" s="204"/>
    </row>
    <row r="7503" spans="2:21" x14ac:dyDescent="0.2">
      <c r="B7503" s="203"/>
      <c r="C7503" s="237"/>
      <c r="D7503" s="202"/>
      <c r="E7503" s="202"/>
      <c r="U7503" s="204"/>
    </row>
    <row r="7504" spans="2:21" x14ac:dyDescent="0.2">
      <c r="B7504" s="203"/>
      <c r="C7504" s="237"/>
      <c r="D7504" s="202"/>
      <c r="E7504" s="202"/>
      <c r="U7504" s="204"/>
    </row>
    <row r="7505" spans="2:21" x14ac:dyDescent="0.2">
      <c r="B7505" s="203"/>
      <c r="C7505" s="237"/>
      <c r="D7505" s="202"/>
      <c r="E7505" s="202"/>
      <c r="U7505" s="204"/>
    </row>
    <row r="7506" spans="2:21" x14ac:dyDescent="0.2">
      <c r="B7506" s="203"/>
      <c r="C7506" s="237"/>
      <c r="D7506" s="202"/>
      <c r="E7506" s="202"/>
      <c r="U7506" s="204"/>
    </row>
    <row r="7507" spans="2:21" x14ac:dyDescent="0.2">
      <c r="B7507" s="203"/>
      <c r="C7507" s="237"/>
      <c r="D7507" s="202"/>
      <c r="E7507" s="202"/>
      <c r="U7507" s="204"/>
    </row>
    <row r="7508" spans="2:21" x14ac:dyDescent="0.2">
      <c r="B7508" s="203"/>
      <c r="C7508" s="237"/>
      <c r="D7508" s="202"/>
      <c r="E7508" s="202"/>
      <c r="U7508" s="204"/>
    </row>
    <row r="7509" spans="2:21" x14ac:dyDescent="0.2">
      <c r="B7509" s="203"/>
      <c r="C7509" s="237"/>
      <c r="D7509" s="202"/>
      <c r="E7509" s="202"/>
      <c r="U7509" s="204"/>
    </row>
    <row r="7510" spans="2:21" x14ac:dyDescent="0.2">
      <c r="B7510" s="203"/>
      <c r="C7510" s="237"/>
      <c r="D7510" s="202"/>
      <c r="E7510" s="202"/>
      <c r="U7510" s="204"/>
    </row>
    <row r="7511" spans="2:21" x14ac:dyDescent="0.2">
      <c r="B7511" s="203"/>
      <c r="C7511" s="237"/>
      <c r="D7511" s="202"/>
      <c r="E7511" s="202"/>
      <c r="U7511" s="204"/>
    </row>
    <row r="7512" spans="2:21" x14ac:dyDescent="0.2">
      <c r="B7512" s="203"/>
      <c r="C7512" s="237"/>
      <c r="D7512" s="202"/>
      <c r="E7512" s="202"/>
      <c r="U7512" s="204"/>
    </row>
    <row r="7513" spans="2:21" x14ac:dyDescent="0.2">
      <c r="B7513" s="203"/>
      <c r="C7513" s="237"/>
      <c r="D7513" s="202"/>
      <c r="E7513" s="202"/>
      <c r="U7513" s="204"/>
    </row>
    <row r="7514" spans="2:21" x14ac:dyDescent="0.2">
      <c r="B7514" s="203"/>
      <c r="C7514" s="237"/>
      <c r="D7514" s="202"/>
      <c r="E7514" s="202"/>
      <c r="U7514" s="204"/>
    </row>
    <row r="7515" spans="2:21" x14ac:dyDescent="0.2">
      <c r="B7515" s="203"/>
      <c r="C7515" s="237"/>
      <c r="D7515" s="202"/>
      <c r="E7515" s="202"/>
      <c r="U7515" s="204"/>
    </row>
    <row r="7516" spans="2:21" x14ac:dyDescent="0.2">
      <c r="B7516" s="203"/>
      <c r="C7516" s="237"/>
      <c r="D7516" s="202"/>
      <c r="E7516" s="202"/>
      <c r="U7516" s="204"/>
    </row>
    <row r="7517" spans="2:21" x14ac:dyDescent="0.2">
      <c r="B7517" s="203"/>
      <c r="C7517" s="237"/>
      <c r="D7517" s="202"/>
      <c r="E7517" s="202"/>
      <c r="U7517" s="204"/>
    </row>
    <row r="7518" spans="2:21" x14ac:dyDescent="0.2">
      <c r="B7518" s="203"/>
      <c r="C7518" s="237"/>
      <c r="D7518" s="202"/>
      <c r="E7518" s="202"/>
      <c r="U7518" s="204"/>
    </row>
    <row r="7519" spans="2:21" x14ac:dyDescent="0.2">
      <c r="B7519" s="203"/>
      <c r="C7519" s="237"/>
      <c r="D7519" s="202"/>
      <c r="E7519" s="202"/>
      <c r="U7519" s="204"/>
    </row>
    <row r="7520" spans="2:21" x14ac:dyDescent="0.2">
      <c r="B7520" s="203"/>
      <c r="C7520" s="237"/>
      <c r="D7520" s="202"/>
      <c r="E7520" s="202"/>
      <c r="U7520" s="204"/>
    </row>
    <row r="7521" spans="2:21" x14ac:dyDescent="0.2">
      <c r="B7521" s="203"/>
      <c r="C7521" s="237"/>
      <c r="D7521" s="202"/>
      <c r="E7521" s="202"/>
      <c r="U7521" s="204"/>
    </row>
    <row r="7522" spans="2:21" x14ac:dyDescent="0.2">
      <c r="B7522" s="203"/>
      <c r="C7522" s="237"/>
      <c r="D7522" s="202"/>
      <c r="E7522" s="202"/>
      <c r="U7522" s="204"/>
    </row>
    <row r="7523" spans="2:21" x14ac:dyDescent="0.2">
      <c r="B7523" s="203"/>
      <c r="C7523" s="237"/>
      <c r="D7523" s="202"/>
      <c r="E7523" s="202"/>
      <c r="U7523" s="204"/>
    </row>
    <row r="7524" spans="2:21" x14ac:dyDescent="0.2">
      <c r="B7524" s="203"/>
      <c r="C7524" s="237"/>
      <c r="D7524" s="202"/>
      <c r="E7524" s="202"/>
      <c r="U7524" s="204"/>
    </row>
    <row r="7525" spans="2:21" x14ac:dyDescent="0.2">
      <c r="B7525" s="203"/>
      <c r="C7525" s="237"/>
      <c r="D7525" s="202"/>
      <c r="E7525" s="202"/>
      <c r="U7525" s="204"/>
    </row>
    <row r="7526" spans="2:21" x14ac:dyDescent="0.2">
      <c r="B7526" s="203"/>
      <c r="C7526" s="237"/>
      <c r="D7526" s="202"/>
      <c r="E7526" s="202"/>
      <c r="U7526" s="204"/>
    </row>
    <row r="7527" spans="2:21" x14ac:dyDescent="0.2">
      <c r="B7527" s="203"/>
      <c r="C7527" s="237"/>
      <c r="D7527" s="202"/>
      <c r="E7527" s="202"/>
      <c r="U7527" s="204"/>
    </row>
    <row r="7528" spans="2:21" x14ac:dyDescent="0.2">
      <c r="B7528" s="203"/>
      <c r="C7528" s="237"/>
      <c r="D7528" s="202"/>
      <c r="E7528" s="202"/>
      <c r="U7528" s="204"/>
    </row>
    <row r="7529" spans="2:21" x14ac:dyDescent="0.2">
      <c r="B7529" s="203"/>
      <c r="C7529" s="237"/>
      <c r="D7529" s="202"/>
      <c r="E7529" s="202"/>
      <c r="U7529" s="204"/>
    </row>
    <row r="7530" spans="2:21" x14ac:dyDescent="0.2">
      <c r="B7530" s="203"/>
      <c r="C7530" s="237"/>
      <c r="D7530" s="202"/>
      <c r="E7530" s="202"/>
      <c r="U7530" s="204"/>
    </row>
    <row r="7531" spans="2:21" x14ac:dyDescent="0.2">
      <c r="B7531" s="203"/>
      <c r="C7531" s="237"/>
      <c r="D7531" s="202"/>
      <c r="E7531" s="202"/>
      <c r="U7531" s="204"/>
    </row>
    <row r="7532" spans="2:21" x14ac:dyDescent="0.2">
      <c r="B7532" s="203"/>
      <c r="C7532" s="237"/>
      <c r="D7532" s="202"/>
      <c r="E7532" s="202"/>
      <c r="U7532" s="204"/>
    </row>
    <row r="7533" spans="2:21" x14ac:dyDescent="0.2">
      <c r="B7533" s="203"/>
      <c r="C7533" s="237"/>
      <c r="D7533" s="202"/>
      <c r="E7533" s="202"/>
      <c r="U7533" s="204"/>
    </row>
    <row r="7534" spans="2:21" x14ac:dyDescent="0.2">
      <c r="B7534" s="203"/>
      <c r="C7534" s="237"/>
      <c r="D7534" s="202"/>
      <c r="E7534" s="202"/>
      <c r="U7534" s="204"/>
    </row>
    <row r="7535" spans="2:21" x14ac:dyDescent="0.2">
      <c r="B7535" s="203"/>
      <c r="C7535" s="237"/>
      <c r="D7535" s="202"/>
      <c r="E7535" s="202"/>
      <c r="U7535" s="204"/>
    </row>
    <row r="7536" spans="2:21" x14ac:dyDescent="0.2">
      <c r="B7536" s="203"/>
      <c r="C7536" s="237"/>
      <c r="D7536" s="202"/>
      <c r="E7536" s="202"/>
      <c r="U7536" s="204"/>
    </row>
    <row r="7537" spans="2:21" x14ac:dyDescent="0.2">
      <c r="B7537" s="203"/>
      <c r="C7537" s="237"/>
      <c r="D7537" s="202"/>
      <c r="E7537" s="202"/>
      <c r="U7537" s="204"/>
    </row>
    <row r="7538" spans="2:21" x14ac:dyDescent="0.2">
      <c r="B7538" s="203"/>
      <c r="C7538" s="237"/>
      <c r="D7538" s="202"/>
      <c r="E7538" s="202"/>
      <c r="U7538" s="204"/>
    </row>
    <row r="7539" spans="2:21" x14ac:dyDescent="0.2">
      <c r="B7539" s="203"/>
      <c r="C7539" s="237"/>
      <c r="D7539" s="202"/>
      <c r="E7539" s="202"/>
      <c r="U7539" s="204"/>
    </row>
    <row r="7540" spans="2:21" x14ac:dyDescent="0.2">
      <c r="B7540" s="203"/>
      <c r="C7540" s="237"/>
      <c r="D7540" s="202"/>
      <c r="E7540" s="202"/>
      <c r="U7540" s="204"/>
    </row>
    <row r="7541" spans="2:21" x14ac:dyDescent="0.2">
      <c r="B7541" s="203"/>
      <c r="C7541" s="237"/>
      <c r="D7541" s="202"/>
      <c r="E7541" s="202"/>
      <c r="U7541" s="204"/>
    </row>
    <row r="7542" spans="2:21" x14ac:dyDescent="0.2">
      <c r="B7542" s="203"/>
      <c r="C7542" s="237"/>
      <c r="D7542" s="202"/>
      <c r="E7542" s="202"/>
      <c r="U7542" s="204"/>
    </row>
    <row r="7543" spans="2:21" x14ac:dyDescent="0.2">
      <c r="B7543" s="203"/>
      <c r="C7543" s="237"/>
      <c r="D7543" s="202"/>
      <c r="E7543" s="202"/>
      <c r="U7543" s="204"/>
    </row>
    <row r="7544" spans="2:21" x14ac:dyDescent="0.2">
      <c r="B7544" s="203"/>
      <c r="C7544" s="237"/>
      <c r="D7544" s="202"/>
      <c r="E7544" s="202"/>
      <c r="U7544" s="204"/>
    </row>
    <row r="7545" spans="2:21" x14ac:dyDescent="0.2">
      <c r="B7545" s="203"/>
      <c r="C7545" s="237"/>
      <c r="D7545" s="202"/>
      <c r="E7545" s="202"/>
      <c r="U7545" s="204"/>
    </row>
    <row r="7546" spans="2:21" x14ac:dyDescent="0.2">
      <c r="B7546" s="203"/>
      <c r="C7546" s="237"/>
      <c r="D7546" s="202"/>
      <c r="E7546" s="202"/>
      <c r="U7546" s="204"/>
    </row>
    <row r="7547" spans="2:21" x14ac:dyDescent="0.2">
      <c r="B7547" s="203"/>
      <c r="C7547" s="237"/>
      <c r="D7547" s="202"/>
      <c r="E7547" s="202"/>
      <c r="U7547" s="204"/>
    </row>
    <row r="7548" spans="2:21" x14ac:dyDescent="0.2">
      <c r="B7548" s="203"/>
      <c r="C7548" s="237"/>
      <c r="D7548" s="202"/>
      <c r="E7548" s="202"/>
      <c r="U7548" s="204"/>
    </row>
    <row r="7549" spans="2:21" x14ac:dyDescent="0.2">
      <c r="B7549" s="203"/>
      <c r="C7549" s="237"/>
      <c r="D7549" s="202"/>
      <c r="E7549" s="202"/>
      <c r="U7549" s="204"/>
    </row>
    <row r="7550" spans="2:21" x14ac:dyDescent="0.2">
      <c r="B7550" s="203"/>
      <c r="C7550" s="237"/>
      <c r="D7550" s="202"/>
      <c r="E7550" s="202"/>
      <c r="U7550" s="204"/>
    </row>
    <row r="7551" spans="2:21" x14ac:dyDescent="0.2">
      <c r="B7551" s="203"/>
      <c r="C7551" s="237"/>
      <c r="D7551" s="202"/>
      <c r="E7551" s="202"/>
      <c r="U7551" s="204"/>
    </row>
    <row r="7552" spans="2:21" x14ac:dyDescent="0.2">
      <c r="B7552" s="203"/>
      <c r="C7552" s="237"/>
      <c r="D7552" s="202"/>
      <c r="E7552" s="202"/>
      <c r="U7552" s="204"/>
    </row>
    <row r="7553" spans="2:21" x14ac:dyDescent="0.2">
      <c r="B7553" s="203"/>
      <c r="C7553" s="237"/>
      <c r="D7553" s="202"/>
      <c r="E7553" s="202"/>
      <c r="U7553" s="204"/>
    </row>
    <row r="7554" spans="2:21" x14ac:dyDescent="0.2">
      <c r="B7554" s="203"/>
      <c r="C7554" s="237"/>
      <c r="D7554" s="202"/>
      <c r="E7554" s="202"/>
      <c r="U7554" s="204"/>
    </row>
    <row r="7555" spans="2:21" x14ac:dyDescent="0.2">
      <c r="B7555" s="203"/>
      <c r="C7555" s="237"/>
      <c r="D7555" s="202"/>
      <c r="E7555" s="202"/>
      <c r="U7555" s="204"/>
    </row>
    <row r="7556" spans="2:21" x14ac:dyDescent="0.2">
      <c r="B7556" s="203"/>
      <c r="C7556" s="237"/>
      <c r="D7556" s="202"/>
      <c r="E7556" s="202"/>
      <c r="U7556" s="204"/>
    </row>
    <row r="7557" spans="2:21" x14ac:dyDescent="0.2">
      <c r="B7557" s="203"/>
      <c r="C7557" s="237"/>
      <c r="D7557" s="202"/>
      <c r="E7557" s="202"/>
      <c r="U7557" s="204"/>
    </row>
    <row r="7558" spans="2:21" x14ac:dyDescent="0.2">
      <c r="B7558" s="203"/>
      <c r="C7558" s="237"/>
      <c r="D7558" s="202"/>
      <c r="E7558" s="202"/>
      <c r="U7558" s="204"/>
    </row>
    <row r="7559" spans="2:21" x14ac:dyDescent="0.2">
      <c r="B7559" s="203"/>
      <c r="C7559" s="237"/>
      <c r="D7559" s="202"/>
      <c r="E7559" s="202"/>
      <c r="U7559" s="204"/>
    </row>
    <row r="7560" spans="2:21" x14ac:dyDescent="0.2">
      <c r="B7560" s="203"/>
      <c r="C7560" s="237"/>
      <c r="D7560" s="202"/>
      <c r="E7560" s="202"/>
      <c r="U7560" s="204"/>
    </row>
    <row r="7561" spans="2:21" x14ac:dyDescent="0.2">
      <c r="B7561" s="203"/>
      <c r="C7561" s="237"/>
      <c r="D7561" s="202"/>
      <c r="E7561" s="202"/>
      <c r="U7561" s="204"/>
    </row>
    <row r="7562" spans="2:21" x14ac:dyDescent="0.2">
      <c r="B7562" s="203"/>
      <c r="C7562" s="237"/>
      <c r="D7562" s="202"/>
      <c r="E7562" s="202"/>
      <c r="U7562" s="204"/>
    </row>
    <row r="7563" spans="2:21" x14ac:dyDescent="0.2">
      <c r="B7563" s="203"/>
      <c r="C7563" s="237"/>
      <c r="D7563" s="202"/>
      <c r="E7563" s="202"/>
      <c r="U7563" s="204"/>
    </row>
    <row r="7564" spans="2:21" x14ac:dyDescent="0.2">
      <c r="B7564" s="203"/>
      <c r="C7564" s="237"/>
      <c r="D7564" s="202"/>
      <c r="E7564" s="202"/>
      <c r="U7564" s="204"/>
    </row>
    <row r="7565" spans="2:21" x14ac:dyDescent="0.2">
      <c r="B7565" s="203"/>
      <c r="C7565" s="237"/>
      <c r="D7565" s="202"/>
      <c r="E7565" s="202"/>
      <c r="U7565" s="204"/>
    </row>
    <row r="7566" spans="2:21" x14ac:dyDescent="0.2">
      <c r="B7566" s="203"/>
      <c r="C7566" s="237"/>
      <c r="D7566" s="202"/>
      <c r="E7566" s="202"/>
      <c r="U7566" s="204"/>
    </row>
    <row r="7567" spans="2:21" x14ac:dyDescent="0.2">
      <c r="B7567" s="203"/>
      <c r="C7567" s="237"/>
      <c r="D7567" s="202"/>
      <c r="E7567" s="202"/>
      <c r="U7567" s="204"/>
    </row>
    <row r="7568" spans="2:21" x14ac:dyDescent="0.2">
      <c r="B7568" s="203"/>
      <c r="C7568" s="237"/>
      <c r="D7568" s="202"/>
      <c r="E7568" s="202"/>
      <c r="U7568" s="204"/>
    </row>
    <row r="7569" spans="2:21" x14ac:dyDescent="0.2">
      <c r="B7569" s="203"/>
      <c r="C7569" s="237"/>
      <c r="D7569" s="202"/>
      <c r="E7569" s="202"/>
      <c r="U7569" s="204"/>
    </row>
    <row r="7570" spans="2:21" x14ac:dyDescent="0.2">
      <c r="B7570" s="203"/>
      <c r="C7570" s="237"/>
      <c r="D7570" s="202"/>
      <c r="E7570" s="202"/>
      <c r="U7570" s="204"/>
    </row>
    <row r="7571" spans="2:21" x14ac:dyDescent="0.2">
      <c r="B7571" s="203"/>
      <c r="C7571" s="237"/>
      <c r="D7571" s="202"/>
      <c r="E7571" s="202"/>
      <c r="U7571" s="204"/>
    </row>
    <row r="7572" spans="2:21" x14ac:dyDescent="0.2">
      <c r="B7572" s="203"/>
      <c r="C7572" s="237"/>
      <c r="D7572" s="202"/>
      <c r="E7572" s="202"/>
      <c r="U7572" s="204"/>
    </row>
    <row r="7573" spans="2:21" x14ac:dyDescent="0.2">
      <c r="B7573" s="203"/>
      <c r="C7573" s="237"/>
      <c r="D7573" s="202"/>
      <c r="E7573" s="202"/>
      <c r="U7573" s="204"/>
    </row>
    <row r="7574" spans="2:21" x14ac:dyDescent="0.2">
      <c r="B7574" s="203"/>
      <c r="C7574" s="237"/>
      <c r="D7574" s="202"/>
      <c r="E7574" s="202"/>
      <c r="U7574" s="204"/>
    </row>
    <row r="7575" spans="2:21" x14ac:dyDescent="0.2">
      <c r="B7575" s="203"/>
      <c r="C7575" s="237"/>
      <c r="D7575" s="202"/>
      <c r="E7575" s="202"/>
      <c r="U7575" s="204"/>
    </row>
    <row r="7576" spans="2:21" x14ac:dyDescent="0.2">
      <c r="B7576" s="203"/>
      <c r="C7576" s="237"/>
      <c r="D7576" s="202"/>
      <c r="E7576" s="202"/>
      <c r="U7576" s="204"/>
    </row>
    <row r="7577" spans="2:21" x14ac:dyDescent="0.2">
      <c r="B7577" s="203"/>
      <c r="C7577" s="237"/>
      <c r="D7577" s="202"/>
      <c r="E7577" s="202"/>
      <c r="U7577" s="204"/>
    </row>
    <row r="7578" spans="2:21" x14ac:dyDescent="0.2">
      <c r="B7578" s="203"/>
      <c r="C7578" s="237"/>
      <c r="D7578" s="202"/>
      <c r="E7578" s="202"/>
      <c r="U7578" s="204"/>
    </row>
    <row r="7579" spans="2:21" x14ac:dyDescent="0.2">
      <c r="B7579" s="203"/>
      <c r="C7579" s="237"/>
      <c r="D7579" s="202"/>
      <c r="E7579" s="202"/>
      <c r="U7579" s="204"/>
    </row>
    <row r="7580" spans="2:21" x14ac:dyDescent="0.2">
      <c r="B7580" s="203"/>
      <c r="C7580" s="237"/>
      <c r="D7580" s="202"/>
      <c r="E7580" s="202"/>
      <c r="U7580" s="204"/>
    </row>
    <row r="7581" spans="2:21" x14ac:dyDescent="0.2">
      <c r="B7581" s="203"/>
      <c r="C7581" s="237"/>
      <c r="D7581" s="202"/>
      <c r="E7581" s="202"/>
      <c r="U7581" s="204"/>
    </row>
    <row r="7582" spans="2:21" x14ac:dyDescent="0.2">
      <c r="B7582" s="203"/>
      <c r="C7582" s="237"/>
      <c r="D7582" s="202"/>
      <c r="E7582" s="202"/>
      <c r="U7582" s="204"/>
    </row>
    <row r="7583" spans="2:21" x14ac:dyDescent="0.2">
      <c r="B7583" s="203"/>
      <c r="C7583" s="237"/>
      <c r="D7583" s="202"/>
      <c r="E7583" s="202"/>
      <c r="U7583" s="204"/>
    </row>
    <row r="7584" spans="2:21" x14ac:dyDescent="0.2">
      <c r="B7584" s="203"/>
      <c r="C7584" s="237"/>
      <c r="D7584" s="202"/>
      <c r="E7584" s="202"/>
      <c r="U7584" s="204"/>
    </row>
    <row r="7585" spans="2:21" x14ac:dyDescent="0.2">
      <c r="B7585" s="203"/>
      <c r="C7585" s="237"/>
      <c r="D7585" s="202"/>
      <c r="E7585" s="202"/>
      <c r="U7585" s="204"/>
    </row>
    <row r="7586" spans="2:21" x14ac:dyDescent="0.2">
      <c r="B7586" s="203"/>
      <c r="C7586" s="237"/>
      <c r="D7586" s="202"/>
      <c r="E7586" s="202"/>
      <c r="U7586" s="204"/>
    </row>
    <row r="7587" spans="2:21" x14ac:dyDescent="0.2">
      <c r="B7587" s="203"/>
      <c r="C7587" s="237"/>
      <c r="D7587" s="202"/>
      <c r="E7587" s="202"/>
      <c r="U7587" s="204"/>
    </row>
    <row r="7588" spans="2:21" x14ac:dyDescent="0.2">
      <c r="B7588" s="203"/>
      <c r="C7588" s="237"/>
      <c r="D7588" s="202"/>
      <c r="E7588" s="202"/>
      <c r="U7588" s="204"/>
    </row>
    <row r="7589" spans="2:21" x14ac:dyDescent="0.2">
      <c r="B7589" s="203"/>
      <c r="C7589" s="237"/>
      <c r="D7589" s="202"/>
      <c r="E7589" s="202"/>
      <c r="U7589" s="204"/>
    </row>
    <row r="7590" spans="2:21" x14ac:dyDescent="0.2">
      <c r="B7590" s="203"/>
      <c r="C7590" s="237"/>
      <c r="D7590" s="202"/>
      <c r="E7590" s="202"/>
      <c r="U7590" s="204"/>
    </row>
    <row r="7591" spans="2:21" x14ac:dyDescent="0.2">
      <c r="B7591" s="203"/>
      <c r="C7591" s="237"/>
      <c r="D7591" s="202"/>
      <c r="E7591" s="202"/>
      <c r="U7591" s="204"/>
    </row>
    <row r="7592" spans="2:21" x14ac:dyDescent="0.2">
      <c r="B7592" s="203"/>
      <c r="C7592" s="237"/>
      <c r="D7592" s="202"/>
      <c r="E7592" s="202"/>
      <c r="U7592" s="204"/>
    </row>
    <row r="7593" spans="2:21" x14ac:dyDescent="0.2">
      <c r="B7593" s="203"/>
      <c r="C7593" s="237"/>
      <c r="D7593" s="202"/>
      <c r="E7593" s="202"/>
      <c r="U7593" s="204"/>
    </row>
    <row r="7594" spans="2:21" x14ac:dyDescent="0.2">
      <c r="B7594" s="203"/>
      <c r="C7594" s="237"/>
      <c r="D7594" s="202"/>
      <c r="E7594" s="202"/>
      <c r="U7594" s="204"/>
    </row>
    <row r="7595" spans="2:21" x14ac:dyDescent="0.2">
      <c r="B7595" s="203"/>
      <c r="C7595" s="237"/>
      <c r="D7595" s="202"/>
      <c r="E7595" s="202"/>
      <c r="U7595" s="204"/>
    </row>
    <row r="7596" spans="2:21" x14ac:dyDescent="0.2">
      <c r="B7596" s="203"/>
      <c r="C7596" s="237"/>
      <c r="D7596" s="202"/>
      <c r="E7596" s="202"/>
      <c r="U7596" s="204"/>
    </row>
    <row r="7597" spans="2:21" x14ac:dyDescent="0.2">
      <c r="B7597" s="203"/>
      <c r="C7597" s="237"/>
      <c r="D7597" s="202"/>
      <c r="E7597" s="202"/>
      <c r="U7597" s="204"/>
    </row>
    <row r="7598" spans="2:21" x14ac:dyDescent="0.2">
      <c r="B7598" s="203"/>
      <c r="C7598" s="237"/>
      <c r="D7598" s="202"/>
      <c r="E7598" s="202"/>
      <c r="U7598" s="204"/>
    </row>
    <row r="7599" spans="2:21" x14ac:dyDescent="0.2">
      <c r="B7599" s="203"/>
      <c r="C7599" s="237"/>
      <c r="D7599" s="202"/>
      <c r="E7599" s="202"/>
      <c r="U7599" s="204"/>
    </row>
    <row r="7600" spans="2:21" x14ac:dyDescent="0.2">
      <c r="B7600" s="203"/>
      <c r="C7600" s="237"/>
      <c r="D7600" s="202"/>
      <c r="E7600" s="202"/>
      <c r="U7600" s="204"/>
    </row>
    <row r="7601" spans="2:21" x14ac:dyDescent="0.2">
      <c r="B7601" s="203"/>
      <c r="C7601" s="237"/>
      <c r="D7601" s="202"/>
      <c r="E7601" s="202"/>
      <c r="U7601" s="204"/>
    </row>
    <row r="7602" spans="2:21" x14ac:dyDescent="0.2">
      <c r="B7602" s="203"/>
      <c r="C7602" s="237"/>
      <c r="D7602" s="202"/>
      <c r="E7602" s="202"/>
      <c r="U7602" s="204"/>
    </row>
    <row r="7603" spans="2:21" x14ac:dyDescent="0.2">
      <c r="B7603" s="203"/>
      <c r="C7603" s="237"/>
      <c r="D7603" s="202"/>
      <c r="E7603" s="202"/>
      <c r="U7603" s="204"/>
    </row>
    <row r="7604" spans="2:21" x14ac:dyDescent="0.2">
      <c r="B7604" s="203"/>
      <c r="C7604" s="237"/>
      <c r="D7604" s="202"/>
      <c r="E7604" s="202"/>
      <c r="U7604" s="204"/>
    </row>
    <row r="7605" spans="2:21" x14ac:dyDescent="0.2">
      <c r="B7605" s="203"/>
      <c r="C7605" s="237"/>
      <c r="D7605" s="202"/>
      <c r="E7605" s="202"/>
      <c r="U7605" s="204"/>
    </row>
    <row r="7606" spans="2:21" x14ac:dyDescent="0.2">
      <c r="B7606" s="203"/>
      <c r="C7606" s="237"/>
      <c r="D7606" s="202"/>
      <c r="E7606" s="202"/>
      <c r="U7606" s="204"/>
    </row>
    <row r="7607" spans="2:21" x14ac:dyDescent="0.2">
      <c r="B7607" s="203"/>
      <c r="C7607" s="237"/>
      <c r="D7607" s="202"/>
      <c r="E7607" s="202"/>
      <c r="U7607" s="204"/>
    </row>
    <row r="7608" spans="2:21" x14ac:dyDescent="0.2">
      <c r="B7608" s="203"/>
      <c r="C7608" s="237"/>
      <c r="D7608" s="202"/>
      <c r="E7608" s="202"/>
      <c r="U7608" s="204"/>
    </row>
    <row r="7609" spans="2:21" x14ac:dyDescent="0.2">
      <c r="B7609" s="203"/>
      <c r="C7609" s="237"/>
      <c r="D7609" s="202"/>
      <c r="E7609" s="202"/>
      <c r="U7609" s="204"/>
    </row>
    <row r="7610" spans="2:21" x14ac:dyDescent="0.2">
      <c r="B7610" s="203"/>
      <c r="C7610" s="237"/>
      <c r="D7610" s="202"/>
      <c r="E7610" s="202"/>
      <c r="U7610" s="204"/>
    </row>
    <row r="7611" spans="2:21" x14ac:dyDescent="0.2">
      <c r="B7611" s="203"/>
      <c r="C7611" s="237"/>
      <c r="D7611" s="202"/>
      <c r="E7611" s="202"/>
      <c r="U7611" s="204"/>
    </row>
    <row r="7612" spans="2:21" x14ac:dyDescent="0.2">
      <c r="B7612" s="203"/>
      <c r="C7612" s="237"/>
      <c r="D7612" s="202"/>
      <c r="E7612" s="202"/>
      <c r="U7612" s="204"/>
    </row>
    <row r="7613" spans="2:21" x14ac:dyDescent="0.2">
      <c r="B7613" s="203"/>
      <c r="C7613" s="237"/>
      <c r="D7613" s="202"/>
      <c r="E7613" s="202"/>
      <c r="U7613" s="204"/>
    </row>
    <row r="7614" spans="2:21" x14ac:dyDescent="0.2">
      <c r="B7614" s="203"/>
      <c r="C7614" s="237"/>
      <c r="D7614" s="202"/>
      <c r="E7614" s="202"/>
      <c r="U7614" s="204"/>
    </row>
    <row r="7615" spans="2:21" x14ac:dyDescent="0.2">
      <c r="B7615" s="203"/>
      <c r="C7615" s="237"/>
      <c r="D7615" s="202"/>
      <c r="E7615" s="202"/>
      <c r="U7615" s="204"/>
    </row>
    <row r="7616" spans="2:21" x14ac:dyDescent="0.2">
      <c r="B7616" s="203"/>
      <c r="C7616" s="237"/>
      <c r="D7616" s="202"/>
      <c r="E7616" s="202"/>
      <c r="U7616" s="204"/>
    </row>
    <row r="7617" spans="2:21" x14ac:dyDescent="0.2">
      <c r="B7617" s="203"/>
      <c r="C7617" s="237"/>
      <c r="D7617" s="202"/>
      <c r="E7617" s="202"/>
      <c r="U7617" s="204"/>
    </row>
    <row r="7618" spans="2:21" x14ac:dyDescent="0.2">
      <c r="B7618" s="203"/>
      <c r="C7618" s="237"/>
      <c r="D7618" s="202"/>
      <c r="E7618" s="202"/>
      <c r="U7618" s="204"/>
    </row>
    <row r="7619" spans="2:21" x14ac:dyDescent="0.2">
      <c r="B7619" s="203"/>
      <c r="C7619" s="237"/>
      <c r="D7619" s="202"/>
      <c r="E7619" s="202"/>
      <c r="U7619" s="204"/>
    </row>
    <row r="7620" spans="2:21" x14ac:dyDescent="0.2">
      <c r="B7620" s="203"/>
      <c r="C7620" s="237"/>
      <c r="D7620" s="202"/>
      <c r="E7620" s="202"/>
      <c r="U7620" s="204"/>
    </row>
    <row r="7621" spans="2:21" x14ac:dyDescent="0.2">
      <c r="B7621" s="203"/>
      <c r="C7621" s="237"/>
      <c r="D7621" s="202"/>
      <c r="E7621" s="202"/>
      <c r="U7621" s="204"/>
    </row>
    <row r="7622" spans="2:21" x14ac:dyDescent="0.2">
      <c r="B7622" s="203"/>
      <c r="C7622" s="237"/>
      <c r="D7622" s="202"/>
      <c r="E7622" s="202"/>
      <c r="U7622" s="204"/>
    </row>
    <row r="7623" spans="2:21" x14ac:dyDescent="0.2">
      <c r="B7623" s="203"/>
      <c r="C7623" s="237"/>
      <c r="D7623" s="202"/>
      <c r="E7623" s="202"/>
      <c r="U7623" s="204"/>
    </row>
    <row r="7624" spans="2:21" x14ac:dyDescent="0.2">
      <c r="B7624" s="203"/>
      <c r="C7624" s="237"/>
      <c r="D7624" s="202"/>
      <c r="E7624" s="202"/>
      <c r="U7624" s="204"/>
    </row>
    <row r="7625" spans="2:21" x14ac:dyDescent="0.2">
      <c r="B7625" s="203"/>
      <c r="C7625" s="237"/>
      <c r="D7625" s="202"/>
      <c r="E7625" s="202"/>
      <c r="U7625" s="204"/>
    </row>
    <row r="7626" spans="2:21" x14ac:dyDescent="0.2">
      <c r="B7626" s="203"/>
      <c r="C7626" s="237"/>
      <c r="D7626" s="202"/>
      <c r="E7626" s="202"/>
      <c r="U7626" s="204"/>
    </row>
    <row r="7627" spans="2:21" x14ac:dyDescent="0.2">
      <c r="B7627" s="203"/>
      <c r="C7627" s="237"/>
      <c r="D7627" s="202"/>
      <c r="E7627" s="202"/>
      <c r="U7627" s="204"/>
    </row>
    <row r="7628" spans="2:21" x14ac:dyDescent="0.2">
      <c r="B7628" s="203"/>
      <c r="C7628" s="237"/>
      <c r="D7628" s="202"/>
      <c r="E7628" s="202"/>
      <c r="U7628" s="204"/>
    </row>
    <row r="7629" spans="2:21" x14ac:dyDescent="0.2">
      <c r="B7629" s="203"/>
      <c r="C7629" s="237"/>
      <c r="D7629" s="202"/>
      <c r="E7629" s="202"/>
      <c r="U7629" s="204"/>
    </row>
    <row r="7630" spans="2:21" x14ac:dyDescent="0.2">
      <c r="B7630" s="203"/>
      <c r="C7630" s="237"/>
      <c r="D7630" s="202"/>
      <c r="E7630" s="202"/>
      <c r="U7630" s="204"/>
    </row>
    <row r="7631" spans="2:21" x14ac:dyDescent="0.2">
      <c r="B7631" s="203"/>
      <c r="C7631" s="237"/>
      <c r="D7631" s="202"/>
      <c r="E7631" s="202"/>
      <c r="U7631" s="204"/>
    </row>
    <row r="7632" spans="2:21" x14ac:dyDescent="0.2">
      <c r="B7632" s="203"/>
      <c r="C7632" s="237"/>
      <c r="D7632" s="202"/>
      <c r="E7632" s="202"/>
      <c r="U7632" s="204"/>
    </row>
    <row r="7633" spans="2:21" x14ac:dyDescent="0.2">
      <c r="B7633" s="203"/>
      <c r="C7633" s="237"/>
      <c r="D7633" s="202"/>
      <c r="E7633" s="202"/>
      <c r="U7633" s="204"/>
    </row>
    <row r="7634" spans="2:21" x14ac:dyDescent="0.2">
      <c r="B7634" s="203"/>
      <c r="C7634" s="237"/>
      <c r="D7634" s="202"/>
      <c r="E7634" s="202"/>
      <c r="U7634" s="204"/>
    </row>
    <row r="7635" spans="2:21" x14ac:dyDescent="0.2">
      <c r="B7635" s="203"/>
      <c r="C7635" s="237"/>
      <c r="D7635" s="202"/>
      <c r="E7635" s="202"/>
      <c r="U7635" s="204"/>
    </row>
    <row r="7636" spans="2:21" x14ac:dyDescent="0.2">
      <c r="B7636" s="203"/>
      <c r="C7636" s="237"/>
      <c r="D7636" s="202"/>
      <c r="E7636" s="202"/>
      <c r="U7636" s="204"/>
    </row>
    <row r="7637" spans="2:21" x14ac:dyDescent="0.2">
      <c r="B7637" s="203"/>
      <c r="C7637" s="237"/>
      <c r="D7637" s="202"/>
      <c r="E7637" s="202"/>
      <c r="U7637" s="204"/>
    </row>
    <row r="7638" spans="2:21" x14ac:dyDescent="0.2">
      <c r="B7638" s="203"/>
      <c r="C7638" s="237"/>
      <c r="D7638" s="202"/>
      <c r="E7638" s="202"/>
      <c r="U7638" s="204"/>
    </row>
    <row r="7639" spans="2:21" x14ac:dyDescent="0.2">
      <c r="B7639" s="203"/>
      <c r="C7639" s="237"/>
      <c r="D7639" s="202"/>
      <c r="E7639" s="202"/>
      <c r="U7639" s="204"/>
    </row>
    <row r="7640" spans="2:21" x14ac:dyDescent="0.2">
      <c r="B7640" s="203"/>
      <c r="C7640" s="237"/>
      <c r="D7640" s="202"/>
      <c r="E7640" s="202"/>
      <c r="U7640" s="204"/>
    </row>
    <row r="7641" spans="2:21" x14ac:dyDescent="0.2">
      <c r="B7641" s="203"/>
      <c r="C7641" s="237"/>
      <c r="D7641" s="202"/>
      <c r="E7641" s="202"/>
      <c r="U7641" s="204"/>
    </row>
    <row r="7642" spans="2:21" x14ac:dyDescent="0.2">
      <c r="B7642" s="203"/>
      <c r="C7642" s="237"/>
      <c r="D7642" s="202"/>
      <c r="E7642" s="202"/>
      <c r="U7642" s="204"/>
    </row>
    <row r="7643" spans="2:21" x14ac:dyDescent="0.2">
      <c r="B7643" s="203"/>
      <c r="C7643" s="237"/>
      <c r="D7643" s="202"/>
      <c r="E7643" s="202"/>
      <c r="U7643" s="204"/>
    </row>
    <row r="7644" spans="2:21" x14ac:dyDescent="0.2">
      <c r="B7644" s="203"/>
      <c r="C7644" s="237"/>
      <c r="D7644" s="202"/>
      <c r="E7644" s="202"/>
      <c r="U7644" s="204"/>
    </row>
    <row r="7645" spans="2:21" x14ac:dyDescent="0.2">
      <c r="B7645" s="203"/>
      <c r="C7645" s="237"/>
      <c r="D7645" s="202"/>
      <c r="E7645" s="202"/>
      <c r="U7645" s="204"/>
    </row>
    <row r="7646" spans="2:21" x14ac:dyDescent="0.2">
      <c r="B7646" s="203"/>
      <c r="C7646" s="237"/>
      <c r="D7646" s="202"/>
      <c r="E7646" s="202"/>
      <c r="U7646" s="204"/>
    </row>
    <row r="7647" spans="2:21" x14ac:dyDescent="0.2">
      <c r="B7647" s="203"/>
      <c r="C7647" s="237"/>
      <c r="D7647" s="202"/>
      <c r="E7647" s="202"/>
      <c r="U7647" s="204"/>
    </row>
    <row r="7648" spans="2:21" x14ac:dyDescent="0.2">
      <c r="B7648" s="203"/>
      <c r="C7648" s="237"/>
      <c r="D7648" s="202"/>
      <c r="E7648" s="202"/>
      <c r="U7648" s="204"/>
    </row>
    <row r="7649" spans="2:21" x14ac:dyDescent="0.2">
      <c r="B7649" s="203"/>
      <c r="C7649" s="237"/>
      <c r="D7649" s="202"/>
      <c r="E7649" s="202"/>
      <c r="U7649" s="204"/>
    </row>
    <row r="7650" spans="2:21" x14ac:dyDescent="0.2">
      <c r="B7650" s="203"/>
      <c r="C7650" s="237"/>
      <c r="D7650" s="202"/>
      <c r="E7650" s="202"/>
      <c r="U7650" s="204"/>
    </row>
    <row r="7651" spans="2:21" x14ac:dyDescent="0.2">
      <c r="B7651" s="203"/>
      <c r="C7651" s="237"/>
      <c r="D7651" s="202"/>
      <c r="E7651" s="202"/>
      <c r="U7651" s="204"/>
    </row>
    <row r="7652" spans="2:21" x14ac:dyDescent="0.2">
      <c r="B7652" s="203"/>
      <c r="C7652" s="237"/>
      <c r="D7652" s="202"/>
      <c r="E7652" s="202"/>
      <c r="U7652" s="204"/>
    </row>
    <row r="7653" spans="2:21" x14ac:dyDescent="0.2">
      <c r="B7653" s="203"/>
      <c r="C7653" s="237"/>
      <c r="D7653" s="202"/>
      <c r="E7653" s="202"/>
      <c r="U7653" s="204"/>
    </row>
    <row r="7654" spans="2:21" x14ac:dyDescent="0.2">
      <c r="B7654" s="203"/>
      <c r="C7654" s="237"/>
      <c r="D7654" s="202"/>
      <c r="E7654" s="202"/>
      <c r="U7654" s="204"/>
    </row>
    <row r="7655" spans="2:21" x14ac:dyDescent="0.2">
      <c r="B7655" s="203"/>
      <c r="C7655" s="237"/>
      <c r="D7655" s="202"/>
      <c r="E7655" s="202"/>
      <c r="U7655" s="204"/>
    </row>
    <row r="7656" spans="2:21" x14ac:dyDescent="0.2">
      <c r="B7656" s="203"/>
      <c r="C7656" s="237"/>
      <c r="D7656" s="202"/>
      <c r="E7656" s="202"/>
      <c r="U7656" s="204"/>
    </row>
    <row r="7657" spans="2:21" x14ac:dyDescent="0.2">
      <c r="B7657" s="203"/>
      <c r="C7657" s="237"/>
      <c r="D7657" s="202"/>
      <c r="E7657" s="202"/>
      <c r="U7657" s="204"/>
    </row>
    <row r="7658" spans="2:21" x14ac:dyDescent="0.2">
      <c r="B7658" s="203"/>
      <c r="C7658" s="237"/>
      <c r="D7658" s="202"/>
      <c r="E7658" s="202"/>
      <c r="U7658" s="204"/>
    </row>
    <row r="7659" spans="2:21" x14ac:dyDescent="0.2">
      <c r="B7659" s="203"/>
      <c r="C7659" s="237"/>
      <c r="D7659" s="202"/>
      <c r="E7659" s="202"/>
      <c r="U7659" s="204"/>
    </row>
    <row r="7660" spans="2:21" x14ac:dyDescent="0.2">
      <c r="B7660" s="203"/>
      <c r="C7660" s="237"/>
      <c r="D7660" s="202"/>
      <c r="E7660" s="202"/>
      <c r="U7660" s="204"/>
    </row>
    <row r="7661" spans="2:21" x14ac:dyDescent="0.2">
      <c r="B7661" s="203"/>
      <c r="C7661" s="237"/>
      <c r="D7661" s="202"/>
      <c r="E7661" s="202"/>
      <c r="U7661" s="204"/>
    </row>
    <row r="7662" spans="2:21" x14ac:dyDescent="0.2">
      <c r="B7662" s="203"/>
      <c r="C7662" s="237"/>
      <c r="D7662" s="202"/>
      <c r="E7662" s="202"/>
      <c r="U7662" s="204"/>
    </row>
    <row r="7663" spans="2:21" x14ac:dyDescent="0.2">
      <c r="B7663" s="203"/>
      <c r="C7663" s="237"/>
      <c r="D7663" s="202"/>
      <c r="E7663" s="202"/>
      <c r="U7663" s="204"/>
    </row>
    <row r="7664" spans="2:21" x14ac:dyDescent="0.2">
      <c r="B7664" s="203"/>
      <c r="C7664" s="237"/>
      <c r="D7664" s="202"/>
      <c r="E7664" s="202"/>
      <c r="U7664" s="204"/>
    </row>
    <row r="7665" spans="2:21" x14ac:dyDescent="0.2">
      <c r="B7665" s="203"/>
      <c r="C7665" s="237"/>
      <c r="D7665" s="202"/>
      <c r="E7665" s="202"/>
      <c r="U7665" s="204"/>
    </row>
    <row r="7666" spans="2:21" x14ac:dyDescent="0.2">
      <c r="B7666" s="203"/>
      <c r="C7666" s="237"/>
      <c r="D7666" s="202"/>
      <c r="E7666" s="202"/>
      <c r="U7666" s="204"/>
    </row>
    <row r="7667" spans="2:21" x14ac:dyDescent="0.2">
      <c r="B7667" s="203"/>
      <c r="C7667" s="237"/>
      <c r="D7667" s="202"/>
      <c r="E7667" s="202"/>
      <c r="U7667" s="204"/>
    </row>
    <row r="7668" spans="2:21" x14ac:dyDescent="0.2">
      <c r="B7668" s="203"/>
      <c r="C7668" s="237"/>
      <c r="D7668" s="202"/>
      <c r="E7668" s="202"/>
      <c r="U7668" s="204"/>
    </row>
    <row r="7669" spans="2:21" x14ac:dyDescent="0.2">
      <c r="B7669" s="203"/>
      <c r="C7669" s="237"/>
      <c r="D7669" s="202"/>
      <c r="E7669" s="202"/>
      <c r="U7669" s="204"/>
    </row>
    <row r="7670" spans="2:21" x14ac:dyDescent="0.2">
      <c r="B7670" s="203"/>
      <c r="C7670" s="237"/>
      <c r="D7670" s="202"/>
      <c r="E7670" s="202"/>
      <c r="U7670" s="204"/>
    </row>
    <row r="7671" spans="2:21" x14ac:dyDescent="0.2">
      <c r="B7671" s="203"/>
      <c r="C7671" s="237"/>
      <c r="D7671" s="202"/>
      <c r="E7671" s="202"/>
      <c r="U7671" s="204"/>
    </row>
    <row r="7672" spans="2:21" x14ac:dyDescent="0.2">
      <c r="B7672" s="203"/>
      <c r="C7672" s="237"/>
      <c r="D7672" s="202"/>
      <c r="E7672" s="202"/>
      <c r="U7672" s="204"/>
    </row>
    <row r="7673" spans="2:21" x14ac:dyDescent="0.2">
      <c r="B7673" s="203"/>
      <c r="C7673" s="237"/>
      <c r="D7673" s="202"/>
      <c r="E7673" s="202"/>
      <c r="U7673" s="204"/>
    </row>
    <row r="7674" spans="2:21" x14ac:dyDescent="0.2">
      <c r="B7674" s="203"/>
      <c r="C7674" s="237"/>
      <c r="D7674" s="202"/>
      <c r="E7674" s="202"/>
      <c r="U7674" s="204"/>
    </row>
    <row r="7675" spans="2:21" x14ac:dyDescent="0.2">
      <c r="B7675" s="203"/>
      <c r="C7675" s="237"/>
      <c r="D7675" s="202"/>
      <c r="E7675" s="202"/>
      <c r="U7675" s="204"/>
    </row>
    <row r="7676" spans="2:21" x14ac:dyDescent="0.2">
      <c r="B7676" s="203"/>
      <c r="C7676" s="237"/>
      <c r="D7676" s="202"/>
      <c r="E7676" s="202"/>
      <c r="U7676" s="204"/>
    </row>
    <row r="7677" spans="2:21" x14ac:dyDescent="0.2">
      <c r="B7677" s="203"/>
      <c r="C7677" s="237"/>
      <c r="D7677" s="202"/>
      <c r="E7677" s="202"/>
      <c r="U7677" s="204"/>
    </row>
    <row r="7678" spans="2:21" x14ac:dyDescent="0.2">
      <c r="B7678" s="203"/>
      <c r="C7678" s="237"/>
      <c r="D7678" s="202"/>
      <c r="E7678" s="202"/>
      <c r="U7678" s="204"/>
    </row>
    <row r="7679" spans="2:21" x14ac:dyDescent="0.2">
      <c r="B7679" s="203"/>
      <c r="C7679" s="237"/>
      <c r="D7679" s="202"/>
      <c r="E7679" s="202"/>
      <c r="U7679" s="204"/>
    </row>
    <row r="7680" spans="2:21" x14ac:dyDescent="0.2">
      <c r="B7680" s="203"/>
      <c r="C7680" s="237"/>
      <c r="D7680" s="202"/>
      <c r="E7680" s="202"/>
      <c r="U7680" s="204"/>
    </row>
    <row r="7681" spans="2:21" x14ac:dyDescent="0.2">
      <c r="B7681" s="203"/>
      <c r="C7681" s="237"/>
      <c r="D7681" s="202"/>
      <c r="E7681" s="202"/>
      <c r="U7681" s="204"/>
    </row>
    <row r="7682" spans="2:21" x14ac:dyDescent="0.2">
      <c r="B7682" s="203"/>
      <c r="C7682" s="237"/>
      <c r="D7682" s="202"/>
      <c r="E7682" s="202"/>
      <c r="U7682" s="204"/>
    </row>
    <row r="7683" spans="2:21" x14ac:dyDescent="0.2">
      <c r="B7683" s="203"/>
      <c r="C7683" s="237"/>
      <c r="D7683" s="202"/>
      <c r="E7683" s="202"/>
      <c r="U7683" s="204"/>
    </row>
    <row r="7684" spans="2:21" x14ac:dyDescent="0.2">
      <c r="B7684" s="203"/>
      <c r="C7684" s="237"/>
      <c r="D7684" s="202"/>
      <c r="E7684" s="202"/>
      <c r="U7684" s="204"/>
    </row>
    <row r="7685" spans="2:21" x14ac:dyDescent="0.2">
      <c r="B7685" s="203"/>
      <c r="C7685" s="237"/>
      <c r="D7685" s="202"/>
      <c r="E7685" s="202"/>
      <c r="U7685" s="204"/>
    </row>
    <row r="7686" spans="2:21" x14ac:dyDescent="0.2">
      <c r="B7686" s="203"/>
      <c r="C7686" s="237"/>
      <c r="D7686" s="202"/>
      <c r="E7686" s="202"/>
      <c r="U7686" s="204"/>
    </row>
    <row r="7687" spans="2:21" x14ac:dyDescent="0.2">
      <c r="B7687" s="203"/>
      <c r="C7687" s="237"/>
      <c r="D7687" s="202"/>
      <c r="E7687" s="202"/>
      <c r="U7687" s="204"/>
    </row>
    <row r="7688" spans="2:21" x14ac:dyDescent="0.2">
      <c r="B7688" s="203"/>
      <c r="C7688" s="237"/>
      <c r="D7688" s="202"/>
      <c r="E7688" s="202"/>
      <c r="U7688" s="204"/>
    </row>
    <row r="7689" spans="2:21" x14ac:dyDescent="0.2">
      <c r="B7689" s="203"/>
      <c r="C7689" s="237"/>
      <c r="D7689" s="202"/>
      <c r="E7689" s="202"/>
      <c r="U7689" s="204"/>
    </row>
    <row r="7690" spans="2:21" x14ac:dyDescent="0.2">
      <c r="B7690" s="203"/>
      <c r="C7690" s="237"/>
      <c r="D7690" s="202"/>
      <c r="E7690" s="202"/>
      <c r="U7690" s="204"/>
    </row>
    <row r="7691" spans="2:21" x14ac:dyDescent="0.2">
      <c r="B7691" s="203"/>
      <c r="C7691" s="237"/>
      <c r="D7691" s="202"/>
      <c r="E7691" s="202"/>
      <c r="U7691" s="204"/>
    </row>
    <row r="7692" spans="2:21" x14ac:dyDescent="0.2">
      <c r="B7692" s="203"/>
      <c r="C7692" s="237"/>
      <c r="D7692" s="202"/>
      <c r="E7692" s="202"/>
      <c r="U7692" s="204"/>
    </row>
    <row r="7693" spans="2:21" x14ac:dyDescent="0.2">
      <c r="B7693" s="203"/>
      <c r="C7693" s="237"/>
      <c r="D7693" s="202"/>
      <c r="E7693" s="202"/>
      <c r="U7693" s="204"/>
    </row>
    <row r="7694" spans="2:21" x14ac:dyDescent="0.2">
      <c r="B7694" s="203"/>
      <c r="C7694" s="237"/>
      <c r="D7694" s="202"/>
      <c r="E7694" s="202"/>
      <c r="U7694" s="204"/>
    </row>
    <row r="7695" spans="2:21" x14ac:dyDescent="0.2">
      <c r="B7695" s="203"/>
      <c r="C7695" s="237"/>
      <c r="D7695" s="202"/>
      <c r="E7695" s="202"/>
      <c r="U7695" s="204"/>
    </row>
    <row r="7696" spans="2:21" x14ac:dyDescent="0.2">
      <c r="B7696" s="203"/>
      <c r="C7696" s="237"/>
      <c r="D7696" s="202"/>
      <c r="E7696" s="202"/>
      <c r="U7696" s="204"/>
    </row>
    <row r="7697" spans="2:21" x14ac:dyDescent="0.2">
      <c r="B7697" s="203"/>
      <c r="C7697" s="237"/>
      <c r="D7697" s="202"/>
      <c r="E7697" s="202"/>
      <c r="U7697" s="204"/>
    </row>
    <row r="7698" spans="2:21" x14ac:dyDescent="0.2">
      <c r="B7698" s="203"/>
      <c r="C7698" s="237"/>
      <c r="D7698" s="202"/>
      <c r="E7698" s="202"/>
      <c r="U7698" s="204"/>
    </row>
    <row r="7699" spans="2:21" x14ac:dyDescent="0.2">
      <c r="B7699" s="203"/>
      <c r="C7699" s="237"/>
      <c r="D7699" s="202"/>
      <c r="E7699" s="202"/>
      <c r="U7699" s="204"/>
    </row>
    <row r="7700" spans="2:21" x14ac:dyDescent="0.2">
      <c r="B7700" s="203"/>
      <c r="C7700" s="237"/>
      <c r="D7700" s="202"/>
      <c r="E7700" s="202"/>
      <c r="U7700" s="204"/>
    </row>
    <row r="7701" spans="2:21" x14ac:dyDescent="0.2">
      <c r="B7701" s="203"/>
      <c r="C7701" s="237"/>
      <c r="D7701" s="202"/>
      <c r="E7701" s="202"/>
      <c r="U7701" s="204"/>
    </row>
    <row r="7702" spans="2:21" x14ac:dyDescent="0.2">
      <c r="B7702" s="203"/>
      <c r="C7702" s="237"/>
      <c r="D7702" s="202"/>
      <c r="E7702" s="202"/>
      <c r="U7702" s="204"/>
    </row>
    <row r="7703" spans="2:21" x14ac:dyDescent="0.2">
      <c r="B7703" s="203"/>
      <c r="C7703" s="237"/>
      <c r="D7703" s="202"/>
      <c r="E7703" s="202"/>
      <c r="U7703" s="204"/>
    </row>
    <row r="7704" spans="2:21" x14ac:dyDescent="0.2">
      <c r="B7704" s="203"/>
      <c r="C7704" s="237"/>
      <c r="D7704" s="202"/>
      <c r="E7704" s="202"/>
      <c r="U7704" s="204"/>
    </row>
    <row r="7705" spans="2:21" x14ac:dyDescent="0.2">
      <c r="B7705" s="203"/>
      <c r="C7705" s="237"/>
      <c r="D7705" s="202"/>
      <c r="E7705" s="202"/>
      <c r="U7705" s="204"/>
    </row>
    <row r="7706" spans="2:21" x14ac:dyDescent="0.2">
      <c r="B7706" s="203"/>
      <c r="C7706" s="237"/>
      <c r="D7706" s="202"/>
      <c r="E7706" s="202"/>
      <c r="U7706" s="204"/>
    </row>
    <row r="7707" spans="2:21" x14ac:dyDescent="0.2">
      <c r="B7707" s="203"/>
      <c r="C7707" s="237"/>
      <c r="D7707" s="202"/>
      <c r="E7707" s="202"/>
      <c r="U7707" s="204"/>
    </row>
    <row r="7708" spans="2:21" x14ac:dyDescent="0.2">
      <c r="B7708" s="203"/>
      <c r="C7708" s="237"/>
      <c r="D7708" s="202"/>
      <c r="E7708" s="202"/>
      <c r="U7708" s="204"/>
    </row>
    <row r="7709" spans="2:21" x14ac:dyDescent="0.2">
      <c r="B7709" s="203"/>
      <c r="C7709" s="237"/>
      <c r="D7709" s="202"/>
      <c r="E7709" s="202"/>
      <c r="U7709" s="204"/>
    </row>
    <row r="7710" spans="2:21" x14ac:dyDescent="0.2">
      <c r="B7710" s="203"/>
      <c r="C7710" s="237"/>
      <c r="D7710" s="202"/>
      <c r="E7710" s="202"/>
      <c r="U7710" s="204"/>
    </row>
    <row r="7711" spans="2:21" x14ac:dyDescent="0.2">
      <c r="B7711" s="203"/>
      <c r="C7711" s="237"/>
      <c r="D7711" s="202"/>
      <c r="E7711" s="202"/>
      <c r="U7711" s="204"/>
    </row>
    <row r="7712" spans="2:21" x14ac:dyDescent="0.2">
      <c r="B7712" s="203"/>
      <c r="C7712" s="237"/>
      <c r="D7712" s="202"/>
      <c r="E7712" s="202"/>
      <c r="U7712" s="204"/>
    </row>
    <row r="7713" spans="2:21" x14ac:dyDescent="0.2">
      <c r="B7713" s="203"/>
      <c r="C7713" s="237"/>
      <c r="D7713" s="202"/>
      <c r="E7713" s="202"/>
      <c r="U7713" s="204"/>
    </row>
    <row r="7714" spans="2:21" x14ac:dyDescent="0.2">
      <c r="B7714" s="203"/>
      <c r="C7714" s="237"/>
      <c r="D7714" s="202"/>
      <c r="E7714" s="202"/>
      <c r="U7714" s="204"/>
    </row>
    <row r="7715" spans="2:21" x14ac:dyDescent="0.2">
      <c r="B7715" s="203"/>
      <c r="C7715" s="237"/>
      <c r="D7715" s="202"/>
      <c r="E7715" s="202"/>
      <c r="U7715" s="204"/>
    </row>
    <row r="7716" spans="2:21" x14ac:dyDescent="0.2">
      <c r="B7716" s="203"/>
      <c r="C7716" s="237"/>
      <c r="D7716" s="202"/>
      <c r="E7716" s="202"/>
      <c r="U7716" s="204"/>
    </row>
    <row r="7717" spans="2:21" x14ac:dyDescent="0.2">
      <c r="B7717" s="203"/>
      <c r="C7717" s="237"/>
      <c r="D7717" s="202"/>
      <c r="E7717" s="202"/>
      <c r="U7717" s="204"/>
    </row>
    <row r="7718" spans="2:21" x14ac:dyDescent="0.2">
      <c r="B7718" s="203"/>
      <c r="C7718" s="237"/>
      <c r="D7718" s="202"/>
      <c r="E7718" s="202"/>
      <c r="U7718" s="204"/>
    </row>
    <row r="7719" spans="2:21" x14ac:dyDescent="0.2">
      <c r="B7719" s="203"/>
      <c r="C7719" s="237"/>
      <c r="D7719" s="202"/>
      <c r="E7719" s="202"/>
      <c r="U7719" s="204"/>
    </row>
    <row r="7720" spans="2:21" x14ac:dyDescent="0.2">
      <c r="B7720" s="203"/>
      <c r="C7720" s="237"/>
      <c r="D7720" s="202"/>
      <c r="E7720" s="202"/>
      <c r="U7720" s="204"/>
    </row>
    <row r="7721" spans="2:21" x14ac:dyDescent="0.2">
      <c r="B7721" s="203"/>
      <c r="C7721" s="237"/>
      <c r="D7721" s="202"/>
      <c r="E7721" s="202"/>
      <c r="U7721" s="204"/>
    </row>
    <row r="7722" spans="2:21" x14ac:dyDescent="0.2">
      <c r="B7722" s="203"/>
      <c r="C7722" s="237"/>
      <c r="D7722" s="202"/>
      <c r="E7722" s="202"/>
      <c r="U7722" s="204"/>
    </row>
    <row r="7723" spans="2:21" x14ac:dyDescent="0.2">
      <c r="B7723" s="203"/>
      <c r="C7723" s="237"/>
      <c r="D7723" s="202"/>
      <c r="E7723" s="202"/>
      <c r="U7723" s="204"/>
    </row>
    <row r="7724" spans="2:21" x14ac:dyDescent="0.2">
      <c r="B7724" s="203"/>
      <c r="C7724" s="237"/>
      <c r="D7724" s="202"/>
      <c r="E7724" s="202"/>
      <c r="U7724" s="204"/>
    </row>
    <row r="7725" spans="2:21" x14ac:dyDescent="0.2">
      <c r="B7725" s="203"/>
      <c r="C7725" s="237"/>
      <c r="D7725" s="202"/>
      <c r="E7725" s="202"/>
      <c r="U7725" s="204"/>
    </row>
    <row r="7726" spans="2:21" x14ac:dyDescent="0.2">
      <c r="B7726" s="203"/>
      <c r="C7726" s="237"/>
      <c r="D7726" s="202"/>
      <c r="E7726" s="202"/>
      <c r="U7726" s="204"/>
    </row>
    <row r="7727" spans="2:21" x14ac:dyDescent="0.2">
      <c r="B7727" s="203"/>
      <c r="C7727" s="237"/>
      <c r="D7727" s="202"/>
      <c r="E7727" s="202"/>
      <c r="U7727" s="204"/>
    </row>
    <row r="7728" spans="2:21" x14ac:dyDescent="0.2">
      <c r="B7728" s="203"/>
      <c r="C7728" s="237"/>
      <c r="D7728" s="202"/>
      <c r="E7728" s="202"/>
      <c r="U7728" s="204"/>
    </row>
    <row r="7729" spans="2:21" x14ac:dyDescent="0.2">
      <c r="B7729" s="203"/>
      <c r="C7729" s="237"/>
      <c r="D7729" s="202"/>
      <c r="E7729" s="202"/>
      <c r="U7729" s="204"/>
    </row>
    <row r="7730" spans="2:21" x14ac:dyDescent="0.2">
      <c r="B7730" s="203"/>
      <c r="C7730" s="237"/>
      <c r="D7730" s="202"/>
      <c r="E7730" s="202"/>
      <c r="U7730" s="204"/>
    </row>
    <row r="7731" spans="2:21" x14ac:dyDescent="0.2">
      <c r="B7731" s="203"/>
      <c r="C7731" s="237"/>
      <c r="D7731" s="202"/>
      <c r="E7731" s="202"/>
      <c r="U7731" s="204"/>
    </row>
    <row r="7732" spans="2:21" x14ac:dyDescent="0.2">
      <c r="B7732" s="203"/>
      <c r="C7732" s="237"/>
      <c r="D7732" s="202"/>
      <c r="E7732" s="202"/>
      <c r="U7732" s="204"/>
    </row>
    <row r="7733" spans="2:21" x14ac:dyDescent="0.2">
      <c r="B7733" s="203"/>
      <c r="C7733" s="237"/>
      <c r="D7733" s="202"/>
      <c r="E7733" s="202"/>
      <c r="U7733" s="204"/>
    </row>
    <row r="7734" spans="2:21" x14ac:dyDescent="0.2">
      <c r="B7734" s="203"/>
      <c r="C7734" s="237"/>
      <c r="D7734" s="202"/>
      <c r="E7734" s="202"/>
      <c r="U7734" s="204"/>
    </row>
    <row r="7735" spans="2:21" x14ac:dyDescent="0.2">
      <c r="B7735" s="203"/>
      <c r="C7735" s="237"/>
      <c r="D7735" s="202"/>
      <c r="E7735" s="202"/>
      <c r="U7735" s="204"/>
    </row>
    <row r="7736" spans="2:21" x14ac:dyDescent="0.2">
      <c r="B7736" s="203"/>
      <c r="C7736" s="237"/>
      <c r="D7736" s="202"/>
      <c r="E7736" s="202"/>
      <c r="U7736" s="204"/>
    </row>
    <row r="7737" spans="2:21" x14ac:dyDescent="0.2">
      <c r="B7737" s="203"/>
      <c r="C7737" s="237"/>
      <c r="D7737" s="202"/>
      <c r="E7737" s="202"/>
      <c r="U7737" s="204"/>
    </row>
    <row r="7738" spans="2:21" x14ac:dyDescent="0.2">
      <c r="B7738" s="203"/>
      <c r="C7738" s="237"/>
      <c r="D7738" s="202"/>
      <c r="E7738" s="202"/>
      <c r="U7738" s="204"/>
    </row>
    <row r="7739" spans="2:21" x14ac:dyDescent="0.2">
      <c r="B7739" s="203"/>
      <c r="C7739" s="237"/>
      <c r="D7739" s="202"/>
      <c r="E7739" s="202"/>
      <c r="U7739" s="204"/>
    </row>
    <row r="7740" spans="2:21" x14ac:dyDescent="0.2">
      <c r="B7740" s="203"/>
      <c r="C7740" s="237"/>
      <c r="D7740" s="202"/>
      <c r="E7740" s="202"/>
      <c r="U7740" s="204"/>
    </row>
    <row r="7741" spans="2:21" x14ac:dyDescent="0.2">
      <c r="B7741" s="203"/>
      <c r="C7741" s="237"/>
      <c r="D7741" s="202"/>
      <c r="E7741" s="202"/>
      <c r="U7741" s="204"/>
    </row>
    <row r="7742" spans="2:21" x14ac:dyDescent="0.2">
      <c r="B7742" s="203"/>
      <c r="C7742" s="237"/>
      <c r="D7742" s="202"/>
      <c r="E7742" s="202"/>
      <c r="U7742" s="204"/>
    </row>
    <row r="7743" spans="2:21" x14ac:dyDescent="0.2">
      <c r="B7743" s="203"/>
      <c r="C7743" s="237"/>
      <c r="D7743" s="202"/>
      <c r="E7743" s="202"/>
      <c r="U7743" s="204"/>
    </row>
    <row r="7744" spans="2:21" x14ac:dyDescent="0.2">
      <c r="B7744" s="203"/>
      <c r="C7744" s="237"/>
      <c r="D7744" s="202"/>
      <c r="E7744" s="202"/>
      <c r="U7744" s="204"/>
    </row>
    <row r="7745" spans="2:21" x14ac:dyDescent="0.2">
      <c r="B7745" s="203"/>
      <c r="C7745" s="237"/>
      <c r="D7745" s="202"/>
      <c r="E7745" s="202"/>
      <c r="U7745" s="204"/>
    </row>
    <row r="7746" spans="2:21" x14ac:dyDescent="0.2">
      <c r="B7746" s="203"/>
      <c r="C7746" s="237"/>
      <c r="D7746" s="202"/>
      <c r="E7746" s="202"/>
      <c r="U7746" s="204"/>
    </row>
    <row r="7747" spans="2:21" x14ac:dyDescent="0.2">
      <c r="B7747" s="203"/>
      <c r="C7747" s="237"/>
      <c r="D7747" s="202"/>
      <c r="E7747" s="202"/>
      <c r="U7747" s="204"/>
    </row>
    <row r="7748" spans="2:21" x14ac:dyDescent="0.2">
      <c r="B7748" s="203"/>
      <c r="C7748" s="237"/>
      <c r="D7748" s="202"/>
      <c r="E7748" s="202"/>
      <c r="U7748" s="204"/>
    </row>
    <row r="7749" spans="2:21" x14ac:dyDescent="0.2">
      <c r="B7749" s="203"/>
      <c r="C7749" s="237"/>
      <c r="D7749" s="202"/>
      <c r="E7749" s="202"/>
      <c r="U7749" s="204"/>
    </row>
    <row r="7750" spans="2:21" x14ac:dyDescent="0.2">
      <c r="B7750" s="203"/>
      <c r="C7750" s="237"/>
      <c r="D7750" s="202"/>
      <c r="E7750" s="202"/>
      <c r="U7750" s="204"/>
    </row>
    <row r="7751" spans="2:21" x14ac:dyDescent="0.2">
      <c r="B7751" s="203"/>
      <c r="C7751" s="237"/>
      <c r="D7751" s="202"/>
      <c r="E7751" s="202"/>
      <c r="U7751" s="204"/>
    </row>
    <row r="7752" spans="2:21" x14ac:dyDescent="0.2">
      <c r="B7752" s="203"/>
      <c r="C7752" s="237"/>
      <c r="D7752" s="202"/>
      <c r="E7752" s="202"/>
      <c r="U7752" s="204"/>
    </row>
    <row r="7753" spans="2:21" x14ac:dyDescent="0.2">
      <c r="B7753" s="203"/>
      <c r="C7753" s="237"/>
      <c r="D7753" s="202"/>
      <c r="E7753" s="202"/>
      <c r="U7753" s="204"/>
    </row>
    <row r="7754" spans="2:21" x14ac:dyDescent="0.2">
      <c r="B7754" s="203"/>
      <c r="C7754" s="237"/>
      <c r="D7754" s="202"/>
      <c r="E7754" s="202"/>
      <c r="U7754" s="204"/>
    </row>
    <row r="7755" spans="2:21" x14ac:dyDescent="0.2">
      <c r="B7755" s="203"/>
      <c r="C7755" s="237"/>
      <c r="D7755" s="202"/>
      <c r="E7755" s="202"/>
      <c r="U7755" s="204"/>
    </row>
    <row r="7756" spans="2:21" x14ac:dyDescent="0.2">
      <c r="B7756" s="203"/>
      <c r="C7756" s="237"/>
      <c r="D7756" s="202"/>
      <c r="E7756" s="202"/>
      <c r="U7756" s="204"/>
    </row>
    <row r="7757" spans="2:21" x14ac:dyDescent="0.2">
      <c r="B7757" s="203"/>
      <c r="C7757" s="237"/>
      <c r="D7757" s="202"/>
      <c r="E7757" s="202"/>
      <c r="U7757" s="204"/>
    </row>
    <row r="7758" spans="2:21" x14ac:dyDescent="0.2">
      <c r="B7758" s="203"/>
      <c r="C7758" s="237"/>
      <c r="D7758" s="202"/>
      <c r="E7758" s="202"/>
      <c r="U7758" s="204"/>
    </row>
    <row r="7759" spans="2:21" x14ac:dyDescent="0.2">
      <c r="B7759" s="203"/>
      <c r="C7759" s="237"/>
      <c r="D7759" s="202"/>
      <c r="E7759" s="202"/>
      <c r="U7759" s="204"/>
    </row>
    <row r="7760" spans="2:21" x14ac:dyDescent="0.2">
      <c r="B7760" s="203"/>
      <c r="C7760" s="237"/>
      <c r="D7760" s="202"/>
      <c r="E7760" s="202"/>
      <c r="U7760" s="204"/>
    </row>
    <row r="7761" spans="2:21" x14ac:dyDescent="0.2">
      <c r="B7761" s="203"/>
      <c r="C7761" s="237"/>
      <c r="D7761" s="202"/>
      <c r="E7761" s="202"/>
      <c r="U7761" s="204"/>
    </row>
    <row r="7762" spans="2:21" x14ac:dyDescent="0.2">
      <c r="B7762" s="203"/>
      <c r="C7762" s="237"/>
      <c r="D7762" s="202"/>
      <c r="E7762" s="202"/>
      <c r="U7762" s="204"/>
    </row>
    <row r="7763" spans="2:21" x14ac:dyDescent="0.2">
      <c r="B7763" s="203"/>
      <c r="C7763" s="237"/>
      <c r="D7763" s="202"/>
      <c r="E7763" s="202"/>
      <c r="U7763" s="204"/>
    </row>
    <row r="7764" spans="2:21" x14ac:dyDescent="0.2">
      <c r="B7764" s="203"/>
      <c r="C7764" s="237"/>
      <c r="D7764" s="202"/>
      <c r="E7764" s="202"/>
      <c r="U7764" s="204"/>
    </row>
    <row r="7765" spans="2:21" x14ac:dyDescent="0.2">
      <c r="B7765" s="203"/>
      <c r="C7765" s="237"/>
      <c r="D7765" s="202"/>
      <c r="E7765" s="202"/>
      <c r="U7765" s="204"/>
    </row>
    <row r="7766" spans="2:21" x14ac:dyDescent="0.2">
      <c r="B7766" s="203"/>
      <c r="C7766" s="237"/>
      <c r="D7766" s="202"/>
      <c r="E7766" s="202"/>
      <c r="U7766" s="204"/>
    </row>
    <row r="7767" spans="2:21" x14ac:dyDescent="0.2">
      <c r="B7767" s="203"/>
      <c r="C7767" s="237"/>
      <c r="D7767" s="202"/>
      <c r="E7767" s="202"/>
      <c r="U7767" s="204"/>
    </row>
    <row r="7768" spans="2:21" x14ac:dyDescent="0.2">
      <c r="B7768" s="203"/>
      <c r="C7768" s="237"/>
      <c r="D7768" s="202"/>
      <c r="E7768" s="202"/>
      <c r="U7768" s="204"/>
    </row>
    <row r="7769" spans="2:21" x14ac:dyDescent="0.2">
      <c r="B7769" s="203"/>
      <c r="C7769" s="237"/>
      <c r="D7769" s="202"/>
      <c r="E7769" s="202"/>
      <c r="U7769" s="204"/>
    </row>
    <row r="7770" spans="2:21" x14ac:dyDescent="0.2">
      <c r="B7770" s="203"/>
      <c r="C7770" s="237"/>
      <c r="D7770" s="202"/>
      <c r="E7770" s="202"/>
      <c r="U7770" s="204"/>
    </row>
    <row r="7771" spans="2:21" x14ac:dyDescent="0.2">
      <c r="B7771" s="203"/>
      <c r="C7771" s="237"/>
      <c r="D7771" s="202"/>
      <c r="E7771" s="202"/>
      <c r="U7771" s="204"/>
    </row>
    <row r="7772" spans="2:21" x14ac:dyDescent="0.2">
      <c r="B7772" s="203"/>
      <c r="C7772" s="237"/>
      <c r="D7772" s="202"/>
      <c r="E7772" s="202"/>
      <c r="U7772" s="204"/>
    </row>
    <row r="7773" spans="2:21" x14ac:dyDescent="0.2">
      <c r="B7773" s="203"/>
      <c r="C7773" s="237"/>
      <c r="D7773" s="202"/>
      <c r="E7773" s="202"/>
      <c r="U7773" s="204"/>
    </row>
    <row r="7774" spans="2:21" x14ac:dyDescent="0.2">
      <c r="B7774" s="203"/>
      <c r="C7774" s="237"/>
      <c r="D7774" s="202"/>
      <c r="E7774" s="202"/>
      <c r="U7774" s="204"/>
    </row>
    <row r="7775" spans="2:21" x14ac:dyDescent="0.2">
      <c r="B7775" s="203"/>
      <c r="C7775" s="237"/>
      <c r="D7775" s="202"/>
      <c r="E7775" s="202"/>
      <c r="U7775" s="204"/>
    </row>
    <row r="7776" spans="2:21" x14ac:dyDescent="0.2">
      <c r="B7776" s="203"/>
      <c r="C7776" s="237"/>
      <c r="D7776" s="202"/>
      <c r="E7776" s="202"/>
      <c r="U7776" s="204"/>
    </row>
    <row r="7777" spans="2:21" x14ac:dyDescent="0.2">
      <c r="B7777" s="203"/>
      <c r="C7777" s="237"/>
      <c r="D7777" s="202"/>
      <c r="E7777" s="202"/>
      <c r="U7777" s="204"/>
    </row>
    <row r="7778" spans="2:21" x14ac:dyDescent="0.2">
      <c r="B7778" s="203"/>
      <c r="C7778" s="237"/>
      <c r="D7778" s="202"/>
      <c r="E7778" s="202"/>
      <c r="U7778" s="204"/>
    </row>
    <row r="7779" spans="2:21" x14ac:dyDescent="0.2">
      <c r="B7779" s="203"/>
      <c r="C7779" s="237"/>
      <c r="D7779" s="202"/>
      <c r="E7779" s="202"/>
      <c r="U7779" s="204"/>
    </row>
    <row r="7780" spans="2:21" x14ac:dyDescent="0.2">
      <c r="B7780" s="203"/>
      <c r="C7780" s="237"/>
      <c r="D7780" s="202"/>
      <c r="E7780" s="202"/>
      <c r="U7780" s="204"/>
    </row>
    <row r="7781" spans="2:21" x14ac:dyDescent="0.2">
      <c r="B7781" s="203"/>
      <c r="C7781" s="237"/>
      <c r="D7781" s="202"/>
      <c r="E7781" s="202"/>
      <c r="U7781" s="204"/>
    </row>
    <row r="7782" spans="2:21" x14ac:dyDescent="0.2">
      <c r="B7782" s="203"/>
      <c r="C7782" s="237"/>
      <c r="D7782" s="202"/>
      <c r="E7782" s="202"/>
      <c r="U7782" s="204"/>
    </row>
    <row r="7783" spans="2:21" x14ac:dyDescent="0.2">
      <c r="B7783" s="203"/>
      <c r="C7783" s="237"/>
      <c r="D7783" s="202"/>
      <c r="E7783" s="202"/>
      <c r="U7783" s="204"/>
    </row>
    <row r="7784" spans="2:21" x14ac:dyDescent="0.2">
      <c r="B7784" s="203"/>
      <c r="C7784" s="237"/>
      <c r="D7784" s="202"/>
      <c r="E7784" s="202"/>
      <c r="U7784" s="204"/>
    </row>
    <row r="7785" spans="2:21" x14ac:dyDescent="0.2">
      <c r="B7785" s="203"/>
      <c r="C7785" s="237"/>
      <c r="D7785" s="202"/>
      <c r="E7785" s="202"/>
      <c r="U7785" s="204"/>
    </row>
    <row r="7786" spans="2:21" x14ac:dyDescent="0.2">
      <c r="B7786" s="203"/>
      <c r="C7786" s="237"/>
      <c r="D7786" s="202"/>
      <c r="E7786" s="202"/>
      <c r="U7786" s="204"/>
    </row>
    <row r="7787" spans="2:21" x14ac:dyDescent="0.2">
      <c r="B7787" s="203"/>
      <c r="C7787" s="237"/>
      <c r="D7787" s="202"/>
      <c r="E7787" s="202"/>
      <c r="U7787" s="204"/>
    </row>
    <row r="7788" spans="2:21" x14ac:dyDescent="0.2">
      <c r="B7788" s="203"/>
      <c r="C7788" s="237"/>
      <c r="D7788" s="202"/>
      <c r="E7788" s="202"/>
      <c r="U7788" s="204"/>
    </row>
    <row r="7789" spans="2:21" x14ac:dyDescent="0.2">
      <c r="B7789" s="203"/>
      <c r="C7789" s="237"/>
      <c r="D7789" s="202"/>
      <c r="E7789" s="202"/>
      <c r="U7789" s="204"/>
    </row>
    <row r="7790" spans="2:21" x14ac:dyDescent="0.2">
      <c r="B7790" s="203"/>
      <c r="C7790" s="237"/>
      <c r="D7790" s="202"/>
      <c r="E7790" s="202"/>
      <c r="U7790" s="204"/>
    </row>
    <row r="7791" spans="2:21" x14ac:dyDescent="0.2">
      <c r="B7791" s="203"/>
      <c r="C7791" s="237"/>
      <c r="D7791" s="202"/>
      <c r="E7791" s="202"/>
      <c r="U7791" s="204"/>
    </row>
    <row r="7792" spans="2:21" x14ac:dyDescent="0.2">
      <c r="B7792" s="203"/>
      <c r="C7792" s="237"/>
      <c r="D7792" s="202"/>
      <c r="E7792" s="202"/>
      <c r="U7792" s="204"/>
    </row>
    <row r="7793" spans="2:21" x14ac:dyDescent="0.2">
      <c r="B7793" s="203"/>
      <c r="C7793" s="237"/>
      <c r="D7793" s="202"/>
      <c r="E7793" s="202"/>
      <c r="U7793" s="204"/>
    </row>
    <row r="7794" spans="2:21" x14ac:dyDescent="0.2">
      <c r="B7794" s="203"/>
      <c r="C7794" s="237"/>
      <c r="D7794" s="202"/>
      <c r="E7794" s="202"/>
      <c r="U7794" s="204"/>
    </row>
    <row r="7795" spans="2:21" x14ac:dyDescent="0.2">
      <c r="B7795" s="203"/>
      <c r="C7795" s="237"/>
      <c r="D7795" s="202"/>
      <c r="E7795" s="202"/>
      <c r="U7795" s="204"/>
    </row>
    <row r="7796" spans="2:21" x14ac:dyDescent="0.2">
      <c r="B7796" s="203"/>
      <c r="C7796" s="237"/>
      <c r="D7796" s="202"/>
      <c r="E7796" s="202"/>
      <c r="U7796" s="204"/>
    </row>
    <row r="7797" spans="2:21" x14ac:dyDescent="0.2">
      <c r="B7797" s="203"/>
      <c r="C7797" s="237"/>
      <c r="D7797" s="202"/>
      <c r="E7797" s="202"/>
      <c r="U7797" s="204"/>
    </row>
    <row r="7798" spans="2:21" x14ac:dyDescent="0.2">
      <c r="B7798" s="203"/>
      <c r="C7798" s="237"/>
      <c r="D7798" s="202"/>
      <c r="E7798" s="202"/>
      <c r="U7798" s="204"/>
    </row>
    <row r="7799" spans="2:21" x14ac:dyDescent="0.2">
      <c r="B7799" s="203"/>
      <c r="C7799" s="237"/>
      <c r="D7799" s="202"/>
      <c r="E7799" s="202"/>
      <c r="U7799" s="204"/>
    </row>
    <row r="7800" spans="2:21" x14ac:dyDescent="0.2">
      <c r="B7800" s="203"/>
      <c r="C7800" s="237"/>
      <c r="D7800" s="202"/>
      <c r="E7800" s="202"/>
      <c r="U7800" s="204"/>
    </row>
    <row r="7801" spans="2:21" x14ac:dyDescent="0.2">
      <c r="B7801" s="203"/>
      <c r="C7801" s="237"/>
      <c r="D7801" s="202"/>
      <c r="E7801" s="202"/>
      <c r="U7801" s="204"/>
    </row>
    <row r="7802" spans="2:21" x14ac:dyDescent="0.2">
      <c r="B7802" s="203"/>
      <c r="C7802" s="237"/>
      <c r="D7802" s="202"/>
      <c r="E7802" s="202"/>
      <c r="U7802" s="204"/>
    </row>
    <row r="7803" spans="2:21" x14ac:dyDescent="0.2">
      <c r="B7803" s="203"/>
      <c r="C7803" s="237"/>
      <c r="D7803" s="202"/>
      <c r="E7803" s="202"/>
      <c r="U7803" s="204"/>
    </row>
    <row r="7804" spans="2:21" x14ac:dyDescent="0.2">
      <c r="B7804" s="203"/>
      <c r="C7804" s="237"/>
      <c r="D7804" s="202"/>
      <c r="E7804" s="202"/>
      <c r="U7804" s="204"/>
    </row>
    <row r="7805" spans="2:21" x14ac:dyDescent="0.2">
      <c r="B7805" s="203"/>
      <c r="C7805" s="237"/>
      <c r="D7805" s="202"/>
      <c r="E7805" s="202"/>
      <c r="U7805" s="204"/>
    </row>
    <row r="7806" spans="2:21" x14ac:dyDescent="0.2">
      <c r="B7806" s="203"/>
      <c r="C7806" s="237"/>
      <c r="D7806" s="202"/>
      <c r="E7806" s="202"/>
      <c r="U7806" s="204"/>
    </row>
    <row r="7807" spans="2:21" x14ac:dyDescent="0.2">
      <c r="B7807" s="203"/>
      <c r="C7807" s="237"/>
      <c r="D7807" s="202"/>
      <c r="E7807" s="202"/>
      <c r="U7807" s="204"/>
    </row>
    <row r="7808" spans="2:21" x14ac:dyDescent="0.2">
      <c r="B7808" s="203"/>
      <c r="C7808" s="237"/>
      <c r="D7808" s="202"/>
      <c r="E7808" s="202"/>
      <c r="U7808" s="204"/>
    </row>
    <row r="7809" spans="2:21" x14ac:dyDescent="0.2">
      <c r="B7809" s="203"/>
      <c r="C7809" s="237"/>
      <c r="D7809" s="202"/>
      <c r="E7809" s="202"/>
      <c r="U7809" s="204"/>
    </row>
    <row r="7810" spans="2:21" x14ac:dyDescent="0.2">
      <c r="B7810" s="203"/>
      <c r="C7810" s="237"/>
      <c r="D7810" s="202"/>
      <c r="E7810" s="202"/>
      <c r="U7810" s="204"/>
    </row>
    <row r="7811" spans="2:21" x14ac:dyDescent="0.2">
      <c r="B7811" s="203"/>
      <c r="C7811" s="237"/>
      <c r="D7811" s="202"/>
      <c r="E7811" s="202"/>
      <c r="U7811" s="204"/>
    </row>
    <row r="7812" spans="2:21" x14ac:dyDescent="0.2">
      <c r="B7812" s="203"/>
      <c r="C7812" s="237"/>
      <c r="D7812" s="202"/>
      <c r="E7812" s="202"/>
      <c r="U7812" s="204"/>
    </row>
    <row r="7813" spans="2:21" x14ac:dyDescent="0.2">
      <c r="B7813" s="203"/>
      <c r="C7813" s="237"/>
      <c r="D7813" s="202"/>
      <c r="E7813" s="202"/>
      <c r="U7813" s="204"/>
    </row>
    <row r="7814" spans="2:21" x14ac:dyDescent="0.2">
      <c r="B7814" s="203"/>
      <c r="C7814" s="237"/>
      <c r="D7814" s="202"/>
      <c r="E7814" s="202"/>
      <c r="U7814" s="204"/>
    </row>
    <row r="7815" spans="2:21" x14ac:dyDescent="0.2">
      <c r="B7815" s="203"/>
      <c r="C7815" s="237"/>
      <c r="D7815" s="202"/>
      <c r="E7815" s="202"/>
      <c r="U7815" s="204"/>
    </row>
    <row r="7816" spans="2:21" x14ac:dyDescent="0.2">
      <c r="B7816" s="203"/>
      <c r="C7816" s="237"/>
      <c r="D7816" s="202"/>
      <c r="E7816" s="202"/>
      <c r="U7816" s="204"/>
    </row>
    <row r="7817" spans="2:21" x14ac:dyDescent="0.2">
      <c r="B7817" s="203"/>
      <c r="C7817" s="237"/>
      <c r="D7817" s="202"/>
      <c r="E7817" s="202"/>
      <c r="U7817" s="204"/>
    </row>
    <row r="7818" spans="2:21" x14ac:dyDescent="0.2">
      <c r="B7818" s="203"/>
      <c r="C7818" s="237"/>
      <c r="D7818" s="202"/>
      <c r="E7818" s="202"/>
      <c r="U7818" s="204"/>
    </row>
    <row r="7819" spans="2:21" x14ac:dyDescent="0.2">
      <c r="B7819" s="203"/>
      <c r="C7819" s="237"/>
      <c r="D7819" s="202"/>
      <c r="E7819" s="202"/>
      <c r="U7819" s="204"/>
    </row>
    <row r="7820" spans="2:21" x14ac:dyDescent="0.2">
      <c r="B7820" s="203"/>
      <c r="C7820" s="237"/>
      <c r="D7820" s="202"/>
      <c r="E7820" s="202"/>
      <c r="U7820" s="204"/>
    </row>
    <row r="7821" spans="2:21" x14ac:dyDescent="0.2">
      <c r="B7821" s="203"/>
      <c r="C7821" s="237"/>
      <c r="D7821" s="202"/>
      <c r="E7821" s="202"/>
      <c r="U7821" s="204"/>
    </row>
    <row r="7822" spans="2:21" x14ac:dyDescent="0.2">
      <c r="B7822" s="203"/>
      <c r="C7822" s="237"/>
      <c r="D7822" s="202"/>
      <c r="E7822" s="202"/>
      <c r="U7822" s="204"/>
    </row>
    <row r="7823" spans="2:21" x14ac:dyDescent="0.2">
      <c r="B7823" s="203"/>
      <c r="C7823" s="237"/>
      <c r="D7823" s="202"/>
      <c r="E7823" s="202"/>
      <c r="U7823" s="204"/>
    </row>
    <row r="7824" spans="2:21" x14ac:dyDescent="0.2">
      <c r="B7824" s="203"/>
      <c r="C7824" s="237"/>
      <c r="D7824" s="202"/>
      <c r="E7824" s="202"/>
      <c r="U7824" s="204"/>
    </row>
    <row r="7825" spans="2:21" x14ac:dyDescent="0.2">
      <c r="B7825" s="203"/>
      <c r="C7825" s="237"/>
      <c r="D7825" s="202"/>
      <c r="E7825" s="202"/>
      <c r="U7825" s="204"/>
    </row>
    <row r="7826" spans="2:21" x14ac:dyDescent="0.2">
      <c r="B7826" s="203"/>
      <c r="C7826" s="237"/>
      <c r="D7826" s="202"/>
      <c r="E7826" s="202"/>
      <c r="U7826" s="204"/>
    </row>
    <row r="7827" spans="2:21" x14ac:dyDescent="0.2">
      <c r="B7827" s="203"/>
      <c r="C7827" s="237"/>
      <c r="D7827" s="202"/>
      <c r="E7827" s="202"/>
      <c r="U7827" s="204"/>
    </row>
    <row r="7828" spans="2:21" x14ac:dyDescent="0.2">
      <c r="B7828" s="203"/>
      <c r="C7828" s="237"/>
      <c r="D7828" s="202"/>
      <c r="E7828" s="202"/>
      <c r="U7828" s="204"/>
    </row>
    <row r="7829" spans="2:21" x14ac:dyDescent="0.2">
      <c r="B7829" s="203"/>
      <c r="C7829" s="237"/>
      <c r="D7829" s="202"/>
      <c r="E7829" s="202"/>
      <c r="U7829" s="204"/>
    </row>
    <row r="7830" spans="2:21" x14ac:dyDescent="0.2">
      <c r="B7830" s="203"/>
      <c r="C7830" s="237"/>
      <c r="D7830" s="202"/>
      <c r="E7830" s="202"/>
      <c r="U7830" s="204"/>
    </row>
    <row r="7831" spans="2:21" x14ac:dyDescent="0.2">
      <c r="B7831" s="203"/>
      <c r="C7831" s="237"/>
      <c r="D7831" s="202"/>
      <c r="E7831" s="202"/>
      <c r="U7831" s="204"/>
    </row>
    <row r="7832" spans="2:21" x14ac:dyDescent="0.2">
      <c r="B7832" s="203"/>
      <c r="C7832" s="237"/>
      <c r="D7832" s="202"/>
      <c r="E7832" s="202"/>
      <c r="U7832" s="204"/>
    </row>
    <row r="7833" spans="2:21" x14ac:dyDescent="0.2">
      <c r="B7833" s="203"/>
      <c r="C7833" s="237"/>
      <c r="D7833" s="202"/>
      <c r="E7833" s="202"/>
      <c r="U7833" s="204"/>
    </row>
    <row r="7834" spans="2:21" x14ac:dyDescent="0.2">
      <c r="B7834" s="203"/>
      <c r="C7834" s="237"/>
      <c r="D7834" s="202"/>
      <c r="E7834" s="202"/>
      <c r="U7834" s="204"/>
    </row>
    <row r="7835" spans="2:21" x14ac:dyDescent="0.2">
      <c r="B7835" s="203"/>
      <c r="C7835" s="237"/>
      <c r="D7835" s="202"/>
      <c r="E7835" s="202"/>
      <c r="U7835" s="204"/>
    </row>
    <row r="7836" spans="2:21" x14ac:dyDescent="0.2">
      <c r="B7836" s="203"/>
      <c r="C7836" s="237"/>
      <c r="D7836" s="202"/>
      <c r="E7836" s="202"/>
      <c r="U7836" s="204"/>
    </row>
    <row r="7837" spans="2:21" x14ac:dyDescent="0.2">
      <c r="B7837" s="203"/>
      <c r="C7837" s="237"/>
      <c r="D7837" s="202"/>
      <c r="E7837" s="202"/>
      <c r="U7837" s="204"/>
    </row>
    <row r="7838" spans="2:21" x14ac:dyDescent="0.2">
      <c r="B7838" s="203"/>
      <c r="C7838" s="237"/>
      <c r="D7838" s="202"/>
      <c r="E7838" s="202"/>
      <c r="U7838" s="204"/>
    </row>
    <row r="7839" spans="2:21" x14ac:dyDescent="0.2">
      <c r="B7839" s="203"/>
      <c r="C7839" s="237"/>
      <c r="D7839" s="202"/>
      <c r="E7839" s="202"/>
      <c r="U7839" s="204"/>
    </row>
    <row r="7840" spans="2:21" x14ac:dyDescent="0.2">
      <c r="B7840" s="203"/>
      <c r="C7840" s="237"/>
      <c r="D7840" s="202"/>
      <c r="E7840" s="202"/>
      <c r="U7840" s="204"/>
    </row>
    <row r="7841" spans="2:21" x14ac:dyDescent="0.2">
      <c r="B7841" s="203"/>
      <c r="C7841" s="237"/>
      <c r="D7841" s="202"/>
      <c r="E7841" s="202"/>
      <c r="U7841" s="204"/>
    </row>
    <row r="7842" spans="2:21" x14ac:dyDescent="0.2">
      <c r="B7842" s="203"/>
      <c r="C7842" s="237"/>
      <c r="D7842" s="202"/>
      <c r="E7842" s="202"/>
      <c r="U7842" s="204"/>
    </row>
    <row r="7843" spans="2:21" x14ac:dyDescent="0.2">
      <c r="B7843" s="203"/>
      <c r="C7843" s="237"/>
      <c r="D7843" s="202"/>
      <c r="E7843" s="202"/>
      <c r="U7843" s="204"/>
    </row>
    <row r="7844" spans="2:21" x14ac:dyDescent="0.2">
      <c r="B7844" s="203"/>
      <c r="C7844" s="237"/>
      <c r="D7844" s="202"/>
      <c r="E7844" s="202"/>
      <c r="U7844" s="204"/>
    </row>
    <row r="7845" spans="2:21" x14ac:dyDescent="0.2">
      <c r="B7845" s="203"/>
      <c r="C7845" s="237"/>
      <c r="D7845" s="202"/>
      <c r="E7845" s="202"/>
      <c r="U7845" s="204"/>
    </row>
    <row r="7846" spans="2:21" x14ac:dyDescent="0.2">
      <c r="B7846" s="203"/>
      <c r="C7846" s="237"/>
      <c r="D7846" s="202"/>
      <c r="E7846" s="202"/>
      <c r="U7846" s="204"/>
    </row>
    <row r="7847" spans="2:21" x14ac:dyDescent="0.2">
      <c r="B7847" s="203"/>
      <c r="C7847" s="237"/>
      <c r="D7847" s="202"/>
      <c r="E7847" s="202"/>
      <c r="U7847" s="204"/>
    </row>
    <row r="7848" spans="2:21" x14ac:dyDescent="0.2">
      <c r="B7848" s="203"/>
      <c r="C7848" s="237"/>
      <c r="D7848" s="202"/>
      <c r="E7848" s="202"/>
      <c r="U7848" s="204"/>
    </row>
    <row r="7849" spans="2:21" x14ac:dyDescent="0.2">
      <c r="B7849" s="203"/>
      <c r="C7849" s="237"/>
      <c r="D7849" s="202"/>
      <c r="E7849" s="202"/>
      <c r="U7849" s="204"/>
    </row>
    <row r="7850" spans="2:21" x14ac:dyDescent="0.2">
      <c r="B7850" s="203"/>
      <c r="C7850" s="237"/>
      <c r="D7850" s="202"/>
      <c r="E7850" s="202"/>
      <c r="U7850" s="204"/>
    </row>
    <row r="7851" spans="2:21" x14ac:dyDescent="0.2">
      <c r="B7851" s="203"/>
      <c r="C7851" s="237"/>
      <c r="D7851" s="202"/>
      <c r="E7851" s="202"/>
      <c r="U7851" s="204"/>
    </row>
    <row r="7852" spans="2:21" x14ac:dyDescent="0.2">
      <c r="B7852" s="203"/>
      <c r="C7852" s="237"/>
      <c r="D7852" s="202"/>
      <c r="E7852" s="202"/>
      <c r="U7852" s="204"/>
    </row>
    <row r="7853" spans="2:21" x14ac:dyDescent="0.2">
      <c r="B7853" s="203"/>
      <c r="C7853" s="237"/>
      <c r="D7853" s="202"/>
      <c r="E7853" s="202"/>
      <c r="U7853" s="204"/>
    </row>
    <row r="7854" spans="2:21" x14ac:dyDescent="0.2">
      <c r="B7854" s="203"/>
      <c r="C7854" s="237"/>
      <c r="D7854" s="202"/>
      <c r="E7854" s="202"/>
      <c r="U7854" s="204"/>
    </row>
    <row r="7855" spans="2:21" x14ac:dyDescent="0.2">
      <c r="B7855" s="203"/>
      <c r="C7855" s="237"/>
      <c r="D7855" s="202"/>
      <c r="E7855" s="202"/>
      <c r="U7855" s="204"/>
    </row>
    <row r="7856" spans="2:21" x14ac:dyDescent="0.2">
      <c r="B7856" s="203"/>
      <c r="C7856" s="237"/>
      <c r="D7856" s="202"/>
      <c r="E7856" s="202"/>
      <c r="U7856" s="204"/>
    </row>
    <row r="7857" spans="2:21" x14ac:dyDescent="0.2">
      <c r="B7857" s="203"/>
      <c r="C7857" s="237"/>
      <c r="D7857" s="202"/>
      <c r="E7857" s="202"/>
      <c r="U7857" s="204"/>
    </row>
    <row r="7858" spans="2:21" x14ac:dyDescent="0.2">
      <c r="B7858" s="203"/>
      <c r="C7858" s="237"/>
      <c r="D7858" s="202"/>
      <c r="E7858" s="202"/>
      <c r="U7858" s="204"/>
    </row>
    <row r="7859" spans="2:21" x14ac:dyDescent="0.2">
      <c r="B7859" s="203"/>
      <c r="C7859" s="237"/>
      <c r="D7859" s="202"/>
      <c r="E7859" s="202"/>
      <c r="U7859" s="204"/>
    </row>
    <row r="7860" spans="2:21" x14ac:dyDescent="0.2">
      <c r="B7860" s="203"/>
      <c r="C7860" s="237"/>
      <c r="D7860" s="202"/>
      <c r="E7860" s="202"/>
      <c r="U7860" s="204"/>
    </row>
    <row r="7861" spans="2:21" x14ac:dyDescent="0.2">
      <c r="B7861" s="203"/>
      <c r="C7861" s="237"/>
      <c r="D7861" s="202"/>
      <c r="E7861" s="202"/>
      <c r="U7861" s="204"/>
    </row>
    <row r="7862" spans="2:21" x14ac:dyDescent="0.2">
      <c r="B7862" s="203"/>
      <c r="C7862" s="237"/>
      <c r="D7862" s="202"/>
      <c r="E7862" s="202"/>
      <c r="U7862" s="204"/>
    </row>
    <row r="7863" spans="2:21" x14ac:dyDescent="0.2">
      <c r="B7863" s="203"/>
      <c r="C7863" s="237"/>
      <c r="D7863" s="202"/>
      <c r="E7863" s="202"/>
      <c r="U7863" s="204"/>
    </row>
    <row r="7864" spans="2:21" x14ac:dyDescent="0.2">
      <c r="B7864" s="203"/>
      <c r="C7864" s="237"/>
      <c r="D7864" s="202"/>
      <c r="E7864" s="202"/>
      <c r="U7864" s="204"/>
    </row>
    <row r="7865" spans="2:21" x14ac:dyDescent="0.2">
      <c r="B7865" s="203"/>
      <c r="C7865" s="237"/>
      <c r="D7865" s="202"/>
      <c r="E7865" s="202"/>
      <c r="U7865" s="204"/>
    </row>
    <row r="7866" spans="2:21" x14ac:dyDescent="0.2">
      <c r="B7866" s="203"/>
      <c r="C7866" s="237"/>
      <c r="D7866" s="202"/>
      <c r="E7866" s="202"/>
      <c r="U7866" s="204"/>
    </row>
    <row r="7867" spans="2:21" x14ac:dyDescent="0.2">
      <c r="B7867" s="203"/>
      <c r="C7867" s="237"/>
      <c r="D7867" s="202"/>
      <c r="E7867" s="202"/>
      <c r="U7867" s="204"/>
    </row>
    <row r="7868" spans="2:21" x14ac:dyDescent="0.2">
      <c r="B7868" s="203"/>
      <c r="C7868" s="237"/>
      <c r="D7868" s="202"/>
      <c r="E7868" s="202"/>
      <c r="U7868" s="204"/>
    </row>
    <row r="7869" spans="2:21" x14ac:dyDescent="0.2">
      <c r="B7869" s="203"/>
      <c r="C7869" s="237"/>
      <c r="D7869" s="202"/>
      <c r="E7869" s="202"/>
      <c r="U7869" s="204"/>
    </row>
    <row r="7870" spans="2:21" x14ac:dyDescent="0.2">
      <c r="B7870" s="203"/>
      <c r="C7870" s="237"/>
      <c r="D7870" s="202"/>
      <c r="E7870" s="202"/>
      <c r="U7870" s="204"/>
    </row>
    <row r="7871" spans="2:21" x14ac:dyDescent="0.2">
      <c r="B7871" s="203"/>
      <c r="C7871" s="237"/>
      <c r="D7871" s="202"/>
      <c r="E7871" s="202"/>
      <c r="U7871" s="204"/>
    </row>
    <row r="7872" spans="2:21" x14ac:dyDescent="0.2">
      <c r="B7872" s="203"/>
      <c r="C7872" s="237"/>
      <c r="D7872" s="202"/>
      <c r="E7872" s="202"/>
      <c r="U7872" s="204"/>
    </row>
    <row r="7873" spans="2:21" x14ac:dyDescent="0.2">
      <c r="B7873" s="203"/>
      <c r="C7873" s="237"/>
      <c r="D7873" s="202"/>
      <c r="E7873" s="202"/>
      <c r="U7873" s="204"/>
    </row>
    <row r="7874" spans="2:21" x14ac:dyDescent="0.2">
      <c r="B7874" s="203"/>
      <c r="C7874" s="237"/>
      <c r="D7874" s="202"/>
      <c r="E7874" s="202"/>
      <c r="U7874" s="204"/>
    </row>
    <row r="7875" spans="2:21" x14ac:dyDescent="0.2">
      <c r="B7875" s="203"/>
      <c r="C7875" s="237"/>
      <c r="D7875" s="202"/>
      <c r="E7875" s="202"/>
      <c r="U7875" s="204"/>
    </row>
    <row r="7876" spans="2:21" x14ac:dyDescent="0.2">
      <c r="B7876" s="203"/>
      <c r="C7876" s="237"/>
      <c r="D7876" s="202"/>
      <c r="E7876" s="202"/>
      <c r="U7876" s="204"/>
    </row>
    <row r="7877" spans="2:21" x14ac:dyDescent="0.2">
      <c r="B7877" s="203"/>
      <c r="C7877" s="237"/>
      <c r="D7877" s="202"/>
      <c r="E7877" s="202"/>
      <c r="U7877" s="204"/>
    </row>
    <row r="7878" spans="2:21" x14ac:dyDescent="0.2">
      <c r="B7878" s="203"/>
      <c r="C7878" s="237"/>
      <c r="D7878" s="202"/>
      <c r="E7878" s="202"/>
      <c r="U7878" s="204"/>
    </row>
    <row r="7879" spans="2:21" x14ac:dyDescent="0.2">
      <c r="B7879" s="203"/>
      <c r="C7879" s="237"/>
      <c r="D7879" s="202"/>
      <c r="E7879" s="202"/>
      <c r="U7879" s="204"/>
    </row>
    <row r="7880" spans="2:21" x14ac:dyDescent="0.2">
      <c r="B7880" s="203"/>
      <c r="C7880" s="237"/>
      <c r="D7880" s="202"/>
      <c r="E7880" s="202"/>
      <c r="U7880" s="204"/>
    </row>
    <row r="7881" spans="2:21" x14ac:dyDescent="0.2">
      <c r="B7881" s="203"/>
      <c r="C7881" s="237"/>
      <c r="D7881" s="202"/>
      <c r="E7881" s="202"/>
      <c r="U7881" s="204"/>
    </row>
    <row r="7882" spans="2:21" x14ac:dyDescent="0.2">
      <c r="B7882" s="203"/>
      <c r="C7882" s="237"/>
      <c r="D7882" s="202"/>
      <c r="E7882" s="202"/>
      <c r="U7882" s="204"/>
    </row>
    <row r="7883" spans="2:21" x14ac:dyDescent="0.2">
      <c r="B7883" s="203"/>
      <c r="C7883" s="237"/>
      <c r="D7883" s="202"/>
      <c r="E7883" s="202"/>
      <c r="U7883" s="204"/>
    </row>
    <row r="7884" spans="2:21" x14ac:dyDescent="0.2">
      <c r="B7884" s="203"/>
      <c r="C7884" s="237"/>
      <c r="D7884" s="202"/>
      <c r="E7884" s="202"/>
      <c r="U7884" s="204"/>
    </row>
    <row r="7885" spans="2:21" x14ac:dyDescent="0.2">
      <c r="B7885" s="203"/>
      <c r="C7885" s="237"/>
      <c r="D7885" s="202"/>
      <c r="E7885" s="202"/>
      <c r="U7885" s="204"/>
    </row>
    <row r="7886" spans="2:21" x14ac:dyDescent="0.2">
      <c r="B7886" s="203"/>
      <c r="C7886" s="237"/>
      <c r="D7886" s="202"/>
      <c r="E7886" s="202"/>
      <c r="U7886" s="204"/>
    </row>
    <row r="7887" spans="2:21" x14ac:dyDescent="0.2">
      <c r="B7887" s="203"/>
      <c r="C7887" s="237"/>
      <c r="D7887" s="202"/>
      <c r="E7887" s="202"/>
      <c r="U7887" s="204"/>
    </row>
    <row r="7888" spans="2:21" x14ac:dyDescent="0.2">
      <c r="B7888" s="203"/>
      <c r="C7888" s="237"/>
      <c r="D7888" s="202"/>
      <c r="E7888" s="202"/>
      <c r="U7888" s="204"/>
    </row>
    <row r="7889" spans="2:21" x14ac:dyDescent="0.2">
      <c r="B7889" s="203"/>
      <c r="C7889" s="237"/>
      <c r="D7889" s="202"/>
      <c r="E7889" s="202"/>
      <c r="U7889" s="204"/>
    </row>
    <row r="7890" spans="2:21" x14ac:dyDescent="0.2">
      <c r="B7890" s="203"/>
      <c r="C7890" s="237"/>
      <c r="D7890" s="202"/>
      <c r="E7890" s="202"/>
      <c r="U7890" s="204"/>
    </row>
    <row r="7891" spans="2:21" x14ac:dyDescent="0.2">
      <c r="B7891" s="203"/>
      <c r="C7891" s="237"/>
      <c r="D7891" s="202"/>
      <c r="E7891" s="202"/>
      <c r="U7891" s="204"/>
    </row>
    <row r="7892" spans="2:21" x14ac:dyDescent="0.2">
      <c r="B7892" s="203"/>
      <c r="C7892" s="237"/>
      <c r="D7892" s="202"/>
      <c r="E7892" s="202"/>
      <c r="U7892" s="204"/>
    </row>
    <row r="7893" spans="2:21" x14ac:dyDescent="0.2">
      <c r="B7893" s="203"/>
      <c r="C7893" s="237"/>
      <c r="D7893" s="202"/>
      <c r="E7893" s="202"/>
      <c r="U7893" s="204"/>
    </row>
    <row r="7894" spans="2:21" x14ac:dyDescent="0.2">
      <c r="B7894" s="203"/>
      <c r="C7894" s="237"/>
      <c r="D7894" s="202"/>
      <c r="E7894" s="202"/>
      <c r="U7894" s="204"/>
    </row>
    <row r="7895" spans="2:21" x14ac:dyDescent="0.2">
      <c r="B7895" s="203"/>
      <c r="C7895" s="237"/>
      <c r="D7895" s="202"/>
      <c r="E7895" s="202"/>
      <c r="U7895" s="204"/>
    </row>
    <row r="7896" spans="2:21" x14ac:dyDescent="0.2">
      <c r="B7896" s="203"/>
      <c r="C7896" s="237"/>
      <c r="D7896" s="202"/>
      <c r="E7896" s="202"/>
      <c r="U7896" s="204"/>
    </row>
    <row r="7897" spans="2:21" x14ac:dyDescent="0.2">
      <c r="B7897" s="203"/>
      <c r="C7897" s="237"/>
      <c r="D7897" s="202"/>
      <c r="E7897" s="202"/>
      <c r="U7897" s="204"/>
    </row>
    <row r="7898" spans="2:21" x14ac:dyDescent="0.2">
      <c r="B7898" s="203"/>
      <c r="C7898" s="237"/>
      <c r="D7898" s="202"/>
      <c r="E7898" s="202"/>
      <c r="U7898" s="204"/>
    </row>
    <row r="7899" spans="2:21" x14ac:dyDescent="0.2">
      <c r="B7899" s="203"/>
      <c r="C7899" s="237"/>
      <c r="D7899" s="202"/>
      <c r="E7899" s="202"/>
      <c r="U7899" s="204"/>
    </row>
    <row r="7900" spans="2:21" x14ac:dyDescent="0.2">
      <c r="B7900" s="203"/>
      <c r="C7900" s="237"/>
      <c r="D7900" s="202"/>
      <c r="E7900" s="202"/>
      <c r="U7900" s="204"/>
    </row>
    <row r="7901" spans="2:21" x14ac:dyDescent="0.2">
      <c r="B7901" s="203"/>
      <c r="C7901" s="237"/>
      <c r="D7901" s="202"/>
      <c r="E7901" s="202"/>
      <c r="U7901" s="204"/>
    </row>
    <row r="7902" spans="2:21" x14ac:dyDescent="0.2">
      <c r="B7902" s="203"/>
      <c r="C7902" s="237"/>
      <c r="D7902" s="202"/>
      <c r="E7902" s="202"/>
      <c r="U7902" s="204"/>
    </row>
    <row r="7903" spans="2:21" x14ac:dyDescent="0.2">
      <c r="B7903" s="203"/>
      <c r="C7903" s="237"/>
      <c r="D7903" s="202"/>
      <c r="E7903" s="202"/>
      <c r="U7903" s="204"/>
    </row>
    <row r="7904" spans="2:21" x14ac:dyDescent="0.2">
      <c r="B7904" s="203"/>
      <c r="C7904" s="237"/>
      <c r="D7904" s="202"/>
      <c r="E7904" s="202"/>
      <c r="U7904" s="204"/>
    </row>
    <row r="7905" spans="2:21" x14ac:dyDescent="0.2">
      <c r="B7905" s="203"/>
      <c r="C7905" s="237"/>
      <c r="D7905" s="202"/>
      <c r="E7905" s="202"/>
      <c r="U7905" s="204"/>
    </row>
    <row r="7906" spans="2:21" x14ac:dyDescent="0.2">
      <c r="B7906" s="203"/>
      <c r="C7906" s="237"/>
      <c r="D7906" s="202"/>
      <c r="E7906" s="202"/>
      <c r="U7906" s="204"/>
    </row>
    <row r="7907" spans="2:21" x14ac:dyDescent="0.2">
      <c r="B7907" s="203"/>
      <c r="C7907" s="237"/>
      <c r="D7907" s="202"/>
      <c r="E7907" s="202"/>
      <c r="U7907" s="204"/>
    </row>
    <row r="7908" spans="2:21" x14ac:dyDescent="0.2">
      <c r="B7908" s="203"/>
      <c r="C7908" s="237"/>
      <c r="D7908" s="202"/>
      <c r="E7908" s="202"/>
      <c r="U7908" s="204"/>
    </row>
    <row r="7909" spans="2:21" x14ac:dyDescent="0.2">
      <c r="B7909" s="203"/>
      <c r="C7909" s="237"/>
      <c r="D7909" s="202"/>
      <c r="E7909" s="202"/>
      <c r="U7909" s="204"/>
    </row>
    <row r="7910" spans="2:21" x14ac:dyDescent="0.2">
      <c r="B7910" s="203"/>
      <c r="C7910" s="237"/>
      <c r="D7910" s="202"/>
      <c r="E7910" s="202"/>
      <c r="U7910" s="204"/>
    </row>
    <row r="7911" spans="2:21" x14ac:dyDescent="0.2">
      <c r="B7911" s="203"/>
      <c r="C7911" s="237"/>
      <c r="D7911" s="202"/>
      <c r="E7911" s="202"/>
      <c r="U7911" s="204"/>
    </row>
    <row r="7912" spans="2:21" x14ac:dyDescent="0.2">
      <c r="B7912" s="203"/>
      <c r="C7912" s="237"/>
      <c r="D7912" s="202"/>
      <c r="E7912" s="202"/>
      <c r="U7912" s="204"/>
    </row>
    <row r="7913" spans="2:21" x14ac:dyDescent="0.2">
      <c r="B7913" s="203"/>
      <c r="C7913" s="237"/>
      <c r="D7913" s="202"/>
      <c r="E7913" s="202"/>
      <c r="U7913" s="204"/>
    </row>
    <row r="7914" spans="2:21" x14ac:dyDescent="0.2">
      <c r="B7914" s="203"/>
      <c r="C7914" s="237"/>
      <c r="D7914" s="202"/>
      <c r="E7914" s="202"/>
      <c r="U7914" s="204"/>
    </row>
    <row r="7915" spans="2:21" x14ac:dyDescent="0.2">
      <c r="B7915" s="203"/>
      <c r="C7915" s="237"/>
      <c r="D7915" s="202"/>
      <c r="E7915" s="202"/>
      <c r="U7915" s="204"/>
    </row>
    <row r="7916" spans="2:21" x14ac:dyDescent="0.2">
      <c r="B7916" s="203"/>
      <c r="C7916" s="237"/>
      <c r="D7916" s="202"/>
      <c r="E7916" s="202"/>
      <c r="U7916" s="204"/>
    </row>
    <row r="7917" spans="2:21" x14ac:dyDescent="0.2">
      <c r="B7917" s="203"/>
      <c r="C7917" s="237"/>
      <c r="D7917" s="202"/>
      <c r="E7917" s="202"/>
      <c r="U7917" s="204"/>
    </row>
    <row r="7918" spans="2:21" x14ac:dyDescent="0.2">
      <c r="B7918" s="203"/>
      <c r="C7918" s="237"/>
      <c r="D7918" s="202"/>
      <c r="E7918" s="202"/>
      <c r="U7918" s="204"/>
    </row>
    <row r="7919" spans="2:21" x14ac:dyDescent="0.2">
      <c r="B7919" s="203"/>
      <c r="C7919" s="237"/>
      <c r="D7919" s="202"/>
      <c r="E7919" s="202"/>
      <c r="U7919" s="204"/>
    </row>
    <row r="7920" spans="2:21" x14ac:dyDescent="0.2">
      <c r="B7920" s="203"/>
      <c r="C7920" s="237"/>
      <c r="D7920" s="202"/>
      <c r="E7920" s="202"/>
      <c r="U7920" s="204"/>
    </row>
    <row r="7921" spans="2:21" x14ac:dyDescent="0.2">
      <c r="B7921" s="203"/>
      <c r="C7921" s="237"/>
      <c r="D7921" s="202"/>
      <c r="E7921" s="202"/>
      <c r="U7921" s="204"/>
    </row>
    <row r="7922" spans="2:21" x14ac:dyDescent="0.2">
      <c r="B7922" s="203"/>
      <c r="C7922" s="237"/>
      <c r="D7922" s="202"/>
      <c r="E7922" s="202"/>
      <c r="U7922" s="204"/>
    </row>
    <row r="7923" spans="2:21" x14ac:dyDescent="0.2">
      <c r="B7923" s="203"/>
      <c r="C7923" s="237"/>
      <c r="D7923" s="202"/>
      <c r="E7923" s="202"/>
      <c r="U7923" s="204"/>
    </row>
    <row r="7924" spans="2:21" x14ac:dyDescent="0.2">
      <c r="B7924" s="203"/>
      <c r="C7924" s="237"/>
      <c r="D7924" s="202"/>
      <c r="E7924" s="202"/>
      <c r="U7924" s="204"/>
    </row>
    <row r="7925" spans="2:21" x14ac:dyDescent="0.2">
      <c r="B7925" s="203"/>
      <c r="C7925" s="237"/>
      <c r="D7925" s="202"/>
      <c r="E7925" s="202"/>
      <c r="U7925" s="204"/>
    </row>
    <row r="7926" spans="2:21" x14ac:dyDescent="0.2">
      <c r="B7926" s="203"/>
      <c r="C7926" s="237"/>
      <c r="D7926" s="202"/>
      <c r="E7926" s="202"/>
      <c r="U7926" s="204"/>
    </row>
    <row r="7927" spans="2:21" x14ac:dyDescent="0.2">
      <c r="B7927" s="203"/>
      <c r="C7927" s="237"/>
      <c r="D7927" s="202"/>
      <c r="E7927" s="202"/>
      <c r="U7927" s="204"/>
    </row>
    <row r="7928" spans="2:21" x14ac:dyDescent="0.2">
      <c r="B7928" s="203"/>
      <c r="C7928" s="237"/>
      <c r="D7928" s="202"/>
      <c r="E7928" s="202"/>
      <c r="U7928" s="204"/>
    </row>
    <row r="7929" spans="2:21" x14ac:dyDescent="0.2">
      <c r="B7929" s="203"/>
      <c r="C7929" s="237"/>
      <c r="D7929" s="202"/>
      <c r="E7929" s="202"/>
      <c r="U7929" s="204"/>
    </row>
    <row r="7930" spans="2:21" x14ac:dyDescent="0.2">
      <c r="B7930" s="203"/>
      <c r="C7930" s="237"/>
      <c r="D7930" s="202"/>
      <c r="E7930" s="202"/>
      <c r="U7930" s="204"/>
    </row>
    <row r="7931" spans="2:21" x14ac:dyDescent="0.2">
      <c r="B7931" s="203"/>
      <c r="C7931" s="237"/>
      <c r="D7931" s="202"/>
      <c r="E7931" s="202"/>
      <c r="U7931" s="204"/>
    </row>
    <row r="7932" spans="2:21" x14ac:dyDescent="0.2">
      <c r="B7932" s="203"/>
      <c r="C7932" s="237"/>
      <c r="D7932" s="202"/>
      <c r="E7932" s="202"/>
      <c r="U7932" s="204"/>
    </row>
    <row r="7933" spans="2:21" x14ac:dyDescent="0.2">
      <c r="B7933" s="203"/>
      <c r="C7933" s="237"/>
      <c r="D7933" s="202"/>
      <c r="E7933" s="202"/>
      <c r="U7933" s="204"/>
    </row>
    <row r="7934" spans="2:21" x14ac:dyDescent="0.2">
      <c r="B7934" s="203"/>
      <c r="C7934" s="237"/>
      <c r="D7934" s="202"/>
      <c r="E7934" s="202"/>
      <c r="U7934" s="204"/>
    </row>
    <row r="7935" spans="2:21" x14ac:dyDescent="0.2">
      <c r="B7935" s="203"/>
      <c r="C7935" s="237"/>
      <c r="D7935" s="202"/>
      <c r="E7935" s="202"/>
      <c r="U7935" s="204"/>
    </row>
    <row r="7936" spans="2:21" x14ac:dyDescent="0.2">
      <c r="B7936" s="203"/>
      <c r="C7936" s="237"/>
      <c r="D7936" s="202"/>
      <c r="E7936" s="202"/>
      <c r="U7936" s="204"/>
    </row>
    <row r="7937" spans="2:21" x14ac:dyDescent="0.2">
      <c r="B7937" s="203"/>
      <c r="C7937" s="237"/>
      <c r="D7937" s="202"/>
      <c r="E7937" s="202"/>
      <c r="U7937" s="204"/>
    </row>
    <row r="7938" spans="2:21" x14ac:dyDescent="0.2">
      <c r="B7938" s="203"/>
      <c r="C7938" s="237"/>
      <c r="D7938" s="202"/>
      <c r="E7938" s="202"/>
      <c r="U7938" s="204"/>
    </row>
    <row r="7939" spans="2:21" x14ac:dyDescent="0.2">
      <c r="B7939" s="203"/>
      <c r="C7939" s="237"/>
      <c r="D7939" s="202"/>
      <c r="E7939" s="202"/>
      <c r="U7939" s="204"/>
    </row>
    <row r="7940" spans="2:21" x14ac:dyDescent="0.2">
      <c r="B7940" s="203"/>
      <c r="C7940" s="237"/>
      <c r="D7940" s="202"/>
      <c r="E7940" s="202"/>
      <c r="U7940" s="204"/>
    </row>
    <row r="7941" spans="2:21" x14ac:dyDescent="0.2">
      <c r="B7941" s="203"/>
      <c r="C7941" s="237"/>
      <c r="D7941" s="202"/>
      <c r="E7941" s="202"/>
      <c r="U7941" s="204"/>
    </row>
    <row r="7942" spans="2:21" x14ac:dyDescent="0.2">
      <c r="B7942" s="203"/>
      <c r="C7942" s="237"/>
      <c r="D7942" s="202"/>
      <c r="E7942" s="202"/>
      <c r="U7942" s="204"/>
    </row>
    <row r="7943" spans="2:21" x14ac:dyDescent="0.2">
      <c r="B7943" s="203"/>
      <c r="C7943" s="237"/>
      <c r="D7943" s="202"/>
      <c r="E7943" s="202"/>
      <c r="U7943" s="204"/>
    </row>
    <row r="7944" spans="2:21" x14ac:dyDescent="0.2">
      <c r="B7944" s="203"/>
      <c r="C7944" s="237"/>
      <c r="D7944" s="202"/>
      <c r="E7944" s="202"/>
      <c r="U7944" s="204"/>
    </row>
    <row r="7945" spans="2:21" x14ac:dyDescent="0.2">
      <c r="B7945" s="203"/>
      <c r="C7945" s="237"/>
      <c r="D7945" s="202"/>
      <c r="E7945" s="202"/>
      <c r="U7945" s="204"/>
    </row>
    <row r="7946" spans="2:21" x14ac:dyDescent="0.2">
      <c r="B7946" s="203"/>
      <c r="C7946" s="237"/>
      <c r="D7946" s="202"/>
      <c r="E7946" s="202"/>
      <c r="U7946" s="204"/>
    </row>
    <row r="7947" spans="2:21" x14ac:dyDescent="0.2">
      <c r="B7947" s="203"/>
      <c r="C7947" s="237"/>
      <c r="D7947" s="202"/>
      <c r="E7947" s="202"/>
      <c r="U7947" s="204"/>
    </row>
    <row r="7948" spans="2:21" x14ac:dyDescent="0.2">
      <c r="B7948" s="203"/>
      <c r="C7948" s="237"/>
      <c r="D7948" s="202"/>
      <c r="E7948" s="202"/>
      <c r="U7948" s="204"/>
    </row>
    <row r="7949" spans="2:21" x14ac:dyDescent="0.2">
      <c r="B7949" s="203"/>
      <c r="C7949" s="237"/>
      <c r="D7949" s="202"/>
      <c r="E7949" s="202"/>
      <c r="U7949" s="204"/>
    </row>
    <row r="7950" spans="2:21" x14ac:dyDescent="0.2">
      <c r="B7950" s="203"/>
      <c r="C7950" s="237"/>
      <c r="D7950" s="202"/>
      <c r="E7950" s="202"/>
      <c r="U7950" s="204"/>
    </row>
    <row r="7951" spans="2:21" x14ac:dyDescent="0.2">
      <c r="B7951" s="203"/>
      <c r="C7951" s="237"/>
      <c r="D7951" s="202"/>
      <c r="E7951" s="202"/>
      <c r="U7951" s="204"/>
    </row>
    <row r="7952" spans="2:21" x14ac:dyDescent="0.2">
      <c r="B7952" s="203"/>
      <c r="C7952" s="237"/>
      <c r="D7952" s="202"/>
      <c r="E7952" s="202"/>
      <c r="U7952" s="204"/>
    </row>
    <row r="7953" spans="2:21" x14ac:dyDescent="0.2">
      <c r="B7953" s="203"/>
      <c r="C7953" s="237"/>
      <c r="D7953" s="202"/>
      <c r="E7953" s="202"/>
      <c r="U7953" s="204"/>
    </row>
    <row r="7954" spans="2:21" x14ac:dyDescent="0.2">
      <c r="B7954" s="203"/>
      <c r="C7954" s="237"/>
      <c r="D7954" s="202"/>
      <c r="E7954" s="202"/>
      <c r="U7954" s="204"/>
    </row>
    <row r="7955" spans="2:21" x14ac:dyDescent="0.2">
      <c r="B7955" s="203"/>
      <c r="C7955" s="237"/>
      <c r="D7955" s="202"/>
      <c r="E7955" s="202"/>
      <c r="U7955" s="204"/>
    </row>
    <row r="7956" spans="2:21" x14ac:dyDescent="0.2">
      <c r="B7956" s="203"/>
      <c r="C7956" s="237"/>
      <c r="D7956" s="202"/>
      <c r="E7956" s="202"/>
      <c r="U7956" s="204"/>
    </row>
    <row r="7957" spans="2:21" x14ac:dyDescent="0.2">
      <c r="B7957" s="203"/>
      <c r="C7957" s="237"/>
      <c r="D7957" s="202"/>
      <c r="E7957" s="202"/>
      <c r="U7957" s="204"/>
    </row>
    <row r="7958" spans="2:21" x14ac:dyDescent="0.2">
      <c r="B7958" s="203"/>
      <c r="C7958" s="237"/>
      <c r="D7958" s="202"/>
      <c r="E7958" s="202"/>
      <c r="U7958" s="204"/>
    </row>
    <row r="7959" spans="2:21" x14ac:dyDescent="0.2">
      <c r="B7959" s="203"/>
      <c r="C7959" s="237"/>
      <c r="D7959" s="202"/>
      <c r="E7959" s="202"/>
      <c r="U7959" s="204"/>
    </row>
    <row r="7960" spans="2:21" x14ac:dyDescent="0.2">
      <c r="B7960" s="203"/>
      <c r="C7960" s="237"/>
      <c r="D7960" s="202"/>
      <c r="E7960" s="202"/>
      <c r="U7960" s="204"/>
    </row>
    <row r="7961" spans="2:21" x14ac:dyDescent="0.2">
      <c r="B7961" s="203"/>
      <c r="C7961" s="237"/>
      <c r="D7961" s="202"/>
      <c r="E7961" s="202"/>
      <c r="U7961" s="204"/>
    </row>
    <row r="7962" spans="2:21" x14ac:dyDescent="0.2">
      <c r="B7962" s="203"/>
      <c r="C7962" s="237"/>
      <c r="D7962" s="202"/>
      <c r="E7962" s="202"/>
      <c r="U7962" s="204"/>
    </row>
    <row r="7963" spans="2:21" x14ac:dyDescent="0.2">
      <c r="B7963" s="203"/>
      <c r="C7963" s="237"/>
      <c r="D7963" s="202"/>
      <c r="E7963" s="202"/>
      <c r="U7963" s="204"/>
    </row>
    <row r="7964" spans="2:21" x14ac:dyDescent="0.2">
      <c r="B7964" s="203"/>
      <c r="C7964" s="237"/>
      <c r="D7964" s="202"/>
      <c r="E7964" s="202"/>
      <c r="U7964" s="204"/>
    </row>
    <row r="7965" spans="2:21" x14ac:dyDescent="0.2">
      <c r="B7965" s="203"/>
      <c r="C7965" s="237"/>
      <c r="D7965" s="202"/>
      <c r="E7965" s="202"/>
      <c r="U7965" s="204"/>
    </row>
    <row r="7966" spans="2:21" x14ac:dyDescent="0.2">
      <c r="B7966" s="203"/>
      <c r="C7966" s="237"/>
      <c r="D7966" s="202"/>
      <c r="E7966" s="202"/>
      <c r="U7966" s="204"/>
    </row>
    <row r="7967" spans="2:21" x14ac:dyDescent="0.2">
      <c r="B7967" s="203"/>
      <c r="C7967" s="237"/>
      <c r="D7967" s="202"/>
      <c r="E7967" s="202"/>
      <c r="U7967" s="204"/>
    </row>
    <row r="7968" spans="2:21" x14ac:dyDescent="0.2">
      <c r="B7968" s="203"/>
      <c r="C7968" s="237"/>
      <c r="D7968" s="202"/>
      <c r="E7968" s="202"/>
      <c r="U7968" s="204"/>
    </row>
    <row r="7969" spans="2:21" x14ac:dyDescent="0.2">
      <c r="B7969" s="203"/>
      <c r="C7969" s="237"/>
      <c r="D7969" s="202"/>
      <c r="E7969" s="202"/>
      <c r="U7969" s="204"/>
    </row>
    <row r="7970" spans="2:21" x14ac:dyDescent="0.2">
      <c r="B7970" s="203"/>
      <c r="C7970" s="237"/>
      <c r="D7970" s="202"/>
      <c r="E7970" s="202"/>
      <c r="U7970" s="204"/>
    </row>
    <row r="7971" spans="2:21" x14ac:dyDescent="0.2">
      <c r="B7971" s="203"/>
      <c r="C7971" s="237"/>
      <c r="D7971" s="202"/>
      <c r="E7971" s="202"/>
      <c r="U7971" s="204"/>
    </row>
    <row r="7972" spans="2:21" x14ac:dyDescent="0.2">
      <c r="B7972" s="203"/>
      <c r="C7972" s="237"/>
      <c r="D7972" s="202"/>
      <c r="E7972" s="202"/>
      <c r="U7972" s="204"/>
    </row>
    <row r="7973" spans="2:21" x14ac:dyDescent="0.2">
      <c r="B7973" s="203"/>
      <c r="C7973" s="237"/>
      <c r="D7973" s="202"/>
      <c r="E7973" s="202"/>
      <c r="U7973" s="204"/>
    </row>
    <row r="7974" spans="2:21" x14ac:dyDescent="0.2">
      <c r="B7974" s="203"/>
      <c r="C7974" s="237"/>
      <c r="D7974" s="202"/>
      <c r="E7974" s="202"/>
      <c r="U7974" s="204"/>
    </row>
    <row r="7975" spans="2:21" x14ac:dyDescent="0.2">
      <c r="B7975" s="203"/>
      <c r="C7975" s="237"/>
      <c r="D7975" s="202"/>
      <c r="E7975" s="202"/>
      <c r="U7975" s="204"/>
    </row>
    <row r="7976" spans="2:21" x14ac:dyDescent="0.2">
      <c r="B7976" s="203"/>
      <c r="C7976" s="237"/>
      <c r="D7976" s="202"/>
      <c r="E7976" s="202"/>
      <c r="U7976" s="204"/>
    </row>
    <row r="7977" spans="2:21" x14ac:dyDescent="0.2">
      <c r="B7977" s="203"/>
      <c r="C7977" s="237"/>
      <c r="D7977" s="202"/>
      <c r="E7977" s="202"/>
      <c r="U7977" s="204"/>
    </row>
    <row r="7978" spans="2:21" x14ac:dyDescent="0.2">
      <c r="B7978" s="203"/>
      <c r="C7978" s="237"/>
      <c r="D7978" s="202"/>
      <c r="E7978" s="202"/>
      <c r="U7978" s="204"/>
    </row>
    <row r="7979" spans="2:21" x14ac:dyDescent="0.2">
      <c r="B7979" s="203"/>
      <c r="C7979" s="237"/>
      <c r="D7979" s="202"/>
      <c r="E7979" s="202"/>
      <c r="U7979" s="204"/>
    </row>
    <row r="7980" spans="2:21" x14ac:dyDescent="0.2">
      <c r="B7980" s="203"/>
      <c r="C7980" s="237"/>
      <c r="D7980" s="202"/>
      <c r="E7980" s="202"/>
      <c r="U7980" s="204"/>
    </row>
    <row r="7981" spans="2:21" x14ac:dyDescent="0.2">
      <c r="B7981" s="203"/>
      <c r="C7981" s="237"/>
      <c r="D7981" s="202"/>
      <c r="E7981" s="202"/>
      <c r="U7981" s="204"/>
    </row>
    <row r="7982" spans="2:21" x14ac:dyDescent="0.2">
      <c r="B7982" s="203"/>
      <c r="C7982" s="237"/>
      <c r="D7982" s="202"/>
      <c r="E7982" s="202"/>
      <c r="U7982" s="204"/>
    </row>
    <row r="7983" spans="2:21" x14ac:dyDescent="0.2">
      <c r="B7983" s="203"/>
      <c r="C7983" s="237"/>
      <c r="D7983" s="202"/>
      <c r="E7983" s="202"/>
      <c r="U7983" s="204"/>
    </row>
    <row r="7984" spans="2:21" x14ac:dyDescent="0.2">
      <c r="B7984" s="203"/>
      <c r="C7984" s="237"/>
      <c r="D7984" s="202"/>
      <c r="E7984" s="202"/>
      <c r="U7984" s="204"/>
    </row>
    <row r="7985" spans="2:21" x14ac:dyDescent="0.2">
      <c r="B7985" s="203"/>
      <c r="C7985" s="237"/>
      <c r="D7985" s="202"/>
      <c r="E7985" s="202"/>
      <c r="U7985" s="204"/>
    </row>
    <row r="7986" spans="2:21" x14ac:dyDescent="0.2">
      <c r="B7986" s="203"/>
      <c r="C7986" s="237"/>
      <c r="D7986" s="202"/>
      <c r="E7986" s="202"/>
      <c r="U7986" s="204"/>
    </row>
    <row r="7987" spans="2:21" x14ac:dyDescent="0.2">
      <c r="B7987" s="203"/>
      <c r="C7987" s="237"/>
      <c r="D7987" s="202"/>
      <c r="E7987" s="202"/>
      <c r="U7987" s="204"/>
    </row>
    <row r="7988" spans="2:21" x14ac:dyDescent="0.2">
      <c r="B7988" s="203"/>
      <c r="C7988" s="237"/>
      <c r="D7988" s="202"/>
      <c r="E7988" s="202"/>
      <c r="U7988" s="204"/>
    </row>
    <row r="7989" spans="2:21" x14ac:dyDescent="0.2">
      <c r="B7989" s="203"/>
      <c r="C7989" s="237"/>
      <c r="D7989" s="202"/>
      <c r="E7989" s="202"/>
      <c r="U7989" s="204"/>
    </row>
    <row r="7990" spans="2:21" x14ac:dyDescent="0.2">
      <c r="B7990" s="203"/>
      <c r="C7990" s="237"/>
      <c r="D7990" s="202"/>
      <c r="E7990" s="202"/>
      <c r="U7990" s="204"/>
    </row>
    <row r="7991" spans="2:21" x14ac:dyDescent="0.2">
      <c r="B7991" s="203"/>
      <c r="C7991" s="237"/>
      <c r="D7991" s="202"/>
      <c r="E7991" s="202"/>
      <c r="U7991" s="204"/>
    </row>
    <row r="7992" spans="2:21" x14ac:dyDescent="0.2">
      <c r="B7992" s="203"/>
      <c r="C7992" s="237"/>
      <c r="D7992" s="202"/>
      <c r="E7992" s="202"/>
      <c r="U7992" s="204"/>
    </row>
    <row r="7993" spans="2:21" x14ac:dyDescent="0.2">
      <c r="B7993" s="203"/>
      <c r="C7993" s="237"/>
      <c r="D7993" s="202"/>
      <c r="E7993" s="202"/>
      <c r="U7993" s="204"/>
    </row>
    <row r="7994" spans="2:21" x14ac:dyDescent="0.2">
      <c r="B7994" s="203"/>
      <c r="C7994" s="237"/>
      <c r="D7994" s="202"/>
      <c r="E7994" s="202"/>
      <c r="U7994" s="204"/>
    </row>
    <row r="7995" spans="2:21" x14ac:dyDescent="0.2">
      <c r="B7995" s="203"/>
      <c r="C7995" s="237"/>
      <c r="D7995" s="202"/>
      <c r="E7995" s="202"/>
      <c r="U7995" s="204"/>
    </row>
    <row r="7996" spans="2:21" x14ac:dyDescent="0.2">
      <c r="B7996" s="203"/>
      <c r="C7996" s="237"/>
      <c r="D7996" s="202"/>
      <c r="E7996" s="202"/>
      <c r="U7996" s="204"/>
    </row>
    <row r="7997" spans="2:21" x14ac:dyDescent="0.2">
      <c r="B7997" s="203"/>
      <c r="C7997" s="237"/>
      <c r="D7997" s="202"/>
      <c r="E7997" s="202"/>
      <c r="U7997" s="204"/>
    </row>
    <row r="7998" spans="2:21" x14ac:dyDescent="0.2">
      <c r="B7998" s="203"/>
      <c r="C7998" s="237"/>
      <c r="D7998" s="202"/>
      <c r="E7998" s="202"/>
      <c r="U7998" s="204"/>
    </row>
    <row r="7999" spans="2:21" x14ac:dyDescent="0.2">
      <c r="B7999" s="203"/>
      <c r="C7999" s="237"/>
      <c r="D7999" s="202"/>
      <c r="E7999" s="202"/>
      <c r="U7999" s="204"/>
    </row>
    <row r="8000" spans="2:21" x14ac:dyDescent="0.2">
      <c r="B8000" s="203"/>
      <c r="C8000" s="237"/>
      <c r="D8000" s="202"/>
      <c r="E8000" s="202"/>
      <c r="U8000" s="204"/>
    </row>
    <row r="8001" spans="2:21" x14ac:dyDescent="0.2">
      <c r="B8001" s="203"/>
      <c r="C8001" s="237"/>
      <c r="D8001" s="202"/>
      <c r="E8001" s="202"/>
      <c r="U8001" s="204"/>
    </row>
    <row r="8002" spans="2:21" x14ac:dyDescent="0.2">
      <c r="B8002" s="203"/>
      <c r="C8002" s="237"/>
      <c r="D8002" s="202"/>
      <c r="E8002" s="202"/>
      <c r="U8002" s="204"/>
    </row>
    <row r="8003" spans="2:21" x14ac:dyDescent="0.2">
      <c r="B8003" s="203"/>
      <c r="C8003" s="237"/>
      <c r="D8003" s="202"/>
      <c r="E8003" s="202"/>
      <c r="U8003" s="204"/>
    </row>
    <row r="8004" spans="2:21" x14ac:dyDescent="0.2">
      <c r="B8004" s="203"/>
      <c r="C8004" s="237"/>
      <c r="D8004" s="202"/>
      <c r="E8004" s="202"/>
      <c r="U8004" s="204"/>
    </row>
    <row r="8005" spans="2:21" x14ac:dyDescent="0.2">
      <c r="B8005" s="203"/>
      <c r="C8005" s="237"/>
      <c r="D8005" s="202"/>
      <c r="E8005" s="202"/>
      <c r="U8005" s="204"/>
    </row>
    <row r="8006" spans="2:21" x14ac:dyDescent="0.2">
      <c r="B8006" s="203"/>
      <c r="C8006" s="237"/>
      <c r="D8006" s="202"/>
      <c r="E8006" s="202"/>
      <c r="U8006" s="204"/>
    </row>
    <row r="8007" spans="2:21" x14ac:dyDescent="0.2">
      <c r="B8007" s="203"/>
      <c r="C8007" s="237"/>
      <c r="D8007" s="202"/>
      <c r="E8007" s="202"/>
      <c r="U8007" s="204"/>
    </row>
    <row r="8008" spans="2:21" x14ac:dyDescent="0.2">
      <c r="B8008" s="203"/>
      <c r="C8008" s="237"/>
      <c r="D8008" s="202"/>
      <c r="E8008" s="202"/>
      <c r="U8008" s="204"/>
    </row>
    <row r="8009" spans="2:21" x14ac:dyDescent="0.2">
      <c r="B8009" s="203"/>
      <c r="C8009" s="237"/>
      <c r="D8009" s="202"/>
      <c r="E8009" s="202"/>
      <c r="U8009" s="204"/>
    </row>
    <row r="8010" spans="2:21" x14ac:dyDescent="0.2">
      <c r="B8010" s="203"/>
      <c r="C8010" s="237"/>
      <c r="D8010" s="202"/>
      <c r="E8010" s="202"/>
      <c r="U8010" s="204"/>
    </row>
    <row r="8011" spans="2:21" x14ac:dyDescent="0.2">
      <c r="B8011" s="203"/>
      <c r="C8011" s="237"/>
      <c r="D8011" s="202"/>
      <c r="E8011" s="202"/>
      <c r="U8011" s="204"/>
    </row>
    <row r="8012" spans="2:21" x14ac:dyDescent="0.2">
      <c r="B8012" s="203"/>
      <c r="C8012" s="237"/>
      <c r="D8012" s="202"/>
      <c r="E8012" s="202"/>
      <c r="U8012" s="204"/>
    </row>
    <row r="8013" spans="2:21" x14ac:dyDescent="0.2">
      <c r="B8013" s="203"/>
      <c r="C8013" s="237"/>
      <c r="D8013" s="202"/>
      <c r="E8013" s="202"/>
      <c r="U8013" s="204"/>
    </row>
    <row r="8014" spans="2:21" x14ac:dyDescent="0.2">
      <c r="B8014" s="203"/>
      <c r="C8014" s="237"/>
      <c r="D8014" s="202"/>
      <c r="E8014" s="202"/>
      <c r="U8014" s="204"/>
    </row>
    <row r="8015" spans="2:21" x14ac:dyDescent="0.2">
      <c r="B8015" s="203"/>
      <c r="C8015" s="237"/>
      <c r="D8015" s="202"/>
      <c r="E8015" s="202"/>
      <c r="U8015" s="204"/>
    </row>
    <row r="8016" spans="2:21" x14ac:dyDescent="0.2">
      <c r="B8016" s="203"/>
      <c r="C8016" s="237"/>
      <c r="D8016" s="202"/>
      <c r="E8016" s="202"/>
      <c r="U8016" s="204"/>
    </row>
    <row r="8017" spans="2:21" x14ac:dyDescent="0.2">
      <c r="B8017" s="203"/>
      <c r="C8017" s="237"/>
      <c r="D8017" s="202"/>
      <c r="E8017" s="202"/>
      <c r="U8017" s="204"/>
    </row>
    <row r="8018" spans="2:21" x14ac:dyDescent="0.2">
      <c r="B8018" s="203"/>
      <c r="C8018" s="237"/>
      <c r="D8018" s="202"/>
      <c r="E8018" s="202"/>
      <c r="U8018" s="204"/>
    </row>
    <row r="8019" spans="2:21" x14ac:dyDescent="0.2">
      <c r="B8019" s="203"/>
      <c r="C8019" s="237"/>
      <c r="D8019" s="202"/>
      <c r="E8019" s="202"/>
      <c r="U8019" s="204"/>
    </row>
    <row r="8020" spans="2:21" x14ac:dyDescent="0.2">
      <c r="B8020" s="203"/>
      <c r="C8020" s="237"/>
      <c r="D8020" s="202"/>
      <c r="E8020" s="202"/>
      <c r="U8020" s="204"/>
    </row>
    <row r="8021" spans="2:21" x14ac:dyDescent="0.2">
      <c r="B8021" s="203"/>
      <c r="C8021" s="237"/>
      <c r="D8021" s="202"/>
      <c r="E8021" s="202"/>
      <c r="U8021" s="204"/>
    </row>
    <row r="8022" spans="2:21" x14ac:dyDescent="0.2">
      <c r="B8022" s="203"/>
      <c r="C8022" s="237"/>
      <c r="D8022" s="202"/>
      <c r="E8022" s="202"/>
      <c r="U8022" s="204"/>
    </row>
    <row r="8023" spans="2:21" x14ac:dyDescent="0.2">
      <c r="B8023" s="203"/>
      <c r="C8023" s="237"/>
      <c r="D8023" s="202"/>
      <c r="E8023" s="202"/>
      <c r="U8023" s="204"/>
    </row>
    <row r="8024" spans="2:21" x14ac:dyDescent="0.2">
      <c r="B8024" s="203"/>
      <c r="C8024" s="237"/>
      <c r="D8024" s="202"/>
      <c r="E8024" s="202"/>
      <c r="U8024" s="204"/>
    </row>
    <row r="8025" spans="2:21" x14ac:dyDescent="0.2">
      <c r="B8025" s="203"/>
      <c r="C8025" s="237"/>
      <c r="D8025" s="202"/>
      <c r="E8025" s="202"/>
      <c r="U8025" s="204"/>
    </row>
    <row r="8026" spans="2:21" x14ac:dyDescent="0.2">
      <c r="B8026" s="203"/>
      <c r="C8026" s="237"/>
      <c r="D8026" s="202"/>
      <c r="E8026" s="202"/>
      <c r="U8026" s="204"/>
    </row>
    <row r="8027" spans="2:21" x14ac:dyDescent="0.2">
      <c r="B8027" s="203"/>
      <c r="C8027" s="237"/>
      <c r="D8027" s="202"/>
      <c r="E8027" s="202"/>
      <c r="U8027" s="204"/>
    </row>
    <row r="8028" spans="2:21" x14ac:dyDescent="0.2">
      <c r="B8028" s="203"/>
      <c r="C8028" s="237"/>
      <c r="D8028" s="202"/>
      <c r="E8028" s="202"/>
      <c r="U8028" s="204"/>
    </row>
    <row r="8029" spans="2:21" x14ac:dyDescent="0.2">
      <c r="B8029" s="203"/>
      <c r="C8029" s="237"/>
      <c r="D8029" s="202"/>
      <c r="E8029" s="202"/>
      <c r="U8029" s="204"/>
    </row>
    <row r="8030" spans="2:21" x14ac:dyDescent="0.2">
      <c r="B8030" s="203"/>
      <c r="C8030" s="237"/>
      <c r="D8030" s="202"/>
      <c r="E8030" s="202"/>
      <c r="U8030" s="204"/>
    </row>
    <row r="8031" spans="2:21" x14ac:dyDescent="0.2">
      <c r="B8031" s="203"/>
      <c r="C8031" s="237"/>
      <c r="D8031" s="202"/>
      <c r="E8031" s="202"/>
      <c r="U8031" s="204"/>
    </row>
    <row r="8032" spans="2:21" x14ac:dyDescent="0.2">
      <c r="B8032" s="203"/>
      <c r="C8032" s="237"/>
      <c r="D8032" s="202"/>
      <c r="E8032" s="202"/>
      <c r="U8032" s="204"/>
    </row>
    <row r="8033" spans="2:21" x14ac:dyDescent="0.2">
      <c r="B8033" s="203"/>
      <c r="C8033" s="237"/>
      <c r="D8033" s="202"/>
      <c r="E8033" s="202"/>
      <c r="U8033" s="204"/>
    </row>
    <row r="8034" spans="2:21" x14ac:dyDescent="0.2">
      <c r="B8034" s="203"/>
      <c r="C8034" s="237"/>
      <c r="D8034" s="202"/>
      <c r="E8034" s="202"/>
      <c r="U8034" s="204"/>
    </row>
    <row r="8035" spans="2:21" x14ac:dyDescent="0.2">
      <c r="B8035" s="203"/>
      <c r="C8035" s="237"/>
      <c r="D8035" s="202"/>
      <c r="E8035" s="202"/>
      <c r="U8035" s="204"/>
    </row>
    <row r="8036" spans="2:21" x14ac:dyDescent="0.2">
      <c r="B8036" s="203"/>
      <c r="C8036" s="237"/>
      <c r="D8036" s="202"/>
      <c r="E8036" s="202"/>
      <c r="U8036" s="204"/>
    </row>
    <row r="8037" spans="2:21" x14ac:dyDescent="0.2">
      <c r="B8037" s="203"/>
      <c r="C8037" s="237"/>
      <c r="D8037" s="202"/>
      <c r="E8037" s="202"/>
      <c r="U8037" s="204"/>
    </row>
    <row r="8038" spans="2:21" x14ac:dyDescent="0.2">
      <c r="B8038" s="203"/>
      <c r="C8038" s="237"/>
      <c r="D8038" s="202"/>
      <c r="E8038" s="202"/>
      <c r="U8038" s="204"/>
    </row>
    <row r="8039" spans="2:21" x14ac:dyDescent="0.2">
      <c r="B8039" s="203"/>
      <c r="C8039" s="237"/>
      <c r="D8039" s="202"/>
      <c r="E8039" s="202"/>
      <c r="U8039" s="204"/>
    </row>
    <row r="8040" spans="2:21" x14ac:dyDescent="0.2">
      <c r="B8040" s="203"/>
      <c r="C8040" s="237"/>
      <c r="D8040" s="202"/>
      <c r="E8040" s="202"/>
      <c r="U8040" s="204"/>
    </row>
    <row r="8041" spans="2:21" x14ac:dyDescent="0.2">
      <c r="B8041" s="203"/>
      <c r="C8041" s="237"/>
      <c r="D8041" s="202"/>
      <c r="E8041" s="202"/>
      <c r="U8041" s="204"/>
    </row>
    <row r="8042" spans="2:21" x14ac:dyDescent="0.2">
      <c r="B8042" s="203"/>
      <c r="C8042" s="237"/>
      <c r="D8042" s="202"/>
      <c r="E8042" s="202"/>
      <c r="U8042" s="204"/>
    </row>
    <row r="8043" spans="2:21" x14ac:dyDescent="0.2">
      <c r="B8043" s="203"/>
      <c r="C8043" s="237"/>
      <c r="D8043" s="202"/>
      <c r="E8043" s="202"/>
      <c r="U8043" s="204"/>
    </row>
    <row r="8044" spans="2:21" x14ac:dyDescent="0.2">
      <c r="B8044" s="203"/>
      <c r="C8044" s="237"/>
      <c r="D8044" s="202"/>
      <c r="E8044" s="202"/>
      <c r="U8044" s="204"/>
    </row>
    <row r="8045" spans="2:21" x14ac:dyDescent="0.2">
      <c r="B8045" s="203"/>
      <c r="C8045" s="237"/>
      <c r="D8045" s="202"/>
      <c r="E8045" s="202"/>
      <c r="U8045" s="204"/>
    </row>
    <row r="8046" spans="2:21" x14ac:dyDescent="0.2">
      <c r="B8046" s="203"/>
      <c r="C8046" s="237"/>
      <c r="D8046" s="202"/>
      <c r="E8046" s="202"/>
      <c r="U8046" s="204"/>
    </row>
    <row r="8047" spans="2:21" x14ac:dyDescent="0.2">
      <c r="B8047" s="203"/>
      <c r="C8047" s="237"/>
      <c r="D8047" s="202"/>
      <c r="E8047" s="202"/>
      <c r="U8047" s="204"/>
    </row>
    <row r="8048" spans="2:21" x14ac:dyDescent="0.2">
      <c r="B8048" s="203"/>
      <c r="C8048" s="237"/>
      <c r="D8048" s="202"/>
      <c r="E8048" s="202"/>
      <c r="U8048" s="204"/>
    </row>
    <row r="8049" spans="2:21" x14ac:dyDescent="0.2">
      <c r="B8049" s="203"/>
      <c r="C8049" s="237"/>
      <c r="D8049" s="202"/>
      <c r="E8049" s="202"/>
      <c r="U8049" s="204"/>
    </row>
    <row r="8050" spans="2:21" x14ac:dyDescent="0.2">
      <c r="B8050" s="203"/>
      <c r="C8050" s="237"/>
      <c r="D8050" s="202"/>
      <c r="E8050" s="202"/>
      <c r="U8050" s="204"/>
    </row>
    <row r="8051" spans="2:21" x14ac:dyDescent="0.2">
      <c r="B8051" s="203"/>
      <c r="C8051" s="237"/>
      <c r="D8051" s="202"/>
      <c r="E8051" s="202"/>
      <c r="U8051" s="204"/>
    </row>
    <row r="8052" spans="2:21" x14ac:dyDescent="0.2">
      <c r="B8052" s="203"/>
      <c r="C8052" s="237"/>
      <c r="D8052" s="202"/>
      <c r="E8052" s="202"/>
      <c r="U8052" s="204"/>
    </row>
    <row r="8053" spans="2:21" x14ac:dyDescent="0.2">
      <c r="B8053" s="203"/>
      <c r="C8053" s="237"/>
      <c r="D8053" s="202"/>
      <c r="E8053" s="202"/>
      <c r="U8053" s="204"/>
    </row>
    <row r="8054" spans="2:21" x14ac:dyDescent="0.2">
      <c r="B8054" s="203"/>
      <c r="C8054" s="237"/>
      <c r="D8054" s="202"/>
      <c r="E8054" s="202"/>
      <c r="U8054" s="204"/>
    </row>
    <row r="8055" spans="2:21" x14ac:dyDescent="0.2">
      <c r="B8055" s="203"/>
      <c r="C8055" s="237"/>
      <c r="D8055" s="202"/>
      <c r="E8055" s="202"/>
      <c r="U8055" s="204"/>
    </row>
    <row r="8056" spans="2:21" x14ac:dyDescent="0.2">
      <c r="B8056" s="203"/>
      <c r="C8056" s="237"/>
      <c r="D8056" s="202"/>
      <c r="E8056" s="202"/>
      <c r="U8056" s="204"/>
    </row>
    <row r="8057" spans="2:21" x14ac:dyDescent="0.2">
      <c r="B8057" s="203"/>
      <c r="C8057" s="237"/>
      <c r="D8057" s="202"/>
      <c r="E8057" s="202"/>
      <c r="U8057" s="204"/>
    </row>
    <row r="8058" spans="2:21" x14ac:dyDescent="0.2">
      <c r="B8058" s="203"/>
      <c r="C8058" s="237"/>
      <c r="D8058" s="202"/>
      <c r="E8058" s="202"/>
      <c r="U8058" s="204"/>
    </row>
    <row r="8059" spans="2:21" x14ac:dyDescent="0.2">
      <c r="B8059" s="203"/>
      <c r="C8059" s="237"/>
      <c r="D8059" s="202"/>
      <c r="E8059" s="202"/>
      <c r="U8059" s="204"/>
    </row>
    <row r="8060" spans="2:21" x14ac:dyDescent="0.2">
      <c r="B8060" s="203"/>
      <c r="C8060" s="237"/>
      <c r="D8060" s="202"/>
      <c r="E8060" s="202"/>
      <c r="U8060" s="204"/>
    </row>
    <row r="8061" spans="2:21" x14ac:dyDescent="0.2">
      <c r="B8061" s="203"/>
      <c r="C8061" s="237"/>
      <c r="D8061" s="202"/>
      <c r="E8061" s="202"/>
      <c r="U8061" s="204"/>
    </row>
    <row r="8062" spans="2:21" x14ac:dyDescent="0.2">
      <c r="B8062" s="203"/>
      <c r="C8062" s="237"/>
      <c r="D8062" s="202"/>
      <c r="E8062" s="202"/>
      <c r="U8062" s="204"/>
    </row>
    <row r="8063" spans="2:21" x14ac:dyDescent="0.2">
      <c r="B8063" s="203"/>
      <c r="C8063" s="237"/>
      <c r="D8063" s="202"/>
      <c r="E8063" s="202"/>
      <c r="U8063" s="204"/>
    </row>
    <row r="8064" spans="2:21" x14ac:dyDescent="0.2">
      <c r="B8064" s="203"/>
      <c r="C8064" s="237"/>
      <c r="D8064" s="202"/>
      <c r="E8064" s="202"/>
      <c r="U8064" s="204"/>
    </row>
    <row r="8065" spans="2:21" x14ac:dyDescent="0.2">
      <c r="B8065" s="203"/>
      <c r="C8065" s="237"/>
      <c r="D8065" s="202"/>
      <c r="E8065" s="202"/>
      <c r="U8065" s="204"/>
    </row>
    <row r="8066" spans="2:21" x14ac:dyDescent="0.2">
      <c r="B8066" s="203"/>
      <c r="C8066" s="237"/>
      <c r="D8066" s="202"/>
      <c r="E8066" s="202"/>
      <c r="U8066" s="204"/>
    </row>
    <row r="8067" spans="2:21" x14ac:dyDescent="0.2">
      <c r="B8067" s="203"/>
      <c r="C8067" s="237"/>
      <c r="D8067" s="202"/>
      <c r="E8067" s="202"/>
      <c r="U8067" s="204"/>
    </row>
    <row r="8068" spans="2:21" x14ac:dyDescent="0.2">
      <c r="B8068" s="203"/>
      <c r="C8068" s="237"/>
      <c r="D8068" s="202"/>
      <c r="E8068" s="202"/>
      <c r="U8068" s="204"/>
    </row>
    <row r="8069" spans="2:21" x14ac:dyDescent="0.2">
      <c r="B8069" s="203"/>
      <c r="C8069" s="237"/>
      <c r="D8069" s="202"/>
      <c r="E8069" s="202"/>
      <c r="U8069" s="204"/>
    </row>
    <row r="8070" spans="2:21" x14ac:dyDescent="0.2">
      <c r="B8070" s="203"/>
      <c r="C8070" s="237"/>
      <c r="D8070" s="202"/>
      <c r="E8070" s="202"/>
      <c r="U8070" s="204"/>
    </row>
    <row r="8071" spans="2:21" x14ac:dyDescent="0.2">
      <c r="B8071" s="203"/>
      <c r="C8071" s="237"/>
      <c r="D8071" s="202"/>
      <c r="E8071" s="202"/>
      <c r="U8071" s="204"/>
    </row>
    <row r="8072" spans="2:21" x14ac:dyDescent="0.2">
      <c r="B8072" s="203"/>
      <c r="C8072" s="237"/>
      <c r="D8072" s="202"/>
      <c r="E8072" s="202"/>
      <c r="U8072" s="204"/>
    </row>
    <row r="8073" spans="2:21" x14ac:dyDescent="0.2">
      <c r="B8073" s="203"/>
      <c r="C8073" s="237"/>
      <c r="D8073" s="202"/>
      <c r="E8073" s="202"/>
      <c r="U8073" s="204"/>
    </row>
    <row r="8074" spans="2:21" x14ac:dyDescent="0.2">
      <c r="B8074" s="203"/>
      <c r="C8074" s="237"/>
      <c r="D8074" s="202"/>
      <c r="E8074" s="202"/>
      <c r="U8074" s="204"/>
    </row>
    <row r="8075" spans="2:21" x14ac:dyDescent="0.2">
      <c r="B8075" s="203"/>
      <c r="C8075" s="237"/>
      <c r="D8075" s="202"/>
      <c r="E8075" s="202"/>
      <c r="U8075" s="204"/>
    </row>
    <row r="8076" spans="2:21" x14ac:dyDescent="0.2">
      <c r="B8076" s="203"/>
      <c r="C8076" s="237"/>
      <c r="D8076" s="202"/>
      <c r="E8076" s="202"/>
      <c r="U8076" s="204"/>
    </row>
    <row r="8077" spans="2:21" x14ac:dyDescent="0.2">
      <c r="B8077" s="203"/>
      <c r="C8077" s="237"/>
      <c r="D8077" s="202"/>
      <c r="E8077" s="202"/>
      <c r="U8077" s="204"/>
    </row>
    <row r="8078" spans="2:21" x14ac:dyDescent="0.2">
      <c r="B8078" s="203"/>
      <c r="C8078" s="237"/>
      <c r="D8078" s="202"/>
      <c r="E8078" s="202"/>
      <c r="U8078" s="204"/>
    </row>
    <row r="8079" spans="2:21" x14ac:dyDescent="0.2">
      <c r="B8079" s="203"/>
      <c r="C8079" s="237"/>
      <c r="D8079" s="202"/>
      <c r="E8079" s="202"/>
      <c r="U8079" s="204"/>
    </row>
    <row r="8080" spans="2:21" x14ac:dyDescent="0.2">
      <c r="B8080" s="203"/>
      <c r="C8080" s="237"/>
      <c r="D8080" s="202"/>
      <c r="E8080" s="202"/>
      <c r="U8080" s="204"/>
    </row>
    <row r="8081" spans="2:21" x14ac:dyDescent="0.2">
      <c r="B8081" s="203"/>
      <c r="C8081" s="237"/>
      <c r="D8081" s="202"/>
      <c r="E8081" s="202"/>
      <c r="U8081" s="204"/>
    </row>
    <row r="8082" spans="2:21" x14ac:dyDescent="0.2">
      <c r="B8082" s="203"/>
      <c r="C8082" s="237"/>
      <c r="D8082" s="202"/>
      <c r="E8082" s="202"/>
      <c r="U8082" s="204"/>
    </row>
    <row r="8083" spans="2:21" x14ac:dyDescent="0.2">
      <c r="B8083" s="203"/>
      <c r="C8083" s="237"/>
      <c r="D8083" s="202"/>
      <c r="E8083" s="202"/>
      <c r="U8083" s="204"/>
    </row>
    <row r="8084" spans="2:21" x14ac:dyDescent="0.2">
      <c r="B8084" s="203"/>
      <c r="C8084" s="237"/>
      <c r="D8084" s="202"/>
      <c r="E8084" s="202"/>
      <c r="U8084" s="204"/>
    </row>
    <row r="8085" spans="2:21" x14ac:dyDescent="0.2">
      <c r="B8085" s="203"/>
      <c r="C8085" s="237"/>
      <c r="D8085" s="202"/>
      <c r="E8085" s="202"/>
      <c r="U8085" s="204"/>
    </row>
    <row r="8086" spans="2:21" x14ac:dyDescent="0.2">
      <c r="B8086" s="203"/>
      <c r="C8086" s="237"/>
      <c r="D8086" s="202"/>
      <c r="E8086" s="202"/>
      <c r="U8086" s="204"/>
    </row>
    <row r="8087" spans="2:21" x14ac:dyDescent="0.2">
      <c r="B8087" s="203"/>
      <c r="C8087" s="237"/>
      <c r="D8087" s="202"/>
      <c r="E8087" s="202"/>
      <c r="U8087" s="204"/>
    </row>
    <row r="8088" spans="2:21" x14ac:dyDescent="0.2">
      <c r="B8088" s="203"/>
      <c r="C8088" s="237"/>
      <c r="D8088" s="202"/>
      <c r="E8088" s="202"/>
      <c r="U8088" s="204"/>
    </row>
    <row r="8089" spans="2:21" x14ac:dyDescent="0.2">
      <c r="B8089" s="203"/>
      <c r="C8089" s="237"/>
      <c r="D8089" s="202"/>
      <c r="E8089" s="202"/>
      <c r="U8089" s="204"/>
    </row>
    <row r="8090" spans="2:21" x14ac:dyDescent="0.2">
      <c r="B8090" s="203"/>
      <c r="C8090" s="237"/>
      <c r="D8090" s="202"/>
      <c r="E8090" s="202"/>
      <c r="U8090" s="204"/>
    </row>
    <row r="8091" spans="2:21" x14ac:dyDescent="0.2">
      <c r="B8091" s="203"/>
      <c r="C8091" s="237"/>
      <c r="D8091" s="202"/>
      <c r="E8091" s="202"/>
      <c r="U8091" s="204"/>
    </row>
    <row r="8092" spans="2:21" x14ac:dyDescent="0.2">
      <c r="B8092" s="203"/>
      <c r="C8092" s="237"/>
      <c r="D8092" s="202"/>
      <c r="E8092" s="202"/>
      <c r="U8092" s="204"/>
    </row>
    <row r="8093" spans="2:21" x14ac:dyDescent="0.2">
      <c r="B8093" s="203"/>
      <c r="C8093" s="237"/>
      <c r="D8093" s="202"/>
      <c r="E8093" s="202"/>
      <c r="U8093" s="204"/>
    </row>
    <row r="8094" spans="2:21" x14ac:dyDescent="0.2">
      <c r="B8094" s="203"/>
      <c r="C8094" s="237"/>
      <c r="D8094" s="202"/>
      <c r="E8094" s="202"/>
      <c r="U8094" s="204"/>
    </row>
    <row r="8095" spans="2:21" x14ac:dyDescent="0.2">
      <c r="B8095" s="203"/>
      <c r="C8095" s="237"/>
      <c r="D8095" s="202"/>
      <c r="E8095" s="202"/>
      <c r="U8095" s="204"/>
    </row>
    <row r="8096" spans="2:21" x14ac:dyDescent="0.2">
      <c r="B8096" s="203"/>
      <c r="C8096" s="237"/>
      <c r="D8096" s="202"/>
      <c r="E8096" s="202"/>
      <c r="U8096" s="204"/>
    </row>
    <row r="8097" spans="2:21" x14ac:dyDescent="0.2">
      <c r="B8097" s="203"/>
      <c r="C8097" s="237"/>
      <c r="D8097" s="202"/>
      <c r="E8097" s="202"/>
      <c r="U8097" s="204"/>
    </row>
    <row r="8098" spans="2:21" x14ac:dyDescent="0.2">
      <c r="B8098" s="203"/>
      <c r="C8098" s="237"/>
      <c r="D8098" s="202"/>
      <c r="E8098" s="202"/>
      <c r="U8098" s="204"/>
    </row>
    <row r="8099" spans="2:21" x14ac:dyDescent="0.2">
      <c r="B8099" s="203"/>
      <c r="C8099" s="237"/>
      <c r="D8099" s="202"/>
      <c r="E8099" s="202"/>
      <c r="U8099" s="204"/>
    </row>
    <row r="8100" spans="2:21" x14ac:dyDescent="0.2">
      <c r="B8100" s="203"/>
      <c r="C8100" s="237"/>
      <c r="D8100" s="202"/>
      <c r="E8100" s="202"/>
      <c r="U8100" s="204"/>
    </row>
    <row r="8101" spans="2:21" x14ac:dyDescent="0.2">
      <c r="B8101" s="203"/>
      <c r="C8101" s="237"/>
      <c r="D8101" s="202"/>
      <c r="E8101" s="202"/>
      <c r="U8101" s="204"/>
    </row>
    <row r="8102" spans="2:21" x14ac:dyDescent="0.2">
      <c r="B8102" s="203"/>
      <c r="C8102" s="237"/>
      <c r="D8102" s="202"/>
      <c r="E8102" s="202"/>
      <c r="U8102" s="204"/>
    </row>
    <row r="8103" spans="2:21" x14ac:dyDescent="0.2">
      <c r="B8103" s="203"/>
      <c r="C8103" s="237"/>
      <c r="D8103" s="202"/>
      <c r="E8103" s="202"/>
      <c r="U8103" s="204"/>
    </row>
    <row r="8104" spans="2:21" x14ac:dyDescent="0.2">
      <c r="B8104" s="203"/>
      <c r="C8104" s="237"/>
      <c r="D8104" s="202"/>
      <c r="E8104" s="202"/>
      <c r="U8104" s="204"/>
    </row>
    <row r="8105" spans="2:21" x14ac:dyDescent="0.2">
      <c r="B8105" s="203"/>
      <c r="C8105" s="237"/>
      <c r="D8105" s="202"/>
      <c r="E8105" s="202"/>
      <c r="U8105" s="204"/>
    </row>
    <row r="8106" spans="2:21" x14ac:dyDescent="0.2">
      <c r="B8106" s="203"/>
      <c r="C8106" s="237"/>
      <c r="D8106" s="202"/>
      <c r="E8106" s="202"/>
      <c r="U8106" s="204"/>
    </row>
    <row r="8107" spans="2:21" x14ac:dyDescent="0.2">
      <c r="B8107" s="203"/>
      <c r="C8107" s="237"/>
      <c r="D8107" s="202"/>
      <c r="E8107" s="202"/>
      <c r="U8107" s="204"/>
    </row>
    <row r="8108" spans="2:21" x14ac:dyDescent="0.2">
      <c r="B8108" s="203"/>
      <c r="C8108" s="237"/>
      <c r="D8108" s="202"/>
      <c r="E8108" s="202"/>
      <c r="U8108" s="204"/>
    </row>
    <row r="8109" spans="2:21" x14ac:dyDescent="0.2">
      <c r="B8109" s="203"/>
      <c r="C8109" s="237"/>
      <c r="D8109" s="202"/>
      <c r="E8109" s="202"/>
      <c r="U8109" s="204"/>
    </row>
    <row r="8110" spans="2:21" x14ac:dyDescent="0.2">
      <c r="B8110" s="203"/>
      <c r="C8110" s="237"/>
      <c r="D8110" s="202"/>
      <c r="E8110" s="202"/>
      <c r="U8110" s="204"/>
    </row>
    <row r="8111" spans="2:21" x14ac:dyDescent="0.2">
      <c r="B8111" s="203"/>
      <c r="C8111" s="237"/>
      <c r="D8111" s="202"/>
      <c r="E8111" s="202"/>
      <c r="U8111" s="204"/>
    </row>
    <row r="8112" spans="2:21" x14ac:dyDescent="0.2">
      <c r="B8112" s="203"/>
      <c r="C8112" s="237"/>
      <c r="D8112" s="202"/>
      <c r="E8112" s="202"/>
      <c r="U8112" s="204"/>
    </row>
    <row r="8113" spans="2:21" x14ac:dyDescent="0.2">
      <c r="B8113" s="203"/>
      <c r="C8113" s="237"/>
      <c r="D8113" s="202"/>
      <c r="E8113" s="202"/>
      <c r="U8113" s="204"/>
    </row>
    <row r="8114" spans="2:21" x14ac:dyDescent="0.2">
      <c r="B8114" s="203"/>
      <c r="C8114" s="237"/>
      <c r="D8114" s="202"/>
      <c r="E8114" s="202"/>
      <c r="U8114" s="204"/>
    </row>
    <row r="8115" spans="2:21" x14ac:dyDescent="0.2">
      <c r="B8115" s="203"/>
      <c r="C8115" s="237"/>
      <c r="D8115" s="202"/>
      <c r="E8115" s="202"/>
      <c r="U8115" s="204"/>
    </row>
    <row r="8116" spans="2:21" x14ac:dyDescent="0.2">
      <c r="B8116" s="203"/>
      <c r="C8116" s="237"/>
      <c r="D8116" s="202"/>
      <c r="E8116" s="202"/>
      <c r="U8116" s="204"/>
    </row>
    <row r="8117" spans="2:21" x14ac:dyDescent="0.2">
      <c r="B8117" s="203"/>
      <c r="C8117" s="237"/>
      <c r="D8117" s="202"/>
      <c r="E8117" s="202"/>
      <c r="U8117" s="204"/>
    </row>
    <row r="8118" spans="2:21" x14ac:dyDescent="0.2">
      <c r="B8118" s="203"/>
      <c r="C8118" s="237"/>
      <c r="D8118" s="202"/>
      <c r="E8118" s="202"/>
      <c r="U8118" s="204"/>
    </row>
    <row r="8119" spans="2:21" x14ac:dyDescent="0.2">
      <c r="B8119" s="203"/>
      <c r="C8119" s="237"/>
      <c r="D8119" s="202"/>
      <c r="E8119" s="202"/>
      <c r="U8119" s="204"/>
    </row>
    <row r="8120" spans="2:21" x14ac:dyDescent="0.2">
      <c r="B8120" s="203"/>
      <c r="C8120" s="237"/>
      <c r="D8120" s="202"/>
      <c r="E8120" s="202"/>
      <c r="U8120" s="204"/>
    </row>
    <row r="8121" spans="2:21" x14ac:dyDescent="0.2">
      <c r="B8121" s="203"/>
      <c r="C8121" s="237"/>
      <c r="D8121" s="202"/>
      <c r="E8121" s="202"/>
      <c r="U8121" s="204"/>
    </row>
    <row r="8122" spans="2:21" x14ac:dyDescent="0.2">
      <c r="B8122" s="203"/>
      <c r="C8122" s="237"/>
      <c r="D8122" s="202"/>
      <c r="E8122" s="202"/>
      <c r="U8122" s="204"/>
    </row>
    <row r="8123" spans="2:21" x14ac:dyDescent="0.2">
      <c r="B8123" s="203"/>
      <c r="C8123" s="237"/>
      <c r="D8123" s="202"/>
      <c r="E8123" s="202"/>
      <c r="U8123" s="204"/>
    </row>
    <row r="8124" spans="2:21" x14ac:dyDescent="0.2">
      <c r="B8124" s="203"/>
      <c r="C8124" s="237"/>
      <c r="D8124" s="202"/>
      <c r="E8124" s="202"/>
      <c r="U8124" s="204"/>
    </row>
    <row r="8125" spans="2:21" x14ac:dyDescent="0.2">
      <c r="B8125" s="203"/>
      <c r="C8125" s="237"/>
      <c r="D8125" s="202"/>
      <c r="E8125" s="202"/>
      <c r="U8125" s="204"/>
    </row>
    <row r="8126" spans="2:21" x14ac:dyDescent="0.2">
      <c r="B8126" s="203"/>
      <c r="C8126" s="237"/>
      <c r="D8126" s="202"/>
      <c r="E8126" s="202"/>
      <c r="U8126" s="204"/>
    </row>
    <row r="8127" spans="2:21" x14ac:dyDescent="0.2">
      <c r="B8127" s="203"/>
      <c r="C8127" s="237"/>
      <c r="D8127" s="202"/>
      <c r="E8127" s="202"/>
      <c r="U8127" s="204"/>
    </row>
    <row r="8128" spans="2:21" x14ac:dyDescent="0.2">
      <c r="B8128" s="203"/>
      <c r="C8128" s="237"/>
      <c r="D8128" s="202"/>
      <c r="E8128" s="202"/>
      <c r="U8128" s="204"/>
    </row>
    <row r="8129" spans="2:21" x14ac:dyDescent="0.2">
      <c r="B8129" s="203"/>
      <c r="C8129" s="237"/>
      <c r="D8129" s="202"/>
      <c r="E8129" s="202"/>
      <c r="U8129" s="204"/>
    </row>
    <row r="8130" spans="2:21" x14ac:dyDescent="0.2">
      <c r="B8130" s="203"/>
      <c r="C8130" s="237"/>
      <c r="D8130" s="202"/>
      <c r="E8130" s="202"/>
      <c r="U8130" s="204"/>
    </row>
    <row r="8131" spans="2:21" x14ac:dyDescent="0.2">
      <c r="B8131" s="203"/>
      <c r="C8131" s="237"/>
      <c r="D8131" s="202"/>
      <c r="E8131" s="202"/>
      <c r="U8131" s="204"/>
    </row>
    <row r="8132" spans="2:21" x14ac:dyDescent="0.2">
      <c r="B8132" s="203"/>
      <c r="C8132" s="237"/>
      <c r="D8132" s="202"/>
      <c r="E8132" s="202"/>
      <c r="U8132" s="204"/>
    </row>
    <row r="8133" spans="2:21" x14ac:dyDescent="0.2">
      <c r="B8133" s="203"/>
      <c r="C8133" s="237"/>
      <c r="D8133" s="202"/>
      <c r="E8133" s="202"/>
      <c r="U8133" s="204"/>
    </row>
    <row r="8134" spans="2:21" x14ac:dyDescent="0.2">
      <c r="B8134" s="203"/>
      <c r="C8134" s="237"/>
      <c r="D8134" s="202"/>
      <c r="E8134" s="202"/>
      <c r="U8134" s="204"/>
    </row>
    <row r="8135" spans="2:21" x14ac:dyDescent="0.2">
      <c r="B8135" s="203"/>
      <c r="C8135" s="237"/>
      <c r="D8135" s="202"/>
      <c r="E8135" s="202"/>
      <c r="U8135" s="204"/>
    </row>
    <row r="8136" spans="2:21" x14ac:dyDescent="0.2">
      <c r="B8136" s="203"/>
      <c r="C8136" s="237"/>
      <c r="D8136" s="202"/>
      <c r="E8136" s="202"/>
      <c r="U8136" s="204"/>
    </row>
    <row r="8137" spans="2:21" x14ac:dyDescent="0.2">
      <c r="B8137" s="203"/>
      <c r="C8137" s="237"/>
      <c r="D8137" s="202"/>
      <c r="E8137" s="202"/>
      <c r="U8137" s="204"/>
    </row>
    <row r="8138" spans="2:21" x14ac:dyDescent="0.2">
      <c r="B8138" s="203"/>
      <c r="C8138" s="237"/>
      <c r="D8138" s="202"/>
      <c r="E8138" s="202"/>
      <c r="U8138" s="204"/>
    </row>
    <row r="8139" spans="2:21" x14ac:dyDescent="0.2">
      <c r="B8139" s="203"/>
      <c r="C8139" s="237"/>
      <c r="D8139" s="202"/>
      <c r="E8139" s="202"/>
      <c r="U8139" s="204"/>
    </row>
    <row r="8140" spans="2:21" x14ac:dyDescent="0.2">
      <c r="B8140" s="203"/>
      <c r="C8140" s="237"/>
      <c r="D8140" s="202"/>
      <c r="E8140" s="202"/>
      <c r="U8140" s="204"/>
    </row>
    <row r="8141" spans="2:21" x14ac:dyDescent="0.2">
      <c r="B8141" s="203"/>
      <c r="C8141" s="237"/>
      <c r="D8141" s="202"/>
      <c r="E8141" s="202"/>
      <c r="U8141" s="204"/>
    </row>
    <row r="8142" spans="2:21" x14ac:dyDescent="0.2">
      <c r="B8142" s="203"/>
      <c r="C8142" s="237"/>
      <c r="D8142" s="202"/>
      <c r="E8142" s="202"/>
      <c r="U8142" s="204"/>
    </row>
    <row r="8143" spans="2:21" x14ac:dyDescent="0.2">
      <c r="B8143" s="203"/>
      <c r="C8143" s="237"/>
      <c r="D8143" s="202"/>
      <c r="E8143" s="202"/>
      <c r="U8143" s="204"/>
    </row>
    <row r="8144" spans="2:21" x14ac:dyDescent="0.2">
      <c r="B8144" s="203"/>
      <c r="C8144" s="237"/>
      <c r="D8144" s="202"/>
      <c r="E8144" s="202"/>
      <c r="U8144" s="204"/>
    </row>
    <row r="8145" spans="2:21" x14ac:dyDescent="0.2">
      <c r="B8145" s="203"/>
      <c r="C8145" s="237"/>
      <c r="D8145" s="202"/>
      <c r="E8145" s="202"/>
      <c r="U8145" s="204"/>
    </row>
    <row r="8146" spans="2:21" x14ac:dyDescent="0.2">
      <c r="B8146" s="203"/>
      <c r="C8146" s="237"/>
      <c r="D8146" s="202"/>
      <c r="E8146" s="202"/>
      <c r="U8146" s="204"/>
    </row>
    <row r="8147" spans="2:21" x14ac:dyDescent="0.2">
      <c r="B8147" s="203"/>
      <c r="C8147" s="237"/>
      <c r="D8147" s="202"/>
      <c r="E8147" s="202"/>
      <c r="U8147" s="204"/>
    </row>
    <row r="8148" spans="2:21" x14ac:dyDescent="0.2">
      <c r="B8148" s="203"/>
      <c r="C8148" s="237"/>
      <c r="D8148" s="202"/>
      <c r="E8148" s="202"/>
      <c r="U8148" s="204"/>
    </row>
    <row r="8149" spans="2:21" x14ac:dyDescent="0.2">
      <c r="B8149" s="203"/>
      <c r="C8149" s="237"/>
      <c r="D8149" s="202"/>
      <c r="E8149" s="202"/>
      <c r="U8149" s="204"/>
    </row>
    <row r="8150" spans="2:21" x14ac:dyDescent="0.2">
      <c r="B8150" s="203"/>
      <c r="C8150" s="237"/>
      <c r="D8150" s="202"/>
      <c r="E8150" s="202"/>
      <c r="U8150" s="204"/>
    </row>
    <row r="8151" spans="2:21" x14ac:dyDescent="0.2">
      <c r="B8151" s="203"/>
      <c r="C8151" s="237"/>
      <c r="D8151" s="202"/>
      <c r="E8151" s="202"/>
      <c r="U8151" s="204"/>
    </row>
    <row r="8152" spans="2:21" x14ac:dyDescent="0.2">
      <c r="B8152" s="203"/>
      <c r="C8152" s="237"/>
      <c r="D8152" s="202"/>
      <c r="E8152" s="202"/>
      <c r="U8152" s="204"/>
    </row>
    <row r="8153" spans="2:21" x14ac:dyDescent="0.2">
      <c r="B8153" s="203"/>
      <c r="C8153" s="237"/>
      <c r="D8153" s="202"/>
      <c r="E8153" s="202"/>
      <c r="U8153" s="204"/>
    </row>
    <row r="8154" spans="2:21" x14ac:dyDescent="0.2">
      <c r="B8154" s="203"/>
      <c r="C8154" s="237"/>
      <c r="D8154" s="202"/>
      <c r="E8154" s="202"/>
      <c r="U8154" s="204"/>
    </row>
    <row r="8155" spans="2:21" x14ac:dyDescent="0.2">
      <c r="B8155" s="203"/>
      <c r="C8155" s="237"/>
      <c r="D8155" s="202"/>
      <c r="E8155" s="202"/>
      <c r="U8155" s="204"/>
    </row>
    <row r="8156" spans="2:21" x14ac:dyDescent="0.2">
      <c r="B8156" s="203"/>
      <c r="C8156" s="237"/>
      <c r="D8156" s="202"/>
      <c r="E8156" s="202"/>
      <c r="U8156" s="204"/>
    </row>
    <row r="8157" spans="2:21" x14ac:dyDescent="0.2">
      <c r="B8157" s="203"/>
      <c r="C8157" s="237"/>
      <c r="D8157" s="202"/>
      <c r="E8157" s="202"/>
      <c r="U8157" s="204"/>
    </row>
    <row r="8158" spans="2:21" x14ac:dyDescent="0.2">
      <c r="B8158" s="203"/>
      <c r="C8158" s="237"/>
      <c r="D8158" s="202"/>
      <c r="E8158" s="202"/>
      <c r="U8158" s="204"/>
    </row>
    <row r="8159" spans="2:21" x14ac:dyDescent="0.2">
      <c r="B8159" s="203"/>
      <c r="C8159" s="237"/>
      <c r="D8159" s="202"/>
      <c r="E8159" s="202"/>
      <c r="U8159" s="204"/>
    </row>
    <row r="8160" spans="2:21" x14ac:dyDescent="0.2">
      <c r="B8160" s="203"/>
      <c r="C8160" s="237"/>
      <c r="D8160" s="202"/>
      <c r="E8160" s="202"/>
      <c r="U8160" s="204"/>
    </row>
    <row r="8161" spans="2:21" x14ac:dyDescent="0.2">
      <c r="B8161" s="203"/>
      <c r="C8161" s="237"/>
      <c r="D8161" s="202"/>
      <c r="E8161" s="202"/>
      <c r="U8161" s="204"/>
    </row>
    <row r="8162" spans="2:21" x14ac:dyDescent="0.2">
      <c r="B8162" s="203"/>
      <c r="C8162" s="237"/>
      <c r="D8162" s="202"/>
      <c r="E8162" s="202"/>
      <c r="U8162" s="204"/>
    </row>
    <row r="8163" spans="2:21" x14ac:dyDescent="0.2">
      <c r="B8163" s="203"/>
      <c r="C8163" s="237"/>
      <c r="D8163" s="202"/>
      <c r="E8163" s="202"/>
      <c r="U8163" s="204"/>
    </row>
    <row r="8164" spans="2:21" x14ac:dyDescent="0.2">
      <c r="B8164" s="203"/>
      <c r="C8164" s="237"/>
      <c r="D8164" s="202"/>
      <c r="E8164" s="202"/>
      <c r="U8164" s="204"/>
    </row>
    <row r="8165" spans="2:21" x14ac:dyDescent="0.2">
      <c r="B8165" s="203"/>
      <c r="C8165" s="237"/>
      <c r="D8165" s="202"/>
      <c r="E8165" s="202"/>
      <c r="U8165" s="204"/>
    </row>
    <row r="8166" spans="2:21" x14ac:dyDescent="0.2">
      <c r="B8166" s="203"/>
      <c r="C8166" s="237"/>
      <c r="D8166" s="202"/>
      <c r="E8166" s="202"/>
      <c r="U8166" s="204"/>
    </row>
    <row r="8167" spans="2:21" x14ac:dyDescent="0.2">
      <c r="B8167" s="203"/>
      <c r="C8167" s="237"/>
      <c r="D8167" s="202"/>
      <c r="E8167" s="202"/>
      <c r="U8167" s="204"/>
    </row>
    <row r="8168" spans="2:21" x14ac:dyDescent="0.2">
      <c r="B8168" s="203"/>
      <c r="C8168" s="237"/>
      <c r="D8168" s="202"/>
      <c r="E8168" s="202"/>
      <c r="U8168" s="204"/>
    </row>
    <row r="8169" spans="2:21" x14ac:dyDescent="0.2">
      <c r="B8169" s="203"/>
      <c r="C8169" s="237"/>
      <c r="D8169" s="202"/>
      <c r="E8169" s="202"/>
      <c r="U8169" s="204"/>
    </row>
    <row r="8170" spans="2:21" x14ac:dyDescent="0.2">
      <c r="B8170" s="203"/>
      <c r="C8170" s="237"/>
      <c r="D8170" s="202"/>
      <c r="E8170" s="202"/>
      <c r="U8170" s="204"/>
    </row>
    <row r="8171" spans="2:21" x14ac:dyDescent="0.2">
      <c r="B8171" s="203"/>
      <c r="C8171" s="237"/>
      <c r="D8171" s="202"/>
      <c r="E8171" s="202"/>
      <c r="U8171" s="204"/>
    </row>
    <row r="8172" spans="2:21" x14ac:dyDescent="0.2">
      <c r="B8172" s="203"/>
      <c r="C8172" s="237"/>
      <c r="D8172" s="202"/>
      <c r="E8172" s="202"/>
      <c r="U8172" s="204"/>
    </row>
    <row r="8173" spans="2:21" x14ac:dyDescent="0.2">
      <c r="B8173" s="203"/>
      <c r="C8173" s="237"/>
      <c r="D8173" s="202"/>
      <c r="E8173" s="202"/>
      <c r="U8173" s="204"/>
    </row>
    <row r="8174" spans="2:21" x14ac:dyDescent="0.2">
      <c r="B8174" s="203"/>
      <c r="C8174" s="237"/>
      <c r="D8174" s="202"/>
      <c r="E8174" s="202"/>
      <c r="U8174" s="204"/>
    </row>
    <row r="8175" spans="2:21" x14ac:dyDescent="0.2">
      <c r="B8175" s="203"/>
      <c r="C8175" s="237"/>
      <c r="D8175" s="202"/>
      <c r="E8175" s="202"/>
      <c r="U8175" s="204"/>
    </row>
    <row r="8176" spans="2:21" x14ac:dyDescent="0.2">
      <c r="B8176" s="203"/>
      <c r="C8176" s="237"/>
      <c r="D8176" s="202"/>
      <c r="E8176" s="202"/>
      <c r="U8176" s="204"/>
    </row>
    <row r="8177" spans="2:21" x14ac:dyDescent="0.2">
      <c r="B8177" s="203"/>
      <c r="C8177" s="237"/>
      <c r="D8177" s="202"/>
      <c r="E8177" s="202"/>
      <c r="U8177" s="204"/>
    </row>
    <row r="8178" spans="2:21" x14ac:dyDescent="0.2">
      <c r="B8178" s="203"/>
      <c r="C8178" s="237"/>
      <c r="D8178" s="202"/>
      <c r="E8178" s="202"/>
      <c r="U8178" s="204"/>
    </row>
    <row r="8179" spans="2:21" x14ac:dyDescent="0.2">
      <c r="B8179" s="203"/>
      <c r="C8179" s="237"/>
      <c r="D8179" s="202"/>
      <c r="E8179" s="202"/>
      <c r="U8179" s="204"/>
    </row>
    <row r="8180" spans="2:21" x14ac:dyDescent="0.2">
      <c r="B8180" s="203"/>
      <c r="C8180" s="237"/>
      <c r="D8180" s="202"/>
      <c r="E8180" s="202"/>
      <c r="U8180" s="204"/>
    </row>
    <row r="8181" spans="2:21" x14ac:dyDescent="0.2">
      <c r="B8181" s="203"/>
      <c r="C8181" s="237"/>
      <c r="D8181" s="202"/>
      <c r="E8181" s="202"/>
      <c r="U8181" s="204"/>
    </row>
    <row r="8182" spans="2:21" x14ac:dyDescent="0.2">
      <c r="B8182" s="203"/>
      <c r="C8182" s="237"/>
      <c r="D8182" s="202"/>
      <c r="E8182" s="202"/>
      <c r="U8182" s="204"/>
    </row>
    <row r="8183" spans="2:21" x14ac:dyDescent="0.2">
      <c r="B8183" s="203"/>
      <c r="C8183" s="237"/>
      <c r="D8183" s="202"/>
      <c r="E8183" s="202"/>
      <c r="U8183" s="204"/>
    </row>
    <row r="8184" spans="2:21" x14ac:dyDescent="0.2">
      <c r="B8184" s="203"/>
      <c r="C8184" s="237"/>
      <c r="D8184" s="202"/>
      <c r="E8184" s="202"/>
      <c r="U8184" s="204"/>
    </row>
    <row r="8185" spans="2:21" x14ac:dyDescent="0.2">
      <c r="B8185" s="203"/>
      <c r="C8185" s="237"/>
      <c r="D8185" s="202"/>
      <c r="E8185" s="202"/>
      <c r="U8185" s="204"/>
    </row>
    <row r="8186" spans="2:21" x14ac:dyDescent="0.2">
      <c r="B8186" s="203"/>
      <c r="C8186" s="237"/>
      <c r="D8186" s="202"/>
      <c r="E8186" s="202"/>
      <c r="U8186" s="204"/>
    </row>
    <row r="8187" spans="2:21" x14ac:dyDescent="0.2">
      <c r="B8187" s="203"/>
      <c r="C8187" s="237"/>
      <c r="D8187" s="202"/>
      <c r="E8187" s="202"/>
      <c r="U8187" s="204"/>
    </row>
    <row r="8188" spans="2:21" x14ac:dyDescent="0.2">
      <c r="B8188" s="203"/>
      <c r="C8188" s="237"/>
      <c r="D8188" s="202"/>
      <c r="E8188" s="202"/>
      <c r="U8188" s="204"/>
    </row>
    <row r="8189" spans="2:21" x14ac:dyDescent="0.2">
      <c r="B8189" s="203"/>
      <c r="C8189" s="237"/>
      <c r="D8189" s="202"/>
      <c r="E8189" s="202"/>
      <c r="U8189" s="204"/>
    </row>
    <row r="8190" spans="2:21" x14ac:dyDescent="0.2">
      <c r="B8190" s="203"/>
      <c r="C8190" s="237"/>
      <c r="D8190" s="202"/>
      <c r="E8190" s="202"/>
      <c r="U8190" s="204"/>
    </row>
    <row r="8191" spans="2:21" x14ac:dyDescent="0.2">
      <c r="B8191" s="203"/>
      <c r="C8191" s="237"/>
      <c r="D8191" s="202"/>
      <c r="E8191" s="202"/>
      <c r="U8191" s="204"/>
    </row>
    <row r="8192" spans="2:21" x14ac:dyDescent="0.2">
      <c r="B8192" s="203"/>
      <c r="C8192" s="237"/>
      <c r="D8192" s="202"/>
      <c r="E8192" s="202"/>
      <c r="U8192" s="204"/>
    </row>
    <row r="8193" spans="2:21" x14ac:dyDescent="0.2">
      <c r="B8193" s="203"/>
      <c r="C8193" s="237"/>
      <c r="D8193" s="202"/>
      <c r="E8193" s="202"/>
      <c r="U8193" s="204"/>
    </row>
    <row r="8194" spans="2:21" x14ac:dyDescent="0.2">
      <c r="B8194" s="203"/>
      <c r="C8194" s="237"/>
      <c r="D8194" s="202"/>
      <c r="E8194" s="202"/>
      <c r="U8194" s="204"/>
    </row>
    <row r="8195" spans="2:21" x14ac:dyDescent="0.2">
      <c r="B8195" s="203"/>
      <c r="C8195" s="237"/>
      <c r="D8195" s="202"/>
      <c r="E8195" s="202"/>
      <c r="U8195" s="204"/>
    </row>
    <row r="8196" spans="2:21" x14ac:dyDescent="0.2">
      <c r="B8196" s="203"/>
      <c r="C8196" s="237"/>
      <c r="D8196" s="202"/>
      <c r="E8196" s="202"/>
      <c r="U8196" s="204"/>
    </row>
    <row r="8197" spans="2:21" x14ac:dyDescent="0.2">
      <c r="B8197" s="203"/>
      <c r="C8197" s="237"/>
      <c r="D8197" s="202"/>
      <c r="E8197" s="202"/>
      <c r="U8197" s="204"/>
    </row>
    <row r="8198" spans="2:21" x14ac:dyDescent="0.2">
      <c r="B8198" s="203"/>
      <c r="C8198" s="237"/>
      <c r="D8198" s="202"/>
      <c r="E8198" s="202"/>
      <c r="U8198" s="204"/>
    </row>
    <row r="8199" spans="2:21" x14ac:dyDescent="0.2">
      <c r="B8199" s="203"/>
      <c r="C8199" s="237"/>
      <c r="D8199" s="202"/>
      <c r="E8199" s="202"/>
      <c r="U8199" s="204"/>
    </row>
    <row r="8200" spans="2:21" x14ac:dyDescent="0.2">
      <c r="B8200" s="203"/>
      <c r="C8200" s="237"/>
      <c r="D8200" s="202"/>
      <c r="E8200" s="202"/>
      <c r="U8200" s="204"/>
    </row>
    <row r="8201" spans="2:21" x14ac:dyDescent="0.2">
      <c r="B8201" s="203"/>
      <c r="C8201" s="237"/>
      <c r="D8201" s="202"/>
      <c r="E8201" s="202"/>
      <c r="U8201" s="204"/>
    </row>
    <row r="8202" spans="2:21" x14ac:dyDescent="0.2">
      <c r="B8202" s="203"/>
      <c r="C8202" s="237"/>
      <c r="D8202" s="202"/>
      <c r="E8202" s="202"/>
      <c r="U8202" s="204"/>
    </row>
    <row r="8203" spans="2:21" x14ac:dyDescent="0.2">
      <c r="B8203" s="203"/>
      <c r="C8203" s="237"/>
      <c r="D8203" s="202"/>
      <c r="E8203" s="202"/>
      <c r="U8203" s="204"/>
    </row>
    <row r="8204" spans="2:21" x14ac:dyDescent="0.2">
      <c r="B8204" s="203"/>
      <c r="C8204" s="237"/>
      <c r="D8204" s="202"/>
      <c r="E8204" s="202"/>
      <c r="U8204" s="204"/>
    </row>
    <row r="8205" spans="2:21" x14ac:dyDescent="0.2">
      <c r="B8205" s="203"/>
      <c r="C8205" s="237"/>
      <c r="D8205" s="202"/>
      <c r="E8205" s="202"/>
      <c r="U8205" s="204"/>
    </row>
    <row r="8206" spans="2:21" x14ac:dyDescent="0.2">
      <c r="B8206" s="203"/>
      <c r="C8206" s="237"/>
      <c r="D8206" s="202"/>
      <c r="E8206" s="202"/>
      <c r="U8206" s="204"/>
    </row>
    <row r="8207" spans="2:21" x14ac:dyDescent="0.2">
      <c r="B8207" s="203"/>
      <c r="C8207" s="237"/>
      <c r="D8207" s="202"/>
      <c r="E8207" s="202"/>
      <c r="U8207" s="204"/>
    </row>
    <row r="8208" spans="2:21" x14ac:dyDescent="0.2">
      <c r="B8208" s="203"/>
      <c r="C8208" s="237"/>
      <c r="D8208" s="202"/>
      <c r="E8208" s="202"/>
      <c r="U8208" s="204"/>
    </row>
    <row r="8209" spans="2:21" x14ac:dyDescent="0.2">
      <c r="B8209" s="203"/>
      <c r="C8209" s="237"/>
      <c r="D8209" s="202"/>
      <c r="E8209" s="202"/>
      <c r="U8209" s="204"/>
    </row>
    <row r="8210" spans="2:21" x14ac:dyDescent="0.2">
      <c r="B8210" s="203"/>
      <c r="C8210" s="237"/>
      <c r="D8210" s="202"/>
      <c r="E8210" s="202"/>
      <c r="U8210" s="204"/>
    </row>
    <row r="8211" spans="2:21" x14ac:dyDescent="0.2">
      <c r="B8211" s="203"/>
      <c r="C8211" s="237"/>
      <c r="D8211" s="202"/>
      <c r="E8211" s="202"/>
      <c r="U8211" s="204"/>
    </row>
    <row r="8212" spans="2:21" x14ac:dyDescent="0.2">
      <c r="B8212" s="203"/>
      <c r="C8212" s="237"/>
      <c r="D8212" s="202"/>
      <c r="E8212" s="202"/>
      <c r="U8212" s="204"/>
    </row>
    <row r="8213" spans="2:21" x14ac:dyDescent="0.2">
      <c r="B8213" s="203"/>
      <c r="C8213" s="237"/>
      <c r="D8213" s="202"/>
      <c r="E8213" s="202"/>
      <c r="U8213" s="204"/>
    </row>
    <row r="8214" spans="2:21" x14ac:dyDescent="0.2">
      <c r="B8214" s="203"/>
      <c r="C8214" s="237"/>
      <c r="D8214" s="202"/>
      <c r="E8214" s="202"/>
      <c r="U8214" s="204"/>
    </row>
    <row r="8215" spans="2:21" x14ac:dyDescent="0.2">
      <c r="B8215" s="203"/>
      <c r="C8215" s="237"/>
      <c r="D8215" s="202"/>
      <c r="E8215" s="202"/>
      <c r="U8215" s="204"/>
    </row>
    <row r="8216" spans="2:21" x14ac:dyDescent="0.2">
      <c r="B8216" s="203"/>
      <c r="C8216" s="237"/>
      <c r="D8216" s="202"/>
      <c r="E8216" s="202"/>
      <c r="U8216" s="204"/>
    </row>
    <row r="8217" spans="2:21" x14ac:dyDescent="0.2">
      <c r="B8217" s="203"/>
      <c r="C8217" s="237"/>
      <c r="D8217" s="202"/>
      <c r="E8217" s="202"/>
      <c r="U8217" s="204"/>
    </row>
    <row r="8218" spans="2:21" x14ac:dyDescent="0.2">
      <c r="B8218" s="203"/>
      <c r="C8218" s="237"/>
      <c r="D8218" s="202"/>
      <c r="E8218" s="202"/>
      <c r="U8218" s="204"/>
    </row>
    <row r="8219" spans="2:21" x14ac:dyDescent="0.2">
      <c r="B8219" s="203"/>
      <c r="C8219" s="237"/>
      <c r="D8219" s="202"/>
      <c r="E8219" s="202"/>
      <c r="U8219" s="204"/>
    </row>
    <row r="8220" spans="2:21" x14ac:dyDescent="0.2">
      <c r="B8220" s="203"/>
      <c r="C8220" s="237"/>
      <c r="D8220" s="202"/>
      <c r="E8220" s="202"/>
      <c r="U8220" s="204"/>
    </row>
    <row r="8221" spans="2:21" x14ac:dyDescent="0.2">
      <c r="B8221" s="203"/>
      <c r="C8221" s="237"/>
      <c r="D8221" s="202"/>
      <c r="E8221" s="202"/>
      <c r="U8221" s="204"/>
    </row>
    <row r="8222" spans="2:21" x14ac:dyDescent="0.2">
      <c r="B8222" s="203"/>
      <c r="C8222" s="237"/>
      <c r="D8222" s="202"/>
      <c r="E8222" s="202"/>
      <c r="U8222" s="204"/>
    </row>
    <row r="8223" spans="2:21" x14ac:dyDescent="0.2">
      <c r="B8223" s="203"/>
      <c r="C8223" s="237"/>
      <c r="D8223" s="202"/>
      <c r="E8223" s="202"/>
      <c r="U8223" s="204"/>
    </row>
    <row r="8224" spans="2:21" x14ac:dyDescent="0.2">
      <c r="B8224" s="203"/>
      <c r="C8224" s="237"/>
      <c r="D8224" s="202"/>
      <c r="E8224" s="202"/>
      <c r="U8224" s="204"/>
    </row>
    <row r="8225" spans="2:21" x14ac:dyDescent="0.2">
      <c r="B8225" s="203"/>
      <c r="C8225" s="237"/>
      <c r="D8225" s="202"/>
      <c r="E8225" s="202"/>
      <c r="U8225" s="204"/>
    </row>
    <row r="8226" spans="2:21" x14ac:dyDescent="0.2">
      <c r="B8226" s="203"/>
      <c r="C8226" s="237"/>
      <c r="D8226" s="202"/>
      <c r="E8226" s="202"/>
      <c r="U8226" s="204"/>
    </row>
    <row r="8227" spans="2:21" x14ac:dyDescent="0.2">
      <c r="B8227" s="203"/>
      <c r="C8227" s="237"/>
      <c r="D8227" s="202"/>
      <c r="E8227" s="202"/>
      <c r="U8227" s="204"/>
    </row>
    <row r="8228" spans="2:21" x14ac:dyDescent="0.2">
      <c r="B8228" s="203"/>
      <c r="C8228" s="237"/>
      <c r="D8228" s="202"/>
      <c r="E8228" s="202"/>
      <c r="U8228" s="204"/>
    </row>
    <row r="8229" spans="2:21" x14ac:dyDescent="0.2">
      <c r="B8229" s="203"/>
      <c r="C8229" s="237"/>
      <c r="D8229" s="202"/>
      <c r="E8229" s="202"/>
      <c r="U8229" s="204"/>
    </row>
    <row r="8230" spans="2:21" x14ac:dyDescent="0.2">
      <c r="B8230" s="203"/>
      <c r="C8230" s="237"/>
      <c r="D8230" s="202"/>
      <c r="E8230" s="202"/>
      <c r="U8230" s="204"/>
    </row>
    <row r="8231" spans="2:21" x14ac:dyDescent="0.2">
      <c r="B8231" s="203"/>
      <c r="C8231" s="237"/>
      <c r="D8231" s="202"/>
      <c r="E8231" s="202"/>
      <c r="U8231" s="204"/>
    </row>
    <row r="8232" spans="2:21" x14ac:dyDescent="0.2">
      <c r="B8232" s="203"/>
      <c r="C8232" s="237"/>
      <c r="D8232" s="202"/>
      <c r="E8232" s="202"/>
      <c r="U8232" s="204"/>
    </row>
    <row r="8233" spans="2:21" x14ac:dyDescent="0.2">
      <c r="B8233" s="203"/>
      <c r="C8233" s="237"/>
      <c r="D8233" s="202"/>
      <c r="E8233" s="202"/>
      <c r="U8233" s="204"/>
    </row>
    <row r="8234" spans="2:21" x14ac:dyDescent="0.2">
      <c r="B8234" s="203"/>
      <c r="C8234" s="237"/>
      <c r="D8234" s="202"/>
      <c r="E8234" s="202"/>
      <c r="U8234" s="204"/>
    </row>
    <row r="8235" spans="2:21" x14ac:dyDescent="0.2">
      <c r="B8235" s="203"/>
      <c r="C8235" s="237"/>
      <c r="D8235" s="202"/>
      <c r="E8235" s="202"/>
      <c r="U8235" s="204"/>
    </row>
    <row r="8236" spans="2:21" x14ac:dyDescent="0.2">
      <c r="B8236" s="203"/>
      <c r="C8236" s="237"/>
      <c r="D8236" s="202"/>
      <c r="E8236" s="202"/>
      <c r="U8236" s="204"/>
    </row>
    <row r="8237" spans="2:21" x14ac:dyDescent="0.2">
      <c r="B8237" s="203"/>
      <c r="C8237" s="237"/>
      <c r="D8237" s="202"/>
      <c r="E8237" s="202"/>
      <c r="U8237" s="204"/>
    </row>
    <row r="8238" spans="2:21" x14ac:dyDescent="0.2">
      <c r="B8238" s="203"/>
      <c r="C8238" s="237"/>
      <c r="D8238" s="202"/>
      <c r="E8238" s="202"/>
      <c r="U8238" s="204"/>
    </row>
    <row r="8239" spans="2:21" x14ac:dyDescent="0.2">
      <c r="B8239" s="203"/>
      <c r="C8239" s="237"/>
      <c r="D8239" s="202"/>
      <c r="E8239" s="202"/>
      <c r="U8239" s="204"/>
    </row>
    <row r="8240" spans="2:21" x14ac:dyDescent="0.2">
      <c r="B8240" s="203"/>
      <c r="C8240" s="237"/>
      <c r="D8240" s="202"/>
      <c r="E8240" s="202"/>
      <c r="U8240" s="204"/>
    </row>
    <row r="8241" spans="2:21" x14ac:dyDescent="0.2">
      <c r="B8241" s="203"/>
      <c r="C8241" s="237"/>
      <c r="D8241" s="202"/>
      <c r="E8241" s="202"/>
      <c r="U8241" s="204"/>
    </row>
    <row r="8242" spans="2:21" x14ac:dyDescent="0.2">
      <c r="B8242" s="203"/>
      <c r="C8242" s="237"/>
      <c r="D8242" s="202"/>
      <c r="E8242" s="202"/>
      <c r="U8242" s="204"/>
    </row>
    <row r="8243" spans="2:21" x14ac:dyDescent="0.2">
      <c r="B8243" s="203"/>
      <c r="C8243" s="237"/>
      <c r="D8243" s="202"/>
      <c r="E8243" s="202"/>
      <c r="U8243" s="204"/>
    </row>
    <row r="8244" spans="2:21" x14ac:dyDescent="0.2">
      <c r="B8244" s="203"/>
      <c r="C8244" s="237"/>
      <c r="D8244" s="202"/>
      <c r="E8244" s="202"/>
      <c r="U8244" s="204"/>
    </row>
    <row r="8245" spans="2:21" x14ac:dyDescent="0.2">
      <c r="B8245" s="203"/>
      <c r="C8245" s="237"/>
      <c r="D8245" s="202"/>
      <c r="E8245" s="202"/>
      <c r="U8245" s="204"/>
    </row>
    <row r="8246" spans="2:21" x14ac:dyDescent="0.2">
      <c r="B8246" s="203"/>
      <c r="C8246" s="237"/>
      <c r="D8246" s="202"/>
      <c r="E8246" s="202"/>
      <c r="U8246" s="204"/>
    </row>
    <row r="8247" spans="2:21" x14ac:dyDescent="0.2">
      <c r="B8247" s="203"/>
      <c r="C8247" s="237"/>
      <c r="D8247" s="202"/>
      <c r="E8247" s="202"/>
      <c r="U8247" s="204"/>
    </row>
    <row r="8248" spans="2:21" x14ac:dyDescent="0.2">
      <c r="B8248" s="203"/>
      <c r="C8248" s="237"/>
      <c r="D8248" s="202"/>
      <c r="E8248" s="202"/>
      <c r="U8248" s="204"/>
    </row>
    <row r="8249" spans="2:21" x14ac:dyDescent="0.2">
      <c r="B8249" s="203"/>
      <c r="C8249" s="237"/>
      <c r="D8249" s="202"/>
      <c r="E8249" s="202"/>
      <c r="U8249" s="204"/>
    </row>
    <row r="8250" spans="2:21" x14ac:dyDescent="0.2">
      <c r="B8250" s="203"/>
      <c r="C8250" s="237"/>
      <c r="D8250" s="202"/>
      <c r="E8250" s="202"/>
      <c r="U8250" s="204"/>
    </row>
    <row r="8251" spans="2:21" x14ac:dyDescent="0.2">
      <c r="B8251" s="203"/>
      <c r="C8251" s="237"/>
      <c r="D8251" s="202"/>
      <c r="E8251" s="202"/>
      <c r="U8251" s="204"/>
    </row>
    <row r="8252" spans="2:21" x14ac:dyDescent="0.2">
      <c r="B8252" s="203"/>
      <c r="C8252" s="237"/>
      <c r="D8252" s="202"/>
      <c r="E8252" s="202"/>
      <c r="U8252" s="204"/>
    </row>
    <row r="8253" spans="2:21" x14ac:dyDescent="0.2">
      <c r="B8253" s="203"/>
      <c r="C8253" s="237"/>
      <c r="D8253" s="202"/>
      <c r="E8253" s="202"/>
      <c r="U8253" s="204"/>
    </row>
    <row r="8254" spans="2:21" x14ac:dyDescent="0.2">
      <c r="B8254" s="203"/>
      <c r="C8254" s="237"/>
      <c r="D8254" s="202"/>
      <c r="E8254" s="202"/>
      <c r="U8254" s="204"/>
    </row>
    <row r="8255" spans="2:21" x14ac:dyDescent="0.2">
      <c r="B8255" s="203"/>
      <c r="C8255" s="237"/>
      <c r="D8255" s="202"/>
      <c r="E8255" s="202"/>
      <c r="U8255" s="204"/>
    </row>
    <row r="8256" spans="2:21" x14ac:dyDescent="0.2">
      <c r="B8256" s="203"/>
      <c r="C8256" s="237"/>
      <c r="D8256" s="202"/>
      <c r="E8256" s="202"/>
      <c r="U8256" s="204"/>
    </row>
    <row r="8257" spans="2:21" x14ac:dyDescent="0.2">
      <c r="B8257" s="203"/>
      <c r="C8257" s="237"/>
      <c r="D8257" s="202"/>
      <c r="E8257" s="202"/>
      <c r="U8257" s="204"/>
    </row>
    <row r="8258" spans="2:21" x14ac:dyDescent="0.2">
      <c r="B8258" s="203"/>
      <c r="C8258" s="237"/>
      <c r="D8258" s="202"/>
      <c r="E8258" s="202"/>
      <c r="U8258" s="204"/>
    </row>
    <row r="8259" spans="2:21" x14ac:dyDescent="0.2">
      <c r="B8259" s="203"/>
      <c r="C8259" s="237"/>
      <c r="D8259" s="202"/>
      <c r="E8259" s="202"/>
      <c r="U8259" s="204"/>
    </row>
    <row r="8260" spans="2:21" x14ac:dyDescent="0.2">
      <c r="B8260" s="203"/>
      <c r="C8260" s="237"/>
      <c r="D8260" s="202"/>
      <c r="E8260" s="202"/>
      <c r="U8260" s="204"/>
    </row>
    <row r="8261" spans="2:21" x14ac:dyDescent="0.2">
      <c r="B8261" s="203"/>
      <c r="C8261" s="237"/>
      <c r="D8261" s="202"/>
      <c r="E8261" s="202"/>
      <c r="U8261" s="204"/>
    </row>
    <row r="8262" spans="2:21" x14ac:dyDescent="0.2">
      <c r="B8262" s="203"/>
      <c r="C8262" s="237"/>
      <c r="D8262" s="202"/>
      <c r="E8262" s="202"/>
      <c r="U8262" s="204"/>
    </row>
    <row r="8263" spans="2:21" x14ac:dyDescent="0.2">
      <c r="B8263" s="203"/>
      <c r="C8263" s="237"/>
      <c r="D8263" s="202"/>
      <c r="E8263" s="202"/>
      <c r="U8263" s="204"/>
    </row>
    <row r="8264" spans="2:21" x14ac:dyDescent="0.2">
      <c r="B8264" s="203"/>
      <c r="C8264" s="237"/>
      <c r="D8264" s="202"/>
      <c r="E8264" s="202"/>
      <c r="U8264" s="204"/>
    </row>
    <row r="8265" spans="2:21" x14ac:dyDescent="0.2">
      <c r="B8265" s="203"/>
      <c r="C8265" s="237"/>
      <c r="D8265" s="202"/>
      <c r="E8265" s="202"/>
      <c r="U8265" s="204"/>
    </row>
    <row r="8266" spans="2:21" x14ac:dyDescent="0.2">
      <c r="B8266" s="203"/>
      <c r="C8266" s="237"/>
      <c r="D8266" s="202"/>
      <c r="E8266" s="202"/>
      <c r="U8266" s="204"/>
    </row>
    <row r="8267" spans="2:21" x14ac:dyDescent="0.2">
      <c r="B8267" s="203"/>
      <c r="C8267" s="237"/>
      <c r="D8267" s="202"/>
      <c r="E8267" s="202"/>
      <c r="U8267" s="204"/>
    </row>
    <row r="8268" spans="2:21" x14ac:dyDescent="0.2">
      <c r="B8268" s="203"/>
      <c r="C8268" s="237"/>
      <c r="D8268" s="202"/>
      <c r="E8268" s="202"/>
      <c r="U8268" s="204"/>
    </row>
    <row r="8269" spans="2:21" x14ac:dyDescent="0.2">
      <c r="B8269" s="203"/>
      <c r="C8269" s="237"/>
      <c r="D8269" s="202"/>
      <c r="E8269" s="202"/>
      <c r="U8269" s="204"/>
    </row>
    <row r="8270" spans="2:21" x14ac:dyDescent="0.2">
      <c r="B8270" s="203"/>
      <c r="C8270" s="237"/>
      <c r="D8270" s="202"/>
      <c r="E8270" s="202"/>
      <c r="U8270" s="204"/>
    </row>
    <row r="8271" spans="2:21" x14ac:dyDescent="0.2">
      <c r="B8271" s="203"/>
      <c r="C8271" s="237"/>
      <c r="D8271" s="202"/>
      <c r="E8271" s="202"/>
      <c r="U8271" s="204"/>
    </row>
    <row r="8272" spans="2:21" x14ac:dyDescent="0.2">
      <c r="B8272" s="203"/>
      <c r="C8272" s="237"/>
      <c r="D8272" s="202"/>
      <c r="E8272" s="202"/>
      <c r="U8272" s="204"/>
    </row>
    <row r="8273" spans="2:21" x14ac:dyDescent="0.2">
      <c r="B8273" s="203"/>
      <c r="C8273" s="237"/>
      <c r="D8273" s="202"/>
      <c r="E8273" s="202"/>
      <c r="U8273" s="204"/>
    </row>
    <row r="8274" spans="2:21" x14ac:dyDescent="0.2">
      <c r="B8274" s="203"/>
      <c r="C8274" s="237"/>
      <c r="D8274" s="202"/>
      <c r="E8274" s="202"/>
      <c r="U8274" s="204"/>
    </row>
    <row r="8275" spans="2:21" x14ac:dyDescent="0.2">
      <c r="B8275" s="203"/>
      <c r="C8275" s="237"/>
      <c r="D8275" s="202"/>
      <c r="E8275" s="202"/>
      <c r="U8275" s="204"/>
    </row>
    <row r="8276" spans="2:21" x14ac:dyDescent="0.2">
      <c r="B8276" s="203"/>
      <c r="C8276" s="237"/>
      <c r="D8276" s="202"/>
      <c r="E8276" s="202"/>
      <c r="U8276" s="204"/>
    </row>
    <row r="8277" spans="2:21" x14ac:dyDescent="0.2">
      <c r="B8277" s="203"/>
      <c r="C8277" s="237"/>
      <c r="D8277" s="202"/>
      <c r="E8277" s="202"/>
      <c r="U8277" s="204"/>
    </row>
    <row r="8278" spans="2:21" x14ac:dyDescent="0.2">
      <c r="B8278" s="203"/>
      <c r="C8278" s="237"/>
      <c r="D8278" s="202"/>
      <c r="E8278" s="202"/>
      <c r="U8278" s="204"/>
    </row>
    <row r="8279" spans="2:21" x14ac:dyDescent="0.2">
      <c r="B8279" s="203"/>
      <c r="C8279" s="237"/>
      <c r="D8279" s="202"/>
      <c r="E8279" s="202"/>
      <c r="U8279" s="204"/>
    </row>
    <row r="8280" spans="2:21" x14ac:dyDescent="0.2">
      <c r="B8280" s="203"/>
      <c r="C8280" s="237"/>
      <c r="D8280" s="202"/>
      <c r="E8280" s="202"/>
      <c r="U8280" s="204"/>
    </row>
    <row r="8281" spans="2:21" x14ac:dyDescent="0.2">
      <c r="B8281" s="203"/>
      <c r="C8281" s="237"/>
      <c r="D8281" s="202"/>
      <c r="E8281" s="202"/>
      <c r="U8281" s="204"/>
    </row>
    <row r="8282" spans="2:21" x14ac:dyDescent="0.2">
      <c r="B8282" s="203"/>
      <c r="C8282" s="237"/>
      <c r="D8282" s="202"/>
      <c r="E8282" s="202"/>
      <c r="U8282" s="204"/>
    </row>
    <row r="8283" spans="2:21" x14ac:dyDescent="0.2">
      <c r="B8283" s="203"/>
      <c r="C8283" s="237"/>
      <c r="D8283" s="202"/>
      <c r="E8283" s="202"/>
      <c r="U8283" s="204"/>
    </row>
    <row r="8284" spans="2:21" x14ac:dyDescent="0.2">
      <c r="B8284" s="203"/>
      <c r="C8284" s="237"/>
      <c r="D8284" s="202"/>
      <c r="E8284" s="202"/>
      <c r="U8284" s="204"/>
    </row>
    <row r="8285" spans="2:21" x14ac:dyDescent="0.2">
      <c r="B8285" s="203"/>
      <c r="C8285" s="237"/>
      <c r="D8285" s="202"/>
      <c r="E8285" s="202"/>
      <c r="U8285" s="204"/>
    </row>
    <row r="8286" spans="2:21" x14ac:dyDescent="0.2">
      <c r="B8286" s="203"/>
      <c r="C8286" s="237"/>
      <c r="D8286" s="202"/>
      <c r="E8286" s="202"/>
      <c r="U8286" s="204"/>
    </row>
    <row r="8287" spans="2:21" x14ac:dyDescent="0.2">
      <c r="B8287" s="203"/>
      <c r="C8287" s="237"/>
      <c r="D8287" s="202"/>
      <c r="E8287" s="202"/>
      <c r="U8287" s="204"/>
    </row>
    <row r="8288" spans="2:21" x14ac:dyDescent="0.2">
      <c r="B8288" s="203"/>
      <c r="C8288" s="237"/>
      <c r="D8288" s="202"/>
      <c r="E8288" s="202"/>
      <c r="U8288" s="204"/>
    </row>
    <row r="8289" spans="2:21" x14ac:dyDescent="0.2">
      <c r="B8289" s="203"/>
      <c r="C8289" s="237"/>
      <c r="D8289" s="202"/>
      <c r="E8289" s="202"/>
      <c r="U8289" s="204"/>
    </row>
    <row r="8290" spans="2:21" x14ac:dyDescent="0.2">
      <c r="B8290" s="203"/>
      <c r="C8290" s="237"/>
      <c r="D8290" s="202"/>
      <c r="E8290" s="202"/>
      <c r="U8290" s="204"/>
    </row>
    <row r="8291" spans="2:21" x14ac:dyDescent="0.2">
      <c r="B8291" s="203"/>
      <c r="C8291" s="237"/>
      <c r="D8291" s="202"/>
      <c r="E8291" s="202"/>
      <c r="U8291" s="204"/>
    </row>
    <row r="8292" spans="2:21" x14ac:dyDescent="0.2">
      <c r="B8292" s="203"/>
      <c r="C8292" s="237"/>
      <c r="D8292" s="202"/>
      <c r="E8292" s="202"/>
      <c r="U8292" s="204"/>
    </row>
    <row r="8293" spans="2:21" x14ac:dyDescent="0.2">
      <c r="B8293" s="203"/>
      <c r="C8293" s="237"/>
      <c r="D8293" s="202"/>
      <c r="E8293" s="202"/>
      <c r="U8293" s="204"/>
    </row>
    <row r="8294" spans="2:21" x14ac:dyDescent="0.2">
      <c r="B8294" s="203"/>
      <c r="C8294" s="237"/>
      <c r="D8294" s="202"/>
      <c r="E8294" s="202"/>
      <c r="U8294" s="204"/>
    </row>
    <row r="8295" spans="2:21" x14ac:dyDescent="0.2">
      <c r="B8295" s="203"/>
      <c r="C8295" s="237"/>
      <c r="D8295" s="202"/>
      <c r="E8295" s="202"/>
      <c r="U8295" s="204"/>
    </row>
    <row r="8296" spans="2:21" x14ac:dyDescent="0.2">
      <c r="B8296" s="203"/>
      <c r="C8296" s="237"/>
      <c r="D8296" s="202"/>
      <c r="E8296" s="202"/>
      <c r="U8296" s="204"/>
    </row>
    <row r="8297" spans="2:21" x14ac:dyDescent="0.2">
      <c r="B8297" s="203"/>
      <c r="C8297" s="237"/>
      <c r="D8297" s="202"/>
      <c r="E8297" s="202"/>
      <c r="U8297" s="204"/>
    </row>
    <row r="8298" spans="2:21" x14ac:dyDescent="0.2">
      <c r="B8298" s="203"/>
      <c r="C8298" s="237"/>
      <c r="D8298" s="202"/>
      <c r="E8298" s="202"/>
      <c r="U8298" s="204"/>
    </row>
    <row r="8299" spans="2:21" x14ac:dyDescent="0.2">
      <c r="B8299" s="203"/>
      <c r="C8299" s="237"/>
      <c r="D8299" s="202"/>
      <c r="E8299" s="202"/>
      <c r="U8299" s="204"/>
    </row>
    <row r="8300" spans="2:21" x14ac:dyDescent="0.2">
      <c r="B8300" s="203"/>
      <c r="C8300" s="237"/>
      <c r="D8300" s="202"/>
      <c r="E8300" s="202"/>
      <c r="U8300" s="204"/>
    </row>
    <row r="8301" spans="2:21" x14ac:dyDescent="0.2">
      <c r="B8301" s="203"/>
      <c r="C8301" s="237"/>
      <c r="D8301" s="202"/>
      <c r="E8301" s="202"/>
      <c r="U8301" s="204"/>
    </row>
    <row r="8302" spans="2:21" x14ac:dyDescent="0.2">
      <c r="B8302" s="203"/>
      <c r="C8302" s="237"/>
      <c r="D8302" s="202"/>
      <c r="E8302" s="202"/>
      <c r="U8302" s="204"/>
    </row>
    <row r="8303" spans="2:21" x14ac:dyDescent="0.2">
      <c r="B8303" s="203"/>
      <c r="C8303" s="237"/>
      <c r="D8303" s="202"/>
      <c r="E8303" s="202"/>
      <c r="U8303" s="204"/>
    </row>
    <row r="8304" spans="2:21" x14ac:dyDescent="0.2">
      <c r="B8304" s="203"/>
      <c r="C8304" s="237"/>
      <c r="D8304" s="202"/>
      <c r="E8304" s="202"/>
      <c r="U8304" s="204"/>
    </row>
    <row r="8305" spans="2:21" x14ac:dyDescent="0.2">
      <c r="B8305" s="203"/>
      <c r="C8305" s="237"/>
      <c r="D8305" s="202"/>
      <c r="E8305" s="202"/>
      <c r="U8305" s="204"/>
    </row>
    <row r="8306" spans="2:21" x14ac:dyDescent="0.2">
      <c r="B8306" s="203"/>
      <c r="C8306" s="237"/>
      <c r="D8306" s="202"/>
      <c r="E8306" s="202"/>
      <c r="U8306" s="204"/>
    </row>
    <row r="8307" spans="2:21" x14ac:dyDescent="0.2">
      <c r="B8307" s="203"/>
      <c r="C8307" s="237"/>
      <c r="D8307" s="202"/>
      <c r="E8307" s="202"/>
      <c r="U8307" s="204"/>
    </row>
    <row r="8308" spans="2:21" x14ac:dyDescent="0.2">
      <c r="B8308" s="203"/>
      <c r="C8308" s="237"/>
      <c r="D8308" s="202"/>
      <c r="E8308" s="202"/>
      <c r="U8308" s="204"/>
    </row>
    <row r="8309" spans="2:21" x14ac:dyDescent="0.2">
      <c r="B8309" s="203"/>
      <c r="C8309" s="237"/>
      <c r="D8309" s="202"/>
      <c r="E8309" s="202"/>
      <c r="U8309" s="204"/>
    </row>
    <row r="8310" spans="2:21" x14ac:dyDescent="0.2">
      <c r="B8310" s="203"/>
      <c r="C8310" s="237"/>
      <c r="D8310" s="202"/>
      <c r="E8310" s="202"/>
      <c r="U8310" s="204"/>
    </row>
    <row r="8311" spans="2:21" x14ac:dyDescent="0.2">
      <c r="B8311" s="203"/>
      <c r="C8311" s="237"/>
      <c r="D8311" s="202"/>
      <c r="E8311" s="202"/>
      <c r="U8311" s="204"/>
    </row>
    <row r="8312" spans="2:21" x14ac:dyDescent="0.2">
      <c r="B8312" s="203"/>
      <c r="C8312" s="237"/>
      <c r="D8312" s="202"/>
      <c r="E8312" s="202"/>
      <c r="U8312" s="204"/>
    </row>
    <row r="8313" spans="2:21" x14ac:dyDescent="0.2">
      <c r="B8313" s="203"/>
      <c r="C8313" s="237"/>
      <c r="D8313" s="202"/>
      <c r="E8313" s="202"/>
      <c r="U8313" s="204"/>
    </row>
    <row r="8314" spans="2:21" x14ac:dyDescent="0.2">
      <c r="B8314" s="203"/>
      <c r="C8314" s="237"/>
      <c r="D8314" s="202"/>
      <c r="E8314" s="202"/>
      <c r="U8314" s="204"/>
    </row>
    <row r="8315" spans="2:21" x14ac:dyDescent="0.2">
      <c r="B8315" s="203"/>
      <c r="C8315" s="237"/>
      <c r="D8315" s="202"/>
      <c r="E8315" s="202"/>
      <c r="U8315" s="204"/>
    </row>
    <row r="8316" spans="2:21" x14ac:dyDescent="0.2">
      <c r="B8316" s="203"/>
      <c r="C8316" s="237"/>
      <c r="D8316" s="202"/>
      <c r="E8316" s="202"/>
      <c r="U8316" s="204"/>
    </row>
    <row r="8317" spans="2:21" x14ac:dyDescent="0.2">
      <c r="B8317" s="203"/>
      <c r="C8317" s="237"/>
      <c r="D8317" s="202"/>
      <c r="E8317" s="202"/>
      <c r="U8317" s="204"/>
    </row>
    <row r="8318" spans="2:21" x14ac:dyDescent="0.2">
      <c r="B8318" s="203"/>
      <c r="C8318" s="237"/>
      <c r="D8318" s="202"/>
      <c r="E8318" s="202"/>
      <c r="U8318" s="204"/>
    </row>
    <row r="8319" spans="2:21" x14ac:dyDescent="0.2">
      <c r="B8319" s="203"/>
      <c r="C8319" s="237"/>
      <c r="D8319" s="202"/>
      <c r="E8319" s="202"/>
      <c r="U8319" s="204"/>
    </row>
    <row r="8320" spans="2:21" x14ac:dyDescent="0.2">
      <c r="B8320" s="203"/>
      <c r="C8320" s="237"/>
      <c r="D8320" s="202"/>
      <c r="E8320" s="202"/>
      <c r="U8320" s="204"/>
    </row>
    <row r="8321" spans="2:21" x14ac:dyDescent="0.2">
      <c r="B8321" s="203"/>
      <c r="C8321" s="237"/>
      <c r="D8321" s="202"/>
      <c r="E8321" s="202"/>
      <c r="U8321" s="204"/>
    </row>
    <row r="8322" spans="2:21" x14ac:dyDescent="0.2">
      <c r="B8322" s="203"/>
      <c r="C8322" s="237"/>
      <c r="D8322" s="202"/>
      <c r="E8322" s="202"/>
      <c r="U8322" s="204"/>
    </row>
    <row r="8323" spans="2:21" x14ac:dyDescent="0.2">
      <c r="B8323" s="203"/>
      <c r="C8323" s="237"/>
      <c r="D8323" s="202"/>
      <c r="E8323" s="202"/>
      <c r="U8323" s="204"/>
    </row>
    <row r="8324" spans="2:21" x14ac:dyDescent="0.2">
      <c r="B8324" s="203"/>
      <c r="C8324" s="237"/>
      <c r="D8324" s="202"/>
      <c r="E8324" s="202"/>
      <c r="U8324" s="204"/>
    </row>
    <row r="8325" spans="2:21" x14ac:dyDescent="0.2">
      <c r="B8325" s="203"/>
      <c r="C8325" s="237"/>
      <c r="D8325" s="202"/>
      <c r="E8325" s="202"/>
      <c r="U8325" s="204"/>
    </row>
    <row r="8326" spans="2:21" x14ac:dyDescent="0.2">
      <c r="B8326" s="203"/>
      <c r="C8326" s="237"/>
      <c r="D8326" s="202"/>
      <c r="E8326" s="202"/>
      <c r="U8326" s="204"/>
    </row>
    <row r="8327" spans="2:21" x14ac:dyDescent="0.2">
      <c r="B8327" s="203"/>
      <c r="C8327" s="237"/>
      <c r="D8327" s="202"/>
      <c r="E8327" s="202"/>
      <c r="U8327" s="204"/>
    </row>
    <row r="8328" spans="2:21" x14ac:dyDescent="0.2">
      <c r="B8328" s="203"/>
      <c r="C8328" s="237"/>
      <c r="D8328" s="202"/>
      <c r="E8328" s="202"/>
      <c r="U8328" s="204"/>
    </row>
    <row r="8329" spans="2:21" x14ac:dyDescent="0.2">
      <c r="B8329" s="203"/>
      <c r="C8329" s="237"/>
      <c r="D8329" s="202"/>
      <c r="E8329" s="202"/>
      <c r="U8329" s="204"/>
    </row>
    <row r="8330" spans="2:21" x14ac:dyDescent="0.2">
      <c r="B8330" s="203"/>
      <c r="C8330" s="237"/>
      <c r="D8330" s="202"/>
      <c r="E8330" s="202"/>
      <c r="U8330" s="204"/>
    </row>
    <row r="8331" spans="2:21" x14ac:dyDescent="0.2">
      <c r="B8331" s="203"/>
      <c r="C8331" s="237"/>
      <c r="D8331" s="202"/>
      <c r="E8331" s="202"/>
      <c r="U8331" s="204"/>
    </row>
    <row r="8332" spans="2:21" x14ac:dyDescent="0.2">
      <c r="B8332" s="203"/>
      <c r="C8332" s="237"/>
      <c r="D8332" s="202"/>
      <c r="E8332" s="202"/>
      <c r="U8332" s="204"/>
    </row>
    <row r="8333" spans="2:21" x14ac:dyDescent="0.2">
      <c r="B8333" s="203"/>
      <c r="C8333" s="237"/>
      <c r="D8333" s="202"/>
      <c r="E8333" s="202"/>
      <c r="U8333" s="204"/>
    </row>
    <row r="8334" spans="2:21" x14ac:dyDescent="0.2">
      <c r="B8334" s="203"/>
      <c r="C8334" s="237"/>
      <c r="D8334" s="202"/>
      <c r="E8334" s="202"/>
      <c r="U8334" s="204"/>
    </row>
    <row r="8335" spans="2:21" x14ac:dyDescent="0.2">
      <c r="B8335" s="203"/>
      <c r="C8335" s="237"/>
      <c r="D8335" s="202"/>
      <c r="E8335" s="202"/>
      <c r="U8335" s="204"/>
    </row>
    <row r="8336" spans="2:21" x14ac:dyDescent="0.2">
      <c r="B8336" s="203"/>
      <c r="C8336" s="237"/>
      <c r="D8336" s="202"/>
      <c r="E8336" s="202"/>
      <c r="U8336" s="204"/>
    </row>
    <row r="8337" spans="2:21" x14ac:dyDescent="0.2">
      <c r="B8337" s="203"/>
      <c r="C8337" s="237"/>
      <c r="D8337" s="202"/>
      <c r="E8337" s="202"/>
      <c r="U8337" s="204"/>
    </row>
    <row r="8338" spans="2:21" x14ac:dyDescent="0.2">
      <c r="B8338" s="203"/>
      <c r="C8338" s="237"/>
      <c r="D8338" s="202"/>
      <c r="E8338" s="202"/>
      <c r="U8338" s="204"/>
    </row>
    <row r="8339" spans="2:21" x14ac:dyDescent="0.2">
      <c r="B8339" s="203"/>
      <c r="C8339" s="237"/>
      <c r="D8339" s="202"/>
      <c r="E8339" s="202"/>
      <c r="U8339" s="204"/>
    </row>
    <row r="8340" spans="2:21" x14ac:dyDescent="0.2">
      <c r="B8340" s="203"/>
      <c r="C8340" s="237"/>
      <c r="D8340" s="202"/>
      <c r="E8340" s="202"/>
      <c r="U8340" s="204"/>
    </row>
    <row r="8341" spans="2:21" x14ac:dyDescent="0.2">
      <c r="B8341" s="203"/>
      <c r="C8341" s="237"/>
      <c r="D8341" s="202"/>
      <c r="E8341" s="202"/>
      <c r="U8341" s="204"/>
    </row>
    <row r="8342" spans="2:21" x14ac:dyDescent="0.2">
      <c r="B8342" s="203"/>
      <c r="C8342" s="237"/>
      <c r="D8342" s="202"/>
      <c r="E8342" s="202"/>
      <c r="U8342" s="204"/>
    </row>
    <row r="8343" spans="2:21" x14ac:dyDescent="0.2">
      <c r="B8343" s="203"/>
      <c r="C8343" s="237"/>
      <c r="D8343" s="202"/>
      <c r="E8343" s="202"/>
      <c r="U8343" s="204"/>
    </row>
    <row r="8344" spans="2:21" x14ac:dyDescent="0.2">
      <c r="B8344" s="203"/>
      <c r="C8344" s="237"/>
      <c r="D8344" s="202"/>
      <c r="E8344" s="202"/>
      <c r="U8344" s="204"/>
    </row>
    <row r="8345" spans="2:21" x14ac:dyDescent="0.2">
      <c r="B8345" s="203"/>
      <c r="C8345" s="237"/>
      <c r="D8345" s="202"/>
      <c r="E8345" s="202"/>
      <c r="U8345" s="204"/>
    </row>
    <row r="8346" spans="2:21" x14ac:dyDescent="0.2">
      <c r="B8346" s="203"/>
      <c r="C8346" s="237"/>
      <c r="D8346" s="202"/>
      <c r="E8346" s="202"/>
      <c r="U8346" s="204"/>
    </row>
    <row r="8347" spans="2:21" x14ac:dyDescent="0.2">
      <c r="B8347" s="203"/>
      <c r="C8347" s="237"/>
      <c r="D8347" s="202"/>
      <c r="E8347" s="202"/>
      <c r="U8347" s="204"/>
    </row>
    <row r="8348" spans="2:21" x14ac:dyDescent="0.2">
      <c r="B8348" s="203"/>
      <c r="C8348" s="237"/>
      <c r="D8348" s="202"/>
      <c r="E8348" s="202"/>
      <c r="U8348" s="204"/>
    </row>
    <row r="8349" spans="2:21" x14ac:dyDescent="0.2">
      <c r="B8349" s="203"/>
      <c r="C8349" s="237"/>
      <c r="D8349" s="202"/>
      <c r="E8349" s="202"/>
      <c r="U8349" s="204"/>
    </row>
    <row r="8350" spans="2:21" x14ac:dyDescent="0.2">
      <c r="B8350" s="203"/>
      <c r="C8350" s="237"/>
      <c r="D8350" s="202"/>
      <c r="E8350" s="202"/>
      <c r="U8350" s="204"/>
    </row>
    <row r="8351" spans="2:21" x14ac:dyDescent="0.2">
      <c r="B8351" s="203"/>
      <c r="C8351" s="237"/>
      <c r="D8351" s="202"/>
      <c r="E8351" s="202"/>
      <c r="U8351" s="204"/>
    </row>
    <row r="8352" spans="2:21" x14ac:dyDescent="0.2">
      <c r="B8352" s="203"/>
      <c r="C8352" s="237"/>
      <c r="D8352" s="202"/>
      <c r="E8352" s="202"/>
      <c r="U8352" s="204"/>
    </row>
    <row r="8353" spans="2:21" x14ac:dyDescent="0.2">
      <c r="B8353" s="203"/>
      <c r="C8353" s="237"/>
      <c r="D8353" s="202"/>
      <c r="E8353" s="202"/>
      <c r="U8353" s="204"/>
    </row>
    <row r="8354" spans="2:21" x14ac:dyDescent="0.2">
      <c r="B8354" s="203"/>
      <c r="C8354" s="237"/>
      <c r="D8354" s="202"/>
      <c r="E8354" s="202"/>
      <c r="U8354" s="204"/>
    </row>
    <row r="8355" spans="2:21" x14ac:dyDescent="0.2">
      <c r="B8355" s="203"/>
      <c r="C8355" s="237"/>
      <c r="D8355" s="202"/>
      <c r="E8355" s="202"/>
      <c r="U8355" s="204"/>
    </row>
    <row r="8356" spans="2:21" x14ac:dyDescent="0.2">
      <c r="B8356" s="203"/>
      <c r="C8356" s="237"/>
      <c r="D8356" s="202"/>
      <c r="E8356" s="202"/>
      <c r="U8356" s="204"/>
    </row>
    <row r="8357" spans="2:21" x14ac:dyDescent="0.2">
      <c r="B8357" s="203"/>
      <c r="C8357" s="237"/>
      <c r="D8357" s="202"/>
      <c r="E8357" s="202"/>
      <c r="U8357" s="204"/>
    </row>
    <row r="8358" spans="2:21" x14ac:dyDescent="0.2">
      <c r="B8358" s="203"/>
      <c r="C8358" s="237"/>
      <c r="D8358" s="202"/>
      <c r="E8358" s="202"/>
      <c r="U8358" s="204"/>
    </row>
    <row r="8359" spans="2:21" x14ac:dyDescent="0.2">
      <c r="B8359" s="203"/>
      <c r="C8359" s="237"/>
      <c r="D8359" s="202"/>
      <c r="E8359" s="202"/>
      <c r="U8359" s="204"/>
    </row>
    <row r="8360" spans="2:21" x14ac:dyDescent="0.2">
      <c r="B8360" s="203"/>
      <c r="C8360" s="237"/>
      <c r="D8360" s="202"/>
      <c r="E8360" s="202"/>
      <c r="U8360" s="204"/>
    </row>
    <row r="8361" spans="2:21" x14ac:dyDescent="0.2">
      <c r="B8361" s="203"/>
      <c r="C8361" s="237"/>
      <c r="D8361" s="202"/>
      <c r="E8361" s="202"/>
      <c r="U8361" s="204"/>
    </row>
    <row r="8362" spans="2:21" x14ac:dyDescent="0.2">
      <c r="B8362" s="203"/>
      <c r="C8362" s="237"/>
      <c r="D8362" s="202"/>
      <c r="E8362" s="202"/>
      <c r="U8362" s="204"/>
    </row>
    <row r="8363" spans="2:21" x14ac:dyDescent="0.2">
      <c r="B8363" s="203"/>
      <c r="C8363" s="237"/>
      <c r="D8363" s="202"/>
      <c r="E8363" s="202"/>
      <c r="U8363" s="204"/>
    </row>
    <row r="8364" spans="2:21" x14ac:dyDescent="0.2">
      <c r="B8364" s="203"/>
      <c r="C8364" s="237"/>
      <c r="D8364" s="202"/>
      <c r="E8364" s="202"/>
      <c r="U8364" s="204"/>
    </row>
    <row r="8365" spans="2:21" x14ac:dyDescent="0.2">
      <c r="B8365" s="203"/>
      <c r="C8365" s="237"/>
      <c r="D8365" s="202"/>
      <c r="E8365" s="202"/>
      <c r="U8365" s="204"/>
    </row>
    <row r="8366" spans="2:21" x14ac:dyDescent="0.2">
      <c r="B8366" s="203"/>
      <c r="C8366" s="237"/>
      <c r="D8366" s="202"/>
      <c r="E8366" s="202"/>
      <c r="U8366" s="204"/>
    </row>
    <row r="8367" spans="2:21" x14ac:dyDescent="0.2">
      <c r="B8367" s="203"/>
      <c r="C8367" s="237"/>
      <c r="D8367" s="202"/>
      <c r="E8367" s="202"/>
      <c r="U8367" s="204"/>
    </row>
    <row r="8368" spans="2:21" x14ac:dyDescent="0.2">
      <c r="B8368" s="203"/>
      <c r="C8368" s="237"/>
      <c r="D8368" s="202"/>
      <c r="E8368" s="202"/>
      <c r="U8368" s="204"/>
    </row>
    <row r="8369" spans="2:21" x14ac:dyDescent="0.2">
      <c r="B8369" s="203"/>
      <c r="C8369" s="237"/>
      <c r="D8369" s="202"/>
      <c r="E8369" s="202"/>
      <c r="U8369" s="204"/>
    </row>
    <row r="8370" spans="2:21" x14ac:dyDescent="0.2">
      <c r="B8370" s="203"/>
      <c r="C8370" s="237"/>
      <c r="D8370" s="202"/>
      <c r="E8370" s="202"/>
      <c r="U8370" s="204"/>
    </row>
    <row r="8371" spans="2:21" x14ac:dyDescent="0.2">
      <c r="B8371" s="203"/>
      <c r="C8371" s="237"/>
      <c r="D8371" s="202"/>
      <c r="E8371" s="202"/>
      <c r="U8371" s="204"/>
    </row>
    <row r="8372" spans="2:21" x14ac:dyDescent="0.2">
      <c r="B8372" s="203"/>
      <c r="C8372" s="237"/>
      <c r="D8372" s="202"/>
      <c r="E8372" s="202"/>
      <c r="U8372" s="204"/>
    </row>
    <row r="8373" spans="2:21" x14ac:dyDescent="0.2">
      <c r="B8373" s="203"/>
      <c r="C8373" s="237"/>
      <c r="D8373" s="202"/>
      <c r="E8373" s="202"/>
      <c r="U8373" s="204"/>
    </row>
    <row r="8374" spans="2:21" x14ac:dyDescent="0.2">
      <c r="B8374" s="203"/>
      <c r="C8374" s="237"/>
      <c r="D8374" s="202"/>
      <c r="E8374" s="202"/>
      <c r="U8374" s="204"/>
    </row>
    <row r="8375" spans="2:21" x14ac:dyDescent="0.2">
      <c r="B8375" s="203"/>
      <c r="C8375" s="237"/>
      <c r="D8375" s="202"/>
      <c r="E8375" s="202"/>
      <c r="U8375" s="204"/>
    </row>
    <row r="8376" spans="2:21" x14ac:dyDescent="0.2">
      <c r="B8376" s="203"/>
      <c r="C8376" s="237"/>
      <c r="D8376" s="202"/>
      <c r="E8376" s="202"/>
      <c r="U8376" s="204"/>
    </row>
    <row r="8377" spans="2:21" x14ac:dyDescent="0.2">
      <c r="B8377" s="203"/>
      <c r="C8377" s="237"/>
      <c r="D8377" s="202"/>
      <c r="E8377" s="202"/>
      <c r="U8377" s="204"/>
    </row>
    <row r="8378" spans="2:21" x14ac:dyDescent="0.2">
      <c r="B8378" s="203"/>
      <c r="C8378" s="237"/>
      <c r="D8378" s="202"/>
      <c r="E8378" s="202"/>
      <c r="U8378" s="204"/>
    </row>
    <row r="8379" spans="2:21" x14ac:dyDescent="0.2">
      <c r="B8379" s="203"/>
      <c r="C8379" s="237"/>
      <c r="D8379" s="202"/>
      <c r="E8379" s="202"/>
      <c r="U8379" s="204"/>
    </row>
    <row r="8380" spans="2:21" x14ac:dyDescent="0.2">
      <c r="B8380" s="203"/>
      <c r="C8380" s="237"/>
      <c r="D8380" s="202"/>
      <c r="E8380" s="202"/>
      <c r="U8380" s="204"/>
    </row>
    <row r="8381" spans="2:21" x14ac:dyDescent="0.2">
      <c r="B8381" s="203"/>
      <c r="C8381" s="237"/>
      <c r="D8381" s="202"/>
      <c r="E8381" s="202"/>
      <c r="U8381" s="204"/>
    </row>
    <row r="8382" spans="2:21" x14ac:dyDescent="0.2">
      <c r="B8382" s="203"/>
      <c r="C8382" s="237"/>
      <c r="D8382" s="202"/>
      <c r="E8382" s="202"/>
      <c r="U8382" s="204"/>
    </row>
    <row r="8383" spans="2:21" x14ac:dyDescent="0.2">
      <c r="B8383" s="203"/>
      <c r="C8383" s="237"/>
      <c r="D8383" s="202"/>
      <c r="E8383" s="202"/>
      <c r="U8383" s="204"/>
    </row>
    <row r="8384" spans="2:21" x14ac:dyDescent="0.2">
      <c r="B8384" s="203"/>
      <c r="C8384" s="237"/>
      <c r="D8384" s="202"/>
      <c r="E8384" s="202"/>
      <c r="U8384" s="204"/>
    </row>
    <row r="8385" spans="2:21" x14ac:dyDescent="0.2">
      <c r="B8385" s="203"/>
      <c r="C8385" s="237"/>
      <c r="D8385" s="202"/>
      <c r="E8385" s="202"/>
      <c r="U8385" s="204"/>
    </row>
    <row r="8386" spans="2:21" x14ac:dyDescent="0.2">
      <c r="B8386" s="203"/>
      <c r="C8386" s="237"/>
      <c r="D8386" s="202"/>
      <c r="E8386" s="202"/>
      <c r="U8386" s="204"/>
    </row>
    <row r="8387" spans="2:21" x14ac:dyDescent="0.2">
      <c r="B8387" s="203"/>
      <c r="C8387" s="237"/>
      <c r="D8387" s="202"/>
      <c r="E8387" s="202"/>
      <c r="U8387" s="204"/>
    </row>
    <row r="8388" spans="2:21" x14ac:dyDescent="0.2">
      <c r="B8388" s="203"/>
      <c r="C8388" s="237"/>
      <c r="D8388" s="202"/>
      <c r="E8388" s="202"/>
      <c r="U8388" s="204"/>
    </row>
    <row r="8389" spans="2:21" x14ac:dyDescent="0.2">
      <c r="B8389" s="203"/>
      <c r="C8389" s="237"/>
      <c r="D8389" s="202"/>
      <c r="E8389" s="202"/>
      <c r="U8389" s="204"/>
    </row>
    <row r="8390" spans="2:21" x14ac:dyDescent="0.2">
      <c r="B8390" s="203"/>
      <c r="C8390" s="237"/>
      <c r="D8390" s="202"/>
      <c r="E8390" s="202"/>
      <c r="U8390" s="204"/>
    </row>
    <row r="8391" spans="2:21" x14ac:dyDescent="0.2">
      <c r="B8391" s="203"/>
      <c r="C8391" s="237"/>
      <c r="D8391" s="202"/>
      <c r="E8391" s="202"/>
      <c r="U8391" s="204"/>
    </row>
    <row r="8392" spans="2:21" x14ac:dyDescent="0.2">
      <c r="B8392" s="203"/>
      <c r="C8392" s="237"/>
      <c r="D8392" s="202"/>
      <c r="E8392" s="202"/>
      <c r="U8392" s="204"/>
    </row>
    <row r="8393" spans="2:21" x14ac:dyDescent="0.2">
      <c r="B8393" s="203"/>
      <c r="C8393" s="237"/>
      <c r="D8393" s="202"/>
      <c r="E8393" s="202"/>
      <c r="U8393" s="204"/>
    </row>
    <row r="8394" spans="2:21" x14ac:dyDescent="0.2">
      <c r="B8394" s="203"/>
      <c r="C8394" s="237"/>
      <c r="D8394" s="202"/>
      <c r="E8394" s="202"/>
      <c r="U8394" s="204"/>
    </row>
    <row r="8395" spans="2:21" x14ac:dyDescent="0.2">
      <c r="B8395" s="203"/>
      <c r="C8395" s="237"/>
      <c r="D8395" s="202"/>
      <c r="E8395" s="202"/>
      <c r="U8395" s="204"/>
    </row>
    <row r="8396" spans="2:21" x14ac:dyDescent="0.2">
      <c r="B8396" s="203"/>
      <c r="C8396" s="237"/>
      <c r="D8396" s="202"/>
      <c r="E8396" s="202"/>
      <c r="U8396" s="204"/>
    </row>
    <row r="8397" spans="2:21" x14ac:dyDescent="0.2">
      <c r="B8397" s="203"/>
      <c r="C8397" s="237"/>
      <c r="D8397" s="202"/>
      <c r="E8397" s="202"/>
      <c r="U8397" s="204"/>
    </row>
    <row r="8398" spans="2:21" x14ac:dyDescent="0.2">
      <c r="B8398" s="203"/>
      <c r="C8398" s="237"/>
      <c r="D8398" s="202"/>
      <c r="E8398" s="202"/>
      <c r="U8398" s="204"/>
    </row>
    <row r="8399" spans="2:21" x14ac:dyDescent="0.2">
      <c r="B8399" s="203"/>
      <c r="C8399" s="237"/>
      <c r="D8399" s="202"/>
      <c r="E8399" s="202"/>
      <c r="U8399" s="204"/>
    </row>
    <row r="8400" spans="2:21" x14ac:dyDescent="0.2">
      <c r="B8400" s="203"/>
      <c r="C8400" s="237"/>
      <c r="D8400" s="202"/>
      <c r="E8400" s="202"/>
      <c r="U8400" s="204"/>
    </row>
    <row r="8401" spans="2:21" x14ac:dyDescent="0.2">
      <c r="B8401" s="203"/>
      <c r="C8401" s="237"/>
      <c r="D8401" s="202"/>
      <c r="E8401" s="202"/>
      <c r="U8401" s="204"/>
    </row>
    <row r="8402" spans="2:21" x14ac:dyDescent="0.2">
      <c r="B8402" s="203"/>
      <c r="C8402" s="237"/>
      <c r="D8402" s="202"/>
      <c r="E8402" s="202"/>
      <c r="U8402" s="204"/>
    </row>
    <row r="8403" spans="2:21" x14ac:dyDescent="0.2">
      <c r="B8403" s="203"/>
      <c r="C8403" s="237"/>
      <c r="D8403" s="202"/>
      <c r="E8403" s="202"/>
      <c r="U8403" s="204"/>
    </row>
    <row r="8404" spans="2:21" x14ac:dyDescent="0.2">
      <c r="B8404" s="203"/>
      <c r="C8404" s="237"/>
      <c r="D8404" s="202"/>
      <c r="E8404" s="202"/>
      <c r="U8404" s="204"/>
    </row>
    <row r="8405" spans="2:21" x14ac:dyDescent="0.2">
      <c r="B8405" s="203"/>
      <c r="C8405" s="237"/>
      <c r="D8405" s="202"/>
      <c r="E8405" s="202"/>
      <c r="U8405" s="204"/>
    </row>
    <row r="8406" spans="2:21" x14ac:dyDescent="0.2">
      <c r="B8406" s="203"/>
      <c r="C8406" s="237"/>
      <c r="D8406" s="202"/>
      <c r="E8406" s="202"/>
      <c r="U8406" s="204"/>
    </row>
    <row r="8407" spans="2:21" x14ac:dyDescent="0.2">
      <c r="B8407" s="203"/>
      <c r="C8407" s="237"/>
      <c r="D8407" s="202"/>
      <c r="E8407" s="202"/>
      <c r="U8407" s="204"/>
    </row>
    <row r="8408" spans="2:21" x14ac:dyDescent="0.2">
      <c r="B8408" s="203"/>
      <c r="C8408" s="237"/>
      <c r="D8408" s="202"/>
      <c r="E8408" s="202"/>
      <c r="U8408" s="204"/>
    </row>
    <row r="8409" spans="2:21" x14ac:dyDescent="0.2">
      <c r="B8409" s="203"/>
      <c r="C8409" s="237"/>
      <c r="D8409" s="202"/>
      <c r="E8409" s="202"/>
      <c r="U8409" s="204"/>
    </row>
    <row r="8410" spans="2:21" x14ac:dyDescent="0.2">
      <c r="B8410" s="203"/>
      <c r="C8410" s="237"/>
      <c r="D8410" s="202"/>
      <c r="E8410" s="202"/>
      <c r="U8410" s="204"/>
    </row>
    <row r="8411" spans="2:21" x14ac:dyDescent="0.2">
      <c r="B8411" s="203"/>
      <c r="C8411" s="237"/>
      <c r="D8411" s="202"/>
      <c r="E8411" s="202"/>
      <c r="U8411" s="204"/>
    </row>
    <row r="8412" spans="2:21" x14ac:dyDescent="0.2">
      <c r="B8412" s="203"/>
      <c r="C8412" s="237"/>
      <c r="D8412" s="202"/>
      <c r="E8412" s="202"/>
      <c r="U8412" s="204"/>
    </row>
    <row r="8413" spans="2:21" x14ac:dyDescent="0.2">
      <c r="B8413" s="203"/>
      <c r="C8413" s="237"/>
      <c r="D8413" s="202"/>
      <c r="E8413" s="202"/>
      <c r="U8413" s="204"/>
    </row>
    <row r="8414" spans="2:21" x14ac:dyDescent="0.2">
      <c r="B8414" s="203"/>
      <c r="C8414" s="237"/>
      <c r="D8414" s="202"/>
      <c r="E8414" s="202"/>
      <c r="U8414" s="204"/>
    </row>
    <row r="8415" spans="2:21" x14ac:dyDescent="0.2">
      <c r="B8415" s="203"/>
      <c r="C8415" s="237"/>
      <c r="D8415" s="202"/>
      <c r="E8415" s="202"/>
      <c r="U8415" s="204"/>
    </row>
    <row r="8416" spans="2:21" x14ac:dyDescent="0.2">
      <c r="B8416" s="203"/>
      <c r="C8416" s="237"/>
      <c r="D8416" s="202"/>
      <c r="E8416" s="202"/>
      <c r="U8416" s="204"/>
    </row>
    <row r="8417" spans="2:21" x14ac:dyDescent="0.2">
      <c r="B8417" s="203"/>
      <c r="C8417" s="237"/>
      <c r="D8417" s="202"/>
      <c r="E8417" s="202"/>
      <c r="U8417" s="204"/>
    </row>
    <row r="8418" spans="2:21" x14ac:dyDescent="0.2">
      <c r="B8418" s="203"/>
      <c r="C8418" s="237"/>
      <c r="D8418" s="202"/>
      <c r="E8418" s="202"/>
      <c r="U8418" s="204"/>
    </row>
    <row r="8419" spans="2:21" x14ac:dyDescent="0.2">
      <c r="B8419" s="203"/>
      <c r="C8419" s="237"/>
      <c r="D8419" s="202"/>
      <c r="E8419" s="202"/>
      <c r="U8419" s="204"/>
    </row>
    <row r="8420" spans="2:21" x14ac:dyDescent="0.2">
      <c r="B8420" s="203"/>
      <c r="C8420" s="237"/>
      <c r="D8420" s="202"/>
      <c r="E8420" s="202"/>
      <c r="U8420" s="204"/>
    </row>
    <row r="8421" spans="2:21" x14ac:dyDescent="0.2">
      <c r="B8421" s="203"/>
      <c r="C8421" s="237"/>
      <c r="D8421" s="202"/>
      <c r="E8421" s="202"/>
      <c r="U8421" s="204"/>
    </row>
    <row r="8422" spans="2:21" x14ac:dyDescent="0.2">
      <c r="B8422" s="203"/>
      <c r="C8422" s="237"/>
      <c r="D8422" s="202"/>
      <c r="E8422" s="202"/>
      <c r="U8422" s="204"/>
    </row>
    <row r="8423" spans="2:21" x14ac:dyDescent="0.2">
      <c r="B8423" s="203"/>
      <c r="C8423" s="237"/>
      <c r="D8423" s="202"/>
      <c r="E8423" s="202"/>
      <c r="U8423" s="204"/>
    </row>
    <row r="8424" spans="2:21" x14ac:dyDescent="0.2">
      <c r="B8424" s="203"/>
      <c r="C8424" s="237"/>
      <c r="D8424" s="202"/>
      <c r="E8424" s="202"/>
      <c r="U8424" s="204"/>
    </row>
    <row r="8425" spans="2:21" x14ac:dyDescent="0.2">
      <c r="B8425" s="203"/>
      <c r="C8425" s="237"/>
      <c r="D8425" s="202"/>
      <c r="E8425" s="202"/>
      <c r="U8425" s="204"/>
    </row>
    <row r="8426" spans="2:21" x14ac:dyDescent="0.2">
      <c r="B8426" s="203"/>
      <c r="C8426" s="237"/>
      <c r="D8426" s="202"/>
      <c r="E8426" s="202"/>
      <c r="U8426" s="204"/>
    </row>
    <row r="8427" spans="2:21" x14ac:dyDescent="0.2">
      <c r="B8427" s="203"/>
      <c r="C8427" s="237"/>
      <c r="D8427" s="202"/>
      <c r="E8427" s="202"/>
      <c r="U8427" s="204"/>
    </row>
    <row r="8428" spans="2:21" x14ac:dyDescent="0.2">
      <c r="B8428" s="203"/>
      <c r="C8428" s="237"/>
      <c r="D8428" s="202"/>
      <c r="E8428" s="202"/>
      <c r="U8428" s="204"/>
    </row>
    <row r="8429" spans="2:21" x14ac:dyDescent="0.2">
      <c r="B8429" s="203"/>
      <c r="C8429" s="237"/>
      <c r="D8429" s="202"/>
      <c r="E8429" s="202"/>
      <c r="U8429" s="204"/>
    </row>
    <row r="8430" spans="2:21" x14ac:dyDescent="0.2">
      <c r="B8430" s="203"/>
      <c r="C8430" s="237"/>
      <c r="D8430" s="202"/>
      <c r="E8430" s="202"/>
      <c r="U8430" s="204"/>
    </row>
    <row r="8431" spans="2:21" x14ac:dyDescent="0.2">
      <c r="B8431" s="203"/>
      <c r="C8431" s="237"/>
      <c r="D8431" s="202"/>
      <c r="E8431" s="202"/>
      <c r="U8431" s="204"/>
    </row>
    <row r="8432" spans="2:21" x14ac:dyDescent="0.2">
      <c r="B8432" s="203"/>
      <c r="C8432" s="237"/>
      <c r="D8432" s="202"/>
      <c r="E8432" s="202"/>
      <c r="U8432" s="204"/>
    </row>
    <row r="8433" spans="2:21" x14ac:dyDescent="0.2">
      <c r="B8433" s="203"/>
      <c r="C8433" s="237"/>
      <c r="D8433" s="202"/>
      <c r="E8433" s="202"/>
      <c r="U8433" s="204"/>
    </row>
    <row r="8434" spans="2:21" x14ac:dyDescent="0.2">
      <c r="B8434" s="203"/>
      <c r="C8434" s="237"/>
      <c r="D8434" s="202"/>
      <c r="E8434" s="202"/>
      <c r="U8434" s="204"/>
    </row>
    <row r="8435" spans="2:21" x14ac:dyDescent="0.2">
      <c r="B8435" s="203"/>
      <c r="C8435" s="237"/>
      <c r="D8435" s="202"/>
      <c r="E8435" s="202"/>
      <c r="U8435" s="204"/>
    </row>
    <row r="8436" spans="2:21" x14ac:dyDescent="0.2">
      <c r="B8436" s="203"/>
      <c r="C8436" s="237"/>
      <c r="D8436" s="202"/>
      <c r="E8436" s="202"/>
      <c r="U8436" s="204"/>
    </row>
    <row r="8437" spans="2:21" x14ac:dyDescent="0.2">
      <c r="B8437" s="203"/>
      <c r="C8437" s="237"/>
      <c r="D8437" s="202"/>
      <c r="E8437" s="202"/>
      <c r="U8437" s="204"/>
    </row>
    <row r="8438" spans="2:21" x14ac:dyDescent="0.2">
      <c r="B8438" s="203"/>
      <c r="C8438" s="237"/>
      <c r="D8438" s="202"/>
      <c r="E8438" s="202"/>
      <c r="U8438" s="204"/>
    </row>
    <row r="8439" spans="2:21" x14ac:dyDescent="0.2">
      <c r="B8439" s="203"/>
      <c r="C8439" s="237"/>
      <c r="D8439" s="202"/>
      <c r="E8439" s="202"/>
      <c r="U8439" s="204"/>
    </row>
    <row r="8440" spans="2:21" x14ac:dyDescent="0.2">
      <c r="B8440" s="203"/>
      <c r="C8440" s="237"/>
      <c r="D8440" s="202"/>
      <c r="E8440" s="202"/>
      <c r="U8440" s="204"/>
    </row>
    <row r="8441" spans="2:21" x14ac:dyDescent="0.2">
      <c r="B8441" s="203"/>
      <c r="C8441" s="237"/>
      <c r="D8441" s="202"/>
      <c r="E8441" s="202"/>
      <c r="U8441" s="204"/>
    </row>
    <row r="8442" spans="2:21" x14ac:dyDescent="0.2">
      <c r="B8442" s="203"/>
      <c r="C8442" s="237"/>
      <c r="D8442" s="202"/>
      <c r="E8442" s="202"/>
      <c r="U8442" s="204"/>
    </row>
    <row r="8443" spans="2:21" x14ac:dyDescent="0.2">
      <c r="B8443" s="203"/>
      <c r="C8443" s="237"/>
      <c r="D8443" s="202"/>
      <c r="E8443" s="202"/>
      <c r="U8443" s="204"/>
    </row>
    <row r="8444" spans="2:21" x14ac:dyDescent="0.2">
      <c r="B8444" s="203"/>
      <c r="C8444" s="237"/>
      <c r="D8444" s="202"/>
      <c r="E8444" s="202"/>
      <c r="U8444" s="204"/>
    </row>
    <row r="8445" spans="2:21" x14ac:dyDescent="0.2">
      <c r="B8445" s="203"/>
      <c r="C8445" s="237"/>
      <c r="D8445" s="202"/>
      <c r="E8445" s="202"/>
      <c r="U8445" s="204"/>
    </row>
    <row r="8446" spans="2:21" x14ac:dyDescent="0.2">
      <c r="B8446" s="203"/>
      <c r="C8446" s="237"/>
      <c r="D8446" s="202"/>
      <c r="E8446" s="202"/>
      <c r="U8446" s="204"/>
    </row>
    <row r="8447" spans="2:21" x14ac:dyDescent="0.2">
      <c r="B8447" s="203"/>
      <c r="C8447" s="237"/>
      <c r="D8447" s="202"/>
      <c r="E8447" s="202"/>
      <c r="U8447" s="204"/>
    </row>
    <row r="8448" spans="2:21" x14ac:dyDescent="0.2">
      <c r="B8448" s="203"/>
      <c r="C8448" s="237"/>
      <c r="D8448" s="202"/>
      <c r="E8448" s="202"/>
      <c r="U8448" s="204"/>
    </row>
    <row r="8449" spans="2:21" x14ac:dyDescent="0.2">
      <c r="B8449" s="203"/>
      <c r="C8449" s="237"/>
      <c r="D8449" s="202"/>
      <c r="E8449" s="202"/>
      <c r="U8449" s="204"/>
    </row>
    <row r="8450" spans="2:21" x14ac:dyDescent="0.2">
      <c r="B8450" s="203"/>
      <c r="C8450" s="237"/>
      <c r="D8450" s="202"/>
      <c r="E8450" s="202"/>
      <c r="U8450" s="204"/>
    </row>
    <row r="8451" spans="2:21" x14ac:dyDescent="0.2">
      <c r="B8451" s="203"/>
      <c r="C8451" s="237"/>
      <c r="D8451" s="202"/>
      <c r="E8451" s="202"/>
      <c r="U8451" s="204"/>
    </row>
    <row r="8452" spans="2:21" x14ac:dyDescent="0.2">
      <c r="B8452" s="203"/>
      <c r="C8452" s="237"/>
      <c r="D8452" s="202"/>
      <c r="E8452" s="202"/>
      <c r="U8452" s="204"/>
    </row>
    <row r="8453" spans="2:21" x14ac:dyDescent="0.2">
      <c r="B8453" s="203"/>
      <c r="C8453" s="237"/>
      <c r="D8453" s="202"/>
      <c r="E8453" s="202"/>
      <c r="U8453" s="204"/>
    </row>
    <row r="8454" spans="2:21" x14ac:dyDescent="0.2">
      <c r="B8454" s="203"/>
      <c r="C8454" s="237"/>
      <c r="D8454" s="202"/>
      <c r="E8454" s="202"/>
      <c r="U8454" s="204"/>
    </row>
    <row r="8455" spans="2:21" x14ac:dyDescent="0.2">
      <c r="B8455" s="203"/>
      <c r="C8455" s="237"/>
      <c r="D8455" s="202"/>
      <c r="E8455" s="202"/>
      <c r="U8455" s="204"/>
    </row>
    <row r="8456" spans="2:21" x14ac:dyDescent="0.2">
      <c r="B8456" s="203"/>
      <c r="C8456" s="237"/>
      <c r="D8456" s="202"/>
      <c r="E8456" s="202"/>
      <c r="U8456" s="204"/>
    </row>
    <row r="8457" spans="2:21" x14ac:dyDescent="0.2">
      <c r="B8457" s="203"/>
      <c r="C8457" s="237"/>
      <c r="D8457" s="202"/>
      <c r="E8457" s="202"/>
      <c r="U8457" s="204"/>
    </row>
    <row r="8458" spans="2:21" x14ac:dyDescent="0.2">
      <c r="B8458" s="203"/>
      <c r="C8458" s="237"/>
      <c r="D8458" s="202"/>
      <c r="E8458" s="202"/>
      <c r="U8458" s="204"/>
    </row>
    <row r="8459" spans="2:21" x14ac:dyDescent="0.2">
      <c r="B8459" s="203"/>
      <c r="C8459" s="237"/>
      <c r="D8459" s="202"/>
      <c r="E8459" s="202"/>
      <c r="U8459" s="204"/>
    </row>
    <row r="8460" spans="2:21" x14ac:dyDescent="0.2">
      <c r="B8460" s="203"/>
      <c r="C8460" s="237"/>
      <c r="D8460" s="202"/>
      <c r="E8460" s="202"/>
      <c r="U8460" s="204"/>
    </row>
    <row r="8461" spans="2:21" x14ac:dyDescent="0.2">
      <c r="B8461" s="203"/>
      <c r="C8461" s="237"/>
      <c r="D8461" s="202"/>
      <c r="E8461" s="202"/>
      <c r="U8461" s="204"/>
    </row>
    <row r="8462" spans="2:21" x14ac:dyDescent="0.2">
      <c r="B8462" s="203"/>
      <c r="C8462" s="237"/>
      <c r="D8462" s="202"/>
      <c r="E8462" s="202"/>
      <c r="U8462" s="204"/>
    </row>
    <row r="8463" spans="2:21" x14ac:dyDescent="0.2">
      <c r="B8463" s="203"/>
      <c r="C8463" s="237"/>
      <c r="D8463" s="202"/>
      <c r="E8463" s="202"/>
      <c r="U8463" s="204"/>
    </row>
    <row r="8464" spans="2:21" x14ac:dyDescent="0.2">
      <c r="B8464" s="203"/>
      <c r="C8464" s="237"/>
      <c r="D8464" s="202"/>
      <c r="E8464" s="202"/>
      <c r="U8464" s="204"/>
    </row>
    <row r="8465" spans="2:21" x14ac:dyDescent="0.2">
      <c r="B8465" s="203"/>
      <c r="C8465" s="237"/>
      <c r="D8465" s="202"/>
      <c r="E8465" s="202"/>
      <c r="U8465" s="204"/>
    </row>
    <row r="8466" spans="2:21" x14ac:dyDescent="0.2">
      <c r="B8466" s="203"/>
      <c r="C8466" s="237"/>
      <c r="D8466" s="202"/>
      <c r="E8466" s="202"/>
      <c r="U8466" s="204"/>
    </row>
    <row r="8467" spans="2:21" x14ac:dyDescent="0.2">
      <c r="B8467" s="203"/>
      <c r="C8467" s="237"/>
      <c r="D8467" s="202"/>
      <c r="E8467" s="202"/>
      <c r="U8467" s="204"/>
    </row>
    <row r="8468" spans="2:21" x14ac:dyDescent="0.2">
      <c r="B8468" s="203"/>
      <c r="C8468" s="237"/>
      <c r="D8468" s="202"/>
      <c r="E8468" s="202"/>
      <c r="U8468" s="204"/>
    </row>
    <row r="8469" spans="2:21" x14ac:dyDescent="0.2">
      <c r="B8469" s="203"/>
      <c r="C8469" s="237"/>
      <c r="D8469" s="202"/>
      <c r="E8469" s="202"/>
      <c r="U8469" s="204"/>
    </row>
    <row r="8470" spans="2:21" x14ac:dyDescent="0.2">
      <c r="B8470" s="203"/>
      <c r="C8470" s="237"/>
      <c r="D8470" s="202"/>
      <c r="E8470" s="202"/>
      <c r="U8470" s="204"/>
    </row>
    <row r="8471" spans="2:21" x14ac:dyDescent="0.2">
      <c r="B8471" s="203"/>
      <c r="C8471" s="237"/>
      <c r="D8471" s="202"/>
      <c r="E8471" s="202"/>
      <c r="U8471" s="204"/>
    </row>
    <row r="8472" spans="2:21" x14ac:dyDescent="0.2">
      <c r="B8472" s="203"/>
      <c r="C8472" s="237"/>
      <c r="D8472" s="202"/>
      <c r="E8472" s="202"/>
      <c r="U8472" s="204"/>
    </row>
    <row r="8473" spans="2:21" x14ac:dyDescent="0.2">
      <c r="B8473" s="203"/>
      <c r="C8473" s="237"/>
      <c r="D8473" s="202"/>
      <c r="E8473" s="202"/>
      <c r="U8473" s="204"/>
    </row>
    <row r="8474" spans="2:21" x14ac:dyDescent="0.2">
      <c r="B8474" s="203"/>
      <c r="C8474" s="237"/>
      <c r="D8474" s="202"/>
      <c r="E8474" s="202"/>
      <c r="U8474" s="204"/>
    </row>
    <row r="8475" spans="2:21" x14ac:dyDescent="0.2">
      <c r="B8475" s="203"/>
      <c r="C8475" s="237"/>
      <c r="D8475" s="202"/>
      <c r="E8475" s="202"/>
      <c r="U8475" s="204"/>
    </row>
    <row r="8476" spans="2:21" x14ac:dyDescent="0.2">
      <c r="B8476" s="203"/>
      <c r="C8476" s="237"/>
      <c r="D8476" s="202"/>
      <c r="E8476" s="202"/>
      <c r="U8476" s="204"/>
    </row>
    <row r="8477" spans="2:21" x14ac:dyDescent="0.2">
      <c r="B8477" s="203"/>
      <c r="C8477" s="237"/>
      <c r="D8477" s="202"/>
      <c r="E8477" s="202"/>
      <c r="U8477" s="204"/>
    </row>
    <row r="8478" spans="2:21" x14ac:dyDescent="0.2">
      <c r="B8478" s="203"/>
      <c r="C8478" s="237"/>
      <c r="D8478" s="202"/>
      <c r="E8478" s="202"/>
      <c r="U8478" s="204"/>
    </row>
    <row r="8479" spans="2:21" x14ac:dyDescent="0.2">
      <c r="B8479" s="203"/>
      <c r="C8479" s="237"/>
      <c r="D8479" s="202"/>
      <c r="E8479" s="202"/>
      <c r="U8479" s="204"/>
    </row>
    <row r="8480" spans="2:21" x14ac:dyDescent="0.2">
      <c r="B8480" s="203"/>
      <c r="C8480" s="237"/>
      <c r="D8480" s="202"/>
      <c r="E8480" s="202"/>
      <c r="U8480" s="204"/>
    </row>
    <row r="8481" spans="2:21" x14ac:dyDescent="0.2">
      <c r="B8481" s="203"/>
      <c r="C8481" s="237"/>
      <c r="D8481" s="202"/>
      <c r="E8481" s="202"/>
      <c r="U8481" s="204"/>
    </row>
    <row r="8482" spans="2:21" x14ac:dyDescent="0.2">
      <c r="B8482" s="203"/>
      <c r="C8482" s="237"/>
      <c r="D8482" s="202"/>
      <c r="E8482" s="202"/>
      <c r="U8482" s="204"/>
    </row>
    <row r="8483" spans="2:21" x14ac:dyDescent="0.2">
      <c r="B8483" s="203"/>
      <c r="C8483" s="237"/>
      <c r="D8483" s="202"/>
      <c r="E8483" s="202"/>
      <c r="U8483" s="204"/>
    </row>
    <row r="8484" spans="2:21" x14ac:dyDescent="0.2">
      <c r="B8484" s="203"/>
      <c r="C8484" s="237"/>
      <c r="D8484" s="202"/>
      <c r="E8484" s="202"/>
      <c r="U8484" s="204"/>
    </row>
    <row r="8485" spans="2:21" x14ac:dyDescent="0.2">
      <c r="B8485" s="203"/>
      <c r="C8485" s="237"/>
      <c r="D8485" s="202"/>
      <c r="E8485" s="202"/>
      <c r="U8485" s="204"/>
    </row>
    <row r="8486" spans="2:21" x14ac:dyDescent="0.2">
      <c r="B8486" s="203"/>
      <c r="C8486" s="237"/>
      <c r="D8486" s="202"/>
      <c r="E8486" s="202"/>
      <c r="U8486" s="204"/>
    </row>
    <row r="8487" spans="2:21" x14ac:dyDescent="0.2">
      <c r="B8487" s="203"/>
      <c r="C8487" s="237"/>
      <c r="D8487" s="202"/>
      <c r="E8487" s="202"/>
      <c r="U8487" s="204"/>
    </row>
    <row r="8488" spans="2:21" x14ac:dyDescent="0.2">
      <c r="B8488" s="203"/>
      <c r="C8488" s="237"/>
      <c r="D8488" s="202"/>
      <c r="E8488" s="202"/>
      <c r="U8488" s="204"/>
    </row>
    <row r="8489" spans="2:21" x14ac:dyDescent="0.2">
      <c r="B8489" s="203"/>
      <c r="C8489" s="237"/>
      <c r="D8489" s="202"/>
      <c r="E8489" s="202"/>
      <c r="U8489" s="204"/>
    </row>
    <row r="8490" spans="2:21" x14ac:dyDescent="0.2">
      <c r="B8490" s="203"/>
      <c r="C8490" s="237"/>
      <c r="D8490" s="202"/>
      <c r="E8490" s="202"/>
      <c r="U8490" s="204"/>
    </row>
    <row r="8491" spans="2:21" x14ac:dyDescent="0.2">
      <c r="B8491" s="203"/>
      <c r="C8491" s="237"/>
      <c r="D8491" s="202"/>
      <c r="E8491" s="202"/>
      <c r="U8491" s="204"/>
    </row>
    <row r="8492" spans="2:21" x14ac:dyDescent="0.2">
      <c r="B8492" s="203"/>
      <c r="C8492" s="237"/>
      <c r="D8492" s="202"/>
      <c r="E8492" s="202"/>
      <c r="U8492" s="204"/>
    </row>
    <row r="8493" spans="2:21" x14ac:dyDescent="0.2">
      <c r="B8493" s="203"/>
      <c r="C8493" s="237"/>
      <c r="D8493" s="202"/>
      <c r="E8493" s="202"/>
      <c r="U8493" s="204"/>
    </row>
    <row r="8494" spans="2:21" x14ac:dyDescent="0.2">
      <c r="B8494" s="203"/>
      <c r="C8494" s="237"/>
      <c r="D8494" s="202"/>
      <c r="E8494" s="202"/>
      <c r="U8494" s="204"/>
    </row>
    <row r="8495" spans="2:21" x14ac:dyDescent="0.2">
      <c r="B8495" s="203"/>
      <c r="C8495" s="237"/>
      <c r="D8495" s="202"/>
      <c r="E8495" s="202"/>
      <c r="U8495" s="204"/>
    </row>
    <row r="8496" spans="2:21" x14ac:dyDescent="0.2">
      <c r="B8496" s="203"/>
      <c r="C8496" s="237"/>
      <c r="D8496" s="202"/>
      <c r="E8496" s="202"/>
      <c r="U8496" s="204"/>
    </row>
    <row r="8497" spans="2:21" x14ac:dyDescent="0.2">
      <c r="B8497" s="203"/>
      <c r="C8497" s="237"/>
      <c r="D8497" s="202"/>
      <c r="E8497" s="202"/>
      <c r="U8497" s="204"/>
    </row>
    <row r="8498" spans="2:21" x14ac:dyDescent="0.2">
      <c r="B8498" s="203"/>
      <c r="C8498" s="237"/>
      <c r="D8498" s="202"/>
      <c r="E8498" s="202"/>
      <c r="U8498" s="204"/>
    </row>
    <row r="8499" spans="2:21" x14ac:dyDescent="0.2">
      <c r="B8499" s="203"/>
      <c r="C8499" s="237"/>
      <c r="D8499" s="202"/>
      <c r="E8499" s="202"/>
      <c r="U8499" s="204"/>
    </row>
    <row r="8500" spans="2:21" x14ac:dyDescent="0.2">
      <c r="B8500" s="203"/>
      <c r="C8500" s="237"/>
      <c r="D8500" s="202"/>
      <c r="E8500" s="202"/>
      <c r="U8500" s="204"/>
    </row>
    <row r="8501" spans="2:21" x14ac:dyDescent="0.2">
      <c r="B8501" s="203"/>
      <c r="C8501" s="237"/>
      <c r="D8501" s="202"/>
      <c r="E8501" s="202"/>
      <c r="U8501" s="204"/>
    </row>
    <row r="8502" spans="2:21" x14ac:dyDescent="0.2">
      <c r="B8502" s="203"/>
      <c r="C8502" s="237"/>
      <c r="D8502" s="202"/>
      <c r="E8502" s="202"/>
      <c r="U8502" s="204"/>
    </row>
    <row r="8503" spans="2:21" x14ac:dyDescent="0.2">
      <c r="B8503" s="203"/>
      <c r="C8503" s="237"/>
      <c r="D8503" s="202"/>
      <c r="E8503" s="202"/>
      <c r="U8503" s="204"/>
    </row>
    <row r="8504" spans="2:21" x14ac:dyDescent="0.2">
      <c r="B8504" s="203"/>
      <c r="C8504" s="237"/>
      <c r="D8504" s="202"/>
      <c r="E8504" s="202"/>
      <c r="U8504" s="204"/>
    </row>
    <row r="8505" spans="2:21" x14ac:dyDescent="0.2">
      <c r="B8505" s="203"/>
      <c r="C8505" s="237"/>
      <c r="D8505" s="202"/>
      <c r="E8505" s="202"/>
      <c r="U8505" s="204"/>
    </row>
    <row r="8506" spans="2:21" x14ac:dyDescent="0.2">
      <c r="B8506" s="203"/>
      <c r="C8506" s="237"/>
      <c r="D8506" s="202"/>
      <c r="E8506" s="202"/>
      <c r="U8506" s="204"/>
    </row>
    <row r="8507" spans="2:21" x14ac:dyDescent="0.2">
      <c r="B8507" s="203"/>
      <c r="C8507" s="237"/>
      <c r="D8507" s="202"/>
      <c r="E8507" s="202"/>
      <c r="U8507" s="204"/>
    </row>
    <row r="8508" spans="2:21" x14ac:dyDescent="0.2">
      <c r="B8508" s="203"/>
      <c r="C8508" s="237"/>
      <c r="D8508" s="202"/>
      <c r="E8508" s="202"/>
      <c r="U8508" s="204"/>
    </row>
    <row r="8509" spans="2:21" x14ac:dyDescent="0.2">
      <c r="B8509" s="203"/>
      <c r="C8509" s="237"/>
      <c r="D8509" s="202"/>
      <c r="E8509" s="202"/>
      <c r="U8509" s="204"/>
    </row>
    <row r="8510" spans="2:21" x14ac:dyDescent="0.2">
      <c r="B8510" s="203"/>
      <c r="C8510" s="237"/>
      <c r="D8510" s="202"/>
      <c r="E8510" s="202"/>
      <c r="U8510" s="204"/>
    </row>
    <row r="8511" spans="2:21" x14ac:dyDescent="0.2">
      <c r="B8511" s="203"/>
      <c r="C8511" s="237"/>
      <c r="D8511" s="202"/>
      <c r="E8511" s="202"/>
      <c r="U8511" s="204"/>
    </row>
    <row r="8512" spans="2:21" x14ac:dyDescent="0.2">
      <c r="B8512" s="203"/>
      <c r="C8512" s="237"/>
      <c r="D8512" s="202"/>
      <c r="E8512" s="202"/>
      <c r="U8512" s="204"/>
    </row>
    <row r="8513" spans="2:21" x14ac:dyDescent="0.2">
      <c r="B8513" s="203"/>
      <c r="C8513" s="237"/>
      <c r="D8513" s="202"/>
      <c r="E8513" s="202"/>
      <c r="U8513" s="204"/>
    </row>
    <row r="8514" spans="2:21" x14ac:dyDescent="0.2">
      <c r="B8514" s="203"/>
      <c r="C8514" s="237"/>
      <c r="D8514" s="202"/>
      <c r="E8514" s="202"/>
      <c r="U8514" s="204"/>
    </row>
    <row r="8515" spans="2:21" x14ac:dyDescent="0.2">
      <c r="B8515" s="203"/>
      <c r="C8515" s="237"/>
      <c r="D8515" s="202"/>
      <c r="E8515" s="202"/>
      <c r="U8515" s="204"/>
    </row>
    <row r="8516" spans="2:21" x14ac:dyDescent="0.2">
      <c r="B8516" s="203"/>
      <c r="C8516" s="237"/>
      <c r="D8516" s="202"/>
      <c r="E8516" s="202"/>
      <c r="U8516" s="204"/>
    </row>
    <row r="8517" spans="2:21" x14ac:dyDescent="0.2">
      <c r="B8517" s="203"/>
      <c r="C8517" s="237"/>
      <c r="D8517" s="202"/>
      <c r="E8517" s="202"/>
      <c r="U8517" s="204"/>
    </row>
    <row r="8518" spans="2:21" x14ac:dyDescent="0.2">
      <c r="B8518" s="203"/>
      <c r="C8518" s="237"/>
      <c r="D8518" s="202"/>
      <c r="E8518" s="202"/>
      <c r="U8518" s="204"/>
    </row>
    <row r="8519" spans="2:21" x14ac:dyDescent="0.2">
      <c r="B8519" s="203"/>
      <c r="C8519" s="237"/>
      <c r="D8519" s="202"/>
      <c r="E8519" s="202"/>
      <c r="U8519" s="204"/>
    </row>
    <row r="8520" spans="2:21" x14ac:dyDescent="0.2">
      <c r="B8520" s="203"/>
      <c r="C8520" s="237"/>
      <c r="D8520" s="202"/>
      <c r="E8520" s="202"/>
      <c r="U8520" s="204"/>
    </row>
    <row r="8521" spans="2:21" x14ac:dyDescent="0.2">
      <c r="B8521" s="203"/>
      <c r="C8521" s="237"/>
      <c r="D8521" s="202"/>
      <c r="E8521" s="202"/>
      <c r="U8521" s="204"/>
    </row>
    <row r="8522" spans="2:21" x14ac:dyDescent="0.2">
      <c r="B8522" s="203"/>
      <c r="C8522" s="237"/>
      <c r="D8522" s="202"/>
      <c r="E8522" s="202"/>
      <c r="U8522" s="204"/>
    </row>
    <row r="8523" spans="2:21" x14ac:dyDescent="0.2">
      <c r="B8523" s="203"/>
      <c r="C8523" s="237"/>
      <c r="D8523" s="202"/>
      <c r="E8523" s="202"/>
      <c r="U8523" s="204"/>
    </row>
    <row r="8524" spans="2:21" x14ac:dyDescent="0.2">
      <c r="B8524" s="203"/>
      <c r="C8524" s="237"/>
      <c r="D8524" s="202"/>
      <c r="E8524" s="202"/>
      <c r="U8524" s="204"/>
    </row>
    <row r="8525" spans="2:21" x14ac:dyDescent="0.2">
      <c r="B8525" s="203"/>
      <c r="C8525" s="237"/>
      <c r="D8525" s="202"/>
      <c r="E8525" s="202"/>
      <c r="U8525" s="204"/>
    </row>
    <row r="8526" spans="2:21" x14ac:dyDescent="0.2">
      <c r="B8526" s="203"/>
      <c r="C8526" s="237"/>
      <c r="D8526" s="202"/>
      <c r="E8526" s="202"/>
      <c r="U8526" s="204"/>
    </row>
    <row r="8527" spans="2:21" x14ac:dyDescent="0.2">
      <c r="B8527" s="203"/>
      <c r="C8527" s="237"/>
      <c r="D8527" s="202"/>
      <c r="E8527" s="202"/>
      <c r="U8527" s="204"/>
    </row>
    <row r="8528" spans="2:21" x14ac:dyDescent="0.2">
      <c r="B8528" s="203"/>
      <c r="C8528" s="237"/>
      <c r="D8528" s="202"/>
      <c r="E8528" s="202"/>
      <c r="U8528" s="204"/>
    </row>
    <row r="8529" spans="2:21" x14ac:dyDescent="0.2">
      <c r="B8529" s="203"/>
      <c r="C8529" s="237"/>
      <c r="D8529" s="202"/>
      <c r="E8529" s="202"/>
      <c r="U8529" s="204"/>
    </row>
    <row r="8530" spans="2:21" x14ac:dyDescent="0.2">
      <c r="B8530" s="203"/>
      <c r="C8530" s="237"/>
      <c r="D8530" s="202"/>
      <c r="E8530" s="202"/>
      <c r="U8530" s="204"/>
    </row>
    <row r="8531" spans="2:21" x14ac:dyDescent="0.2">
      <c r="B8531" s="203"/>
      <c r="C8531" s="237"/>
      <c r="D8531" s="202"/>
      <c r="E8531" s="202"/>
      <c r="U8531" s="204"/>
    </row>
    <row r="8532" spans="2:21" x14ac:dyDescent="0.2">
      <c r="B8532" s="203"/>
      <c r="C8532" s="237"/>
      <c r="D8532" s="202"/>
      <c r="E8532" s="202"/>
      <c r="U8532" s="204"/>
    </row>
    <row r="8533" spans="2:21" x14ac:dyDescent="0.2">
      <c r="B8533" s="203"/>
      <c r="C8533" s="237"/>
      <c r="D8533" s="202"/>
      <c r="E8533" s="202"/>
      <c r="U8533" s="204"/>
    </row>
    <row r="8534" spans="2:21" x14ac:dyDescent="0.2">
      <c r="B8534" s="203"/>
      <c r="C8534" s="237"/>
      <c r="D8534" s="202"/>
      <c r="E8534" s="202"/>
      <c r="U8534" s="204"/>
    </row>
    <row r="8535" spans="2:21" x14ac:dyDescent="0.2">
      <c r="B8535" s="203"/>
      <c r="C8535" s="237"/>
      <c r="D8535" s="202"/>
      <c r="E8535" s="202"/>
      <c r="U8535" s="204"/>
    </row>
    <row r="8536" spans="2:21" x14ac:dyDescent="0.2">
      <c r="B8536" s="203"/>
      <c r="C8536" s="237"/>
      <c r="D8536" s="202"/>
      <c r="E8536" s="202"/>
      <c r="U8536" s="204"/>
    </row>
    <row r="8537" spans="2:21" x14ac:dyDescent="0.2">
      <c r="B8537" s="203"/>
      <c r="C8537" s="237"/>
      <c r="D8537" s="202"/>
      <c r="E8537" s="202"/>
      <c r="U8537" s="204"/>
    </row>
    <row r="8538" spans="2:21" x14ac:dyDescent="0.2">
      <c r="B8538" s="203"/>
      <c r="C8538" s="237"/>
      <c r="D8538" s="202"/>
      <c r="E8538" s="202"/>
      <c r="U8538" s="204"/>
    </row>
    <row r="8539" spans="2:21" x14ac:dyDescent="0.2">
      <c r="B8539" s="203"/>
      <c r="C8539" s="237"/>
      <c r="D8539" s="202"/>
      <c r="E8539" s="202"/>
      <c r="U8539" s="204"/>
    </row>
    <row r="8540" spans="2:21" x14ac:dyDescent="0.2">
      <c r="B8540" s="203"/>
      <c r="C8540" s="237"/>
      <c r="D8540" s="202"/>
      <c r="E8540" s="202"/>
      <c r="U8540" s="204"/>
    </row>
    <row r="8541" spans="2:21" x14ac:dyDescent="0.2">
      <c r="B8541" s="203"/>
      <c r="C8541" s="237"/>
      <c r="D8541" s="202"/>
      <c r="E8541" s="202"/>
      <c r="U8541" s="204"/>
    </row>
    <row r="8542" spans="2:21" x14ac:dyDescent="0.2">
      <c r="B8542" s="203"/>
      <c r="C8542" s="237"/>
      <c r="D8542" s="202"/>
      <c r="E8542" s="202"/>
      <c r="U8542" s="204"/>
    </row>
    <row r="8543" spans="2:21" x14ac:dyDescent="0.2">
      <c r="B8543" s="203"/>
      <c r="C8543" s="237"/>
      <c r="D8543" s="202"/>
      <c r="E8543" s="202"/>
      <c r="U8543" s="204"/>
    </row>
    <row r="8544" spans="2:21" x14ac:dyDescent="0.2">
      <c r="B8544" s="203"/>
      <c r="C8544" s="237"/>
      <c r="D8544" s="202"/>
      <c r="E8544" s="202"/>
      <c r="U8544" s="204"/>
    </row>
    <row r="8545" spans="2:21" x14ac:dyDescent="0.2">
      <c r="B8545" s="203"/>
      <c r="C8545" s="237"/>
      <c r="D8545" s="202"/>
      <c r="E8545" s="202"/>
      <c r="U8545" s="204"/>
    </row>
    <row r="8546" spans="2:21" x14ac:dyDescent="0.2">
      <c r="B8546" s="203"/>
      <c r="C8546" s="237"/>
      <c r="D8546" s="202"/>
      <c r="E8546" s="202"/>
      <c r="U8546" s="204"/>
    </row>
    <row r="8547" spans="2:21" x14ac:dyDescent="0.2">
      <c r="B8547" s="203"/>
      <c r="C8547" s="237"/>
      <c r="D8547" s="202"/>
      <c r="E8547" s="202"/>
      <c r="U8547" s="204"/>
    </row>
    <row r="8548" spans="2:21" x14ac:dyDescent="0.2">
      <c r="B8548" s="203"/>
      <c r="C8548" s="237"/>
      <c r="D8548" s="202"/>
      <c r="E8548" s="202"/>
      <c r="U8548" s="204"/>
    </row>
    <row r="8549" spans="2:21" x14ac:dyDescent="0.2">
      <c r="B8549" s="203"/>
      <c r="C8549" s="237"/>
      <c r="D8549" s="202"/>
      <c r="E8549" s="202"/>
      <c r="U8549" s="204"/>
    </row>
    <row r="8550" spans="2:21" x14ac:dyDescent="0.2">
      <c r="B8550" s="203"/>
      <c r="C8550" s="237"/>
      <c r="D8550" s="202"/>
      <c r="E8550" s="202"/>
      <c r="U8550" s="204"/>
    </row>
    <row r="8551" spans="2:21" x14ac:dyDescent="0.2">
      <c r="B8551" s="203"/>
      <c r="C8551" s="237"/>
      <c r="D8551" s="202"/>
      <c r="E8551" s="202"/>
      <c r="U8551" s="204"/>
    </row>
    <row r="8552" spans="2:21" x14ac:dyDescent="0.2">
      <c r="B8552" s="203"/>
      <c r="C8552" s="237"/>
      <c r="D8552" s="202"/>
      <c r="E8552" s="202"/>
      <c r="U8552" s="204"/>
    </row>
    <row r="8553" spans="2:21" x14ac:dyDescent="0.2">
      <c r="B8553" s="203"/>
      <c r="C8553" s="237"/>
      <c r="D8553" s="202"/>
      <c r="E8553" s="202"/>
      <c r="U8553" s="204"/>
    </row>
    <row r="8554" spans="2:21" x14ac:dyDescent="0.2">
      <c r="B8554" s="203"/>
      <c r="C8554" s="237"/>
      <c r="D8554" s="202"/>
      <c r="E8554" s="202"/>
      <c r="U8554" s="204"/>
    </row>
    <row r="8555" spans="2:21" x14ac:dyDescent="0.2">
      <c r="B8555" s="203"/>
      <c r="C8555" s="237"/>
      <c r="D8555" s="202"/>
      <c r="E8555" s="202"/>
      <c r="U8555" s="204"/>
    </row>
    <row r="8556" spans="2:21" x14ac:dyDescent="0.2">
      <c r="B8556" s="203"/>
      <c r="C8556" s="237"/>
      <c r="D8556" s="202"/>
      <c r="E8556" s="202"/>
      <c r="U8556" s="204"/>
    </row>
    <row r="8557" spans="2:21" x14ac:dyDescent="0.2">
      <c r="B8557" s="203"/>
      <c r="C8557" s="237"/>
      <c r="D8557" s="202"/>
      <c r="E8557" s="202"/>
      <c r="U8557" s="204"/>
    </row>
    <row r="8558" spans="2:21" x14ac:dyDescent="0.2">
      <c r="B8558" s="203"/>
      <c r="C8558" s="237"/>
      <c r="D8558" s="202"/>
      <c r="E8558" s="202"/>
      <c r="U8558" s="204"/>
    </row>
    <row r="8559" spans="2:21" x14ac:dyDescent="0.2">
      <c r="B8559" s="203"/>
      <c r="C8559" s="237"/>
      <c r="D8559" s="202"/>
      <c r="E8559" s="202"/>
      <c r="U8559" s="204"/>
    </row>
    <row r="8560" spans="2:21" x14ac:dyDescent="0.2">
      <c r="B8560" s="203"/>
      <c r="C8560" s="237"/>
      <c r="D8560" s="202"/>
      <c r="E8560" s="202"/>
      <c r="U8560" s="204"/>
    </row>
    <row r="8561" spans="2:21" x14ac:dyDescent="0.2">
      <c r="B8561" s="203"/>
      <c r="C8561" s="237"/>
      <c r="D8561" s="202"/>
      <c r="E8561" s="202"/>
      <c r="U8561" s="204"/>
    </row>
    <row r="8562" spans="2:21" x14ac:dyDescent="0.2">
      <c r="B8562" s="203"/>
      <c r="C8562" s="237"/>
      <c r="D8562" s="202"/>
      <c r="E8562" s="202"/>
      <c r="U8562" s="204"/>
    </row>
    <row r="8563" spans="2:21" x14ac:dyDescent="0.2">
      <c r="B8563" s="203"/>
      <c r="C8563" s="237"/>
      <c r="D8563" s="202"/>
      <c r="E8563" s="202"/>
      <c r="U8563" s="204"/>
    </row>
    <row r="8564" spans="2:21" x14ac:dyDescent="0.2">
      <c r="B8564" s="203"/>
      <c r="C8564" s="237"/>
      <c r="D8564" s="202"/>
      <c r="E8564" s="202"/>
      <c r="U8564" s="204"/>
    </row>
    <row r="8565" spans="2:21" x14ac:dyDescent="0.2">
      <c r="B8565" s="203"/>
      <c r="C8565" s="237"/>
      <c r="D8565" s="202"/>
      <c r="E8565" s="202"/>
      <c r="U8565" s="204"/>
    </row>
    <row r="8566" spans="2:21" x14ac:dyDescent="0.2">
      <c r="B8566" s="203"/>
      <c r="C8566" s="237"/>
      <c r="D8566" s="202"/>
      <c r="E8566" s="202"/>
      <c r="U8566" s="204"/>
    </row>
    <row r="8567" spans="2:21" x14ac:dyDescent="0.2">
      <c r="B8567" s="203"/>
      <c r="C8567" s="237"/>
      <c r="D8567" s="202"/>
      <c r="E8567" s="202"/>
      <c r="U8567" s="204"/>
    </row>
    <row r="8568" spans="2:21" x14ac:dyDescent="0.2">
      <c r="B8568" s="203"/>
      <c r="C8568" s="237"/>
      <c r="D8568" s="202"/>
      <c r="E8568" s="202"/>
      <c r="U8568" s="204"/>
    </row>
    <row r="8569" spans="2:21" x14ac:dyDescent="0.2">
      <c r="B8569" s="203"/>
      <c r="C8569" s="237"/>
      <c r="D8569" s="202"/>
      <c r="E8569" s="202"/>
      <c r="U8569" s="204"/>
    </row>
    <row r="8570" spans="2:21" x14ac:dyDescent="0.2">
      <c r="B8570" s="203"/>
      <c r="C8570" s="237"/>
      <c r="D8570" s="202"/>
      <c r="E8570" s="202"/>
      <c r="U8570" s="204"/>
    </row>
    <row r="8571" spans="2:21" x14ac:dyDescent="0.2">
      <c r="B8571" s="203"/>
      <c r="C8571" s="237"/>
      <c r="D8571" s="202"/>
      <c r="E8571" s="202"/>
      <c r="U8571" s="204"/>
    </row>
    <row r="8572" spans="2:21" x14ac:dyDescent="0.2">
      <c r="B8572" s="203"/>
      <c r="C8572" s="237"/>
      <c r="D8572" s="202"/>
      <c r="E8572" s="202"/>
      <c r="U8572" s="204"/>
    </row>
    <row r="8573" spans="2:21" x14ac:dyDescent="0.2">
      <c r="B8573" s="203"/>
      <c r="C8573" s="237"/>
      <c r="D8573" s="202"/>
      <c r="E8573" s="202"/>
      <c r="U8573" s="204"/>
    </row>
    <row r="8574" spans="2:21" x14ac:dyDescent="0.2">
      <c r="B8574" s="203"/>
      <c r="C8574" s="237"/>
      <c r="D8574" s="202"/>
      <c r="E8574" s="202"/>
      <c r="U8574" s="204"/>
    </row>
    <row r="8575" spans="2:21" x14ac:dyDescent="0.2">
      <c r="B8575" s="203"/>
      <c r="C8575" s="237"/>
      <c r="D8575" s="202"/>
      <c r="E8575" s="202"/>
      <c r="U8575" s="204"/>
    </row>
    <row r="8576" spans="2:21" x14ac:dyDescent="0.2">
      <c r="B8576" s="203"/>
      <c r="C8576" s="237"/>
      <c r="D8576" s="202"/>
      <c r="E8576" s="202"/>
      <c r="U8576" s="204"/>
    </row>
    <row r="8577" spans="2:21" x14ac:dyDescent="0.2">
      <c r="B8577" s="203"/>
      <c r="C8577" s="237"/>
      <c r="D8577" s="202"/>
      <c r="E8577" s="202"/>
      <c r="U8577" s="204"/>
    </row>
    <row r="8578" spans="2:21" x14ac:dyDescent="0.2">
      <c r="B8578" s="203"/>
      <c r="C8578" s="237"/>
      <c r="D8578" s="202"/>
      <c r="E8578" s="202"/>
      <c r="U8578" s="204"/>
    </row>
    <row r="8579" spans="2:21" x14ac:dyDescent="0.2">
      <c r="B8579" s="203"/>
      <c r="C8579" s="237"/>
      <c r="D8579" s="202"/>
      <c r="E8579" s="202"/>
      <c r="U8579" s="204"/>
    </row>
    <row r="8580" spans="2:21" x14ac:dyDescent="0.2">
      <c r="B8580" s="203"/>
      <c r="C8580" s="237"/>
      <c r="D8580" s="202"/>
      <c r="E8580" s="202"/>
      <c r="U8580" s="204"/>
    </row>
    <row r="8581" spans="2:21" x14ac:dyDescent="0.2">
      <c r="B8581" s="203"/>
      <c r="C8581" s="237"/>
      <c r="D8581" s="202"/>
      <c r="E8581" s="202"/>
      <c r="U8581" s="204"/>
    </row>
    <row r="8582" spans="2:21" x14ac:dyDescent="0.2">
      <c r="B8582" s="203"/>
      <c r="C8582" s="237"/>
      <c r="D8582" s="202"/>
      <c r="E8582" s="202"/>
      <c r="U8582" s="204"/>
    </row>
    <row r="8583" spans="2:21" x14ac:dyDescent="0.2">
      <c r="B8583" s="203"/>
      <c r="C8583" s="237"/>
      <c r="D8583" s="202"/>
      <c r="E8583" s="202"/>
      <c r="U8583" s="204"/>
    </row>
    <row r="8584" spans="2:21" x14ac:dyDescent="0.2">
      <c r="B8584" s="203"/>
      <c r="C8584" s="237"/>
      <c r="D8584" s="202"/>
      <c r="E8584" s="202"/>
      <c r="U8584" s="204"/>
    </row>
    <row r="8585" spans="2:21" x14ac:dyDescent="0.2">
      <c r="B8585" s="203"/>
      <c r="C8585" s="237"/>
      <c r="D8585" s="202"/>
      <c r="E8585" s="202"/>
      <c r="U8585" s="204"/>
    </row>
    <row r="8586" spans="2:21" x14ac:dyDescent="0.2">
      <c r="B8586" s="203"/>
      <c r="C8586" s="237"/>
      <c r="D8586" s="202"/>
      <c r="E8586" s="202"/>
      <c r="U8586" s="204"/>
    </row>
    <row r="8587" spans="2:21" x14ac:dyDescent="0.2">
      <c r="B8587" s="203"/>
      <c r="C8587" s="237"/>
      <c r="D8587" s="202"/>
      <c r="E8587" s="202"/>
      <c r="U8587" s="204"/>
    </row>
    <row r="8588" spans="2:21" x14ac:dyDescent="0.2">
      <c r="B8588" s="203"/>
      <c r="C8588" s="237"/>
      <c r="D8588" s="202"/>
      <c r="E8588" s="202"/>
      <c r="U8588" s="204"/>
    </row>
    <row r="8589" spans="2:21" x14ac:dyDescent="0.2">
      <c r="B8589" s="203"/>
      <c r="C8589" s="237"/>
      <c r="D8589" s="202"/>
      <c r="E8589" s="202"/>
      <c r="U8589" s="204"/>
    </row>
    <row r="8590" spans="2:21" x14ac:dyDescent="0.2">
      <c r="B8590" s="203"/>
      <c r="C8590" s="237"/>
      <c r="D8590" s="202"/>
      <c r="E8590" s="202"/>
      <c r="U8590" s="204"/>
    </row>
    <row r="8591" spans="2:21" x14ac:dyDescent="0.2">
      <c r="B8591" s="203"/>
      <c r="C8591" s="237"/>
      <c r="D8591" s="202"/>
      <c r="E8591" s="202"/>
      <c r="U8591" s="204"/>
    </row>
    <row r="8592" spans="2:21" x14ac:dyDescent="0.2">
      <c r="B8592" s="203"/>
      <c r="C8592" s="237"/>
      <c r="D8592" s="202"/>
      <c r="E8592" s="202"/>
      <c r="U8592" s="204"/>
    </row>
    <row r="8593" spans="2:21" x14ac:dyDescent="0.2">
      <c r="B8593" s="203"/>
      <c r="C8593" s="237"/>
      <c r="D8593" s="202"/>
      <c r="E8593" s="202"/>
      <c r="U8593" s="204"/>
    </row>
    <row r="8594" spans="2:21" x14ac:dyDescent="0.2">
      <c r="B8594" s="203"/>
      <c r="C8594" s="237"/>
      <c r="D8594" s="202"/>
      <c r="E8594" s="202"/>
      <c r="U8594" s="204"/>
    </row>
    <row r="8595" spans="2:21" x14ac:dyDescent="0.2">
      <c r="B8595" s="203"/>
      <c r="C8595" s="237"/>
      <c r="D8595" s="202"/>
      <c r="E8595" s="202"/>
      <c r="U8595" s="204"/>
    </row>
    <row r="8596" spans="2:21" x14ac:dyDescent="0.2">
      <c r="B8596" s="203"/>
      <c r="C8596" s="237"/>
      <c r="D8596" s="202"/>
      <c r="E8596" s="202"/>
      <c r="U8596" s="204"/>
    </row>
    <row r="8597" spans="2:21" x14ac:dyDescent="0.2">
      <c r="B8597" s="203"/>
      <c r="C8597" s="237"/>
      <c r="D8597" s="202"/>
      <c r="E8597" s="202"/>
      <c r="U8597" s="204"/>
    </row>
    <row r="8598" spans="2:21" x14ac:dyDescent="0.2">
      <c r="B8598" s="203"/>
      <c r="C8598" s="237"/>
      <c r="D8598" s="202"/>
      <c r="E8598" s="202"/>
      <c r="U8598" s="204"/>
    </row>
    <row r="8599" spans="2:21" x14ac:dyDescent="0.2">
      <c r="B8599" s="203"/>
      <c r="C8599" s="237"/>
      <c r="D8599" s="202"/>
      <c r="E8599" s="202"/>
      <c r="U8599" s="204"/>
    </row>
    <row r="8600" spans="2:21" x14ac:dyDescent="0.2">
      <c r="B8600" s="203"/>
      <c r="C8600" s="237"/>
      <c r="D8600" s="202"/>
      <c r="E8600" s="202"/>
      <c r="U8600" s="204"/>
    </row>
    <row r="8601" spans="2:21" x14ac:dyDescent="0.2">
      <c r="B8601" s="203"/>
      <c r="C8601" s="237"/>
      <c r="D8601" s="202"/>
      <c r="E8601" s="202"/>
      <c r="U8601" s="204"/>
    </row>
    <row r="8602" spans="2:21" x14ac:dyDescent="0.2">
      <c r="B8602" s="203"/>
      <c r="C8602" s="237"/>
      <c r="D8602" s="202"/>
      <c r="E8602" s="202"/>
      <c r="U8602" s="204"/>
    </row>
    <row r="8603" spans="2:21" x14ac:dyDescent="0.2">
      <c r="B8603" s="203"/>
      <c r="C8603" s="237"/>
      <c r="D8603" s="202"/>
      <c r="E8603" s="202"/>
      <c r="U8603" s="204"/>
    </row>
    <row r="8604" spans="2:21" x14ac:dyDescent="0.2">
      <c r="B8604" s="203"/>
      <c r="C8604" s="237"/>
      <c r="D8604" s="202"/>
      <c r="E8604" s="202"/>
      <c r="U8604" s="204"/>
    </row>
    <row r="8605" spans="2:21" x14ac:dyDescent="0.2">
      <c r="B8605" s="203"/>
      <c r="C8605" s="237"/>
      <c r="D8605" s="202"/>
      <c r="E8605" s="202"/>
      <c r="U8605" s="204"/>
    </row>
    <row r="8606" spans="2:21" x14ac:dyDescent="0.2">
      <c r="B8606" s="203"/>
      <c r="C8606" s="237"/>
      <c r="D8606" s="202"/>
      <c r="E8606" s="202"/>
      <c r="U8606" s="204"/>
    </row>
    <row r="8607" spans="2:21" x14ac:dyDescent="0.2">
      <c r="B8607" s="203"/>
      <c r="C8607" s="237"/>
      <c r="D8607" s="202"/>
      <c r="E8607" s="202"/>
      <c r="U8607" s="204"/>
    </row>
    <row r="8608" spans="2:21" x14ac:dyDescent="0.2">
      <c r="B8608" s="203"/>
      <c r="C8608" s="237"/>
      <c r="D8608" s="202"/>
      <c r="E8608" s="202"/>
      <c r="U8608" s="204"/>
    </row>
    <row r="8609" spans="2:21" x14ac:dyDescent="0.2">
      <c r="B8609" s="203"/>
      <c r="C8609" s="237"/>
      <c r="D8609" s="202"/>
      <c r="E8609" s="202"/>
      <c r="U8609" s="204"/>
    </row>
    <row r="8610" spans="2:21" x14ac:dyDescent="0.2">
      <c r="B8610" s="203"/>
      <c r="C8610" s="237"/>
      <c r="D8610" s="202"/>
      <c r="E8610" s="202"/>
      <c r="U8610" s="204"/>
    </row>
    <row r="8611" spans="2:21" x14ac:dyDescent="0.2">
      <c r="B8611" s="203"/>
      <c r="C8611" s="237"/>
      <c r="D8611" s="202"/>
      <c r="E8611" s="202"/>
      <c r="U8611" s="204"/>
    </row>
    <row r="8612" spans="2:21" x14ac:dyDescent="0.2">
      <c r="B8612" s="203"/>
      <c r="C8612" s="237"/>
      <c r="D8612" s="202"/>
      <c r="E8612" s="202"/>
      <c r="U8612" s="204"/>
    </row>
    <row r="8613" spans="2:21" x14ac:dyDescent="0.2">
      <c r="B8613" s="203"/>
      <c r="C8613" s="237"/>
      <c r="D8613" s="202"/>
      <c r="E8613" s="202"/>
      <c r="U8613" s="204"/>
    </row>
    <row r="8614" spans="2:21" x14ac:dyDescent="0.2">
      <c r="B8614" s="203"/>
      <c r="C8614" s="237"/>
      <c r="D8614" s="202"/>
      <c r="E8614" s="202"/>
      <c r="U8614" s="204"/>
    </row>
    <row r="8615" spans="2:21" x14ac:dyDescent="0.2">
      <c r="B8615" s="203"/>
      <c r="C8615" s="237"/>
      <c r="D8615" s="202"/>
      <c r="E8615" s="202"/>
      <c r="U8615" s="204"/>
    </row>
    <row r="8616" spans="2:21" x14ac:dyDescent="0.2">
      <c r="B8616" s="203"/>
      <c r="C8616" s="237"/>
      <c r="D8616" s="202"/>
      <c r="E8616" s="202"/>
      <c r="U8616" s="204"/>
    </row>
    <row r="8617" spans="2:21" x14ac:dyDescent="0.2">
      <c r="B8617" s="203"/>
      <c r="C8617" s="237"/>
      <c r="D8617" s="202"/>
      <c r="E8617" s="202"/>
      <c r="U8617" s="204"/>
    </row>
    <row r="8618" spans="2:21" x14ac:dyDescent="0.2">
      <c r="B8618" s="203"/>
      <c r="C8618" s="237"/>
      <c r="D8618" s="202"/>
      <c r="E8618" s="202"/>
      <c r="U8618" s="204"/>
    </row>
    <row r="8619" spans="2:21" x14ac:dyDescent="0.2">
      <c r="B8619" s="203"/>
      <c r="C8619" s="237"/>
      <c r="D8619" s="202"/>
      <c r="E8619" s="202"/>
      <c r="U8619" s="204"/>
    </row>
    <row r="8620" spans="2:21" x14ac:dyDescent="0.2">
      <c r="B8620" s="203"/>
      <c r="C8620" s="237"/>
      <c r="D8620" s="202"/>
      <c r="E8620" s="202"/>
      <c r="U8620" s="204"/>
    </row>
    <row r="8621" spans="2:21" x14ac:dyDescent="0.2">
      <c r="B8621" s="203"/>
      <c r="C8621" s="237"/>
      <c r="D8621" s="202"/>
      <c r="E8621" s="202"/>
      <c r="U8621" s="204"/>
    </row>
    <row r="8622" spans="2:21" x14ac:dyDescent="0.2">
      <c r="B8622" s="203"/>
      <c r="C8622" s="237"/>
      <c r="D8622" s="202"/>
      <c r="E8622" s="202"/>
      <c r="U8622" s="204"/>
    </row>
    <row r="8623" spans="2:21" x14ac:dyDescent="0.2">
      <c r="B8623" s="203"/>
      <c r="C8623" s="237"/>
      <c r="D8623" s="202"/>
      <c r="E8623" s="202"/>
      <c r="U8623" s="204"/>
    </row>
    <row r="8624" spans="2:21" x14ac:dyDescent="0.2">
      <c r="B8624" s="203"/>
      <c r="C8624" s="237"/>
      <c r="D8624" s="202"/>
      <c r="E8624" s="202"/>
      <c r="U8624" s="204"/>
    </row>
    <row r="8625" spans="2:21" x14ac:dyDescent="0.2">
      <c r="B8625" s="203"/>
      <c r="C8625" s="237"/>
      <c r="D8625" s="202"/>
      <c r="E8625" s="202"/>
      <c r="U8625" s="204"/>
    </row>
    <row r="8626" spans="2:21" x14ac:dyDescent="0.2">
      <c r="B8626" s="203"/>
      <c r="C8626" s="237"/>
      <c r="D8626" s="202"/>
      <c r="E8626" s="202"/>
      <c r="U8626" s="204"/>
    </row>
    <row r="8627" spans="2:21" x14ac:dyDescent="0.2">
      <c r="B8627" s="203"/>
      <c r="C8627" s="237"/>
      <c r="D8627" s="202"/>
      <c r="E8627" s="202"/>
      <c r="U8627" s="204"/>
    </row>
    <row r="8628" spans="2:21" x14ac:dyDescent="0.2">
      <c r="B8628" s="203"/>
      <c r="C8628" s="237"/>
      <c r="D8628" s="202"/>
      <c r="E8628" s="202"/>
      <c r="U8628" s="204"/>
    </row>
    <row r="8629" spans="2:21" x14ac:dyDescent="0.2">
      <c r="B8629" s="203"/>
      <c r="C8629" s="237"/>
      <c r="D8629" s="202"/>
      <c r="E8629" s="202"/>
      <c r="U8629" s="204"/>
    </row>
    <row r="8630" spans="2:21" x14ac:dyDescent="0.2">
      <c r="B8630" s="203"/>
      <c r="C8630" s="237"/>
      <c r="D8630" s="202"/>
      <c r="E8630" s="202"/>
      <c r="U8630" s="204"/>
    </row>
    <row r="8631" spans="2:21" x14ac:dyDescent="0.2">
      <c r="B8631" s="203"/>
      <c r="C8631" s="237"/>
      <c r="D8631" s="202"/>
      <c r="E8631" s="202"/>
      <c r="U8631" s="204"/>
    </row>
    <row r="8632" spans="2:21" x14ac:dyDescent="0.2">
      <c r="B8632" s="203"/>
      <c r="C8632" s="237"/>
      <c r="D8632" s="202"/>
      <c r="E8632" s="202"/>
      <c r="U8632" s="204"/>
    </row>
    <row r="8633" spans="2:21" x14ac:dyDescent="0.2">
      <c r="B8633" s="203"/>
      <c r="C8633" s="237"/>
      <c r="D8633" s="202"/>
      <c r="E8633" s="202"/>
      <c r="U8633" s="204"/>
    </row>
    <row r="8634" spans="2:21" x14ac:dyDescent="0.2">
      <c r="B8634" s="203"/>
      <c r="C8634" s="237"/>
      <c r="D8634" s="202"/>
      <c r="E8634" s="202"/>
      <c r="U8634" s="204"/>
    </row>
    <row r="8635" spans="2:21" x14ac:dyDescent="0.2">
      <c r="B8635" s="203"/>
      <c r="C8635" s="237"/>
      <c r="D8635" s="202"/>
      <c r="E8635" s="202"/>
      <c r="U8635" s="204"/>
    </row>
    <row r="8636" spans="2:21" x14ac:dyDescent="0.2">
      <c r="B8636" s="203"/>
      <c r="C8636" s="237"/>
      <c r="D8636" s="202"/>
      <c r="E8636" s="202"/>
      <c r="U8636" s="204"/>
    </row>
    <row r="8637" spans="2:21" x14ac:dyDescent="0.2">
      <c r="B8637" s="203"/>
      <c r="C8637" s="237"/>
      <c r="D8637" s="202"/>
      <c r="E8637" s="202"/>
      <c r="U8637" s="204"/>
    </row>
    <row r="8638" spans="2:21" x14ac:dyDescent="0.2">
      <c r="B8638" s="203"/>
      <c r="C8638" s="237"/>
      <c r="D8638" s="202"/>
      <c r="E8638" s="202"/>
      <c r="U8638" s="204"/>
    </row>
    <row r="8639" spans="2:21" x14ac:dyDescent="0.2">
      <c r="B8639" s="203"/>
      <c r="C8639" s="237"/>
      <c r="D8639" s="202"/>
      <c r="E8639" s="202"/>
      <c r="U8639" s="204"/>
    </row>
    <row r="8640" spans="2:21" x14ac:dyDescent="0.2">
      <c r="B8640" s="203"/>
      <c r="C8640" s="237"/>
      <c r="D8640" s="202"/>
      <c r="E8640" s="202"/>
      <c r="U8640" s="204"/>
    </row>
    <row r="8641" spans="2:21" x14ac:dyDescent="0.2">
      <c r="B8641" s="203"/>
      <c r="C8641" s="237"/>
      <c r="D8641" s="202"/>
      <c r="E8641" s="202"/>
      <c r="U8641" s="204"/>
    </row>
    <row r="8642" spans="2:21" x14ac:dyDescent="0.2">
      <c r="B8642" s="203"/>
      <c r="C8642" s="237"/>
      <c r="D8642" s="202"/>
      <c r="E8642" s="202"/>
      <c r="U8642" s="204"/>
    </row>
    <row r="8643" spans="2:21" x14ac:dyDescent="0.2">
      <c r="B8643" s="203"/>
      <c r="C8643" s="237"/>
      <c r="D8643" s="202"/>
      <c r="E8643" s="202"/>
      <c r="U8643" s="204"/>
    </row>
    <row r="8644" spans="2:21" x14ac:dyDescent="0.2">
      <c r="B8644" s="203"/>
      <c r="C8644" s="237"/>
      <c r="D8644" s="202"/>
      <c r="E8644" s="202"/>
      <c r="U8644" s="204"/>
    </row>
    <row r="8645" spans="2:21" x14ac:dyDescent="0.2">
      <c r="B8645" s="203"/>
      <c r="C8645" s="237"/>
      <c r="D8645" s="202"/>
      <c r="E8645" s="202"/>
      <c r="U8645" s="204"/>
    </row>
    <row r="8646" spans="2:21" x14ac:dyDescent="0.2">
      <c r="B8646" s="203"/>
      <c r="C8646" s="237"/>
      <c r="D8646" s="202"/>
      <c r="E8646" s="202"/>
      <c r="U8646" s="204"/>
    </row>
    <row r="8647" spans="2:21" x14ac:dyDescent="0.2">
      <c r="B8647" s="203"/>
      <c r="C8647" s="237"/>
      <c r="D8647" s="202"/>
      <c r="E8647" s="202"/>
      <c r="U8647" s="204"/>
    </row>
    <row r="8648" spans="2:21" x14ac:dyDescent="0.2">
      <c r="B8648" s="203"/>
      <c r="C8648" s="237"/>
      <c r="D8648" s="202"/>
      <c r="E8648" s="202"/>
      <c r="U8648" s="204"/>
    </row>
    <row r="8649" spans="2:21" x14ac:dyDescent="0.2">
      <c r="B8649" s="203"/>
      <c r="C8649" s="237"/>
      <c r="D8649" s="202"/>
      <c r="E8649" s="202"/>
      <c r="U8649" s="204"/>
    </row>
    <row r="8650" spans="2:21" x14ac:dyDescent="0.2">
      <c r="B8650" s="203"/>
      <c r="C8650" s="237"/>
      <c r="D8650" s="202"/>
      <c r="E8650" s="202"/>
      <c r="U8650" s="204"/>
    </row>
    <row r="8651" spans="2:21" x14ac:dyDescent="0.2">
      <c r="B8651" s="203"/>
      <c r="C8651" s="237"/>
      <c r="D8651" s="202"/>
      <c r="E8651" s="202"/>
      <c r="U8651" s="204"/>
    </row>
    <row r="8652" spans="2:21" x14ac:dyDescent="0.2">
      <c r="B8652" s="203"/>
      <c r="C8652" s="237"/>
      <c r="D8652" s="202"/>
      <c r="E8652" s="202"/>
      <c r="U8652" s="204"/>
    </row>
    <row r="8653" spans="2:21" x14ac:dyDescent="0.2">
      <c r="B8653" s="203"/>
      <c r="C8653" s="237"/>
      <c r="D8653" s="202"/>
      <c r="E8653" s="202"/>
      <c r="U8653" s="204"/>
    </row>
    <row r="8654" spans="2:21" x14ac:dyDescent="0.2">
      <c r="B8654" s="203"/>
      <c r="C8654" s="237"/>
      <c r="D8654" s="202"/>
      <c r="E8654" s="202"/>
      <c r="U8654" s="204"/>
    </row>
    <row r="8655" spans="2:21" x14ac:dyDescent="0.2">
      <c r="B8655" s="203"/>
      <c r="C8655" s="237"/>
      <c r="D8655" s="202"/>
      <c r="E8655" s="202"/>
      <c r="U8655" s="204"/>
    </row>
    <row r="8656" spans="2:21" x14ac:dyDescent="0.2">
      <c r="B8656" s="203"/>
      <c r="C8656" s="237"/>
      <c r="D8656" s="202"/>
      <c r="E8656" s="202"/>
      <c r="U8656" s="204"/>
    </row>
    <row r="8657" spans="2:21" x14ac:dyDescent="0.2">
      <c r="B8657" s="203"/>
      <c r="C8657" s="237"/>
      <c r="D8657" s="202"/>
      <c r="E8657" s="202"/>
      <c r="U8657" s="204"/>
    </row>
    <row r="8658" spans="2:21" x14ac:dyDescent="0.2">
      <c r="B8658" s="203"/>
      <c r="C8658" s="237"/>
      <c r="D8658" s="202"/>
      <c r="E8658" s="202"/>
      <c r="U8658" s="204"/>
    </row>
    <row r="8659" spans="2:21" x14ac:dyDescent="0.2">
      <c r="B8659" s="203"/>
      <c r="C8659" s="237"/>
      <c r="D8659" s="202"/>
      <c r="E8659" s="202"/>
      <c r="U8659" s="204"/>
    </row>
    <row r="8660" spans="2:21" x14ac:dyDescent="0.2">
      <c r="B8660" s="203"/>
      <c r="C8660" s="237"/>
      <c r="D8660" s="202"/>
      <c r="E8660" s="202"/>
      <c r="U8660" s="204"/>
    </row>
    <row r="8661" spans="2:21" x14ac:dyDescent="0.2">
      <c r="B8661" s="203"/>
      <c r="C8661" s="237"/>
      <c r="D8661" s="202"/>
      <c r="E8661" s="202"/>
      <c r="U8661" s="204"/>
    </row>
    <row r="8662" spans="2:21" x14ac:dyDescent="0.2">
      <c r="B8662" s="203"/>
      <c r="C8662" s="237"/>
      <c r="D8662" s="202"/>
      <c r="E8662" s="202"/>
      <c r="U8662" s="204"/>
    </row>
    <row r="8663" spans="2:21" x14ac:dyDescent="0.2">
      <c r="B8663" s="203"/>
      <c r="C8663" s="237"/>
      <c r="D8663" s="202"/>
      <c r="E8663" s="202"/>
      <c r="U8663" s="204"/>
    </row>
    <row r="8664" spans="2:21" x14ac:dyDescent="0.2">
      <c r="B8664" s="203"/>
      <c r="C8664" s="237"/>
      <c r="D8664" s="202"/>
      <c r="E8664" s="202"/>
      <c r="U8664" s="204"/>
    </row>
    <row r="8665" spans="2:21" x14ac:dyDescent="0.2">
      <c r="B8665" s="203"/>
      <c r="C8665" s="237"/>
      <c r="D8665" s="202"/>
      <c r="E8665" s="202"/>
      <c r="U8665" s="204"/>
    </row>
    <row r="8666" spans="2:21" x14ac:dyDescent="0.2">
      <c r="B8666" s="203"/>
      <c r="C8666" s="237"/>
      <c r="D8666" s="202"/>
      <c r="E8666" s="202"/>
      <c r="U8666" s="204"/>
    </row>
    <row r="8667" spans="2:21" x14ac:dyDescent="0.2">
      <c r="B8667" s="203"/>
      <c r="C8667" s="237"/>
      <c r="D8667" s="202"/>
      <c r="E8667" s="202"/>
      <c r="U8667" s="204"/>
    </row>
    <row r="8668" spans="2:21" x14ac:dyDescent="0.2">
      <c r="B8668" s="203"/>
      <c r="C8668" s="237"/>
      <c r="D8668" s="202"/>
      <c r="E8668" s="202"/>
      <c r="U8668" s="204"/>
    </row>
    <row r="8669" spans="2:21" x14ac:dyDescent="0.2">
      <c r="B8669" s="203"/>
      <c r="C8669" s="237"/>
      <c r="D8669" s="202"/>
      <c r="E8669" s="202"/>
      <c r="U8669" s="204"/>
    </row>
    <row r="8670" spans="2:21" x14ac:dyDescent="0.2">
      <c r="B8670" s="203"/>
      <c r="C8670" s="237"/>
      <c r="D8670" s="202"/>
      <c r="E8670" s="202"/>
      <c r="U8670" s="204"/>
    </row>
    <row r="8671" spans="2:21" x14ac:dyDescent="0.2">
      <c r="B8671" s="203"/>
      <c r="C8671" s="237"/>
      <c r="D8671" s="202"/>
      <c r="E8671" s="202"/>
      <c r="U8671" s="204"/>
    </row>
    <row r="8672" spans="2:21" x14ac:dyDescent="0.2">
      <c r="B8672" s="203"/>
      <c r="C8672" s="237"/>
      <c r="D8672" s="202"/>
      <c r="E8672" s="202"/>
      <c r="U8672" s="204"/>
    </row>
    <row r="8673" spans="2:21" x14ac:dyDescent="0.2">
      <c r="B8673" s="203"/>
      <c r="C8673" s="237"/>
      <c r="D8673" s="202"/>
      <c r="E8673" s="202"/>
      <c r="U8673" s="204"/>
    </row>
    <row r="8674" spans="2:21" x14ac:dyDescent="0.2">
      <c r="B8674" s="203"/>
      <c r="C8674" s="237"/>
      <c r="D8674" s="202"/>
      <c r="E8674" s="202"/>
      <c r="U8674" s="204"/>
    </row>
    <row r="8675" spans="2:21" x14ac:dyDescent="0.2">
      <c r="B8675" s="203"/>
      <c r="C8675" s="237"/>
      <c r="D8675" s="202"/>
      <c r="E8675" s="202"/>
      <c r="U8675" s="204"/>
    </row>
    <row r="8676" spans="2:21" x14ac:dyDescent="0.2">
      <c r="B8676" s="203"/>
      <c r="C8676" s="237"/>
      <c r="D8676" s="202"/>
      <c r="E8676" s="202"/>
      <c r="U8676" s="204"/>
    </row>
    <row r="8677" spans="2:21" x14ac:dyDescent="0.2">
      <c r="B8677" s="203"/>
      <c r="C8677" s="237"/>
      <c r="D8677" s="202"/>
      <c r="E8677" s="202"/>
      <c r="U8677" s="204"/>
    </row>
    <row r="8678" spans="2:21" x14ac:dyDescent="0.2">
      <c r="B8678" s="203"/>
      <c r="C8678" s="237"/>
      <c r="D8678" s="202"/>
      <c r="E8678" s="202"/>
      <c r="U8678" s="204"/>
    </row>
    <row r="8679" spans="2:21" x14ac:dyDescent="0.2">
      <c r="B8679" s="203"/>
      <c r="C8679" s="237"/>
      <c r="D8679" s="202"/>
      <c r="E8679" s="202"/>
      <c r="U8679" s="204"/>
    </row>
    <row r="8680" spans="2:21" x14ac:dyDescent="0.2">
      <c r="B8680" s="203"/>
      <c r="C8680" s="237"/>
      <c r="D8680" s="202"/>
      <c r="E8680" s="202"/>
      <c r="U8680" s="204"/>
    </row>
    <row r="8681" spans="2:21" x14ac:dyDescent="0.2">
      <c r="B8681" s="203"/>
      <c r="C8681" s="237"/>
      <c r="D8681" s="202"/>
      <c r="E8681" s="202"/>
      <c r="U8681" s="204"/>
    </row>
    <row r="8682" spans="2:21" x14ac:dyDescent="0.2">
      <c r="B8682" s="203"/>
      <c r="C8682" s="237"/>
      <c r="D8682" s="202"/>
      <c r="E8682" s="202"/>
      <c r="U8682" s="204"/>
    </row>
    <row r="8683" spans="2:21" x14ac:dyDescent="0.2">
      <c r="B8683" s="203"/>
      <c r="C8683" s="237"/>
      <c r="D8683" s="202"/>
      <c r="E8683" s="202"/>
      <c r="U8683" s="204"/>
    </row>
    <row r="8684" spans="2:21" x14ac:dyDescent="0.2">
      <c r="B8684" s="203"/>
      <c r="C8684" s="237"/>
      <c r="D8684" s="202"/>
      <c r="E8684" s="202"/>
      <c r="U8684" s="204"/>
    </row>
    <row r="8685" spans="2:21" x14ac:dyDescent="0.2">
      <c r="B8685" s="203"/>
      <c r="C8685" s="237"/>
      <c r="D8685" s="202"/>
      <c r="E8685" s="202"/>
      <c r="U8685" s="204"/>
    </row>
    <row r="8686" spans="2:21" x14ac:dyDescent="0.2">
      <c r="B8686" s="203"/>
      <c r="C8686" s="237"/>
      <c r="D8686" s="202"/>
      <c r="E8686" s="202"/>
      <c r="U8686" s="204"/>
    </row>
    <row r="8687" spans="2:21" x14ac:dyDescent="0.2">
      <c r="B8687" s="203"/>
      <c r="C8687" s="237"/>
      <c r="D8687" s="202"/>
      <c r="E8687" s="202"/>
      <c r="U8687" s="204"/>
    </row>
    <row r="8688" spans="2:21" x14ac:dyDescent="0.2">
      <c r="B8688" s="203"/>
      <c r="C8688" s="237"/>
      <c r="D8688" s="202"/>
      <c r="E8688" s="202"/>
      <c r="U8688" s="204"/>
    </row>
    <row r="8689" spans="2:21" x14ac:dyDescent="0.2">
      <c r="B8689" s="203"/>
      <c r="C8689" s="237"/>
      <c r="D8689" s="202"/>
      <c r="E8689" s="202"/>
      <c r="U8689" s="204"/>
    </row>
    <row r="8690" spans="2:21" x14ac:dyDescent="0.2">
      <c r="B8690" s="203"/>
      <c r="C8690" s="237"/>
      <c r="D8690" s="202"/>
      <c r="E8690" s="202"/>
      <c r="U8690" s="204"/>
    </row>
    <row r="8691" spans="2:21" x14ac:dyDescent="0.2">
      <c r="B8691" s="203"/>
      <c r="C8691" s="237"/>
      <c r="D8691" s="202"/>
      <c r="E8691" s="202"/>
      <c r="U8691" s="204"/>
    </row>
    <row r="8692" spans="2:21" x14ac:dyDescent="0.2">
      <c r="B8692" s="203"/>
      <c r="C8692" s="237"/>
      <c r="D8692" s="202"/>
      <c r="E8692" s="202"/>
      <c r="U8692" s="204"/>
    </row>
    <row r="8693" spans="2:21" x14ac:dyDescent="0.2">
      <c r="B8693" s="203"/>
      <c r="C8693" s="237"/>
      <c r="D8693" s="202"/>
      <c r="E8693" s="202"/>
      <c r="U8693" s="204"/>
    </row>
    <row r="8694" spans="2:21" x14ac:dyDescent="0.2">
      <c r="B8694" s="203"/>
      <c r="C8694" s="237"/>
      <c r="D8694" s="202"/>
      <c r="E8694" s="202"/>
      <c r="U8694" s="204"/>
    </row>
    <row r="8695" spans="2:21" x14ac:dyDescent="0.2">
      <c r="B8695" s="203"/>
      <c r="C8695" s="237"/>
      <c r="D8695" s="202"/>
      <c r="E8695" s="202"/>
      <c r="U8695" s="204"/>
    </row>
    <row r="8696" spans="2:21" x14ac:dyDescent="0.2">
      <c r="B8696" s="203"/>
      <c r="C8696" s="237"/>
      <c r="D8696" s="202"/>
      <c r="E8696" s="202"/>
      <c r="U8696" s="204"/>
    </row>
    <row r="8697" spans="2:21" x14ac:dyDescent="0.2">
      <c r="B8697" s="203"/>
      <c r="C8697" s="237"/>
      <c r="D8697" s="202"/>
      <c r="E8697" s="202"/>
      <c r="U8697" s="204"/>
    </row>
    <row r="8698" spans="2:21" x14ac:dyDescent="0.2">
      <c r="B8698" s="203"/>
      <c r="C8698" s="237"/>
      <c r="D8698" s="202"/>
      <c r="E8698" s="202"/>
      <c r="U8698" s="204"/>
    </row>
    <row r="8699" spans="2:21" x14ac:dyDescent="0.2">
      <c r="B8699" s="203"/>
      <c r="C8699" s="237"/>
      <c r="D8699" s="202"/>
      <c r="E8699" s="202"/>
      <c r="U8699" s="204"/>
    </row>
    <row r="8700" spans="2:21" x14ac:dyDescent="0.2">
      <c r="B8700" s="203"/>
      <c r="C8700" s="237"/>
      <c r="D8700" s="202"/>
      <c r="E8700" s="202"/>
      <c r="U8700" s="204"/>
    </row>
    <row r="8701" spans="2:21" x14ac:dyDescent="0.2">
      <c r="B8701" s="203"/>
      <c r="C8701" s="237"/>
      <c r="D8701" s="202"/>
      <c r="E8701" s="202"/>
      <c r="U8701" s="204"/>
    </row>
    <row r="8702" spans="2:21" x14ac:dyDescent="0.2">
      <c r="B8702" s="203"/>
      <c r="C8702" s="237"/>
      <c r="D8702" s="202"/>
      <c r="E8702" s="202"/>
      <c r="U8702" s="204"/>
    </row>
    <row r="8703" spans="2:21" x14ac:dyDescent="0.2">
      <c r="B8703" s="203"/>
      <c r="C8703" s="237"/>
      <c r="D8703" s="202"/>
      <c r="E8703" s="202"/>
      <c r="U8703" s="204"/>
    </row>
    <row r="8704" spans="2:21" x14ac:dyDescent="0.2">
      <c r="B8704" s="203"/>
      <c r="C8704" s="237"/>
      <c r="D8704" s="202"/>
      <c r="E8704" s="202"/>
      <c r="U8704" s="204"/>
    </row>
    <row r="8705" spans="2:21" x14ac:dyDescent="0.2">
      <c r="B8705" s="203"/>
      <c r="C8705" s="237"/>
      <c r="D8705" s="202"/>
      <c r="E8705" s="202"/>
      <c r="U8705" s="204"/>
    </row>
    <row r="8706" spans="2:21" x14ac:dyDescent="0.2">
      <c r="B8706" s="203"/>
      <c r="C8706" s="237"/>
      <c r="D8706" s="202"/>
      <c r="E8706" s="202"/>
      <c r="U8706" s="204"/>
    </row>
    <row r="8707" spans="2:21" x14ac:dyDescent="0.2">
      <c r="B8707" s="203"/>
      <c r="C8707" s="237"/>
      <c r="D8707" s="202"/>
      <c r="E8707" s="202"/>
      <c r="U8707" s="204"/>
    </row>
    <row r="8708" spans="2:21" x14ac:dyDescent="0.2">
      <c r="B8708" s="203"/>
      <c r="C8708" s="237"/>
      <c r="D8708" s="202"/>
      <c r="E8708" s="202"/>
      <c r="U8708" s="204"/>
    </row>
    <row r="8709" spans="2:21" x14ac:dyDescent="0.2">
      <c r="B8709" s="203"/>
      <c r="C8709" s="237"/>
      <c r="D8709" s="202"/>
      <c r="E8709" s="202"/>
      <c r="U8709" s="204"/>
    </row>
    <row r="8710" spans="2:21" x14ac:dyDescent="0.2">
      <c r="B8710" s="203"/>
      <c r="C8710" s="237"/>
      <c r="D8710" s="202"/>
      <c r="E8710" s="202"/>
      <c r="U8710" s="204"/>
    </row>
    <row r="8711" spans="2:21" x14ac:dyDescent="0.2">
      <c r="B8711" s="203"/>
      <c r="C8711" s="237"/>
      <c r="D8711" s="202"/>
      <c r="E8711" s="202"/>
      <c r="U8711" s="204"/>
    </row>
    <row r="8712" spans="2:21" x14ac:dyDescent="0.2">
      <c r="B8712" s="203"/>
      <c r="C8712" s="237"/>
      <c r="D8712" s="202"/>
      <c r="E8712" s="202"/>
      <c r="U8712" s="204"/>
    </row>
    <row r="8713" spans="2:21" x14ac:dyDescent="0.2">
      <c r="B8713" s="203"/>
      <c r="C8713" s="237"/>
      <c r="D8713" s="202"/>
      <c r="E8713" s="202"/>
      <c r="U8713" s="204"/>
    </row>
    <row r="8714" spans="2:21" x14ac:dyDescent="0.2">
      <c r="B8714" s="203"/>
      <c r="C8714" s="237"/>
      <c r="D8714" s="202"/>
      <c r="E8714" s="202"/>
      <c r="U8714" s="204"/>
    </row>
    <row r="8715" spans="2:21" x14ac:dyDescent="0.2">
      <c r="B8715" s="203"/>
      <c r="C8715" s="237"/>
      <c r="D8715" s="202"/>
      <c r="E8715" s="202"/>
      <c r="U8715" s="204"/>
    </row>
    <row r="8716" spans="2:21" x14ac:dyDescent="0.2">
      <c r="B8716" s="203"/>
      <c r="C8716" s="237"/>
      <c r="D8716" s="202"/>
      <c r="E8716" s="202"/>
      <c r="U8716" s="204"/>
    </row>
    <row r="8717" spans="2:21" x14ac:dyDescent="0.2">
      <c r="B8717" s="203"/>
      <c r="C8717" s="237"/>
      <c r="D8717" s="202"/>
      <c r="E8717" s="202"/>
      <c r="U8717" s="204"/>
    </row>
    <row r="8718" spans="2:21" x14ac:dyDescent="0.2">
      <c r="B8718" s="203"/>
      <c r="C8718" s="237"/>
      <c r="D8718" s="202"/>
      <c r="E8718" s="202"/>
      <c r="U8718" s="204"/>
    </row>
    <row r="8719" spans="2:21" x14ac:dyDescent="0.2">
      <c r="B8719" s="203"/>
      <c r="C8719" s="237"/>
      <c r="D8719" s="202"/>
      <c r="E8719" s="202"/>
      <c r="U8719" s="204"/>
    </row>
    <row r="8720" spans="2:21" x14ac:dyDescent="0.2">
      <c r="B8720" s="203"/>
      <c r="C8720" s="237"/>
      <c r="D8720" s="202"/>
      <c r="E8720" s="202"/>
      <c r="U8720" s="204"/>
    </row>
    <row r="8721" spans="2:21" x14ac:dyDescent="0.2">
      <c r="B8721" s="203"/>
      <c r="C8721" s="237"/>
      <c r="D8721" s="202"/>
      <c r="E8721" s="202"/>
      <c r="U8721" s="204"/>
    </row>
    <row r="8722" spans="2:21" x14ac:dyDescent="0.2">
      <c r="B8722" s="203"/>
      <c r="C8722" s="237"/>
      <c r="D8722" s="202"/>
      <c r="E8722" s="202"/>
      <c r="U8722" s="204"/>
    </row>
    <row r="8723" spans="2:21" x14ac:dyDescent="0.2">
      <c r="B8723" s="203"/>
      <c r="C8723" s="237"/>
      <c r="D8723" s="202"/>
      <c r="E8723" s="202"/>
      <c r="U8723" s="204"/>
    </row>
    <row r="8724" spans="2:21" x14ac:dyDescent="0.2">
      <c r="B8724" s="203"/>
      <c r="C8724" s="237"/>
      <c r="D8724" s="202"/>
      <c r="E8724" s="202"/>
      <c r="U8724" s="204"/>
    </row>
    <row r="8725" spans="2:21" x14ac:dyDescent="0.2">
      <c r="B8725" s="203"/>
      <c r="C8725" s="237"/>
      <c r="D8725" s="202"/>
      <c r="E8725" s="202"/>
      <c r="U8725" s="204"/>
    </row>
    <row r="8726" spans="2:21" x14ac:dyDescent="0.2">
      <c r="B8726" s="203"/>
      <c r="C8726" s="237"/>
      <c r="D8726" s="202"/>
      <c r="E8726" s="202"/>
      <c r="U8726" s="204"/>
    </row>
    <row r="8727" spans="2:21" x14ac:dyDescent="0.2">
      <c r="B8727" s="203"/>
      <c r="C8727" s="237"/>
      <c r="D8727" s="202"/>
      <c r="E8727" s="202"/>
      <c r="U8727" s="204"/>
    </row>
    <row r="8728" spans="2:21" x14ac:dyDescent="0.2">
      <c r="B8728" s="203"/>
      <c r="C8728" s="237"/>
      <c r="D8728" s="202"/>
      <c r="E8728" s="202"/>
      <c r="U8728" s="204"/>
    </row>
    <row r="8729" spans="2:21" x14ac:dyDescent="0.2">
      <c r="B8729" s="203"/>
      <c r="C8729" s="237"/>
      <c r="D8729" s="202"/>
      <c r="E8729" s="202"/>
      <c r="U8729" s="204"/>
    </row>
    <row r="8730" spans="2:21" x14ac:dyDescent="0.2">
      <c r="B8730" s="203"/>
      <c r="C8730" s="237"/>
      <c r="D8730" s="202"/>
      <c r="E8730" s="202"/>
      <c r="U8730" s="204"/>
    </row>
    <row r="8731" spans="2:21" x14ac:dyDescent="0.2">
      <c r="B8731" s="203"/>
      <c r="C8731" s="237"/>
      <c r="D8731" s="202"/>
      <c r="E8731" s="202"/>
      <c r="U8731" s="204"/>
    </row>
    <row r="8732" spans="2:21" x14ac:dyDescent="0.2">
      <c r="B8732" s="203"/>
      <c r="C8732" s="237"/>
      <c r="D8732" s="202"/>
      <c r="E8732" s="202"/>
      <c r="U8732" s="204"/>
    </row>
    <row r="8733" spans="2:21" x14ac:dyDescent="0.2">
      <c r="B8733" s="203"/>
      <c r="C8733" s="237"/>
      <c r="D8733" s="202"/>
      <c r="E8733" s="202"/>
      <c r="U8733" s="204"/>
    </row>
    <row r="8734" spans="2:21" x14ac:dyDescent="0.2">
      <c r="B8734" s="203"/>
      <c r="C8734" s="237"/>
      <c r="D8734" s="202"/>
      <c r="E8734" s="202"/>
      <c r="U8734" s="204"/>
    </row>
    <row r="8735" spans="2:21" x14ac:dyDescent="0.2">
      <c r="B8735" s="203"/>
      <c r="C8735" s="237"/>
      <c r="D8735" s="202"/>
      <c r="E8735" s="202"/>
      <c r="U8735" s="204"/>
    </row>
    <row r="8736" spans="2:21" x14ac:dyDescent="0.2">
      <c r="B8736" s="203"/>
      <c r="C8736" s="237"/>
      <c r="D8736" s="202"/>
      <c r="E8736" s="202"/>
      <c r="U8736" s="204"/>
    </row>
    <row r="8737" spans="2:21" x14ac:dyDescent="0.2">
      <c r="B8737" s="203"/>
      <c r="C8737" s="237"/>
      <c r="D8737" s="202"/>
      <c r="E8737" s="202"/>
      <c r="U8737" s="204"/>
    </row>
    <row r="8738" spans="2:21" x14ac:dyDescent="0.2">
      <c r="B8738" s="203"/>
      <c r="C8738" s="237"/>
      <c r="D8738" s="202"/>
      <c r="E8738" s="202"/>
      <c r="U8738" s="204"/>
    </row>
    <row r="8739" spans="2:21" x14ac:dyDescent="0.2">
      <c r="B8739" s="203"/>
      <c r="C8739" s="237"/>
      <c r="D8739" s="202"/>
      <c r="E8739" s="202"/>
      <c r="U8739" s="204"/>
    </row>
    <row r="8740" spans="2:21" x14ac:dyDescent="0.2">
      <c r="B8740" s="203"/>
      <c r="C8740" s="237"/>
      <c r="D8740" s="202"/>
      <c r="E8740" s="202"/>
      <c r="U8740" s="204"/>
    </row>
    <row r="8741" spans="2:21" x14ac:dyDescent="0.2">
      <c r="B8741" s="203"/>
      <c r="C8741" s="237"/>
      <c r="D8741" s="202"/>
      <c r="E8741" s="202"/>
      <c r="U8741" s="204"/>
    </row>
    <row r="8742" spans="2:21" x14ac:dyDescent="0.2">
      <c r="B8742" s="203"/>
      <c r="C8742" s="237"/>
      <c r="D8742" s="202"/>
      <c r="E8742" s="202"/>
      <c r="U8742" s="204"/>
    </row>
    <row r="8743" spans="2:21" x14ac:dyDescent="0.2">
      <c r="B8743" s="203"/>
      <c r="C8743" s="237"/>
      <c r="D8743" s="202"/>
      <c r="E8743" s="202"/>
      <c r="U8743" s="204"/>
    </row>
    <row r="8744" spans="2:21" x14ac:dyDescent="0.2">
      <c r="B8744" s="203"/>
      <c r="C8744" s="237"/>
      <c r="D8744" s="202"/>
      <c r="E8744" s="202"/>
      <c r="U8744" s="204"/>
    </row>
    <row r="8745" spans="2:21" x14ac:dyDescent="0.2">
      <c r="B8745" s="203"/>
      <c r="C8745" s="237"/>
      <c r="D8745" s="202"/>
      <c r="E8745" s="202"/>
      <c r="U8745" s="204"/>
    </row>
    <row r="8746" spans="2:21" x14ac:dyDescent="0.2">
      <c r="B8746" s="203"/>
      <c r="C8746" s="237"/>
      <c r="D8746" s="202"/>
      <c r="E8746" s="202"/>
      <c r="U8746" s="204"/>
    </row>
    <row r="8747" spans="2:21" x14ac:dyDescent="0.2">
      <c r="B8747" s="203"/>
      <c r="C8747" s="237"/>
      <c r="D8747" s="202"/>
      <c r="E8747" s="202"/>
      <c r="U8747" s="204"/>
    </row>
    <row r="8748" spans="2:21" x14ac:dyDescent="0.2">
      <c r="B8748" s="203"/>
      <c r="C8748" s="237"/>
      <c r="D8748" s="202"/>
      <c r="E8748" s="202"/>
      <c r="U8748" s="204"/>
    </row>
    <row r="8749" spans="2:21" x14ac:dyDescent="0.2">
      <c r="B8749" s="203"/>
      <c r="C8749" s="237"/>
      <c r="D8749" s="202"/>
      <c r="E8749" s="202"/>
      <c r="U8749" s="204"/>
    </row>
    <row r="8750" spans="2:21" x14ac:dyDescent="0.2">
      <c r="B8750" s="203"/>
      <c r="C8750" s="237"/>
      <c r="D8750" s="202"/>
      <c r="E8750" s="202"/>
      <c r="U8750" s="204"/>
    </row>
    <row r="8751" spans="2:21" x14ac:dyDescent="0.2">
      <c r="B8751" s="203"/>
      <c r="C8751" s="237"/>
      <c r="D8751" s="202"/>
      <c r="E8751" s="202"/>
      <c r="U8751" s="204"/>
    </row>
    <row r="8752" spans="2:21" x14ac:dyDescent="0.2">
      <c r="B8752" s="203"/>
      <c r="C8752" s="237"/>
      <c r="D8752" s="202"/>
      <c r="E8752" s="202"/>
      <c r="U8752" s="204"/>
    </row>
    <row r="8753" spans="2:21" x14ac:dyDescent="0.2">
      <c r="B8753" s="203"/>
      <c r="C8753" s="237"/>
      <c r="D8753" s="202"/>
      <c r="E8753" s="202"/>
      <c r="U8753" s="204"/>
    </row>
    <row r="8754" spans="2:21" x14ac:dyDescent="0.2">
      <c r="B8754" s="203"/>
      <c r="C8754" s="237"/>
      <c r="D8754" s="202"/>
      <c r="E8754" s="202"/>
      <c r="U8754" s="204"/>
    </row>
    <row r="8755" spans="2:21" x14ac:dyDescent="0.2">
      <c r="B8755" s="203"/>
      <c r="C8755" s="237"/>
      <c r="D8755" s="202"/>
      <c r="E8755" s="202"/>
      <c r="U8755" s="204"/>
    </row>
    <row r="8756" spans="2:21" x14ac:dyDescent="0.2">
      <c r="B8756" s="203"/>
      <c r="C8756" s="237"/>
      <c r="D8756" s="202"/>
      <c r="E8756" s="202"/>
      <c r="U8756" s="204"/>
    </row>
    <row r="8757" spans="2:21" x14ac:dyDescent="0.2">
      <c r="B8757" s="203"/>
      <c r="C8757" s="237"/>
      <c r="D8757" s="202"/>
      <c r="E8757" s="202"/>
      <c r="U8757" s="204"/>
    </row>
    <row r="8758" spans="2:21" x14ac:dyDescent="0.2">
      <c r="B8758" s="203"/>
      <c r="C8758" s="237"/>
      <c r="D8758" s="202"/>
      <c r="E8758" s="202"/>
      <c r="U8758" s="204"/>
    </row>
    <row r="8759" spans="2:21" x14ac:dyDescent="0.2">
      <c r="B8759" s="203"/>
      <c r="C8759" s="237"/>
      <c r="D8759" s="202"/>
      <c r="E8759" s="202"/>
      <c r="U8759" s="204"/>
    </row>
    <row r="8760" spans="2:21" x14ac:dyDescent="0.2">
      <c r="B8760" s="203"/>
      <c r="C8760" s="237"/>
      <c r="D8760" s="202"/>
      <c r="E8760" s="202"/>
      <c r="U8760" s="204"/>
    </row>
    <row r="8761" spans="2:21" x14ac:dyDescent="0.2">
      <c r="B8761" s="203"/>
      <c r="C8761" s="237"/>
      <c r="D8761" s="202"/>
      <c r="E8761" s="202"/>
      <c r="U8761" s="204"/>
    </row>
    <row r="8762" spans="2:21" x14ac:dyDescent="0.2">
      <c r="B8762" s="203"/>
      <c r="C8762" s="237"/>
      <c r="D8762" s="202"/>
      <c r="E8762" s="202"/>
      <c r="U8762" s="204"/>
    </row>
    <row r="8763" spans="2:21" x14ac:dyDescent="0.2">
      <c r="B8763" s="203"/>
      <c r="C8763" s="237"/>
      <c r="D8763" s="202"/>
      <c r="E8763" s="202"/>
      <c r="U8763" s="204"/>
    </row>
    <row r="8764" spans="2:21" x14ac:dyDescent="0.2">
      <c r="B8764" s="203"/>
      <c r="C8764" s="237"/>
      <c r="D8764" s="202"/>
      <c r="E8764" s="202"/>
      <c r="U8764" s="204"/>
    </row>
    <row r="8765" spans="2:21" x14ac:dyDescent="0.2">
      <c r="B8765" s="203"/>
      <c r="C8765" s="237"/>
      <c r="D8765" s="202"/>
      <c r="E8765" s="202"/>
      <c r="U8765" s="204"/>
    </row>
    <row r="8766" spans="2:21" x14ac:dyDescent="0.2">
      <c r="B8766" s="203"/>
      <c r="C8766" s="237"/>
      <c r="D8766" s="202"/>
      <c r="E8766" s="202"/>
      <c r="U8766" s="204"/>
    </row>
    <row r="8767" spans="2:21" x14ac:dyDescent="0.2">
      <c r="B8767" s="203"/>
      <c r="C8767" s="237"/>
      <c r="D8767" s="202"/>
      <c r="E8767" s="202"/>
      <c r="U8767" s="204"/>
    </row>
    <row r="8768" spans="2:21" x14ac:dyDescent="0.2">
      <c r="B8768" s="203"/>
      <c r="C8768" s="237"/>
      <c r="D8768" s="202"/>
      <c r="E8768" s="202"/>
      <c r="U8768" s="204"/>
    </row>
    <row r="8769" spans="2:21" x14ac:dyDescent="0.2">
      <c r="B8769" s="203"/>
      <c r="C8769" s="237"/>
      <c r="D8769" s="202"/>
      <c r="E8769" s="202"/>
      <c r="U8769" s="204"/>
    </row>
    <row r="8770" spans="2:21" x14ac:dyDescent="0.2">
      <c r="B8770" s="203"/>
      <c r="C8770" s="237"/>
      <c r="D8770" s="202"/>
      <c r="E8770" s="202"/>
      <c r="U8770" s="204"/>
    </row>
    <row r="8771" spans="2:21" x14ac:dyDescent="0.2">
      <c r="B8771" s="203"/>
      <c r="C8771" s="237"/>
      <c r="D8771" s="202"/>
      <c r="E8771" s="202"/>
      <c r="U8771" s="204"/>
    </row>
    <row r="8772" spans="2:21" x14ac:dyDescent="0.2">
      <c r="B8772" s="203"/>
      <c r="C8772" s="237"/>
      <c r="D8772" s="202"/>
      <c r="E8772" s="202"/>
      <c r="U8772" s="204"/>
    </row>
    <row r="8773" spans="2:21" x14ac:dyDescent="0.2">
      <c r="B8773" s="203"/>
      <c r="C8773" s="237"/>
      <c r="D8773" s="202"/>
      <c r="E8773" s="202"/>
      <c r="U8773" s="204"/>
    </row>
    <row r="8774" spans="2:21" x14ac:dyDescent="0.2">
      <c r="B8774" s="203"/>
      <c r="C8774" s="237"/>
      <c r="D8774" s="202"/>
      <c r="E8774" s="202"/>
      <c r="U8774" s="204"/>
    </row>
    <row r="8775" spans="2:21" x14ac:dyDescent="0.2">
      <c r="B8775" s="203"/>
      <c r="C8775" s="237"/>
      <c r="D8775" s="202"/>
      <c r="E8775" s="202"/>
      <c r="U8775" s="204"/>
    </row>
    <row r="8776" spans="2:21" x14ac:dyDescent="0.2">
      <c r="B8776" s="203"/>
      <c r="C8776" s="237"/>
      <c r="D8776" s="202"/>
      <c r="E8776" s="202"/>
      <c r="U8776" s="204"/>
    </row>
    <row r="8777" spans="2:21" x14ac:dyDescent="0.2">
      <c r="B8777" s="203"/>
      <c r="C8777" s="237"/>
      <c r="D8777" s="202"/>
      <c r="E8777" s="202"/>
      <c r="U8777" s="204"/>
    </row>
    <row r="8778" spans="2:21" x14ac:dyDescent="0.2">
      <c r="B8778" s="203"/>
      <c r="C8778" s="237"/>
      <c r="D8778" s="202"/>
      <c r="E8778" s="202"/>
      <c r="U8778" s="204"/>
    </row>
    <row r="8779" spans="2:21" x14ac:dyDescent="0.2">
      <c r="B8779" s="203"/>
      <c r="C8779" s="237"/>
      <c r="D8779" s="202"/>
      <c r="E8779" s="202"/>
      <c r="U8779" s="204"/>
    </row>
    <row r="8780" spans="2:21" x14ac:dyDescent="0.2">
      <c r="B8780" s="203"/>
      <c r="C8780" s="237"/>
      <c r="D8780" s="202"/>
      <c r="E8780" s="202"/>
      <c r="U8780" s="204"/>
    </row>
    <row r="8781" spans="2:21" x14ac:dyDescent="0.2">
      <c r="B8781" s="203"/>
      <c r="C8781" s="237"/>
      <c r="D8781" s="202"/>
      <c r="E8781" s="202"/>
      <c r="U8781" s="204"/>
    </row>
    <row r="8782" spans="2:21" x14ac:dyDescent="0.2">
      <c r="B8782" s="203"/>
      <c r="C8782" s="237"/>
      <c r="D8782" s="202"/>
      <c r="E8782" s="202"/>
      <c r="U8782" s="204"/>
    </row>
    <row r="8783" spans="2:21" x14ac:dyDescent="0.2">
      <c r="B8783" s="203"/>
      <c r="C8783" s="237"/>
      <c r="D8783" s="202"/>
      <c r="E8783" s="202"/>
      <c r="U8783" s="204"/>
    </row>
    <row r="8784" spans="2:21" x14ac:dyDescent="0.2">
      <c r="B8784" s="203"/>
      <c r="C8784" s="237"/>
      <c r="D8784" s="202"/>
      <c r="E8784" s="202"/>
      <c r="U8784" s="204"/>
    </row>
    <row r="8785" spans="2:21" x14ac:dyDescent="0.2">
      <c r="B8785" s="203"/>
      <c r="C8785" s="237"/>
      <c r="D8785" s="202"/>
      <c r="E8785" s="202"/>
      <c r="U8785" s="204"/>
    </row>
    <row r="8786" spans="2:21" x14ac:dyDescent="0.2">
      <c r="B8786" s="203"/>
      <c r="C8786" s="237"/>
      <c r="D8786" s="202"/>
      <c r="E8786" s="202"/>
      <c r="U8786" s="204"/>
    </row>
    <row r="8787" spans="2:21" x14ac:dyDescent="0.2">
      <c r="B8787" s="203"/>
      <c r="C8787" s="237"/>
      <c r="D8787" s="202"/>
      <c r="E8787" s="202"/>
      <c r="U8787" s="204"/>
    </row>
    <row r="8788" spans="2:21" x14ac:dyDescent="0.2">
      <c r="B8788" s="203"/>
      <c r="C8788" s="237"/>
      <c r="D8788" s="202"/>
      <c r="E8788" s="202"/>
      <c r="U8788" s="204"/>
    </row>
    <row r="8789" spans="2:21" x14ac:dyDescent="0.2">
      <c r="B8789" s="203"/>
      <c r="C8789" s="237"/>
      <c r="D8789" s="202"/>
      <c r="E8789" s="202"/>
      <c r="U8789" s="204"/>
    </row>
    <row r="8790" spans="2:21" x14ac:dyDescent="0.2">
      <c r="B8790" s="203"/>
      <c r="C8790" s="237"/>
      <c r="D8790" s="202"/>
      <c r="E8790" s="202"/>
      <c r="U8790" s="204"/>
    </row>
    <row r="8791" spans="2:21" x14ac:dyDescent="0.2">
      <c r="B8791" s="203"/>
      <c r="C8791" s="237"/>
      <c r="D8791" s="202"/>
      <c r="E8791" s="202"/>
      <c r="U8791" s="204"/>
    </row>
    <row r="8792" spans="2:21" x14ac:dyDescent="0.2">
      <c r="B8792" s="203"/>
      <c r="C8792" s="237"/>
      <c r="D8792" s="202"/>
      <c r="E8792" s="202"/>
      <c r="U8792" s="204"/>
    </row>
    <row r="8793" spans="2:21" x14ac:dyDescent="0.2">
      <c r="B8793" s="203"/>
      <c r="C8793" s="237"/>
      <c r="D8793" s="202"/>
      <c r="E8793" s="202"/>
      <c r="U8793" s="204"/>
    </row>
    <row r="8794" spans="2:21" x14ac:dyDescent="0.2">
      <c r="B8794" s="203"/>
      <c r="C8794" s="237"/>
      <c r="D8794" s="202"/>
      <c r="E8794" s="202"/>
      <c r="U8794" s="204"/>
    </row>
    <row r="8795" spans="2:21" x14ac:dyDescent="0.2">
      <c r="B8795" s="203"/>
      <c r="C8795" s="237"/>
      <c r="D8795" s="202"/>
      <c r="E8795" s="202"/>
      <c r="U8795" s="204"/>
    </row>
    <row r="8796" spans="2:21" x14ac:dyDescent="0.2">
      <c r="B8796" s="203"/>
      <c r="C8796" s="237"/>
      <c r="D8796" s="202"/>
      <c r="E8796" s="202"/>
      <c r="U8796" s="204"/>
    </row>
    <row r="8797" spans="2:21" x14ac:dyDescent="0.2">
      <c r="B8797" s="203"/>
      <c r="C8797" s="237"/>
      <c r="D8797" s="202"/>
      <c r="E8797" s="202"/>
      <c r="U8797" s="204"/>
    </row>
    <row r="8798" spans="2:21" x14ac:dyDescent="0.2">
      <c r="B8798" s="203"/>
      <c r="C8798" s="237"/>
      <c r="D8798" s="202"/>
      <c r="E8798" s="202"/>
      <c r="U8798" s="204"/>
    </row>
    <row r="8799" spans="2:21" x14ac:dyDescent="0.2">
      <c r="B8799" s="203"/>
      <c r="C8799" s="237"/>
      <c r="D8799" s="202"/>
      <c r="E8799" s="202"/>
      <c r="U8799" s="204"/>
    </row>
    <row r="8800" spans="2:21" x14ac:dyDescent="0.2">
      <c r="B8800" s="203"/>
      <c r="C8800" s="237"/>
      <c r="D8800" s="202"/>
      <c r="E8800" s="202"/>
      <c r="U8800" s="204"/>
    </row>
    <row r="8801" spans="2:21" x14ac:dyDescent="0.2">
      <c r="B8801" s="203"/>
      <c r="C8801" s="237"/>
      <c r="D8801" s="202"/>
      <c r="E8801" s="202"/>
      <c r="U8801" s="204"/>
    </row>
    <row r="8802" spans="2:21" x14ac:dyDescent="0.2">
      <c r="B8802" s="203"/>
      <c r="C8802" s="237"/>
      <c r="D8802" s="202"/>
      <c r="E8802" s="202"/>
      <c r="U8802" s="204"/>
    </row>
    <row r="8803" spans="2:21" x14ac:dyDescent="0.2">
      <c r="B8803" s="203"/>
      <c r="C8803" s="237"/>
      <c r="D8803" s="202"/>
      <c r="E8803" s="202"/>
      <c r="U8803" s="204"/>
    </row>
    <row r="8804" spans="2:21" x14ac:dyDescent="0.2">
      <c r="B8804" s="203"/>
      <c r="C8804" s="237"/>
      <c r="D8804" s="202"/>
      <c r="E8804" s="202"/>
      <c r="U8804" s="204"/>
    </row>
    <row r="8805" spans="2:21" x14ac:dyDescent="0.2">
      <c r="B8805" s="203"/>
      <c r="C8805" s="237"/>
      <c r="D8805" s="202"/>
      <c r="E8805" s="202"/>
      <c r="U8805" s="204"/>
    </row>
    <row r="8806" spans="2:21" x14ac:dyDescent="0.2">
      <c r="B8806" s="203"/>
      <c r="C8806" s="237"/>
      <c r="D8806" s="202"/>
      <c r="E8806" s="202"/>
      <c r="U8806" s="204"/>
    </row>
    <row r="8807" spans="2:21" x14ac:dyDescent="0.2">
      <c r="B8807" s="203"/>
      <c r="C8807" s="237"/>
      <c r="D8807" s="202"/>
      <c r="E8807" s="202"/>
      <c r="U8807" s="204"/>
    </row>
    <row r="8808" spans="2:21" x14ac:dyDescent="0.2">
      <c r="B8808" s="203"/>
      <c r="C8808" s="237"/>
      <c r="D8808" s="202"/>
      <c r="E8808" s="202"/>
      <c r="U8808" s="204"/>
    </row>
    <row r="8809" spans="2:21" x14ac:dyDescent="0.2">
      <c r="B8809" s="203"/>
      <c r="C8809" s="237"/>
      <c r="D8809" s="202"/>
      <c r="E8809" s="202"/>
      <c r="U8809" s="204"/>
    </row>
    <row r="8810" spans="2:21" x14ac:dyDescent="0.2">
      <c r="B8810" s="203"/>
      <c r="C8810" s="237"/>
      <c r="D8810" s="202"/>
      <c r="E8810" s="202"/>
      <c r="U8810" s="204"/>
    </row>
    <row r="8811" spans="2:21" x14ac:dyDescent="0.2">
      <c r="B8811" s="203"/>
      <c r="C8811" s="237"/>
      <c r="D8811" s="202"/>
      <c r="E8811" s="202"/>
      <c r="U8811" s="204"/>
    </row>
    <row r="8812" spans="2:21" x14ac:dyDescent="0.2">
      <c r="B8812" s="203"/>
      <c r="C8812" s="237"/>
      <c r="D8812" s="202"/>
      <c r="E8812" s="202"/>
      <c r="U8812" s="204"/>
    </row>
    <row r="8813" spans="2:21" x14ac:dyDescent="0.2">
      <c r="B8813" s="203"/>
      <c r="C8813" s="237"/>
      <c r="D8813" s="202"/>
      <c r="E8813" s="202"/>
      <c r="U8813" s="204"/>
    </row>
    <row r="8814" spans="2:21" x14ac:dyDescent="0.2">
      <c r="B8814" s="203"/>
      <c r="C8814" s="237"/>
      <c r="D8814" s="202"/>
      <c r="E8814" s="202"/>
      <c r="U8814" s="204"/>
    </row>
    <row r="8815" spans="2:21" x14ac:dyDescent="0.2">
      <c r="B8815" s="203"/>
      <c r="C8815" s="237"/>
      <c r="D8815" s="202"/>
      <c r="E8815" s="202"/>
      <c r="U8815" s="204"/>
    </row>
    <row r="8816" spans="2:21" x14ac:dyDescent="0.2">
      <c r="B8816" s="203"/>
      <c r="C8816" s="237"/>
      <c r="D8816" s="202"/>
      <c r="E8816" s="202"/>
      <c r="U8816" s="204"/>
    </row>
    <row r="8817" spans="2:21" x14ac:dyDescent="0.2">
      <c r="B8817" s="203"/>
      <c r="C8817" s="237"/>
      <c r="D8817" s="202"/>
      <c r="E8817" s="202"/>
      <c r="U8817" s="204"/>
    </row>
    <row r="8818" spans="2:21" x14ac:dyDescent="0.2">
      <c r="B8818" s="203"/>
      <c r="C8818" s="237"/>
      <c r="D8818" s="202"/>
      <c r="E8818" s="202"/>
      <c r="U8818" s="204"/>
    </row>
    <row r="8819" spans="2:21" x14ac:dyDescent="0.2">
      <c r="B8819" s="203"/>
      <c r="C8819" s="237"/>
      <c r="D8819" s="202"/>
      <c r="E8819" s="202"/>
      <c r="U8819" s="204"/>
    </row>
    <row r="8820" spans="2:21" x14ac:dyDescent="0.2">
      <c r="B8820" s="203"/>
      <c r="C8820" s="237"/>
      <c r="D8820" s="202"/>
      <c r="E8820" s="202"/>
      <c r="U8820" s="204"/>
    </row>
    <row r="8821" spans="2:21" x14ac:dyDescent="0.2">
      <c r="B8821" s="203"/>
      <c r="C8821" s="237"/>
      <c r="D8821" s="202"/>
      <c r="E8821" s="202"/>
      <c r="U8821" s="204"/>
    </row>
    <row r="8822" spans="2:21" x14ac:dyDescent="0.2">
      <c r="B8822" s="203"/>
      <c r="C8822" s="237"/>
      <c r="D8822" s="202"/>
      <c r="E8822" s="202"/>
      <c r="U8822" s="204"/>
    </row>
    <row r="8823" spans="2:21" x14ac:dyDescent="0.2">
      <c r="B8823" s="203"/>
      <c r="C8823" s="237"/>
      <c r="D8823" s="202"/>
      <c r="E8823" s="202"/>
      <c r="U8823" s="204"/>
    </row>
    <row r="8824" spans="2:21" x14ac:dyDescent="0.2">
      <c r="B8824" s="203"/>
      <c r="C8824" s="237"/>
      <c r="D8824" s="202"/>
      <c r="E8824" s="202"/>
      <c r="U8824" s="204"/>
    </row>
    <row r="8825" spans="2:21" x14ac:dyDescent="0.2">
      <c r="B8825" s="203"/>
      <c r="C8825" s="237"/>
      <c r="D8825" s="202"/>
      <c r="E8825" s="202"/>
      <c r="U8825" s="204"/>
    </row>
    <row r="8826" spans="2:21" x14ac:dyDescent="0.2">
      <c r="B8826" s="203"/>
      <c r="C8826" s="237"/>
      <c r="D8826" s="202"/>
      <c r="E8826" s="202"/>
      <c r="U8826" s="204"/>
    </row>
    <row r="8827" spans="2:21" x14ac:dyDescent="0.2">
      <c r="B8827" s="203"/>
      <c r="C8827" s="237"/>
      <c r="D8827" s="202"/>
      <c r="E8827" s="202"/>
      <c r="U8827" s="204"/>
    </row>
    <row r="8828" spans="2:21" x14ac:dyDescent="0.2">
      <c r="B8828" s="203"/>
      <c r="C8828" s="237"/>
      <c r="D8828" s="202"/>
      <c r="E8828" s="202"/>
      <c r="U8828" s="204"/>
    </row>
    <row r="8829" spans="2:21" x14ac:dyDescent="0.2">
      <c r="B8829" s="203"/>
      <c r="C8829" s="237"/>
      <c r="D8829" s="202"/>
      <c r="E8829" s="202"/>
      <c r="U8829" s="204"/>
    </row>
    <row r="8830" spans="2:21" x14ac:dyDescent="0.2">
      <c r="B8830" s="203"/>
      <c r="C8830" s="237"/>
      <c r="D8830" s="202"/>
      <c r="E8830" s="202"/>
      <c r="U8830" s="204"/>
    </row>
    <row r="8831" spans="2:21" x14ac:dyDescent="0.2">
      <c r="B8831" s="203"/>
      <c r="C8831" s="237"/>
      <c r="D8831" s="202"/>
      <c r="E8831" s="202"/>
      <c r="U8831" s="204"/>
    </row>
    <row r="8832" spans="2:21" x14ac:dyDescent="0.2">
      <c r="B8832" s="203"/>
      <c r="C8832" s="237"/>
      <c r="D8832" s="202"/>
      <c r="E8832" s="202"/>
      <c r="U8832" s="204"/>
    </row>
    <row r="8833" spans="2:21" x14ac:dyDescent="0.2">
      <c r="B8833" s="203"/>
      <c r="C8833" s="237"/>
      <c r="D8833" s="202"/>
      <c r="E8833" s="202"/>
      <c r="U8833" s="204"/>
    </row>
    <row r="8834" spans="2:21" x14ac:dyDescent="0.2">
      <c r="B8834" s="203"/>
      <c r="C8834" s="237"/>
      <c r="D8834" s="202"/>
      <c r="E8834" s="202"/>
      <c r="U8834" s="204"/>
    </row>
    <row r="8835" spans="2:21" x14ac:dyDescent="0.2">
      <c r="B8835" s="203"/>
      <c r="C8835" s="237"/>
      <c r="D8835" s="202"/>
      <c r="E8835" s="202"/>
      <c r="U8835" s="204"/>
    </row>
    <row r="8836" spans="2:21" x14ac:dyDescent="0.2">
      <c r="B8836" s="203"/>
      <c r="C8836" s="237"/>
      <c r="D8836" s="202"/>
      <c r="E8836" s="202"/>
      <c r="U8836" s="204"/>
    </row>
    <row r="8837" spans="2:21" x14ac:dyDescent="0.2">
      <c r="B8837" s="203"/>
      <c r="C8837" s="237"/>
      <c r="D8837" s="202"/>
      <c r="E8837" s="202"/>
      <c r="U8837" s="204"/>
    </row>
    <row r="8838" spans="2:21" x14ac:dyDescent="0.2">
      <c r="B8838" s="203"/>
      <c r="C8838" s="237"/>
      <c r="D8838" s="202"/>
      <c r="E8838" s="202"/>
      <c r="U8838" s="204"/>
    </row>
    <row r="8839" spans="2:21" x14ac:dyDescent="0.2">
      <c r="B8839" s="203"/>
      <c r="C8839" s="237"/>
      <c r="D8839" s="202"/>
      <c r="E8839" s="202"/>
      <c r="U8839" s="204"/>
    </row>
    <row r="8840" spans="2:21" x14ac:dyDescent="0.2">
      <c r="B8840" s="203"/>
      <c r="C8840" s="237"/>
      <c r="D8840" s="202"/>
      <c r="E8840" s="202"/>
      <c r="U8840" s="204"/>
    </row>
    <row r="8841" spans="2:21" x14ac:dyDescent="0.2">
      <c r="B8841" s="203"/>
      <c r="C8841" s="237"/>
      <c r="D8841" s="202"/>
      <c r="E8841" s="202"/>
      <c r="U8841" s="204"/>
    </row>
    <row r="8842" spans="2:21" x14ac:dyDescent="0.2">
      <c r="B8842" s="203"/>
      <c r="C8842" s="237"/>
      <c r="D8842" s="202"/>
      <c r="E8842" s="202"/>
      <c r="U8842" s="204"/>
    </row>
    <row r="8843" spans="2:21" x14ac:dyDescent="0.2">
      <c r="B8843" s="203"/>
      <c r="C8843" s="237"/>
      <c r="D8843" s="202"/>
      <c r="E8843" s="202"/>
      <c r="U8843" s="204"/>
    </row>
    <row r="8844" spans="2:21" x14ac:dyDescent="0.2">
      <c r="B8844" s="203"/>
      <c r="C8844" s="237"/>
      <c r="D8844" s="202"/>
      <c r="E8844" s="202"/>
      <c r="U8844" s="204"/>
    </row>
    <row r="8845" spans="2:21" x14ac:dyDescent="0.2">
      <c r="B8845" s="203"/>
      <c r="C8845" s="237"/>
      <c r="D8845" s="202"/>
      <c r="E8845" s="202"/>
      <c r="U8845" s="204"/>
    </row>
    <row r="8846" spans="2:21" x14ac:dyDescent="0.2">
      <c r="B8846" s="203"/>
      <c r="C8846" s="237"/>
      <c r="D8846" s="202"/>
      <c r="E8846" s="202"/>
      <c r="U8846" s="204"/>
    </row>
    <row r="8847" spans="2:21" x14ac:dyDescent="0.2">
      <c r="B8847" s="203"/>
      <c r="C8847" s="237"/>
      <c r="D8847" s="202"/>
      <c r="E8847" s="202"/>
      <c r="U8847" s="204"/>
    </row>
    <row r="8848" spans="2:21" x14ac:dyDescent="0.2">
      <c r="B8848" s="203"/>
      <c r="C8848" s="237"/>
      <c r="D8848" s="202"/>
      <c r="E8848" s="202"/>
      <c r="U8848" s="204"/>
    </row>
    <row r="8849" spans="2:21" x14ac:dyDescent="0.2">
      <c r="B8849" s="203"/>
      <c r="C8849" s="237"/>
      <c r="D8849" s="202"/>
      <c r="E8849" s="202"/>
      <c r="U8849" s="204"/>
    </row>
    <row r="8850" spans="2:21" x14ac:dyDescent="0.2">
      <c r="B8850" s="203"/>
      <c r="C8850" s="237"/>
      <c r="D8850" s="202"/>
      <c r="E8850" s="202"/>
      <c r="U8850" s="204"/>
    </row>
    <row r="8851" spans="2:21" x14ac:dyDescent="0.2">
      <c r="B8851" s="203"/>
      <c r="C8851" s="237"/>
      <c r="D8851" s="202"/>
      <c r="E8851" s="202"/>
      <c r="U8851" s="204"/>
    </row>
    <row r="8852" spans="2:21" x14ac:dyDescent="0.2">
      <c r="B8852" s="203"/>
      <c r="C8852" s="237"/>
      <c r="D8852" s="202"/>
      <c r="E8852" s="202"/>
      <c r="U8852" s="204"/>
    </row>
    <row r="8853" spans="2:21" x14ac:dyDescent="0.2">
      <c r="B8853" s="203"/>
      <c r="C8853" s="237"/>
      <c r="D8853" s="202"/>
      <c r="E8853" s="202"/>
      <c r="U8853" s="204"/>
    </row>
    <row r="8854" spans="2:21" x14ac:dyDescent="0.2">
      <c r="B8854" s="203"/>
      <c r="C8854" s="237"/>
      <c r="D8854" s="202"/>
      <c r="E8854" s="202"/>
      <c r="U8854" s="204"/>
    </row>
    <row r="8855" spans="2:21" x14ac:dyDescent="0.2">
      <c r="B8855" s="203"/>
      <c r="C8855" s="237"/>
      <c r="D8855" s="202"/>
      <c r="E8855" s="202"/>
      <c r="U8855" s="204"/>
    </row>
    <row r="8856" spans="2:21" x14ac:dyDescent="0.2">
      <c r="B8856" s="203"/>
      <c r="C8856" s="237"/>
      <c r="D8856" s="202"/>
      <c r="E8856" s="202"/>
      <c r="U8856" s="204"/>
    </row>
    <row r="8857" spans="2:21" x14ac:dyDescent="0.2">
      <c r="B8857" s="203"/>
      <c r="C8857" s="237"/>
      <c r="D8857" s="202"/>
      <c r="E8857" s="202"/>
      <c r="U8857" s="204"/>
    </row>
    <row r="8858" spans="2:21" x14ac:dyDescent="0.2">
      <c r="B8858" s="203"/>
      <c r="C8858" s="237"/>
      <c r="D8858" s="202"/>
      <c r="E8858" s="202"/>
      <c r="U8858" s="204"/>
    </row>
    <row r="8859" spans="2:21" x14ac:dyDescent="0.2">
      <c r="B8859" s="203"/>
      <c r="C8859" s="237"/>
      <c r="D8859" s="202"/>
      <c r="E8859" s="202"/>
      <c r="U8859" s="204"/>
    </row>
    <row r="8860" spans="2:21" x14ac:dyDescent="0.2">
      <c r="B8860" s="203"/>
      <c r="C8860" s="237"/>
      <c r="D8860" s="202"/>
      <c r="E8860" s="202"/>
      <c r="U8860" s="204"/>
    </row>
    <row r="8861" spans="2:21" x14ac:dyDescent="0.2">
      <c r="B8861" s="203"/>
      <c r="C8861" s="237"/>
      <c r="D8861" s="202"/>
      <c r="E8861" s="202"/>
      <c r="U8861" s="204"/>
    </row>
    <row r="8862" spans="2:21" x14ac:dyDescent="0.2">
      <c r="B8862" s="203"/>
      <c r="C8862" s="237"/>
      <c r="D8862" s="202"/>
      <c r="E8862" s="202"/>
      <c r="U8862" s="204"/>
    </row>
    <row r="8863" spans="2:21" x14ac:dyDescent="0.2">
      <c r="B8863" s="203"/>
      <c r="C8863" s="237"/>
      <c r="D8863" s="202"/>
      <c r="E8863" s="202"/>
      <c r="U8863" s="204"/>
    </row>
    <row r="8864" spans="2:21" x14ac:dyDescent="0.2">
      <c r="B8864" s="203"/>
      <c r="C8864" s="237"/>
      <c r="D8864" s="202"/>
      <c r="E8864" s="202"/>
      <c r="U8864" s="204"/>
    </row>
    <row r="8865" spans="2:21" x14ac:dyDescent="0.2">
      <c r="B8865" s="203"/>
      <c r="C8865" s="237"/>
      <c r="D8865" s="202"/>
      <c r="E8865" s="202"/>
      <c r="U8865" s="204"/>
    </row>
    <row r="8866" spans="2:21" x14ac:dyDescent="0.2">
      <c r="B8866" s="203"/>
      <c r="C8866" s="237"/>
      <c r="D8866" s="202"/>
      <c r="E8866" s="202"/>
      <c r="U8866" s="204"/>
    </row>
    <row r="8867" spans="2:21" x14ac:dyDescent="0.2">
      <c r="B8867" s="203"/>
      <c r="C8867" s="237"/>
      <c r="D8867" s="202"/>
      <c r="E8867" s="202"/>
      <c r="U8867" s="204"/>
    </row>
    <row r="8868" spans="2:21" x14ac:dyDescent="0.2">
      <c r="B8868" s="203"/>
      <c r="C8868" s="237"/>
      <c r="D8868" s="202"/>
      <c r="E8868" s="202"/>
      <c r="U8868" s="204"/>
    </row>
    <row r="8869" spans="2:21" x14ac:dyDescent="0.2">
      <c r="B8869" s="203"/>
      <c r="C8869" s="237"/>
      <c r="D8869" s="202"/>
      <c r="E8869" s="202"/>
      <c r="U8869" s="204"/>
    </row>
    <row r="8870" spans="2:21" x14ac:dyDescent="0.2">
      <c r="B8870" s="203"/>
      <c r="C8870" s="237"/>
      <c r="D8870" s="202"/>
      <c r="E8870" s="202"/>
      <c r="U8870" s="204"/>
    </row>
    <row r="8871" spans="2:21" x14ac:dyDescent="0.2">
      <c r="B8871" s="203"/>
      <c r="C8871" s="237"/>
      <c r="D8871" s="202"/>
      <c r="E8871" s="202"/>
      <c r="U8871" s="204"/>
    </row>
    <row r="8872" spans="2:21" x14ac:dyDescent="0.2">
      <c r="B8872" s="203"/>
      <c r="C8872" s="237"/>
      <c r="D8872" s="202"/>
      <c r="E8872" s="202"/>
      <c r="U8872" s="204"/>
    </row>
    <row r="8873" spans="2:21" x14ac:dyDescent="0.2">
      <c r="B8873" s="203"/>
      <c r="C8873" s="237"/>
      <c r="D8873" s="202"/>
      <c r="E8873" s="202"/>
      <c r="U8873" s="204"/>
    </row>
    <row r="8874" spans="2:21" x14ac:dyDescent="0.2">
      <c r="B8874" s="203"/>
      <c r="C8874" s="237"/>
      <c r="D8874" s="202"/>
      <c r="E8874" s="202"/>
      <c r="U8874" s="204"/>
    </row>
    <row r="8875" spans="2:21" x14ac:dyDescent="0.2">
      <c r="B8875" s="203"/>
      <c r="C8875" s="237"/>
      <c r="D8875" s="202"/>
      <c r="E8875" s="202"/>
      <c r="U8875" s="204"/>
    </row>
    <row r="8876" spans="2:21" x14ac:dyDescent="0.2">
      <c r="B8876" s="203"/>
      <c r="C8876" s="237"/>
      <c r="D8876" s="202"/>
      <c r="E8876" s="202"/>
      <c r="U8876" s="204"/>
    </row>
    <row r="8877" spans="2:21" x14ac:dyDescent="0.2">
      <c r="B8877" s="203"/>
      <c r="C8877" s="237"/>
      <c r="D8877" s="202"/>
      <c r="E8877" s="202"/>
      <c r="U8877" s="204"/>
    </row>
    <row r="8878" spans="2:21" x14ac:dyDescent="0.2">
      <c r="B8878" s="203"/>
      <c r="C8878" s="237"/>
      <c r="D8878" s="202"/>
      <c r="E8878" s="202"/>
      <c r="U8878" s="204"/>
    </row>
    <row r="8879" spans="2:21" x14ac:dyDescent="0.2">
      <c r="B8879" s="203"/>
      <c r="C8879" s="237"/>
      <c r="D8879" s="202"/>
      <c r="E8879" s="202"/>
      <c r="U8879" s="204"/>
    </row>
    <row r="8880" spans="2:21" x14ac:dyDescent="0.2">
      <c r="B8880" s="203"/>
      <c r="C8880" s="237"/>
      <c r="D8880" s="202"/>
      <c r="E8880" s="202"/>
      <c r="U8880" s="204"/>
    </row>
    <row r="8881" spans="2:21" x14ac:dyDescent="0.2">
      <c r="B8881" s="203"/>
      <c r="C8881" s="237"/>
      <c r="D8881" s="202"/>
      <c r="E8881" s="202"/>
      <c r="U8881" s="204"/>
    </row>
    <row r="8882" spans="2:21" x14ac:dyDescent="0.2">
      <c r="B8882" s="203"/>
      <c r="C8882" s="237"/>
      <c r="D8882" s="202"/>
      <c r="E8882" s="202"/>
      <c r="U8882" s="204"/>
    </row>
    <row r="8883" spans="2:21" x14ac:dyDescent="0.2">
      <c r="B8883" s="203"/>
      <c r="C8883" s="237"/>
      <c r="D8883" s="202"/>
      <c r="E8883" s="202"/>
      <c r="U8883" s="204"/>
    </row>
    <row r="8884" spans="2:21" x14ac:dyDescent="0.2">
      <c r="B8884" s="203"/>
      <c r="C8884" s="237"/>
      <c r="D8884" s="202"/>
      <c r="E8884" s="202"/>
      <c r="U8884" s="204"/>
    </row>
    <row r="8885" spans="2:21" x14ac:dyDescent="0.2">
      <c r="B8885" s="203"/>
      <c r="C8885" s="237"/>
      <c r="D8885" s="202"/>
      <c r="E8885" s="202"/>
      <c r="U8885" s="204"/>
    </row>
    <row r="8886" spans="2:21" x14ac:dyDescent="0.2">
      <c r="B8886" s="203"/>
      <c r="C8886" s="237"/>
      <c r="D8886" s="202"/>
      <c r="E8886" s="202"/>
      <c r="U8886" s="204"/>
    </row>
    <row r="8887" spans="2:21" x14ac:dyDescent="0.2">
      <c r="B8887" s="203"/>
      <c r="C8887" s="237"/>
      <c r="D8887" s="202"/>
      <c r="E8887" s="202"/>
      <c r="U8887" s="204"/>
    </row>
    <row r="8888" spans="2:21" x14ac:dyDescent="0.2">
      <c r="B8888" s="203"/>
      <c r="C8888" s="237"/>
      <c r="D8888" s="202"/>
      <c r="E8888" s="202"/>
      <c r="U8888" s="204"/>
    </row>
    <row r="8889" spans="2:21" x14ac:dyDescent="0.2">
      <c r="B8889" s="203"/>
      <c r="C8889" s="237"/>
      <c r="D8889" s="202"/>
      <c r="E8889" s="202"/>
      <c r="U8889" s="204"/>
    </row>
    <row r="8890" spans="2:21" x14ac:dyDescent="0.2">
      <c r="B8890" s="203"/>
      <c r="C8890" s="237"/>
      <c r="D8890" s="202"/>
      <c r="E8890" s="202"/>
      <c r="U8890" s="204"/>
    </row>
    <row r="8891" spans="2:21" x14ac:dyDescent="0.2">
      <c r="B8891" s="203"/>
      <c r="C8891" s="237"/>
      <c r="D8891" s="202"/>
      <c r="E8891" s="202"/>
      <c r="U8891" s="204"/>
    </row>
    <row r="8892" spans="2:21" x14ac:dyDescent="0.2">
      <c r="B8892" s="203"/>
      <c r="C8892" s="237"/>
      <c r="D8892" s="202"/>
      <c r="E8892" s="202"/>
      <c r="U8892" s="204"/>
    </row>
    <row r="8893" spans="2:21" x14ac:dyDescent="0.2">
      <c r="B8893" s="203"/>
      <c r="C8893" s="237"/>
      <c r="D8893" s="202"/>
      <c r="E8893" s="202"/>
      <c r="U8893" s="204"/>
    </row>
    <row r="8894" spans="2:21" x14ac:dyDescent="0.2">
      <c r="B8894" s="203"/>
      <c r="C8894" s="237"/>
      <c r="D8894" s="202"/>
      <c r="E8894" s="202"/>
      <c r="U8894" s="204"/>
    </row>
    <row r="8895" spans="2:21" x14ac:dyDescent="0.2">
      <c r="B8895" s="203"/>
      <c r="C8895" s="237"/>
      <c r="D8895" s="202"/>
      <c r="E8895" s="202"/>
      <c r="U8895" s="204"/>
    </row>
    <row r="8896" spans="2:21" x14ac:dyDescent="0.2">
      <c r="B8896" s="203"/>
      <c r="C8896" s="237"/>
      <c r="D8896" s="202"/>
      <c r="E8896" s="202"/>
      <c r="U8896" s="204"/>
    </row>
    <row r="8897" spans="2:21" x14ac:dyDescent="0.2">
      <c r="B8897" s="203"/>
      <c r="C8897" s="237"/>
      <c r="D8897" s="202"/>
      <c r="E8897" s="202"/>
      <c r="U8897" s="204"/>
    </row>
    <row r="8898" spans="2:21" x14ac:dyDescent="0.2">
      <c r="B8898" s="203"/>
      <c r="C8898" s="237"/>
      <c r="D8898" s="202"/>
      <c r="E8898" s="202"/>
      <c r="U8898" s="204"/>
    </row>
    <row r="8899" spans="2:21" x14ac:dyDescent="0.2">
      <c r="B8899" s="203"/>
      <c r="C8899" s="237"/>
      <c r="D8899" s="202"/>
      <c r="E8899" s="202"/>
      <c r="U8899" s="204"/>
    </row>
    <row r="8900" spans="2:21" x14ac:dyDescent="0.2">
      <c r="B8900" s="203"/>
      <c r="C8900" s="237"/>
      <c r="D8900" s="202"/>
      <c r="E8900" s="202"/>
      <c r="U8900" s="204"/>
    </row>
    <row r="8901" spans="2:21" x14ac:dyDescent="0.2">
      <c r="B8901" s="203"/>
      <c r="C8901" s="237"/>
      <c r="D8901" s="202"/>
      <c r="E8901" s="202"/>
      <c r="U8901" s="204"/>
    </row>
    <row r="8902" spans="2:21" x14ac:dyDescent="0.2">
      <c r="B8902" s="203"/>
      <c r="C8902" s="237"/>
      <c r="D8902" s="202"/>
      <c r="E8902" s="202"/>
      <c r="U8902" s="204"/>
    </row>
    <row r="8903" spans="2:21" x14ac:dyDescent="0.2">
      <c r="B8903" s="203"/>
      <c r="C8903" s="237"/>
      <c r="D8903" s="202"/>
      <c r="E8903" s="202"/>
      <c r="U8903" s="204"/>
    </row>
    <row r="8904" spans="2:21" x14ac:dyDescent="0.2">
      <c r="B8904" s="203"/>
      <c r="C8904" s="237"/>
      <c r="D8904" s="202"/>
      <c r="E8904" s="202"/>
      <c r="U8904" s="204"/>
    </row>
    <row r="8905" spans="2:21" x14ac:dyDescent="0.2">
      <c r="B8905" s="203"/>
      <c r="C8905" s="237"/>
      <c r="D8905" s="202"/>
      <c r="E8905" s="202"/>
      <c r="U8905" s="204"/>
    </row>
    <row r="8906" spans="2:21" x14ac:dyDescent="0.2">
      <c r="B8906" s="203"/>
      <c r="C8906" s="237"/>
      <c r="D8906" s="202"/>
      <c r="E8906" s="202"/>
      <c r="U8906" s="204"/>
    </row>
    <row r="8907" spans="2:21" x14ac:dyDescent="0.2">
      <c r="B8907" s="203"/>
      <c r="C8907" s="237"/>
      <c r="D8907" s="202"/>
      <c r="E8907" s="202"/>
      <c r="U8907" s="204"/>
    </row>
    <row r="8908" spans="2:21" x14ac:dyDescent="0.2">
      <c r="B8908" s="203"/>
      <c r="C8908" s="237"/>
      <c r="D8908" s="202"/>
      <c r="E8908" s="202"/>
      <c r="U8908" s="204"/>
    </row>
    <row r="8909" spans="2:21" x14ac:dyDescent="0.2">
      <c r="B8909" s="203"/>
      <c r="C8909" s="237"/>
      <c r="D8909" s="202"/>
      <c r="E8909" s="202"/>
      <c r="U8909" s="204"/>
    </row>
    <row r="8910" spans="2:21" x14ac:dyDescent="0.2">
      <c r="B8910" s="203"/>
      <c r="C8910" s="237"/>
      <c r="D8910" s="202"/>
      <c r="E8910" s="202"/>
      <c r="U8910" s="204"/>
    </row>
    <row r="8911" spans="2:21" x14ac:dyDescent="0.2">
      <c r="B8911" s="203"/>
      <c r="C8911" s="237"/>
      <c r="D8911" s="202"/>
      <c r="E8911" s="202"/>
      <c r="U8911" s="204"/>
    </row>
    <row r="8912" spans="2:21" x14ac:dyDescent="0.2">
      <c r="B8912" s="203"/>
      <c r="C8912" s="237"/>
      <c r="D8912" s="202"/>
      <c r="E8912" s="202"/>
      <c r="U8912" s="204"/>
    </row>
    <row r="8913" spans="2:21" x14ac:dyDescent="0.2">
      <c r="B8913" s="203"/>
      <c r="C8913" s="237"/>
      <c r="D8913" s="202"/>
      <c r="E8913" s="202"/>
      <c r="U8913" s="204"/>
    </row>
    <row r="8914" spans="2:21" x14ac:dyDescent="0.2">
      <c r="B8914" s="203"/>
      <c r="C8914" s="237"/>
      <c r="D8914" s="202"/>
      <c r="E8914" s="202"/>
      <c r="U8914" s="204"/>
    </row>
    <row r="8915" spans="2:21" x14ac:dyDescent="0.2">
      <c r="B8915" s="203"/>
      <c r="C8915" s="237"/>
      <c r="D8915" s="202"/>
      <c r="E8915" s="202"/>
      <c r="U8915" s="204"/>
    </row>
    <row r="8916" spans="2:21" x14ac:dyDescent="0.2">
      <c r="B8916" s="203"/>
      <c r="C8916" s="237"/>
      <c r="D8916" s="202"/>
      <c r="E8916" s="202"/>
      <c r="U8916" s="204"/>
    </row>
    <row r="8917" spans="2:21" x14ac:dyDescent="0.2">
      <c r="B8917" s="203"/>
      <c r="C8917" s="237"/>
      <c r="D8917" s="202"/>
      <c r="E8917" s="202"/>
      <c r="U8917" s="204"/>
    </row>
    <row r="8918" spans="2:21" x14ac:dyDescent="0.2">
      <c r="B8918" s="203"/>
      <c r="C8918" s="237"/>
      <c r="D8918" s="202"/>
      <c r="E8918" s="202"/>
      <c r="U8918" s="204"/>
    </row>
    <row r="8919" spans="2:21" x14ac:dyDescent="0.2">
      <c r="B8919" s="203"/>
      <c r="C8919" s="237"/>
      <c r="D8919" s="202"/>
      <c r="E8919" s="202"/>
      <c r="U8919" s="204"/>
    </row>
    <row r="8920" spans="2:21" x14ac:dyDescent="0.2">
      <c r="B8920" s="203"/>
      <c r="C8920" s="237"/>
      <c r="D8920" s="202"/>
      <c r="E8920" s="202"/>
      <c r="U8920" s="204"/>
    </row>
    <row r="8921" spans="2:21" x14ac:dyDescent="0.2">
      <c r="B8921" s="203"/>
      <c r="C8921" s="237"/>
      <c r="D8921" s="202"/>
      <c r="E8921" s="202"/>
      <c r="U8921" s="204"/>
    </row>
    <row r="8922" spans="2:21" x14ac:dyDescent="0.2">
      <c r="B8922" s="203"/>
      <c r="C8922" s="237"/>
      <c r="D8922" s="202"/>
      <c r="E8922" s="202"/>
      <c r="U8922" s="204"/>
    </row>
    <row r="8923" spans="2:21" x14ac:dyDescent="0.2">
      <c r="B8923" s="203"/>
      <c r="C8923" s="237"/>
      <c r="D8923" s="202"/>
      <c r="E8923" s="202"/>
      <c r="U8923" s="204"/>
    </row>
    <row r="8924" spans="2:21" x14ac:dyDescent="0.2">
      <c r="B8924" s="203"/>
      <c r="C8924" s="237"/>
      <c r="D8924" s="202"/>
      <c r="E8924" s="202"/>
      <c r="U8924" s="204"/>
    </row>
    <row r="8925" spans="2:21" x14ac:dyDescent="0.2">
      <c r="B8925" s="203"/>
      <c r="C8925" s="237"/>
      <c r="D8925" s="202"/>
      <c r="E8925" s="202"/>
      <c r="U8925" s="204"/>
    </row>
    <row r="8926" spans="2:21" x14ac:dyDescent="0.2">
      <c r="B8926" s="203"/>
      <c r="C8926" s="237"/>
      <c r="D8926" s="202"/>
      <c r="E8926" s="202"/>
      <c r="U8926" s="204"/>
    </row>
    <row r="8927" spans="2:21" x14ac:dyDescent="0.2">
      <c r="B8927" s="203"/>
      <c r="C8927" s="237"/>
      <c r="D8927" s="202"/>
      <c r="E8927" s="202"/>
      <c r="U8927" s="204"/>
    </row>
    <row r="8928" spans="2:21" x14ac:dyDescent="0.2">
      <c r="B8928" s="203"/>
      <c r="C8928" s="237"/>
      <c r="D8928" s="202"/>
      <c r="E8928" s="202"/>
      <c r="U8928" s="204"/>
    </row>
    <row r="8929" spans="2:21" x14ac:dyDescent="0.2">
      <c r="B8929" s="203"/>
      <c r="C8929" s="237"/>
      <c r="D8929" s="202"/>
      <c r="E8929" s="202"/>
      <c r="U8929" s="204"/>
    </row>
    <row r="8930" spans="2:21" x14ac:dyDescent="0.2">
      <c r="B8930" s="203"/>
      <c r="C8930" s="237"/>
      <c r="D8930" s="202"/>
      <c r="E8930" s="202"/>
      <c r="U8930" s="204"/>
    </row>
    <row r="8931" spans="2:21" x14ac:dyDescent="0.2">
      <c r="B8931" s="203"/>
      <c r="C8931" s="237"/>
      <c r="D8931" s="202"/>
      <c r="E8931" s="202"/>
      <c r="U8931" s="204"/>
    </row>
    <row r="8932" spans="2:21" x14ac:dyDescent="0.2">
      <c r="B8932" s="203"/>
      <c r="C8932" s="237"/>
      <c r="D8932" s="202"/>
      <c r="E8932" s="202"/>
      <c r="U8932" s="204"/>
    </row>
    <row r="8933" spans="2:21" x14ac:dyDescent="0.2">
      <c r="B8933" s="203"/>
      <c r="C8933" s="237"/>
      <c r="D8933" s="202"/>
      <c r="E8933" s="202"/>
      <c r="U8933" s="204"/>
    </row>
    <row r="8934" spans="2:21" x14ac:dyDescent="0.2">
      <c r="B8934" s="203"/>
      <c r="C8934" s="237"/>
      <c r="D8934" s="202"/>
      <c r="E8934" s="202"/>
      <c r="U8934" s="204"/>
    </row>
    <row r="8935" spans="2:21" x14ac:dyDescent="0.2">
      <c r="B8935" s="203"/>
      <c r="C8935" s="237"/>
      <c r="D8935" s="202"/>
      <c r="E8935" s="202"/>
      <c r="U8935" s="204"/>
    </row>
    <row r="8936" spans="2:21" x14ac:dyDescent="0.2">
      <c r="B8936" s="203"/>
      <c r="C8936" s="237"/>
      <c r="D8936" s="202"/>
      <c r="E8936" s="202"/>
      <c r="U8936" s="204"/>
    </row>
    <row r="8937" spans="2:21" x14ac:dyDescent="0.2">
      <c r="B8937" s="203"/>
      <c r="C8937" s="237"/>
      <c r="D8937" s="202"/>
      <c r="E8937" s="202"/>
      <c r="U8937" s="204"/>
    </row>
    <row r="8938" spans="2:21" x14ac:dyDescent="0.2">
      <c r="B8938" s="203"/>
      <c r="C8938" s="237"/>
      <c r="D8938" s="202"/>
      <c r="E8938" s="202"/>
      <c r="U8938" s="204"/>
    </row>
    <row r="8939" spans="2:21" x14ac:dyDescent="0.2">
      <c r="B8939" s="203"/>
      <c r="C8939" s="237"/>
      <c r="D8939" s="202"/>
      <c r="E8939" s="202"/>
      <c r="U8939" s="204"/>
    </row>
    <row r="8940" spans="2:21" x14ac:dyDescent="0.2">
      <c r="B8940" s="203"/>
      <c r="C8940" s="237"/>
      <c r="D8940" s="202"/>
      <c r="E8940" s="202"/>
      <c r="U8940" s="204"/>
    </row>
    <row r="8941" spans="2:21" x14ac:dyDescent="0.2">
      <c r="B8941" s="203"/>
      <c r="C8941" s="237"/>
      <c r="D8941" s="202"/>
      <c r="E8941" s="202"/>
      <c r="U8941" s="204"/>
    </row>
    <row r="8942" spans="2:21" x14ac:dyDescent="0.2">
      <c r="B8942" s="203"/>
      <c r="C8942" s="237"/>
      <c r="D8942" s="202"/>
      <c r="E8942" s="202"/>
      <c r="U8942" s="204"/>
    </row>
    <row r="8943" spans="2:21" x14ac:dyDescent="0.2">
      <c r="B8943" s="203"/>
      <c r="C8943" s="237"/>
      <c r="D8943" s="202"/>
      <c r="E8943" s="202"/>
      <c r="U8943" s="204"/>
    </row>
    <row r="8944" spans="2:21" x14ac:dyDescent="0.2">
      <c r="B8944" s="203"/>
      <c r="C8944" s="237"/>
      <c r="D8944" s="202"/>
      <c r="E8944" s="202"/>
      <c r="U8944" s="204"/>
    </row>
    <row r="8945" spans="2:21" x14ac:dyDescent="0.2">
      <c r="B8945" s="203"/>
      <c r="C8945" s="237"/>
      <c r="D8945" s="202"/>
      <c r="E8945" s="202"/>
      <c r="U8945" s="204"/>
    </row>
    <row r="8946" spans="2:21" x14ac:dyDescent="0.2">
      <c r="B8946" s="203"/>
      <c r="C8946" s="237"/>
      <c r="D8946" s="202"/>
      <c r="E8946" s="202"/>
      <c r="U8946" s="204"/>
    </row>
    <row r="8947" spans="2:21" x14ac:dyDescent="0.2">
      <c r="B8947" s="203"/>
      <c r="C8947" s="237"/>
      <c r="D8947" s="202"/>
      <c r="E8947" s="202"/>
      <c r="U8947" s="204"/>
    </row>
    <row r="8948" spans="2:21" x14ac:dyDescent="0.2">
      <c r="B8948" s="203"/>
      <c r="C8948" s="237"/>
      <c r="D8948" s="202"/>
      <c r="E8948" s="202"/>
      <c r="U8948" s="204"/>
    </row>
    <row r="8949" spans="2:21" x14ac:dyDescent="0.2">
      <c r="B8949" s="203"/>
      <c r="C8949" s="237"/>
      <c r="D8949" s="202"/>
      <c r="E8949" s="202"/>
      <c r="U8949" s="204"/>
    </row>
    <row r="8950" spans="2:21" x14ac:dyDescent="0.2">
      <c r="B8950" s="203"/>
      <c r="C8950" s="237"/>
      <c r="D8950" s="202"/>
      <c r="E8950" s="202"/>
      <c r="U8950" s="204"/>
    </row>
    <row r="8951" spans="2:21" x14ac:dyDescent="0.2">
      <c r="B8951" s="203"/>
      <c r="C8951" s="237"/>
      <c r="D8951" s="202"/>
      <c r="E8951" s="202"/>
      <c r="U8951" s="204"/>
    </row>
    <row r="8952" spans="2:21" x14ac:dyDescent="0.2">
      <c r="B8952" s="203"/>
      <c r="C8952" s="237"/>
      <c r="D8952" s="202"/>
      <c r="E8952" s="202"/>
      <c r="U8952" s="204"/>
    </row>
    <row r="8953" spans="2:21" x14ac:dyDescent="0.2">
      <c r="B8953" s="203"/>
      <c r="C8953" s="237"/>
      <c r="D8953" s="202"/>
      <c r="E8953" s="202"/>
      <c r="U8953" s="204"/>
    </row>
    <row r="8954" spans="2:21" x14ac:dyDescent="0.2">
      <c r="B8954" s="203"/>
      <c r="C8954" s="237"/>
      <c r="D8954" s="202"/>
      <c r="E8954" s="202"/>
      <c r="U8954" s="204"/>
    </row>
    <row r="8955" spans="2:21" x14ac:dyDescent="0.2">
      <c r="B8955" s="203"/>
      <c r="C8955" s="237"/>
      <c r="D8955" s="202"/>
      <c r="E8955" s="202"/>
      <c r="U8955" s="204"/>
    </row>
    <row r="8956" spans="2:21" x14ac:dyDescent="0.2">
      <c r="B8956" s="203"/>
      <c r="C8956" s="237"/>
      <c r="D8956" s="202"/>
      <c r="E8956" s="202"/>
      <c r="U8956" s="204"/>
    </row>
    <row r="8957" spans="2:21" x14ac:dyDescent="0.2">
      <c r="B8957" s="203"/>
      <c r="C8957" s="237"/>
      <c r="D8957" s="202"/>
      <c r="E8957" s="202"/>
      <c r="U8957" s="204"/>
    </row>
    <row r="8958" spans="2:21" x14ac:dyDescent="0.2">
      <c r="B8958" s="203"/>
      <c r="C8958" s="237"/>
      <c r="D8958" s="202"/>
      <c r="E8958" s="202"/>
      <c r="U8958" s="204"/>
    </row>
    <row r="8959" spans="2:21" x14ac:dyDescent="0.2">
      <c r="B8959" s="203"/>
      <c r="C8959" s="237"/>
      <c r="D8959" s="202"/>
      <c r="E8959" s="202"/>
      <c r="U8959" s="204"/>
    </row>
    <row r="8960" spans="2:21" x14ac:dyDescent="0.2">
      <c r="B8960" s="203"/>
      <c r="C8960" s="237"/>
      <c r="D8960" s="202"/>
      <c r="E8960" s="202"/>
      <c r="U8960" s="204"/>
    </row>
    <row r="8961" spans="2:21" x14ac:dyDescent="0.2">
      <c r="B8961" s="203"/>
      <c r="C8961" s="237"/>
      <c r="D8961" s="202"/>
      <c r="E8961" s="202"/>
      <c r="U8961" s="204"/>
    </row>
    <row r="8962" spans="2:21" x14ac:dyDescent="0.2">
      <c r="B8962" s="203"/>
      <c r="C8962" s="237"/>
      <c r="D8962" s="202"/>
      <c r="E8962" s="202"/>
      <c r="U8962" s="204"/>
    </row>
    <row r="8963" spans="2:21" x14ac:dyDescent="0.2">
      <c r="B8963" s="203"/>
      <c r="C8963" s="237"/>
      <c r="D8963" s="202"/>
      <c r="E8963" s="202"/>
      <c r="U8963" s="204"/>
    </row>
    <row r="8964" spans="2:21" x14ac:dyDescent="0.2">
      <c r="B8964" s="203"/>
      <c r="C8964" s="237"/>
      <c r="D8964" s="202"/>
      <c r="E8964" s="202"/>
      <c r="U8964" s="204"/>
    </row>
    <row r="8965" spans="2:21" x14ac:dyDescent="0.2">
      <c r="B8965" s="203"/>
      <c r="C8965" s="237"/>
      <c r="D8965" s="202"/>
      <c r="E8965" s="202"/>
      <c r="U8965" s="204"/>
    </row>
    <row r="8966" spans="2:21" x14ac:dyDescent="0.2">
      <c r="B8966" s="203"/>
      <c r="C8966" s="237"/>
      <c r="D8966" s="202"/>
      <c r="E8966" s="202"/>
      <c r="U8966" s="204"/>
    </row>
    <row r="8967" spans="2:21" x14ac:dyDescent="0.2">
      <c r="B8967" s="203"/>
      <c r="C8967" s="237"/>
      <c r="D8967" s="202"/>
      <c r="E8967" s="202"/>
      <c r="U8967" s="204"/>
    </row>
    <row r="8968" spans="2:21" x14ac:dyDescent="0.2">
      <c r="B8968" s="203"/>
      <c r="C8968" s="237"/>
      <c r="D8968" s="202"/>
      <c r="E8968" s="202"/>
      <c r="U8968" s="204"/>
    </row>
    <row r="8969" spans="2:21" x14ac:dyDescent="0.2">
      <c r="B8969" s="203"/>
      <c r="C8969" s="237"/>
      <c r="D8969" s="202"/>
      <c r="E8969" s="202"/>
      <c r="U8969" s="204"/>
    </row>
    <row r="8970" spans="2:21" x14ac:dyDescent="0.2">
      <c r="B8970" s="203"/>
      <c r="C8970" s="237"/>
      <c r="D8970" s="202"/>
      <c r="E8970" s="202"/>
      <c r="U8970" s="204"/>
    </row>
    <row r="8971" spans="2:21" x14ac:dyDescent="0.2">
      <c r="B8971" s="203"/>
      <c r="C8971" s="237"/>
      <c r="D8971" s="202"/>
      <c r="E8971" s="202"/>
      <c r="U8971" s="204"/>
    </row>
    <row r="8972" spans="2:21" x14ac:dyDescent="0.2">
      <c r="B8972" s="203"/>
      <c r="C8972" s="237"/>
      <c r="D8972" s="202"/>
      <c r="E8972" s="202"/>
      <c r="U8972" s="204"/>
    </row>
    <row r="8973" spans="2:21" x14ac:dyDescent="0.2">
      <c r="B8973" s="203"/>
      <c r="C8973" s="237"/>
      <c r="D8973" s="202"/>
      <c r="E8973" s="202"/>
      <c r="U8973" s="204"/>
    </row>
    <row r="8974" spans="2:21" x14ac:dyDescent="0.2">
      <c r="B8974" s="203"/>
      <c r="C8974" s="237"/>
      <c r="D8974" s="202"/>
      <c r="E8974" s="202"/>
      <c r="U8974" s="204"/>
    </row>
    <row r="8975" spans="2:21" x14ac:dyDescent="0.2">
      <c r="B8975" s="203"/>
      <c r="C8975" s="237"/>
      <c r="D8975" s="202"/>
      <c r="E8975" s="202"/>
      <c r="U8975" s="204"/>
    </row>
    <row r="8976" spans="2:21" x14ac:dyDescent="0.2">
      <c r="B8976" s="203"/>
      <c r="C8976" s="237"/>
      <c r="D8976" s="202"/>
      <c r="E8976" s="202"/>
      <c r="U8976" s="204"/>
    </row>
    <row r="8977" spans="2:21" x14ac:dyDescent="0.2">
      <c r="B8977" s="203"/>
      <c r="C8977" s="237"/>
      <c r="D8977" s="202"/>
      <c r="E8977" s="202"/>
      <c r="U8977" s="204"/>
    </row>
    <row r="8978" spans="2:21" x14ac:dyDescent="0.2">
      <c r="B8978" s="203"/>
      <c r="C8978" s="237"/>
      <c r="D8978" s="202"/>
      <c r="E8978" s="202"/>
      <c r="U8978" s="204"/>
    </row>
    <row r="8979" spans="2:21" x14ac:dyDescent="0.2">
      <c r="B8979" s="203"/>
      <c r="C8979" s="237"/>
      <c r="D8979" s="202"/>
      <c r="E8979" s="202"/>
      <c r="U8979" s="204"/>
    </row>
    <row r="8980" spans="2:21" x14ac:dyDescent="0.2">
      <c r="B8980" s="203"/>
      <c r="C8980" s="237"/>
      <c r="D8980" s="202"/>
      <c r="E8980" s="202"/>
      <c r="U8980" s="204"/>
    </row>
    <row r="8981" spans="2:21" x14ac:dyDescent="0.2">
      <c r="B8981" s="203"/>
      <c r="C8981" s="237"/>
      <c r="D8981" s="202"/>
      <c r="E8981" s="202"/>
      <c r="U8981" s="204"/>
    </row>
    <row r="8982" spans="2:21" x14ac:dyDescent="0.2">
      <c r="B8982" s="203"/>
      <c r="C8982" s="237"/>
      <c r="D8982" s="202"/>
      <c r="E8982" s="202"/>
      <c r="U8982" s="204"/>
    </row>
    <row r="8983" spans="2:21" x14ac:dyDescent="0.2">
      <c r="B8983" s="203"/>
      <c r="C8983" s="237"/>
      <c r="D8983" s="202"/>
      <c r="E8983" s="202"/>
      <c r="U8983" s="204"/>
    </row>
    <row r="8984" spans="2:21" x14ac:dyDescent="0.2">
      <c r="B8984" s="203"/>
      <c r="C8984" s="237"/>
      <c r="D8984" s="202"/>
      <c r="E8984" s="202"/>
      <c r="U8984" s="204"/>
    </row>
    <row r="8985" spans="2:21" x14ac:dyDescent="0.2">
      <c r="B8985" s="203"/>
      <c r="C8985" s="237"/>
      <c r="D8985" s="202"/>
      <c r="E8985" s="202"/>
      <c r="U8985" s="204"/>
    </row>
    <row r="8986" spans="2:21" x14ac:dyDescent="0.2">
      <c r="B8986" s="203"/>
      <c r="C8986" s="237"/>
      <c r="D8986" s="202"/>
      <c r="E8986" s="202"/>
      <c r="U8986" s="204"/>
    </row>
    <row r="8987" spans="2:21" x14ac:dyDescent="0.2">
      <c r="B8987" s="203"/>
      <c r="C8987" s="237"/>
      <c r="D8987" s="202"/>
      <c r="E8987" s="202"/>
      <c r="U8987" s="204"/>
    </row>
    <row r="8988" spans="2:21" x14ac:dyDescent="0.2">
      <c r="B8988" s="203"/>
      <c r="C8988" s="237"/>
      <c r="D8988" s="202"/>
      <c r="E8988" s="202"/>
      <c r="U8988" s="204"/>
    </row>
    <row r="8989" spans="2:21" x14ac:dyDescent="0.2">
      <c r="B8989" s="203"/>
      <c r="C8989" s="237"/>
      <c r="D8989" s="202"/>
      <c r="E8989" s="202"/>
      <c r="U8989" s="204"/>
    </row>
    <row r="8990" spans="2:21" x14ac:dyDescent="0.2">
      <c r="B8990" s="203"/>
      <c r="C8990" s="237"/>
      <c r="D8990" s="202"/>
      <c r="E8990" s="202"/>
      <c r="U8990" s="204"/>
    </row>
    <row r="8991" spans="2:21" x14ac:dyDescent="0.2">
      <c r="B8991" s="203"/>
      <c r="C8991" s="237"/>
      <c r="D8991" s="202"/>
      <c r="E8991" s="202"/>
      <c r="U8991" s="204"/>
    </row>
    <row r="8992" spans="2:21" x14ac:dyDescent="0.2">
      <c r="B8992" s="203"/>
      <c r="C8992" s="237"/>
      <c r="D8992" s="202"/>
      <c r="E8992" s="202"/>
      <c r="U8992" s="204"/>
    </row>
    <row r="8993" spans="2:21" x14ac:dyDescent="0.2">
      <c r="B8993" s="203"/>
      <c r="C8993" s="237"/>
      <c r="D8993" s="202"/>
      <c r="E8993" s="202"/>
      <c r="U8993" s="204"/>
    </row>
    <row r="8994" spans="2:21" x14ac:dyDescent="0.2">
      <c r="B8994" s="203"/>
      <c r="C8994" s="237"/>
      <c r="D8994" s="202"/>
      <c r="E8994" s="202"/>
      <c r="U8994" s="204"/>
    </row>
    <row r="8995" spans="2:21" x14ac:dyDescent="0.2">
      <c r="B8995" s="203"/>
      <c r="C8995" s="237"/>
      <c r="D8995" s="202"/>
      <c r="E8995" s="202"/>
      <c r="U8995" s="204"/>
    </row>
    <row r="8996" spans="2:21" x14ac:dyDescent="0.2">
      <c r="B8996" s="203"/>
      <c r="C8996" s="237"/>
      <c r="D8996" s="202"/>
      <c r="E8996" s="202"/>
      <c r="U8996" s="204"/>
    </row>
    <row r="8997" spans="2:21" x14ac:dyDescent="0.2">
      <c r="B8997" s="203"/>
      <c r="C8997" s="237"/>
      <c r="D8997" s="202"/>
      <c r="E8997" s="202"/>
      <c r="U8997" s="204"/>
    </row>
    <row r="8998" spans="2:21" x14ac:dyDescent="0.2">
      <c r="B8998" s="203"/>
      <c r="C8998" s="237"/>
      <c r="D8998" s="202"/>
      <c r="E8998" s="202"/>
      <c r="U8998" s="204"/>
    </row>
    <row r="8999" spans="2:21" x14ac:dyDescent="0.2">
      <c r="B8999" s="203"/>
      <c r="C8999" s="237"/>
      <c r="D8999" s="202"/>
      <c r="E8999" s="202"/>
      <c r="U8999" s="204"/>
    </row>
    <row r="9000" spans="2:21" x14ac:dyDescent="0.2">
      <c r="B9000" s="203"/>
      <c r="C9000" s="237"/>
      <c r="D9000" s="202"/>
      <c r="E9000" s="202"/>
      <c r="U9000" s="204"/>
    </row>
    <row r="9001" spans="2:21" x14ac:dyDescent="0.2">
      <c r="B9001" s="203"/>
      <c r="C9001" s="237"/>
      <c r="D9001" s="202"/>
      <c r="E9001" s="202"/>
      <c r="U9001" s="204"/>
    </row>
    <row r="9002" spans="2:21" x14ac:dyDescent="0.2">
      <c r="B9002" s="203"/>
      <c r="C9002" s="237"/>
      <c r="D9002" s="202"/>
      <c r="E9002" s="202"/>
      <c r="U9002" s="204"/>
    </row>
    <row r="9003" spans="2:21" x14ac:dyDescent="0.2">
      <c r="B9003" s="203"/>
      <c r="C9003" s="237"/>
      <c r="D9003" s="202"/>
      <c r="E9003" s="202"/>
      <c r="U9003" s="204"/>
    </row>
    <row r="9004" spans="2:21" x14ac:dyDescent="0.2">
      <c r="B9004" s="203"/>
      <c r="C9004" s="237"/>
      <c r="D9004" s="202"/>
      <c r="E9004" s="202"/>
      <c r="U9004" s="204"/>
    </row>
    <row r="9005" spans="2:21" x14ac:dyDescent="0.2">
      <c r="B9005" s="203"/>
      <c r="C9005" s="237"/>
      <c r="D9005" s="202"/>
      <c r="E9005" s="202"/>
      <c r="U9005" s="204"/>
    </row>
    <row r="9006" spans="2:21" x14ac:dyDescent="0.2">
      <c r="B9006" s="203"/>
      <c r="C9006" s="237"/>
      <c r="D9006" s="202"/>
      <c r="E9006" s="202"/>
      <c r="U9006" s="204"/>
    </row>
    <row r="9007" spans="2:21" x14ac:dyDescent="0.2">
      <c r="B9007" s="203"/>
      <c r="C9007" s="237"/>
      <c r="D9007" s="202"/>
      <c r="E9007" s="202"/>
      <c r="U9007" s="204"/>
    </row>
    <row r="9008" spans="2:21" x14ac:dyDescent="0.2">
      <c r="B9008" s="203"/>
      <c r="C9008" s="237"/>
      <c r="D9008" s="202"/>
      <c r="E9008" s="202"/>
      <c r="U9008" s="204"/>
    </row>
    <row r="9009" spans="2:21" x14ac:dyDescent="0.2">
      <c r="B9009" s="203"/>
      <c r="C9009" s="237"/>
      <c r="D9009" s="202"/>
      <c r="E9009" s="202"/>
      <c r="U9009" s="204"/>
    </row>
    <row r="9010" spans="2:21" x14ac:dyDescent="0.2">
      <c r="B9010" s="203"/>
      <c r="C9010" s="237"/>
      <c r="D9010" s="202"/>
      <c r="E9010" s="202"/>
      <c r="U9010" s="204"/>
    </row>
    <row r="9011" spans="2:21" x14ac:dyDescent="0.2">
      <c r="B9011" s="203"/>
      <c r="C9011" s="237"/>
      <c r="D9011" s="202"/>
      <c r="E9011" s="202"/>
      <c r="U9011" s="204"/>
    </row>
    <row r="9012" spans="2:21" x14ac:dyDescent="0.2">
      <c r="B9012" s="203"/>
      <c r="C9012" s="237"/>
      <c r="D9012" s="202"/>
      <c r="E9012" s="202"/>
      <c r="U9012" s="204"/>
    </row>
    <row r="9013" spans="2:21" x14ac:dyDescent="0.2">
      <c r="B9013" s="203"/>
      <c r="C9013" s="237"/>
      <c r="D9013" s="202"/>
      <c r="E9013" s="202"/>
      <c r="U9013" s="204"/>
    </row>
    <row r="9014" spans="2:21" x14ac:dyDescent="0.2">
      <c r="B9014" s="203"/>
      <c r="C9014" s="237"/>
      <c r="D9014" s="202"/>
      <c r="E9014" s="202"/>
      <c r="U9014" s="204"/>
    </row>
    <row r="9015" spans="2:21" x14ac:dyDescent="0.2">
      <c r="B9015" s="203"/>
      <c r="C9015" s="237"/>
      <c r="D9015" s="202"/>
      <c r="E9015" s="202"/>
      <c r="U9015" s="204"/>
    </row>
    <row r="9016" spans="2:21" x14ac:dyDescent="0.2">
      <c r="B9016" s="203"/>
      <c r="C9016" s="237"/>
      <c r="D9016" s="202"/>
      <c r="E9016" s="202"/>
      <c r="U9016" s="204"/>
    </row>
    <row r="9017" spans="2:21" x14ac:dyDescent="0.2">
      <c r="B9017" s="203"/>
      <c r="C9017" s="237"/>
      <c r="D9017" s="202"/>
      <c r="E9017" s="202"/>
      <c r="U9017" s="204"/>
    </row>
    <row r="9018" spans="2:21" x14ac:dyDescent="0.2">
      <c r="B9018" s="203"/>
      <c r="C9018" s="237"/>
      <c r="D9018" s="202"/>
      <c r="E9018" s="202"/>
      <c r="U9018" s="204"/>
    </row>
    <row r="9019" spans="2:21" x14ac:dyDescent="0.2">
      <c r="B9019" s="203"/>
      <c r="C9019" s="237"/>
      <c r="D9019" s="202"/>
      <c r="E9019" s="202"/>
      <c r="U9019" s="204"/>
    </row>
    <row r="9020" spans="2:21" x14ac:dyDescent="0.2">
      <c r="B9020" s="203"/>
      <c r="C9020" s="237"/>
      <c r="D9020" s="202"/>
      <c r="E9020" s="202"/>
      <c r="U9020" s="204"/>
    </row>
    <row r="9021" spans="2:21" x14ac:dyDescent="0.2">
      <c r="B9021" s="203"/>
      <c r="C9021" s="237"/>
      <c r="D9021" s="202"/>
      <c r="E9021" s="202"/>
      <c r="U9021" s="204"/>
    </row>
    <row r="9022" spans="2:21" x14ac:dyDescent="0.2">
      <c r="B9022" s="203"/>
      <c r="C9022" s="237"/>
      <c r="D9022" s="202"/>
      <c r="E9022" s="202"/>
      <c r="U9022" s="204"/>
    </row>
    <row r="9023" spans="2:21" x14ac:dyDescent="0.2">
      <c r="B9023" s="203"/>
      <c r="C9023" s="237"/>
      <c r="D9023" s="202"/>
      <c r="E9023" s="202"/>
      <c r="U9023" s="204"/>
    </row>
    <row r="9024" spans="2:21" x14ac:dyDescent="0.2">
      <c r="B9024" s="203"/>
      <c r="C9024" s="237"/>
      <c r="D9024" s="202"/>
      <c r="E9024" s="202"/>
      <c r="U9024" s="204"/>
    </row>
    <row r="9025" spans="2:21" x14ac:dyDescent="0.2">
      <c r="B9025" s="203"/>
      <c r="C9025" s="237"/>
      <c r="D9025" s="202"/>
      <c r="E9025" s="202"/>
      <c r="U9025" s="204"/>
    </row>
    <row r="9026" spans="2:21" x14ac:dyDescent="0.2">
      <c r="B9026" s="203"/>
      <c r="C9026" s="237"/>
      <c r="D9026" s="202"/>
      <c r="E9026" s="202"/>
      <c r="U9026" s="204"/>
    </row>
    <row r="9027" spans="2:21" x14ac:dyDescent="0.2">
      <c r="B9027" s="203"/>
      <c r="C9027" s="237"/>
      <c r="D9027" s="202"/>
      <c r="E9027" s="202"/>
      <c r="U9027" s="204"/>
    </row>
    <row r="9028" spans="2:21" x14ac:dyDescent="0.2">
      <c r="B9028" s="203"/>
      <c r="C9028" s="237"/>
      <c r="D9028" s="202"/>
      <c r="E9028" s="202"/>
      <c r="U9028" s="204"/>
    </row>
    <row r="9029" spans="2:21" x14ac:dyDescent="0.2">
      <c r="B9029" s="203"/>
      <c r="C9029" s="237"/>
      <c r="D9029" s="202"/>
      <c r="E9029" s="202"/>
      <c r="U9029" s="204"/>
    </row>
    <row r="9030" spans="2:21" x14ac:dyDescent="0.2">
      <c r="B9030" s="203"/>
      <c r="C9030" s="237"/>
      <c r="D9030" s="202"/>
      <c r="E9030" s="202"/>
      <c r="U9030" s="204"/>
    </row>
    <row r="9031" spans="2:21" x14ac:dyDescent="0.2">
      <c r="B9031" s="203"/>
      <c r="C9031" s="237"/>
      <c r="D9031" s="202"/>
      <c r="E9031" s="202"/>
      <c r="U9031" s="204"/>
    </row>
    <row r="9032" spans="2:21" x14ac:dyDescent="0.2">
      <c r="B9032" s="203"/>
      <c r="C9032" s="237"/>
      <c r="D9032" s="202"/>
      <c r="E9032" s="202"/>
      <c r="U9032" s="204"/>
    </row>
    <row r="9033" spans="2:21" x14ac:dyDescent="0.2">
      <c r="B9033" s="203"/>
      <c r="C9033" s="237"/>
      <c r="D9033" s="202"/>
      <c r="E9033" s="202"/>
      <c r="U9033" s="204"/>
    </row>
    <row r="9034" spans="2:21" x14ac:dyDescent="0.2">
      <c r="B9034" s="203"/>
      <c r="C9034" s="237"/>
      <c r="D9034" s="202"/>
      <c r="E9034" s="202"/>
      <c r="U9034" s="204"/>
    </row>
    <row r="9035" spans="2:21" x14ac:dyDescent="0.2">
      <c r="B9035" s="203"/>
      <c r="C9035" s="237"/>
      <c r="D9035" s="202"/>
      <c r="E9035" s="202"/>
      <c r="U9035" s="204"/>
    </row>
    <row r="9036" spans="2:21" x14ac:dyDescent="0.2">
      <c r="B9036" s="203"/>
      <c r="C9036" s="237"/>
      <c r="D9036" s="202"/>
      <c r="E9036" s="202"/>
      <c r="U9036" s="204"/>
    </row>
    <row r="9037" spans="2:21" x14ac:dyDescent="0.2">
      <c r="B9037" s="203"/>
      <c r="C9037" s="237"/>
      <c r="D9037" s="202"/>
      <c r="E9037" s="202"/>
      <c r="U9037" s="204"/>
    </row>
    <row r="9038" spans="2:21" x14ac:dyDescent="0.2">
      <c r="B9038" s="203"/>
      <c r="C9038" s="237"/>
      <c r="D9038" s="202"/>
      <c r="E9038" s="202"/>
      <c r="U9038" s="204"/>
    </row>
    <row r="9039" spans="2:21" x14ac:dyDescent="0.2">
      <c r="B9039" s="203"/>
      <c r="C9039" s="237"/>
      <c r="D9039" s="202"/>
      <c r="E9039" s="202"/>
      <c r="U9039" s="204"/>
    </row>
    <row r="9040" spans="2:21" x14ac:dyDescent="0.2">
      <c r="B9040" s="203"/>
      <c r="C9040" s="237"/>
      <c r="D9040" s="202"/>
      <c r="E9040" s="202"/>
      <c r="U9040" s="204"/>
    </row>
    <row r="9041" spans="2:21" x14ac:dyDescent="0.2">
      <c r="B9041" s="203"/>
      <c r="C9041" s="237"/>
      <c r="D9041" s="202"/>
      <c r="E9041" s="202"/>
      <c r="U9041" s="204"/>
    </row>
    <row r="9042" spans="2:21" x14ac:dyDescent="0.2">
      <c r="B9042" s="203"/>
      <c r="C9042" s="237"/>
      <c r="D9042" s="202"/>
      <c r="E9042" s="202"/>
      <c r="U9042" s="204"/>
    </row>
    <row r="9043" spans="2:21" x14ac:dyDescent="0.2">
      <c r="B9043" s="203"/>
      <c r="C9043" s="237"/>
      <c r="D9043" s="202"/>
      <c r="E9043" s="202"/>
      <c r="U9043" s="204"/>
    </row>
    <row r="9044" spans="2:21" x14ac:dyDescent="0.2">
      <c r="B9044" s="203"/>
      <c r="C9044" s="237"/>
      <c r="D9044" s="202"/>
      <c r="E9044" s="202"/>
      <c r="U9044" s="204"/>
    </row>
    <row r="9045" spans="2:21" x14ac:dyDescent="0.2">
      <c r="B9045" s="203"/>
      <c r="C9045" s="237"/>
      <c r="D9045" s="202"/>
      <c r="E9045" s="202"/>
      <c r="U9045" s="204"/>
    </row>
    <row r="9046" spans="2:21" x14ac:dyDescent="0.2">
      <c r="B9046" s="203"/>
      <c r="C9046" s="237"/>
      <c r="D9046" s="202"/>
      <c r="E9046" s="202"/>
      <c r="U9046" s="204"/>
    </row>
    <row r="9047" spans="2:21" x14ac:dyDescent="0.2">
      <c r="B9047" s="203"/>
      <c r="C9047" s="237"/>
      <c r="D9047" s="202"/>
      <c r="E9047" s="202"/>
      <c r="U9047" s="204"/>
    </row>
    <row r="9048" spans="2:21" x14ac:dyDescent="0.2">
      <c r="B9048" s="203"/>
      <c r="C9048" s="237"/>
      <c r="D9048" s="202"/>
      <c r="E9048" s="202"/>
      <c r="U9048" s="204"/>
    </row>
    <row r="9049" spans="2:21" x14ac:dyDescent="0.2">
      <c r="B9049" s="203"/>
      <c r="C9049" s="237"/>
      <c r="D9049" s="202"/>
      <c r="E9049" s="202"/>
      <c r="U9049" s="204"/>
    </row>
    <row r="9050" spans="2:21" x14ac:dyDescent="0.2">
      <c r="B9050" s="203"/>
      <c r="C9050" s="237"/>
      <c r="D9050" s="202"/>
      <c r="E9050" s="202"/>
      <c r="U9050" s="204"/>
    </row>
    <row r="9051" spans="2:21" x14ac:dyDescent="0.2">
      <c r="B9051" s="203"/>
      <c r="C9051" s="237"/>
      <c r="D9051" s="202"/>
      <c r="E9051" s="202"/>
      <c r="U9051" s="204"/>
    </row>
    <row r="9052" spans="2:21" x14ac:dyDescent="0.2">
      <c r="B9052" s="203"/>
      <c r="C9052" s="237"/>
      <c r="D9052" s="202"/>
      <c r="E9052" s="202"/>
      <c r="U9052" s="204"/>
    </row>
    <row r="9053" spans="2:21" x14ac:dyDescent="0.2">
      <c r="B9053" s="203"/>
      <c r="C9053" s="237"/>
      <c r="D9053" s="202"/>
      <c r="E9053" s="202"/>
      <c r="U9053" s="204"/>
    </row>
    <row r="9054" spans="2:21" x14ac:dyDescent="0.2">
      <c r="B9054" s="203"/>
      <c r="C9054" s="237"/>
      <c r="D9054" s="202"/>
      <c r="E9054" s="202"/>
      <c r="U9054" s="204"/>
    </row>
    <row r="9055" spans="2:21" x14ac:dyDescent="0.2">
      <c r="B9055" s="203"/>
      <c r="C9055" s="237"/>
      <c r="D9055" s="202"/>
      <c r="E9055" s="202"/>
      <c r="U9055" s="204"/>
    </row>
    <row r="9056" spans="2:21" x14ac:dyDescent="0.2">
      <c r="B9056" s="203"/>
      <c r="C9056" s="237"/>
      <c r="D9056" s="202"/>
      <c r="E9056" s="202"/>
      <c r="U9056" s="204"/>
    </row>
    <row r="9057" spans="2:21" x14ac:dyDescent="0.2">
      <c r="B9057" s="203"/>
      <c r="C9057" s="237"/>
      <c r="D9057" s="202"/>
      <c r="E9057" s="202"/>
      <c r="U9057" s="204"/>
    </row>
    <row r="9058" spans="2:21" x14ac:dyDescent="0.2">
      <c r="B9058" s="203"/>
      <c r="C9058" s="237"/>
      <c r="D9058" s="202"/>
      <c r="E9058" s="202"/>
      <c r="U9058" s="204"/>
    </row>
    <row r="9059" spans="2:21" x14ac:dyDescent="0.2">
      <c r="B9059" s="203"/>
      <c r="C9059" s="237"/>
      <c r="D9059" s="202"/>
      <c r="E9059" s="202"/>
      <c r="U9059" s="204"/>
    </row>
    <row r="9060" spans="2:21" x14ac:dyDescent="0.2">
      <c r="B9060" s="203"/>
      <c r="C9060" s="237"/>
      <c r="D9060" s="202"/>
      <c r="E9060" s="202"/>
      <c r="U9060" s="204"/>
    </row>
    <row r="9061" spans="2:21" x14ac:dyDescent="0.2">
      <c r="B9061" s="203"/>
      <c r="C9061" s="237"/>
      <c r="D9061" s="202"/>
      <c r="E9061" s="202"/>
      <c r="U9061" s="204"/>
    </row>
    <row r="9062" spans="2:21" x14ac:dyDescent="0.2">
      <c r="B9062" s="203"/>
      <c r="C9062" s="237"/>
      <c r="D9062" s="202"/>
      <c r="E9062" s="202"/>
      <c r="U9062" s="204"/>
    </row>
    <row r="9063" spans="2:21" x14ac:dyDescent="0.2">
      <c r="B9063" s="203"/>
      <c r="C9063" s="237"/>
      <c r="D9063" s="202"/>
      <c r="E9063" s="202"/>
      <c r="U9063" s="204"/>
    </row>
    <row r="9064" spans="2:21" x14ac:dyDescent="0.2">
      <c r="B9064" s="203"/>
      <c r="C9064" s="237"/>
      <c r="D9064" s="202"/>
      <c r="E9064" s="202"/>
      <c r="U9064" s="204"/>
    </row>
    <row r="9065" spans="2:21" x14ac:dyDescent="0.2">
      <c r="B9065" s="203"/>
      <c r="C9065" s="237"/>
      <c r="D9065" s="202"/>
      <c r="E9065" s="202"/>
      <c r="U9065" s="204"/>
    </row>
    <row r="9066" spans="2:21" x14ac:dyDescent="0.2">
      <c r="B9066" s="203"/>
      <c r="C9066" s="237"/>
      <c r="D9066" s="202"/>
      <c r="E9066" s="202"/>
      <c r="U9066" s="204"/>
    </row>
    <row r="9067" spans="2:21" x14ac:dyDescent="0.2">
      <c r="B9067" s="203"/>
      <c r="C9067" s="237"/>
      <c r="D9067" s="202"/>
      <c r="E9067" s="202"/>
      <c r="U9067" s="204"/>
    </row>
    <row r="9068" spans="2:21" x14ac:dyDescent="0.2">
      <c r="B9068" s="203"/>
      <c r="C9068" s="237"/>
      <c r="D9068" s="202"/>
      <c r="E9068" s="202"/>
      <c r="U9068" s="204"/>
    </row>
    <row r="9069" spans="2:21" x14ac:dyDescent="0.2">
      <c r="B9069" s="203"/>
      <c r="C9069" s="237"/>
      <c r="D9069" s="202"/>
      <c r="E9069" s="202"/>
      <c r="U9069" s="204"/>
    </row>
    <row r="9070" spans="2:21" x14ac:dyDescent="0.2">
      <c r="B9070" s="203"/>
      <c r="C9070" s="237"/>
      <c r="D9070" s="202"/>
      <c r="E9070" s="202"/>
      <c r="U9070" s="204"/>
    </row>
    <row r="9071" spans="2:21" x14ac:dyDescent="0.2">
      <c r="B9071" s="203"/>
      <c r="C9071" s="237"/>
      <c r="D9071" s="202"/>
      <c r="E9071" s="202"/>
      <c r="U9071" s="204"/>
    </row>
    <row r="9072" spans="2:21" x14ac:dyDescent="0.2">
      <c r="B9072" s="203"/>
      <c r="C9072" s="237"/>
      <c r="D9072" s="202"/>
      <c r="E9072" s="202"/>
      <c r="U9072" s="204"/>
    </row>
    <row r="9073" spans="2:21" x14ac:dyDescent="0.2">
      <c r="B9073" s="203"/>
      <c r="C9073" s="237"/>
      <c r="D9073" s="202"/>
      <c r="E9073" s="202"/>
      <c r="U9073" s="204"/>
    </row>
    <row r="9074" spans="2:21" x14ac:dyDescent="0.2">
      <c r="B9074" s="203"/>
      <c r="C9074" s="237"/>
      <c r="D9074" s="202"/>
      <c r="E9074" s="202"/>
      <c r="U9074" s="204"/>
    </row>
    <row r="9075" spans="2:21" x14ac:dyDescent="0.2">
      <c r="B9075" s="203"/>
      <c r="C9075" s="237"/>
      <c r="D9075" s="202"/>
      <c r="E9075" s="202"/>
      <c r="U9075" s="204"/>
    </row>
    <row r="9076" spans="2:21" x14ac:dyDescent="0.2">
      <c r="B9076" s="203"/>
      <c r="C9076" s="237"/>
      <c r="D9076" s="202"/>
      <c r="E9076" s="202"/>
      <c r="U9076" s="204"/>
    </row>
    <row r="9077" spans="2:21" x14ac:dyDescent="0.2">
      <c r="B9077" s="203"/>
      <c r="C9077" s="237"/>
      <c r="D9077" s="202"/>
      <c r="E9077" s="202"/>
      <c r="U9077" s="204"/>
    </row>
    <row r="9078" spans="2:21" x14ac:dyDescent="0.2">
      <c r="B9078" s="203"/>
      <c r="C9078" s="237"/>
      <c r="D9078" s="202"/>
      <c r="E9078" s="202"/>
      <c r="U9078" s="204"/>
    </row>
    <row r="9079" spans="2:21" x14ac:dyDescent="0.2">
      <c r="B9079" s="203"/>
      <c r="C9079" s="237"/>
      <c r="D9079" s="202"/>
      <c r="E9079" s="202"/>
      <c r="U9079" s="204"/>
    </row>
    <row r="9080" spans="2:21" x14ac:dyDescent="0.2">
      <c r="B9080" s="203"/>
      <c r="C9080" s="237"/>
      <c r="D9080" s="202"/>
      <c r="E9080" s="202"/>
      <c r="U9080" s="204"/>
    </row>
    <row r="9081" spans="2:21" x14ac:dyDescent="0.2">
      <c r="B9081" s="203"/>
      <c r="C9081" s="237"/>
      <c r="D9081" s="202"/>
      <c r="E9081" s="202"/>
      <c r="U9081" s="204"/>
    </row>
    <row r="9082" spans="2:21" x14ac:dyDescent="0.2">
      <c r="B9082" s="203"/>
      <c r="C9082" s="237"/>
      <c r="D9082" s="202"/>
      <c r="E9082" s="202"/>
      <c r="U9082" s="204"/>
    </row>
    <row r="9083" spans="2:21" x14ac:dyDescent="0.2">
      <c r="B9083" s="203"/>
      <c r="C9083" s="237"/>
      <c r="D9083" s="202"/>
      <c r="E9083" s="202"/>
      <c r="U9083" s="204"/>
    </row>
    <row r="9084" spans="2:21" x14ac:dyDescent="0.2">
      <c r="B9084" s="203"/>
      <c r="C9084" s="237"/>
      <c r="D9084" s="202"/>
      <c r="E9084" s="202"/>
      <c r="U9084" s="204"/>
    </row>
    <row r="9085" spans="2:21" x14ac:dyDescent="0.2">
      <c r="B9085" s="203"/>
      <c r="C9085" s="237"/>
      <c r="D9085" s="202"/>
      <c r="E9085" s="202"/>
      <c r="U9085" s="204"/>
    </row>
    <row r="9086" spans="2:21" x14ac:dyDescent="0.2">
      <c r="B9086" s="203"/>
      <c r="C9086" s="237"/>
      <c r="D9086" s="202"/>
      <c r="E9086" s="202"/>
      <c r="U9086" s="204"/>
    </row>
    <row r="9087" spans="2:21" x14ac:dyDescent="0.2">
      <c r="B9087" s="203"/>
      <c r="C9087" s="237"/>
      <c r="D9087" s="202"/>
      <c r="E9087" s="202"/>
      <c r="U9087" s="204"/>
    </row>
    <row r="9088" spans="2:21" x14ac:dyDescent="0.2">
      <c r="B9088" s="203"/>
      <c r="C9088" s="237"/>
      <c r="D9088" s="202"/>
      <c r="E9088" s="202"/>
      <c r="U9088" s="204"/>
    </row>
    <row r="9089" spans="2:21" x14ac:dyDescent="0.2">
      <c r="B9089" s="203"/>
      <c r="C9089" s="237"/>
      <c r="D9089" s="202"/>
      <c r="E9089" s="202"/>
      <c r="U9089" s="204"/>
    </row>
    <row r="9090" spans="2:21" x14ac:dyDescent="0.2">
      <c r="B9090" s="203"/>
      <c r="C9090" s="237"/>
      <c r="D9090" s="202"/>
      <c r="E9090" s="202"/>
      <c r="U9090" s="204"/>
    </row>
    <row r="9091" spans="2:21" x14ac:dyDescent="0.2">
      <c r="B9091" s="203"/>
      <c r="C9091" s="237"/>
      <c r="D9091" s="202"/>
      <c r="E9091" s="202"/>
      <c r="U9091" s="204"/>
    </row>
    <row r="9092" spans="2:21" x14ac:dyDescent="0.2">
      <c r="B9092" s="203"/>
      <c r="C9092" s="237"/>
      <c r="D9092" s="202"/>
      <c r="E9092" s="202"/>
      <c r="U9092" s="204"/>
    </row>
    <row r="9093" spans="2:21" x14ac:dyDescent="0.2">
      <c r="B9093" s="203"/>
      <c r="C9093" s="237"/>
      <c r="D9093" s="202"/>
      <c r="E9093" s="202"/>
      <c r="U9093" s="204"/>
    </row>
    <row r="9094" spans="2:21" x14ac:dyDescent="0.2">
      <c r="B9094" s="203"/>
      <c r="C9094" s="237"/>
      <c r="D9094" s="202"/>
      <c r="E9094" s="202"/>
      <c r="U9094" s="204"/>
    </row>
    <row r="9095" spans="2:21" x14ac:dyDescent="0.2">
      <c r="B9095" s="203"/>
      <c r="C9095" s="237"/>
      <c r="D9095" s="202"/>
      <c r="E9095" s="202"/>
      <c r="U9095" s="204"/>
    </row>
    <row r="9096" spans="2:21" x14ac:dyDescent="0.2">
      <c r="B9096" s="203"/>
      <c r="C9096" s="237"/>
      <c r="D9096" s="202"/>
      <c r="E9096" s="202"/>
      <c r="U9096" s="204"/>
    </row>
    <row r="9097" spans="2:21" x14ac:dyDescent="0.2">
      <c r="B9097" s="203"/>
      <c r="C9097" s="237"/>
      <c r="D9097" s="202"/>
      <c r="E9097" s="202"/>
      <c r="U9097" s="204"/>
    </row>
    <row r="9098" spans="2:21" x14ac:dyDescent="0.2">
      <c r="B9098" s="203"/>
      <c r="C9098" s="237"/>
      <c r="D9098" s="202"/>
      <c r="E9098" s="202"/>
      <c r="U9098" s="204"/>
    </row>
    <row r="9099" spans="2:21" x14ac:dyDescent="0.2">
      <c r="B9099" s="203"/>
      <c r="C9099" s="237"/>
      <c r="D9099" s="202"/>
      <c r="E9099" s="202"/>
      <c r="U9099" s="204"/>
    </row>
    <row r="9100" spans="2:21" x14ac:dyDescent="0.2">
      <c r="B9100" s="203"/>
      <c r="C9100" s="237"/>
      <c r="D9100" s="202"/>
      <c r="E9100" s="202"/>
      <c r="U9100" s="204"/>
    </row>
    <row r="9101" spans="2:21" x14ac:dyDescent="0.2">
      <c r="B9101" s="203"/>
      <c r="C9101" s="237"/>
      <c r="D9101" s="202"/>
      <c r="E9101" s="202"/>
      <c r="U9101" s="204"/>
    </row>
    <row r="9102" spans="2:21" x14ac:dyDescent="0.2">
      <c r="B9102" s="203"/>
      <c r="C9102" s="237"/>
      <c r="D9102" s="202"/>
      <c r="E9102" s="202"/>
      <c r="U9102" s="204"/>
    </row>
    <row r="9103" spans="2:21" x14ac:dyDescent="0.2">
      <c r="B9103" s="203"/>
      <c r="C9103" s="237"/>
      <c r="D9103" s="202"/>
      <c r="E9103" s="202"/>
      <c r="U9103" s="204"/>
    </row>
    <row r="9104" spans="2:21" x14ac:dyDescent="0.2">
      <c r="B9104" s="203"/>
      <c r="C9104" s="237"/>
      <c r="D9104" s="202"/>
      <c r="E9104" s="202"/>
      <c r="U9104" s="204"/>
    </row>
    <row r="9105" spans="2:21" x14ac:dyDescent="0.2">
      <c r="B9105" s="203"/>
      <c r="C9105" s="237"/>
      <c r="D9105" s="202"/>
      <c r="E9105" s="202"/>
      <c r="U9105" s="204"/>
    </row>
    <row r="9106" spans="2:21" x14ac:dyDescent="0.2">
      <c r="B9106" s="203"/>
      <c r="C9106" s="237"/>
      <c r="D9106" s="202"/>
      <c r="E9106" s="202"/>
      <c r="U9106" s="204"/>
    </row>
    <row r="9107" spans="2:21" x14ac:dyDescent="0.2">
      <c r="B9107" s="203"/>
      <c r="C9107" s="237"/>
      <c r="D9107" s="202"/>
      <c r="E9107" s="202"/>
      <c r="U9107" s="204"/>
    </row>
    <row r="9108" spans="2:21" x14ac:dyDescent="0.2">
      <c r="B9108" s="203"/>
      <c r="C9108" s="237"/>
      <c r="D9108" s="202"/>
      <c r="E9108" s="202"/>
      <c r="U9108" s="204"/>
    </row>
    <row r="9109" spans="2:21" x14ac:dyDescent="0.2">
      <c r="B9109" s="203"/>
      <c r="C9109" s="237"/>
      <c r="D9109" s="202"/>
      <c r="E9109" s="202"/>
      <c r="U9109" s="204"/>
    </row>
    <row r="9110" spans="2:21" x14ac:dyDescent="0.2">
      <c r="B9110" s="203"/>
      <c r="C9110" s="237"/>
      <c r="D9110" s="202"/>
      <c r="E9110" s="202"/>
      <c r="U9110" s="204"/>
    </row>
    <row r="9111" spans="2:21" x14ac:dyDescent="0.2">
      <c r="B9111" s="203"/>
      <c r="C9111" s="237"/>
      <c r="D9111" s="202"/>
      <c r="E9111" s="202"/>
      <c r="U9111" s="204"/>
    </row>
    <row r="9112" spans="2:21" x14ac:dyDescent="0.2">
      <c r="B9112" s="203"/>
      <c r="C9112" s="237"/>
      <c r="D9112" s="202"/>
      <c r="E9112" s="202"/>
      <c r="U9112" s="204"/>
    </row>
    <row r="9113" spans="2:21" x14ac:dyDescent="0.2">
      <c r="B9113" s="203"/>
      <c r="C9113" s="237"/>
      <c r="D9113" s="202"/>
      <c r="E9113" s="202"/>
      <c r="U9113" s="204"/>
    </row>
    <row r="9114" spans="2:21" x14ac:dyDescent="0.2">
      <c r="B9114" s="203"/>
      <c r="C9114" s="237"/>
      <c r="D9114" s="202"/>
      <c r="E9114" s="202"/>
      <c r="U9114" s="204"/>
    </row>
    <row r="9115" spans="2:21" x14ac:dyDescent="0.2">
      <c r="B9115" s="203"/>
      <c r="C9115" s="237"/>
      <c r="D9115" s="202"/>
      <c r="E9115" s="202"/>
      <c r="U9115" s="204"/>
    </row>
    <row r="9116" spans="2:21" x14ac:dyDescent="0.2">
      <c r="B9116" s="203"/>
      <c r="C9116" s="237"/>
      <c r="D9116" s="202"/>
      <c r="E9116" s="202"/>
      <c r="U9116" s="204"/>
    </row>
    <row r="9117" spans="2:21" x14ac:dyDescent="0.2">
      <c r="B9117" s="203"/>
      <c r="C9117" s="237"/>
      <c r="D9117" s="202"/>
      <c r="E9117" s="202"/>
      <c r="U9117" s="204"/>
    </row>
    <row r="9118" spans="2:21" x14ac:dyDescent="0.2">
      <c r="B9118" s="203"/>
      <c r="C9118" s="237"/>
      <c r="D9118" s="202"/>
      <c r="E9118" s="202"/>
      <c r="U9118" s="204"/>
    </row>
    <row r="9119" spans="2:21" x14ac:dyDescent="0.2">
      <c r="B9119" s="203"/>
      <c r="C9119" s="237"/>
      <c r="D9119" s="202"/>
      <c r="E9119" s="202"/>
      <c r="U9119" s="204"/>
    </row>
    <row r="9120" spans="2:21" x14ac:dyDescent="0.2">
      <c r="B9120" s="203"/>
      <c r="C9120" s="237"/>
      <c r="D9120" s="202"/>
      <c r="E9120" s="202"/>
      <c r="U9120" s="204"/>
    </row>
    <row r="9121" spans="2:21" x14ac:dyDescent="0.2">
      <c r="B9121" s="203"/>
      <c r="C9121" s="237"/>
      <c r="D9121" s="202"/>
      <c r="E9121" s="202"/>
      <c r="U9121" s="204"/>
    </row>
    <row r="9122" spans="2:21" x14ac:dyDescent="0.2">
      <c r="B9122" s="203"/>
      <c r="C9122" s="237"/>
      <c r="D9122" s="202"/>
      <c r="E9122" s="202"/>
      <c r="U9122" s="204"/>
    </row>
    <row r="9123" spans="2:21" x14ac:dyDescent="0.2">
      <c r="B9123" s="203"/>
      <c r="C9123" s="237"/>
      <c r="D9123" s="202"/>
      <c r="E9123" s="202"/>
      <c r="U9123" s="204"/>
    </row>
    <row r="9124" spans="2:21" x14ac:dyDescent="0.2">
      <c r="B9124" s="203"/>
      <c r="C9124" s="237"/>
      <c r="D9124" s="202"/>
      <c r="E9124" s="202"/>
      <c r="U9124" s="204"/>
    </row>
    <row r="9125" spans="2:21" x14ac:dyDescent="0.2">
      <c r="B9125" s="203"/>
      <c r="C9125" s="237"/>
      <c r="D9125" s="202"/>
      <c r="E9125" s="202"/>
      <c r="U9125" s="204"/>
    </row>
    <row r="9126" spans="2:21" x14ac:dyDescent="0.2">
      <c r="B9126" s="203"/>
      <c r="C9126" s="237"/>
      <c r="D9126" s="202"/>
      <c r="E9126" s="202"/>
      <c r="U9126" s="204"/>
    </row>
    <row r="9127" spans="2:21" x14ac:dyDescent="0.2">
      <c r="B9127" s="203"/>
      <c r="C9127" s="237"/>
      <c r="D9127" s="202"/>
      <c r="E9127" s="202"/>
      <c r="U9127" s="204"/>
    </row>
    <row r="9128" spans="2:21" x14ac:dyDescent="0.2">
      <c r="B9128" s="203"/>
      <c r="C9128" s="237"/>
      <c r="D9128" s="202"/>
      <c r="E9128" s="202"/>
      <c r="U9128" s="204"/>
    </row>
    <row r="9129" spans="2:21" x14ac:dyDescent="0.2">
      <c r="B9129" s="203"/>
      <c r="C9129" s="237"/>
      <c r="D9129" s="202"/>
      <c r="E9129" s="202"/>
      <c r="U9129" s="204"/>
    </row>
    <row r="9130" spans="2:21" x14ac:dyDescent="0.2">
      <c r="B9130" s="203"/>
      <c r="C9130" s="237"/>
      <c r="D9130" s="202"/>
      <c r="E9130" s="202"/>
      <c r="U9130" s="204"/>
    </row>
    <row r="9131" spans="2:21" x14ac:dyDescent="0.2">
      <c r="B9131" s="203"/>
      <c r="C9131" s="237"/>
      <c r="D9131" s="202"/>
      <c r="E9131" s="202"/>
      <c r="U9131" s="204"/>
    </row>
    <row r="9132" spans="2:21" x14ac:dyDescent="0.2">
      <c r="B9132" s="203"/>
      <c r="C9132" s="237"/>
      <c r="D9132" s="202"/>
      <c r="E9132" s="202"/>
      <c r="U9132" s="204"/>
    </row>
    <row r="9133" spans="2:21" x14ac:dyDescent="0.2">
      <c r="B9133" s="203"/>
      <c r="C9133" s="237"/>
      <c r="D9133" s="202"/>
      <c r="E9133" s="202"/>
      <c r="U9133" s="204"/>
    </row>
    <row r="9134" spans="2:21" x14ac:dyDescent="0.2">
      <c r="B9134" s="203"/>
      <c r="C9134" s="237"/>
      <c r="D9134" s="202"/>
      <c r="E9134" s="202"/>
      <c r="U9134" s="204"/>
    </row>
    <row r="9135" spans="2:21" x14ac:dyDescent="0.2">
      <c r="B9135" s="203"/>
      <c r="C9135" s="237"/>
      <c r="D9135" s="202"/>
      <c r="E9135" s="202"/>
      <c r="U9135" s="204"/>
    </row>
    <row r="9136" spans="2:21" x14ac:dyDescent="0.2">
      <c r="B9136" s="203"/>
      <c r="C9136" s="237"/>
      <c r="D9136" s="202"/>
      <c r="E9136" s="202"/>
      <c r="U9136" s="204"/>
    </row>
    <row r="9137" spans="2:21" x14ac:dyDescent="0.2">
      <c r="B9137" s="203"/>
      <c r="C9137" s="237"/>
      <c r="D9137" s="202"/>
      <c r="E9137" s="202"/>
      <c r="U9137" s="204"/>
    </row>
    <row r="9138" spans="2:21" x14ac:dyDescent="0.2">
      <c r="B9138" s="203"/>
      <c r="C9138" s="237"/>
      <c r="D9138" s="202"/>
      <c r="E9138" s="202"/>
      <c r="U9138" s="204"/>
    </row>
    <row r="9139" spans="2:21" x14ac:dyDescent="0.2">
      <c r="B9139" s="203"/>
      <c r="C9139" s="237"/>
      <c r="D9139" s="202"/>
      <c r="E9139" s="202"/>
      <c r="U9139" s="204"/>
    </row>
    <row r="9140" spans="2:21" x14ac:dyDescent="0.2">
      <c r="B9140" s="203"/>
      <c r="C9140" s="237"/>
      <c r="D9140" s="202"/>
      <c r="E9140" s="202"/>
      <c r="U9140" s="204"/>
    </row>
    <row r="9141" spans="2:21" x14ac:dyDescent="0.2">
      <c r="B9141" s="203"/>
      <c r="C9141" s="237"/>
      <c r="D9141" s="202"/>
      <c r="E9141" s="202"/>
      <c r="U9141" s="204"/>
    </row>
    <row r="9142" spans="2:21" x14ac:dyDescent="0.2">
      <c r="B9142" s="203"/>
      <c r="C9142" s="237"/>
      <c r="D9142" s="202"/>
      <c r="E9142" s="202"/>
      <c r="U9142" s="204"/>
    </row>
    <row r="9143" spans="2:21" x14ac:dyDescent="0.2">
      <c r="B9143" s="203"/>
      <c r="C9143" s="237"/>
      <c r="D9143" s="202"/>
      <c r="E9143" s="202"/>
      <c r="U9143" s="204"/>
    </row>
    <row r="9144" spans="2:21" x14ac:dyDescent="0.2">
      <c r="B9144" s="203"/>
      <c r="C9144" s="237"/>
      <c r="D9144" s="202"/>
      <c r="E9144" s="202"/>
      <c r="U9144" s="204"/>
    </row>
    <row r="9145" spans="2:21" x14ac:dyDescent="0.2">
      <c r="B9145" s="203"/>
      <c r="C9145" s="237"/>
      <c r="D9145" s="202"/>
      <c r="E9145" s="202"/>
      <c r="U9145" s="204"/>
    </row>
    <row r="9146" spans="2:21" x14ac:dyDescent="0.2">
      <c r="B9146" s="203"/>
      <c r="C9146" s="237"/>
      <c r="D9146" s="202"/>
      <c r="E9146" s="202"/>
      <c r="U9146" s="204"/>
    </row>
    <row r="9147" spans="2:21" x14ac:dyDescent="0.2">
      <c r="B9147" s="203"/>
      <c r="C9147" s="237"/>
      <c r="D9147" s="202"/>
      <c r="E9147" s="202"/>
      <c r="U9147" s="204"/>
    </row>
    <row r="9148" spans="2:21" x14ac:dyDescent="0.2">
      <c r="B9148" s="203"/>
      <c r="C9148" s="237"/>
      <c r="D9148" s="202"/>
      <c r="E9148" s="202"/>
      <c r="U9148" s="204"/>
    </row>
    <row r="9149" spans="2:21" x14ac:dyDescent="0.2">
      <c r="B9149" s="203"/>
      <c r="C9149" s="237"/>
      <c r="D9149" s="202"/>
      <c r="E9149" s="202"/>
      <c r="U9149" s="204"/>
    </row>
    <row r="9150" spans="2:21" x14ac:dyDescent="0.2">
      <c r="B9150" s="203"/>
      <c r="C9150" s="237"/>
      <c r="D9150" s="202"/>
      <c r="E9150" s="202"/>
      <c r="U9150" s="204"/>
    </row>
    <row r="9151" spans="2:21" x14ac:dyDescent="0.2">
      <c r="B9151" s="203"/>
      <c r="C9151" s="237"/>
      <c r="D9151" s="202"/>
      <c r="E9151" s="202"/>
      <c r="U9151" s="204"/>
    </row>
    <row r="9152" spans="2:21" x14ac:dyDescent="0.2">
      <c r="B9152" s="203"/>
      <c r="C9152" s="237"/>
      <c r="D9152" s="202"/>
      <c r="E9152" s="202"/>
      <c r="U9152" s="204"/>
    </row>
    <row r="9153" spans="2:21" x14ac:dyDescent="0.2">
      <c r="B9153" s="203"/>
      <c r="C9153" s="237"/>
      <c r="D9153" s="202"/>
      <c r="E9153" s="202"/>
      <c r="U9153" s="204"/>
    </row>
    <row r="9154" spans="2:21" x14ac:dyDescent="0.2">
      <c r="B9154" s="203"/>
      <c r="C9154" s="237"/>
      <c r="D9154" s="202"/>
      <c r="E9154" s="202"/>
      <c r="U9154" s="204"/>
    </row>
    <row r="9155" spans="2:21" x14ac:dyDescent="0.2">
      <c r="B9155" s="203"/>
      <c r="C9155" s="237"/>
      <c r="D9155" s="202"/>
      <c r="E9155" s="202"/>
      <c r="U9155" s="204"/>
    </row>
    <row r="9156" spans="2:21" x14ac:dyDescent="0.2">
      <c r="B9156" s="203"/>
      <c r="C9156" s="237"/>
      <c r="D9156" s="202"/>
      <c r="E9156" s="202"/>
      <c r="U9156" s="204"/>
    </row>
    <row r="9157" spans="2:21" x14ac:dyDescent="0.2">
      <c r="B9157" s="203"/>
      <c r="C9157" s="237"/>
      <c r="D9157" s="202"/>
      <c r="E9157" s="202"/>
      <c r="U9157" s="204"/>
    </row>
    <row r="9158" spans="2:21" x14ac:dyDescent="0.2">
      <c r="B9158" s="203"/>
      <c r="C9158" s="237"/>
      <c r="D9158" s="202"/>
      <c r="E9158" s="202"/>
      <c r="U9158" s="204"/>
    </row>
    <row r="9159" spans="2:21" x14ac:dyDescent="0.2">
      <c r="B9159" s="203"/>
      <c r="C9159" s="237"/>
      <c r="D9159" s="202"/>
      <c r="E9159" s="202"/>
      <c r="U9159" s="204"/>
    </row>
    <row r="9160" spans="2:21" x14ac:dyDescent="0.2">
      <c r="B9160" s="203"/>
      <c r="C9160" s="237"/>
      <c r="D9160" s="202"/>
      <c r="E9160" s="202"/>
      <c r="U9160" s="204"/>
    </row>
    <row r="9161" spans="2:21" x14ac:dyDescent="0.2">
      <c r="B9161" s="203"/>
      <c r="C9161" s="237"/>
      <c r="D9161" s="202"/>
      <c r="E9161" s="202"/>
      <c r="U9161" s="204"/>
    </row>
    <row r="9162" spans="2:21" x14ac:dyDescent="0.2">
      <c r="B9162" s="203"/>
      <c r="C9162" s="237"/>
      <c r="D9162" s="202"/>
      <c r="E9162" s="202"/>
      <c r="U9162" s="204"/>
    </row>
    <row r="9163" spans="2:21" x14ac:dyDescent="0.2">
      <c r="B9163" s="203"/>
      <c r="C9163" s="237"/>
      <c r="D9163" s="202"/>
      <c r="E9163" s="202"/>
      <c r="U9163" s="204"/>
    </row>
    <row r="9164" spans="2:21" x14ac:dyDescent="0.2">
      <c r="B9164" s="203"/>
      <c r="C9164" s="237"/>
      <c r="D9164" s="202"/>
      <c r="E9164" s="202"/>
      <c r="U9164" s="204"/>
    </row>
    <row r="9165" spans="2:21" x14ac:dyDescent="0.2">
      <c r="B9165" s="203"/>
      <c r="C9165" s="237"/>
      <c r="D9165" s="202"/>
      <c r="E9165" s="202"/>
      <c r="U9165" s="204"/>
    </row>
    <row r="9166" spans="2:21" x14ac:dyDescent="0.2">
      <c r="B9166" s="203"/>
      <c r="C9166" s="237"/>
      <c r="D9166" s="202"/>
      <c r="E9166" s="202"/>
      <c r="U9166" s="204"/>
    </row>
    <row r="9167" spans="2:21" x14ac:dyDescent="0.2">
      <c r="B9167" s="203"/>
      <c r="C9167" s="237"/>
      <c r="D9167" s="202"/>
      <c r="E9167" s="202"/>
      <c r="U9167" s="204"/>
    </row>
    <row r="9168" spans="2:21" x14ac:dyDescent="0.2">
      <c r="B9168" s="203"/>
      <c r="C9168" s="237"/>
      <c r="D9168" s="202"/>
      <c r="E9168" s="202"/>
      <c r="U9168" s="204"/>
    </row>
    <row r="9169" spans="2:21" x14ac:dyDescent="0.2">
      <c r="B9169" s="203"/>
      <c r="C9169" s="237"/>
      <c r="D9169" s="202"/>
      <c r="E9169" s="202"/>
      <c r="U9169" s="204"/>
    </row>
    <row r="9170" spans="2:21" x14ac:dyDescent="0.2">
      <c r="B9170" s="203"/>
      <c r="C9170" s="237"/>
      <c r="D9170" s="202"/>
      <c r="E9170" s="202"/>
      <c r="U9170" s="204"/>
    </row>
    <row r="9171" spans="2:21" x14ac:dyDescent="0.2">
      <c r="B9171" s="203"/>
      <c r="C9171" s="237"/>
      <c r="D9171" s="202"/>
      <c r="E9171" s="202"/>
      <c r="U9171" s="204"/>
    </row>
    <row r="9172" spans="2:21" x14ac:dyDescent="0.2">
      <c r="B9172" s="203"/>
      <c r="C9172" s="237"/>
      <c r="D9172" s="202"/>
      <c r="E9172" s="202"/>
      <c r="U9172" s="204"/>
    </row>
    <row r="9173" spans="2:21" x14ac:dyDescent="0.2">
      <c r="B9173" s="203"/>
      <c r="C9173" s="237"/>
      <c r="D9173" s="202"/>
      <c r="E9173" s="202"/>
      <c r="U9173" s="204"/>
    </row>
    <row r="9174" spans="2:21" x14ac:dyDescent="0.2">
      <c r="B9174" s="203"/>
      <c r="C9174" s="237"/>
      <c r="D9174" s="202"/>
      <c r="E9174" s="202"/>
      <c r="U9174" s="204"/>
    </row>
    <row r="9175" spans="2:21" x14ac:dyDescent="0.2">
      <c r="B9175" s="203"/>
      <c r="C9175" s="237"/>
      <c r="D9175" s="202"/>
      <c r="E9175" s="202"/>
      <c r="U9175" s="204"/>
    </row>
    <row r="9176" spans="2:21" x14ac:dyDescent="0.2">
      <c r="B9176" s="203"/>
      <c r="C9176" s="237"/>
      <c r="D9176" s="202"/>
      <c r="E9176" s="202"/>
      <c r="U9176" s="204"/>
    </row>
    <row r="9177" spans="2:21" x14ac:dyDescent="0.2">
      <c r="B9177" s="203"/>
      <c r="C9177" s="237"/>
      <c r="D9177" s="202"/>
      <c r="E9177" s="202"/>
      <c r="U9177" s="204"/>
    </row>
    <row r="9178" spans="2:21" x14ac:dyDescent="0.2">
      <c r="B9178" s="203"/>
      <c r="C9178" s="237"/>
      <c r="D9178" s="202"/>
      <c r="E9178" s="202"/>
      <c r="U9178" s="204"/>
    </row>
    <row r="9179" spans="2:21" x14ac:dyDescent="0.2">
      <c r="B9179" s="203"/>
      <c r="C9179" s="237"/>
      <c r="D9179" s="202"/>
      <c r="E9179" s="202"/>
      <c r="U9179" s="204"/>
    </row>
    <row r="9180" spans="2:21" x14ac:dyDescent="0.2">
      <c r="B9180" s="203"/>
      <c r="C9180" s="237"/>
      <c r="D9180" s="202"/>
      <c r="E9180" s="202"/>
      <c r="U9180" s="204"/>
    </row>
    <row r="9181" spans="2:21" x14ac:dyDescent="0.2">
      <c r="B9181" s="203"/>
      <c r="C9181" s="237"/>
      <c r="D9181" s="202"/>
      <c r="E9181" s="202"/>
      <c r="U9181" s="204"/>
    </row>
    <row r="9182" spans="2:21" x14ac:dyDescent="0.2">
      <c r="B9182" s="203"/>
      <c r="C9182" s="237"/>
      <c r="D9182" s="202"/>
      <c r="E9182" s="202"/>
      <c r="U9182" s="204"/>
    </row>
    <row r="9183" spans="2:21" x14ac:dyDescent="0.2">
      <c r="B9183" s="203"/>
      <c r="C9183" s="237"/>
      <c r="D9183" s="202"/>
      <c r="E9183" s="202"/>
      <c r="U9183" s="204"/>
    </row>
    <row r="9184" spans="2:21" x14ac:dyDescent="0.2">
      <c r="B9184" s="203"/>
      <c r="C9184" s="237"/>
      <c r="D9184" s="202"/>
      <c r="E9184" s="202"/>
      <c r="U9184" s="204"/>
    </row>
    <row r="9185" spans="2:21" x14ac:dyDescent="0.2">
      <c r="B9185" s="203"/>
      <c r="C9185" s="237"/>
      <c r="D9185" s="202"/>
      <c r="E9185" s="202"/>
      <c r="U9185" s="204"/>
    </row>
    <row r="9186" spans="2:21" x14ac:dyDescent="0.2">
      <c r="B9186" s="203"/>
      <c r="C9186" s="237"/>
      <c r="D9186" s="202"/>
      <c r="E9186" s="202"/>
      <c r="U9186" s="204"/>
    </row>
    <row r="9187" spans="2:21" x14ac:dyDescent="0.2">
      <c r="B9187" s="203"/>
      <c r="C9187" s="237"/>
      <c r="D9187" s="202"/>
      <c r="E9187" s="202"/>
      <c r="U9187" s="204"/>
    </row>
    <row r="9188" spans="2:21" x14ac:dyDescent="0.2">
      <c r="B9188" s="203"/>
      <c r="C9188" s="237"/>
      <c r="D9188" s="202"/>
      <c r="E9188" s="202"/>
      <c r="U9188" s="204"/>
    </row>
    <row r="9189" spans="2:21" x14ac:dyDescent="0.2">
      <c r="B9189" s="203"/>
      <c r="C9189" s="237"/>
      <c r="D9189" s="202"/>
      <c r="E9189" s="202"/>
      <c r="U9189" s="204"/>
    </row>
    <row r="9190" spans="2:21" x14ac:dyDescent="0.2">
      <c r="B9190" s="203"/>
      <c r="C9190" s="237"/>
      <c r="D9190" s="202"/>
      <c r="E9190" s="202"/>
      <c r="U9190" s="204"/>
    </row>
    <row r="9191" spans="2:21" x14ac:dyDescent="0.2">
      <c r="B9191" s="203"/>
      <c r="C9191" s="237"/>
      <c r="D9191" s="202"/>
      <c r="E9191" s="202"/>
      <c r="U9191" s="204"/>
    </row>
    <row r="9192" spans="2:21" x14ac:dyDescent="0.2">
      <c r="B9192" s="203"/>
      <c r="C9192" s="237"/>
      <c r="D9192" s="202"/>
      <c r="E9192" s="202"/>
      <c r="U9192" s="204"/>
    </row>
    <row r="9193" spans="2:21" x14ac:dyDescent="0.2">
      <c r="B9193" s="203"/>
      <c r="C9193" s="237"/>
      <c r="D9193" s="202"/>
      <c r="E9193" s="202"/>
      <c r="U9193" s="204"/>
    </row>
    <row r="9194" spans="2:21" x14ac:dyDescent="0.2">
      <c r="B9194" s="203"/>
      <c r="C9194" s="237"/>
      <c r="D9194" s="202"/>
      <c r="E9194" s="202"/>
      <c r="U9194" s="204"/>
    </row>
    <row r="9195" spans="2:21" x14ac:dyDescent="0.2">
      <c r="B9195" s="203"/>
      <c r="C9195" s="237"/>
      <c r="D9195" s="202"/>
      <c r="E9195" s="202"/>
      <c r="U9195" s="204"/>
    </row>
    <row r="9196" spans="2:21" x14ac:dyDescent="0.2">
      <c r="B9196" s="203"/>
      <c r="C9196" s="237"/>
      <c r="D9196" s="202"/>
      <c r="E9196" s="202"/>
      <c r="U9196" s="204"/>
    </row>
    <row r="9197" spans="2:21" x14ac:dyDescent="0.2">
      <c r="B9197" s="203"/>
      <c r="C9197" s="237"/>
      <c r="D9197" s="202"/>
      <c r="E9197" s="202"/>
      <c r="U9197" s="204"/>
    </row>
    <row r="9198" spans="2:21" x14ac:dyDescent="0.2">
      <c r="B9198" s="203"/>
      <c r="C9198" s="237"/>
      <c r="D9198" s="202"/>
      <c r="E9198" s="202"/>
      <c r="U9198" s="204"/>
    </row>
    <row r="9199" spans="2:21" x14ac:dyDescent="0.2">
      <c r="B9199" s="203"/>
      <c r="C9199" s="237"/>
      <c r="D9199" s="202"/>
      <c r="E9199" s="202"/>
      <c r="U9199" s="204"/>
    </row>
    <row r="9200" spans="2:21" x14ac:dyDescent="0.2">
      <c r="B9200" s="203"/>
      <c r="C9200" s="237"/>
      <c r="D9200" s="202"/>
      <c r="E9200" s="202"/>
      <c r="U9200" s="204"/>
    </row>
    <row r="9201" spans="2:21" x14ac:dyDescent="0.2">
      <c r="B9201" s="203"/>
      <c r="C9201" s="237"/>
      <c r="D9201" s="202"/>
      <c r="E9201" s="202"/>
      <c r="U9201" s="204"/>
    </row>
    <row r="9202" spans="2:21" x14ac:dyDescent="0.2">
      <c r="B9202" s="203"/>
      <c r="C9202" s="237"/>
      <c r="D9202" s="202"/>
      <c r="E9202" s="202"/>
      <c r="U9202" s="204"/>
    </row>
    <row r="9203" spans="2:21" x14ac:dyDescent="0.2">
      <c r="B9203" s="203"/>
      <c r="C9203" s="237"/>
      <c r="D9203" s="202"/>
      <c r="E9203" s="202"/>
      <c r="U9203" s="204"/>
    </row>
    <row r="9204" spans="2:21" x14ac:dyDescent="0.2">
      <c r="B9204" s="203"/>
      <c r="C9204" s="237"/>
      <c r="D9204" s="202"/>
      <c r="E9204" s="202"/>
      <c r="U9204" s="204"/>
    </row>
    <row r="9205" spans="2:21" x14ac:dyDescent="0.2">
      <c r="B9205" s="203"/>
      <c r="C9205" s="237"/>
      <c r="D9205" s="202"/>
      <c r="E9205" s="202"/>
      <c r="U9205" s="204"/>
    </row>
    <row r="9206" spans="2:21" x14ac:dyDescent="0.2">
      <c r="B9206" s="203"/>
      <c r="C9206" s="237"/>
      <c r="D9206" s="202"/>
      <c r="E9206" s="202"/>
      <c r="U9206" s="204"/>
    </row>
    <row r="9207" spans="2:21" x14ac:dyDescent="0.2">
      <c r="B9207" s="203"/>
      <c r="C9207" s="237"/>
      <c r="D9207" s="202"/>
      <c r="E9207" s="202"/>
      <c r="U9207" s="204"/>
    </row>
    <row r="9208" spans="2:21" x14ac:dyDescent="0.2">
      <c r="B9208" s="203"/>
      <c r="C9208" s="237"/>
      <c r="D9208" s="202"/>
      <c r="E9208" s="202"/>
      <c r="U9208" s="204"/>
    </row>
    <row r="9209" spans="2:21" x14ac:dyDescent="0.2">
      <c r="B9209" s="203"/>
      <c r="C9209" s="237"/>
      <c r="D9209" s="202"/>
      <c r="E9209" s="202"/>
      <c r="U9209" s="204"/>
    </row>
    <row r="9210" spans="2:21" x14ac:dyDescent="0.2">
      <c r="B9210" s="203"/>
      <c r="C9210" s="237"/>
      <c r="D9210" s="202"/>
      <c r="E9210" s="202"/>
      <c r="U9210" s="204"/>
    </row>
    <row r="9211" spans="2:21" x14ac:dyDescent="0.2">
      <c r="B9211" s="203"/>
      <c r="C9211" s="237"/>
      <c r="D9211" s="202"/>
      <c r="E9211" s="202"/>
      <c r="U9211" s="204"/>
    </row>
    <row r="9212" spans="2:21" x14ac:dyDescent="0.2">
      <c r="B9212" s="203"/>
      <c r="C9212" s="237"/>
      <c r="D9212" s="202"/>
      <c r="E9212" s="202"/>
      <c r="U9212" s="204"/>
    </row>
    <row r="9213" spans="2:21" x14ac:dyDescent="0.2">
      <c r="B9213" s="203"/>
      <c r="C9213" s="237"/>
      <c r="D9213" s="202"/>
      <c r="E9213" s="202"/>
      <c r="U9213" s="204"/>
    </row>
    <row r="9214" spans="2:21" x14ac:dyDescent="0.2">
      <c r="B9214" s="203"/>
      <c r="C9214" s="237"/>
      <c r="D9214" s="202"/>
      <c r="E9214" s="202"/>
      <c r="U9214" s="204"/>
    </row>
    <row r="9215" spans="2:21" x14ac:dyDescent="0.2">
      <c r="B9215" s="203"/>
      <c r="C9215" s="237"/>
      <c r="D9215" s="202"/>
      <c r="E9215" s="202"/>
      <c r="U9215" s="204"/>
    </row>
    <row r="9216" spans="2:21" x14ac:dyDescent="0.2">
      <c r="B9216" s="203"/>
      <c r="C9216" s="237"/>
      <c r="D9216" s="202"/>
      <c r="E9216" s="202"/>
      <c r="U9216" s="204"/>
    </row>
    <row r="9217" spans="2:21" x14ac:dyDescent="0.2">
      <c r="B9217" s="203"/>
      <c r="C9217" s="237"/>
      <c r="D9217" s="202"/>
      <c r="E9217" s="202"/>
      <c r="U9217" s="204"/>
    </row>
    <row r="9218" spans="2:21" x14ac:dyDescent="0.2">
      <c r="B9218" s="203"/>
      <c r="C9218" s="237"/>
      <c r="D9218" s="202"/>
      <c r="E9218" s="202"/>
      <c r="U9218" s="204"/>
    </row>
    <row r="9219" spans="2:21" x14ac:dyDescent="0.2">
      <c r="B9219" s="203"/>
      <c r="C9219" s="237"/>
      <c r="D9219" s="202"/>
      <c r="E9219" s="202"/>
      <c r="U9219" s="204"/>
    </row>
    <row r="9220" spans="2:21" x14ac:dyDescent="0.2">
      <c r="B9220" s="203"/>
      <c r="C9220" s="237"/>
      <c r="D9220" s="202"/>
      <c r="E9220" s="202"/>
      <c r="U9220" s="204"/>
    </row>
    <row r="9221" spans="2:21" x14ac:dyDescent="0.2">
      <c r="B9221" s="203"/>
      <c r="C9221" s="237"/>
      <c r="D9221" s="202"/>
      <c r="E9221" s="202"/>
      <c r="U9221" s="204"/>
    </row>
    <row r="9222" spans="2:21" x14ac:dyDescent="0.2">
      <c r="B9222" s="203"/>
      <c r="C9222" s="237"/>
      <c r="D9222" s="202"/>
      <c r="E9222" s="202"/>
      <c r="U9222" s="204"/>
    </row>
    <row r="9223" spans="2:21" x14ac:dyDescent="0.2">
      <c r="B9223" s="203"/>
      <c r="C9223" s="237"/>
      <c r="D9223" s="202"/>
      <c r="E9223" s="202"/>
      <c r="U9223" s="204"/>
    </row>
    <row r="9224" spans="2:21" x14ac:dyDescent="0.2">
      <c r="B9224" s="203"/>
      <c r="C9224" s="237"/>
      <c r="D9224" s="202"/>
      <c r="E9224" s="202"/>
      <c r="U9224" s="204"/>
    </row>
    <row r="9225" spans="2:21" x14ac:dyDescent="0.2">
      <c r="B9225" s="203"/>
      <c r="C9225" s="237"/>
      <c r="D9225" s="202"/>
      <c r="E9225" s="202"/>
      <c r="U9225" s="204"/>
    </row>
    <row r="9226" spans="2:21" x14ac:dyDescent="0.2">
      <c r="B9226" s="203"/>
      <c r="C9226" s="237"/>
      <c r="D9226" s="202"/>
      <c r="E9226" s="202"/>
      <c r="U9226" s="204"/>
    </row>
    <row r="9227" spans="2:21" x14ac:dyDescent="0.2">
      <c r="B9227" s="203"/>
      <c r="C9227" s="237"/>
      <c r="D9227" s="202"/>
      <c r="E9227" s="202"/>
      <c r="U9227" s="204"/>
    </row>
    <row r="9228" spans="2:21" x14ac:dyDescent="0.2">
      <c r="B9228" s="203"/>
      <c r="C9228" s="237"/>
      <c r="D9228" s="202"/>
      <c r="E9228" s="202"/>
      <c r="U9228" s="204"/>
    </row>
    <row r="9229" spans="2:21" x14ac:dyDescent="0.2">
      <c r="B9229" s="203"/>
      <c r="C9229" s="237"/>
      <c r="D9229" s="202"/>
      <c r="E9229" s="202"/>
      <c r="U9229" s="204"/>
    </row>
    <row r="9230" spans="2:21" x14ac:dyDescent="0.2">
      <c r="B9230" s="203"/>
      <c r="C9230" s="237"/>
      <c r="D9230" s="202"/>
      <c r="E9230" s="202"/>
      <c r="U9230" s="204"/>
    </row>
    <row r="9231" spans="2:21" x14ac:dyDescent="0.2">
      <c r="B9231" s="203"/>
      <c r="C9231" s="237"/>
      <c r="D9231" s="202"/>
      <c r="E9231" s="202"/>
      <c r="U9231" s="204"/>
    </row>
    <row r="9232" spans="2:21" x14ac:dyDescent="0.2">
      <c r="B9232" s="203"/>
      <c r="C9232" s="237"/>
      <c r="D9232" s="202"/>
      <c r="E9232" s="202"/>
      <c r="U9232" s="204"/>
    </row>
    <row r="9233" spans="2:21" x14ac:dyDescent="0.2">
      <c r="B9233" s="203"/>
      <c r="C9233" s="237"/>
      <c r="D9233" s="202"/>
      <c r="E9233" s="202"/>
      <c r="U9233" s="204"/>
    </row>
    <row r="9234" spans="2:21" x14ac:dyDescent="0.2">
      <c r="B9234" s="203"/>
      <c r="C9234" s="237"/>
      <c r="D9234" s="202"/>
      <c r="E9234" s="202"/>
      <c r="U9234" s="204"/>
    </row>
    <row r="9235" spans="2:21" x14ac:dyDescent="0.2">
      <c r="B9235" s="203"/>
      <c r="C9235" s="237"/>
      <c r="D9235" s="202"/>
      <c r="E9235" s="202"/>
      <c r="U9235" s="204"/>
    </row>
    <row r="9236" spans="2:21" x14ac:dyDescent="0.2">
      <c r="B9236" s="203"/>
      <c r="C9236" s="237"/>
      <c r="D9236" s="202"/>
      <c r="E9236" s="202"/>
      <c r="U9236" s="204"/>
    </row>
    <row r="9237" spans="2:21" x14ac:dyDescent="0.2">
      <c r="B9237" s="203"/>
      <c r="C9237" s="237"/>
      <c r="D9237" s="202"/>
      <c r="E9237" s="202"/>
      <c r="U9237" s="204"/>
    </row>
    <row r="9238" spans="2:21" x14ac:dyDescent="0.2">
      <c r="B9238" s="203"/>
      <c r="C9238" s="237"/>
      <c r="D9238" s="202"/>
      <c r="E9238" s="202"/>
      <c r="U9238" s="204"/>
    </row>
    <row r="9239" spans="2:21" x14ac:dyDescent="0.2">
      <c r="B9239" s="203"/>
      <c r="C9239" s="237"/>
      <c r="D9239" s="202"/>
      <c r="E9239" s="202"/>
      <c r="U9239" s="204"/>
    </row>
    <row r="9240" spans="2:21" x14ac:dyDescent="0.2">
      <c r="B9240" s="203"/>
      <c r="C9240" s="237"/>
      <c r="D9240" s="202"/>
      <c r="E9240" s="202"/>
      <c r="U9240" s="204"/>
    </row>
    <row r="9241" spans="2:21" x14ac:dyDescent="0.2">
      <c r="B9241" s="203"/>
      <c r="C9241" s="237"/>
      <c r="D9241" s="202"/>
      <c r="E9241" s="202"/>
      <c r="U9241" s="204"/>
    </row>
    <row r="9242" spans="2:21" x14ac:dyDescent="0.2">
      <c r="B9242" s="203"/>
      <c r="C9242" s="237"/>
      <c r="D9242" s="202"/>
      <c r="E9242" s="202"/>
      <c r="U9242" s="204"/>
    </row>
    <row r="9243" spans="2:21" x14ac:dyDescent="0.2">
      <c r="B9243" s="203"/>
      <c r="C9243" s="237"/>
      <c r="D9243" s="202"/>
      <c r="E9243" s="202"/>
      <c r="U9243" s="204"/>
    </row>
    <row r="9244" spans="2:21" x14ac:dyDescent="0.2">
      <c r="B9244" s="203"/>
      <c r="C9244" s="237"/>
      <c r="D9244" s="202"/>
      <c r="E9244" s="202"/>
      <c r="U9244" s="204"/>
    </row>
    <row r="9245" spans="2:21" x14ac:dyDescent="0.2">
      <c r="B9245" s="203"/>
      <c r="C9245" s="237"/>
      <c r="D9245" s="202"/>
      <c r="E9245" s="202"/>
      <c r="U9245" s="204"/>
    </row>
    <row r="9246" spans="2:21" x14ac:dyDescent="0.2">
      <c r="B9246" s="203"/>
      <c r="C9246" s="237"/>
      <c r="D9246" s="202"/>
      <c r="E9246" s="202"/>
      <c r="U9246" s="204"/>
    </row>
    <row r="9247" spans="2:21" x14ac:dyDescent="0.2">
      <c r="B9247" s="203"/>
      <c r="C9247" s="237"/>
      <c r="D9247" s="202"/>
      <c r="E9247" s="202"/>
      <c r="U9247" s="204"/>
    </row>
    <row r="9248" spans="2:21" x14ac:dyDescent="0.2">
      <c r="B9248" s="203"/>
      <c r="C9248" s="237"/>
      <c r="D9248" s="202"/>
      <c r="E9248" s="202"/>
      <c r="U9248" s="204"/>
    </row>
    <row r="9249" spans="2:21" x14ac:dyDescent="0.2">
      <c r="B9249" s="203"/>
      <c r="C9249" s="237"/>
      <c r="D9249" s="202"/>
      <c r="E9249" s="202"/>
      <c r="U9249" s="204"/>
    </row>
    <row r="9250" spans="2:21" x14ac:dyDescent="0.2">
      <c r="B9250" s="203"/>
      <c r="C9250" s="237"/>
      <c r="D9250" s="202"/>
      <c r="E9250" s="202"/>
      <c r="U9250" s="204"/>
    </row>
    <row r="9251" spans="2:21" x14ac:dyDescent="0.2">
      <c r="B9251" s="203"/>
      <c r="C9251" s="237"/>
      <c r="D9251" s="202"/>
      <c r="E9251" s="202"/>
      <c r="U9251" s="204"/>
    </row>
    <row r="9252" spans="2:21" x14ac:dyDescent="0.2">
      <c r="B9252" s="203"/>
      <c r="C9252" s="237"/>
      <c r="D9252" s="202"/>
      <c r="E9252" s="202"/>
      <c r="U9252" s="204"/>
    </row>
    <row r="9253" spans="2:21" x14ac:dyDescent="0.2">
      <c r="B9253" s="203"/>
      <c r="C9253" s="237"/>
      <c r="D9253" s="202"/>
      <c r="E9253" s="202"/>
      <c r="U9253" s="204"/>
    </row>
    <row r="9254" spans="2:21" x14ac:dyDescent="0.2">
      <c r="B9254" s="203"/>
      <c r="C9254" s="237"/>
      <c r="D9254" s="202"/>
      <c r="E9254" s="202"/>
      <c r="U9254" s="204"/>
    </row>
    <row r="9255" spans="2:21" x14ac:dyDescent="0.2">
      <c r="B9255" s="203"/>
      <c r="C9255" s="237"/>
      <c r="D9255" s="202"/>
      <c r="E9255" s="202"/>
      <c r="U9255" s="204"/>
    </row>
    <row r="9256" spans="2:21" x14ac:dyDescent="0.2">
      <c r="B9256" s="203"/>
      <c r="C9256" s="237"/>
      <c r="D9256" s="202"/>
      <c r="E9256" s="202"/>
      <c r="U9256" s="204"/>
    </row>
    <row r="9257" spans="2:21" x14ac:dyDescent="0.2">
      <c r="B9257" s="203"/>
      <c r="C9257" s="237"/>
      <c r="D9257" s="202"/>
      <c r="E9257" s="202"/>
      <c r="U9257" s="204"/>
    </row>
    <row r="9258" spans="2:21" x14ac:dyDescent="0.2">
      <c r="B9258" s="203"/>
      <c r="C9258" s="237"/>
      <c r="D9258" s="202"/>
      <c r="E9258" s="202"/>
      <c r="U9258" s="204"/>
    </row>
    <row r="9259" spans="2:21" x14ac:dyDescent="0.2">
      <c r="B9259" s="203"/>
      <c r="C9259" s="237"/>
      <c r="D9259" s="202"/>
      <c r="E9259" s="202"/>
      <c r="U9259" s="204"/>
    </row>
    <row r="9260" spans="2:21" x14ac:dyDescent="0.2">
      <c r="B9260" s="203"/>
      <c r="C9260" s="237"/>
      <c r="D9260" s="202"/>
      <c r="E9260" s="202"/>
      <c r="U9260" s="204"/>
    </row>
    <row r="9261" spans="2:21" x14ac:dyDescent="0.2">
      <c r="B9261" s="203"/>
      <c r="C9261" s="237"/>
      <c r="D9261" s="202"/>
      <c r="E9261" s="202"/>
      <c r="U9261" s="204"/>
    </row>
    <row r="9262" spans="2:21" x14ac:dyDescent="0.2">
      <c r="B9262" s="203"/>
      <c r="C9262" s="237"/>
      <c r="D9262" s="202"/>
      <c r="E9262" s="202"/>
      <c r="U9262" s="204"/>
    </row>
    <row r="9263" spans="2:21" x14ac:dyDescent="0.2">
      <c r="B9263" s="203"/>
      <c r="C9263" s="237"/>
      <c r="D9263" s="202"/>
      <c r="E9263" s="202"/>
      <c r="U9263" s="204"/>
    </row>
    <row r="9264" spans="2:21" x14ac:dyDescent="0.2">
      <c r="B9264" s="203"/>
      <c r="C9264" s="237"/>
      <c r="D9264" s="202"/>
      <c r="E9264" s="202"/>
      <c r="U9264" s="204"/>
    </row>
    <row r="9265" spans="2:21" x14ac:dyDescent="0.2">
      <c r="B9265" s="203"/>
      <c r="C9265" s="237"/>
      <c r="D9265" s="202"/>
      <c r="E9265" s="202"/>
      <c r="U9265" s="204"/>
    </row>
    <row r="9266" spans="2:21" x14ac:dyDescent="0.2">
      <c r="B9266" s="203"/>
      <c r="C9266" s="237"/>
      <c r="D9266" s="202"/>
      <c r="E9266" s="202"/>
      <c r="U9266" s="204"/>
    </row>
    <row r="9267" spans="2:21" x14ac:dyDescent="0.2">
      <c r="B9267" s="203"/>
      <c r="C9267" s="237"/>
      <c r="D9267" s="202"/>
      <c r="E9267" s="202"/>
      <c r="U9267" s="204"/>
    </row>
    <row r="9268" spans="2:21" x14ac:dyDescent="0.2">
      <c r="B9268" s="203"/>
      <c r="C9268" s="237"/>
      <c r="D9268" s="202"/>
      <c r="E9268" s="202"/>
      <c r="U9268" s="204"/>
    </row>
    <row r="9269" spans="2:21" x14ac:dyDescent="0.2">
      <c r="B9269" s="203"/>
      <c r="C9269" s="237"/>
      <c r="D9269" s="202"/>
      <c r="E9269" s="202"/>
      <c r="U9269" s="204"/>
    </row>
    <row r="9270" spans="2:21" x14ac:dyDescent="0.2">
      <c r="B9270" s="203"/>
      <c r="C9270" s="237"/>
      <c r="D9270" s="202"/>
      <c r="E9270" s="202"/>
      <c r="U9270" s="204"/>
    </row>
    <row r="9271" spans="2:21" x14ac:dyDescent="0.2">
      <c r="B9271" s="203"/>
      <c r="C9271" s="237"/>
      <c r="D9271" s="202"/>
      <c r="E9271" s="202"/>
      <c r="U9271" s="204"/>
    </row>
    <row r="9272" spans="2:21" x14ac:dyDescent="0.2">
      <c r="B9272" s="203"/>
      <c r="C9272" s="237"/>
      <c r="D9272" s="202"/>
      <c r="E9272" s="202"/>
      <c r="U9272" s="204"/>
    </row>
    <row r="9273" spans="2:21" x14ac:dyDescent="0.2">
      <c r="B9273" s="203"/>
      <c r="C9273" s="237"/>
      <c r="D9273" s="202"/>
      <c r="E9273" s="202"/>
      <c r="U9273" s="204"/>
    </row>
    <row r="9274" spans="2:21" x14ac:dyDescent="0.2">
      <c r="B9274" s="203"/>
      <c r="C9274" s="237"/>
      <c r="D9274" s="202"/>
      <c r="E9274" s="202"/>
      <c r="U9274" s="204"/>
    </row>
    <row r="9275" spans="2:21" x14ac:dyDescent="0.2">
      <c r="B9275" s="203"/>
      <c r="C9275" s="237"/>
      <c r="D9275" s="202"/>
      <c r="E9275" s="202"/>
      <c r="U9275" s="204"/>
    </row>
    <row r="9276" spans="2:21" x14ac:dyDescent="0.2">
      <c r="B9276" s="203"/>
      <c r="C9276" s="237"/>
      <c r="D9276" s="202"/>
      <c r="E9276" s="202"/>
      <c r="U9276" s="204"/>
    </row>
    <row r="9277" spans="2:21" x14ac:dyDescent="0.2">
      <c r="B9277" s="203"/>
      <c r="C9277" s="237"/>
      <c r="D9277" s="202"/>
      <c r="E9277" s="202"/>
      <c r="U9277" s="204"/>
    </row>
    <row r="9278" spans="2:21" x14ac:dyDescent="0.2">
      <c r="B9278" s="203"/>
      <c r="C9278" s="237"/>
      <c r="D9278" s="202"/>
      <c r="E9278" s="202"/>
      <c r="U9278" s="204"/>
    </row>
    <row r="9279" spans="2:21" x14ac:dyDescent="0.2">
      <c r="B9279" s="203"/>
      <c r="C9279" s="237"/>
      <c r="D9279" s="202"/>
      <c r="E9279" s="202"/>
      <c r="U9279" s="204"/>
    </row>
    <row r="9280" spans="2:21" x14ac:dyDescent="0.2">
      <c r="B9280" s="203"/>
      <c r="C9280" s="237"/>
      <c r="D9280" s="202"/>
      <c r="E9280" s="202"/>
      <c r="U9280" s="204"/>
    </row>
    <row r="9281" spans="2:21" x14ac:dyDescent="0.2">
      <c r="B9281" s="203"/>
      <c r="C9281" s="237"/>
      <c r="D9281" s="202"/>
      <c r="E9281" s="202"/>
      <c r="U9281" s="204"/>
    </row>
    <row r="9282" spans="2:21" x14ac:dyDescent="0.2">
      <c r="B9282" s="203"/>
      <c r="C9282" s="237"/>
      <c r="D9282" s="202"/>
      <c r="E9282" s="202"/>
      <c r="U9282" s="204"/>
    </row>
    <row r="9283" spans="2:21" x14ac:dyDescent="0.2">
      <c r="B9283" s="203"/>
      <c r="C9283" s="237"/>
      <c r="D9283" s="202"/>
      <c r="E9283" s="202"/>
      <c r="U9283" s="204"/>
    </row>
    <row r="9284" spans="2:21" x14ac:dyDescent="0.2">
      <c r="B9284" s="203"/>
      <c r="C9284" s="237"/>
      <c r="D9284" s="202"/>
      <c r="E9284" s="202"/>
      <c r="U9284" s="204"/>
    </row>
    <row r="9285" spans="2:21" x14ac:dyDescent="0.2">
      <c r="B9285" s="203"/>
      <c r="C9285" s="237"/>
      <c r="D9285" s="202"/>
      <c r="E9285" s="202"/>
      <c r="U9285" s="204"/>
    </row>
    <row r="9286" spans="2:21" x14ac:dyDescent="0.2">
      <c r="B9286" s="203"/>
      <c r="C9286" s="237"/>
      <c r="D9286" s="202"/>
      <c r="E9286" s="202"/>
      <c r="U9286" s="204"/>
    </row>
    <row r="9287" spans="2:21" x14ac:dyDescent="0.2">
      <c r="B9287" s="203"/>
      <c r="C9287" s="237"/>
      <c r="D9287" s="202"/>
      <c r="E9287" s="202"/>
      <c r="U9287" s="204"/>
    </row>
    <row r="9288" spans="2:21" x14ac:dyDescent="0.2">
      <c r="B9288" s="203"/>
      <c r="C9288" s="237"/>
      <c r="D9288" s="202"/>
      <c r="E9288" s="202"/>
      <c r="U9288" s="204"/>
    </row>
    <row r="9289" spans="2:21" x14ac:dyDescent="0.2">
      <c r="B9289" s="203"/>
      <c r="C9289" s="237"/>
      <c r="D9289" s="202"/>
      <c r="E9289" s="202"/>
      <c r="U9289" s="204"/>
    </row>
    <row r="9290" spans="2:21" x14ac:dyDescent="0.2">
      <c r="B9290" s="203"/>
      <c r="C9290" s="237"/>
      <c r="D9290" s="202"/>
      <c r="E9290" s="202"/>
      <c r="U9290" s="204"/>
    </row>
    <row r="9291" spans="2:21" x14ac:dyDescent="0.2">
      <c r="B9291" s="203"/>
      <c r="C9291" s="237"/>
      <c r="D9291" s="202"/>
      <c r="E9291" s="202"/>
      <c r="U9291" s="204"/>
    </row>
    <row r="9292" spans="2:21" x14ac:dyDescent="0.2">
      <c r="B9292" s="203"/>
      <c r="C9292" s="237"/>
      <c r="D9292" s="202"/>
      <c r="E9292" s="202"/>
      <c r="U9292" s="204"/>
    </row>
    <row r="9293" spans="2:21" x14ac:dyDescent="0.2">
      <c r="B9293" s="203"/>
      <c r="C9293" s="237"/>
      <c r="D9293" s="202"/>
      <c r="E9293" s="202"/>
      <c r="U9293" s="204"/>
    </row>
    <row r="9294" spans="2:21" x14ac:dyDescent="0.2">
      <c r="B9294" s="203"/>
      <c r="C9294" s="237"/>
      <c r="D9294" s="202"/>
      <c r="E9294" s="202"/>
      <c r="U9294" s="204"/>
    </row>
    <row r="9295" spans="2:21" x14ac:dyDescent="0.2">
      <c r="B9295" s="203"/>
      <c r="C9295" s="237"/>
      <c r="D9295" s="202"/>
      <c r="E9295" s="202"/>
      <c r="U9295" s="204"/>
    </row>
    <row r="9296" spans="2:21" x14ac:dyDescent="0.2">
      <c r="B9296" s="203"/>
      <c r="C9296" s="237"/>
      <c r="D9296" s="202"/>
      <c r="E9296" s="202"/>
      <c r="U9296" s="204"/>
    </row>
    <row r="9297" spans="2:21" x14ac:dyDescent="0.2">
      <c r="B9297" s="203"/>
      <c r="C9297" s="237"/>
      <c r="D9297" s="202"/>
      <c r="E9297" s="202"/>
      <c r="U9297" s="204"/>
    </row>
    <row r="9298" spans="2:21" x14ac:dyDescent="0.2">
      <c r="B9298" s="203"/>
      <c r="C9298" s="237"/>
      <c r="D9298" s="202"/>
      <c r="E9298" s="202"/>
      <c r="U9298" s="204"/>
    </row>
    <row r="9299" spans="2:21" x14ac:dyDescent="0.2">
      <c r="B9299" s="203"/>
      <c r="C9299" s="237"/>
      <c r="D9299" s="202"/>
      <c r="E9299" s="202"/>
      <c r="U9299" s="204"/>
    </row>
    <row r="9300" spans="2:21" x14ac:dyDescent="0.2">
      <c r="B9300" s="203"/>
      <c r="C9300" s="237"/>
      <c r="D9300" s="202"/>
      <c r="E9300" s="202"/>
      <c r="U9300" s="204"/>
    </row>
    <row r="9301" spans="2:21" x14ac:dyDescent="0.2">
      <c r="B9301" s="203"/>
      <c r="C9301" s="237"/>
      <c r="D9301" s="202"/>
      <c r="E9301" s="202"/>
      <c r="U9301" s="204"/>
    </row>
    <row r="9302" spans="2:21" x14ac:dyDescent="0.2">
      <c r="B9302" s="203"/>
      <c r="C9302" s="237"/>
      <c r="D9302" s="202"/>
      <c r="E9302" s="202"/>
      <c r="U9302" s="204"/>
    </row>
    <row r="9303" spans="2:21" x14ac:dyDescent="0.2">
      <c r="B9303" s="203"/>
      <c r="C9303" s="237"/>
      <c r="D9303" s="202"/>
      <c r="E9303" s="202"/>
      <c r="U9303" s="204"/>
    </row>
    <row r="9304" spans="2:21" x14ac:dyDescent="0.2">
      <c r="B9304" s="203"/>
      <c r="C9304" s="237"/>
      <c r="D9304" s="202"/>
      <c r="E9304" s="202"/>
      <c r="U9304" s="204"/>
    </row>
    <row r="9305" spans="2:21" x14ac:dyDescent="0.2">
      <c r="B9305" s="203"/>
      <c r="C9305" s="237"/>
      <c r="D9305" s="202"/>
      <c r="E9305" s="202"/>
      <c r="U9305" s="204"/>
    </row>
    <row r="9306" spans="2:21" x14ac:dyDescent="0.2">
      <c r="B9306" s="203"/>
      <c r="C9306" s="237"/>
      <c r="D9306" s="202"/>
      <c r="E9306" s="202"/>
      <c r="U9306" s="204"/>
    </row>
    <row r="9307" spans="2:21" x14ac:dyDescent="0.2">
      <c r="B9307" s="203"/>
      <c r="C9307" s="237"/>
      <c r="D9307" s="202"/>
      <c r="E9307" s="202"/>
      <c r="U9307" s="204"/>
    </row>
    <row r="9308" spans="2:21" x14ac:dyDescent="0.2">
      <c r="B9308" s="203"/>
      <c r="C9308" s="237"/>
      <c r="D9308" s="202"/>
      <c r="E9308" s="202"/>
      <c r="U9308" s="204"/>
    </row>
    <row r="9309" spans="2:21" x14ac:dyDescent="0.2">
      <c r="B9309" s="203"/>
      <c r="C9309" s="237"/>
      <c r="D9309" s="202"/>
      <c r="E9309" s="202"/>
      <c r="U9309" s="204"/>
    </row>
    <row r="9310" spans="2:21" x14ac:dyDescent="0.2">
      <c r="B9310" s="203"/>
      <c r="C9310" s="237"/>
      <c r="D9310" s="202"/>
      <c r="E9310" s="202"/>
      <c r="U9310" s="204"/>
    </row>
    <row r="9311" spans="2:21" x14ac:dyDescent="0.2">
      <c r="B9311" s="203"/>
      <c r="C9311" s="237"/>
      <c r="D9311" s="202"/>
      <c r="E9311" s="202"/>
      <c r="U9311" s="204"/>
    </row>
    <row r="9312" spans="2:21" x14ac:dyDescent="0.2">
      <c r="B9312" s="203"/>
      <c r="C9312" s="237"/>
      <c r="D9312" s="202"/>
      <c r="E9312" s="202"/>
      <c r="U9312" s="204"/>
    </row>
    <row r="9313" spans="2:21" x14ac:dyDescent="0.2">
      <c r="B9313" s="203"/>
      <c r="C9313" s="237"/>
      <c r="D9313" s="202"/>
      <c r="E9313" s="202"/>
      <c r="U9313" s="204"/>
    </row>
    <row r="9314" spans="2:21" x14ac:dyDescent="0.2">
      <c r="B9314" s="203"/>
      <c r="C9314" s="237"/>
      <c r="D9314" s="202"/>
      <c r="E9314" s="202"/>
      <c r="U9314" s="204"/>
    </row>
    <row r="9315" spans="2:21" x14ac:dyDescent="0.2">
      <c r="B9315" s="203"/>
      <c r="C9315" s="237"/>
      <c r="D9315" s="202"/>
      <c r="E9315" s="202"/>
      <c r="U9315" s="204"/>
    </row>
    <row r="9316" spans="2:21" x14ac:dyDescent="0.2">
      <c r="B9316" s="203"/>
      <c r="C9316" s="237"/>
      <c r="D9316" s="202"/>
      <c r="E9316" s="202"/>
      <c r="U9316" s="204"/>
    </row>
    <row r="9317" spans="2:21" x14ac:dyDescent="0.2">
      <c r="B9317" s="203"/>
      <c r="C9317" s="237"/>
      <c r="D9317" s="202"/>
      <c r="E9317" s="202"/>
      <c r="U9317" s="204"/>
    </row>
    <row r="9318" spans="2:21" x14ac:dyDescent="0.2">
      <c r="B9318" s="203"/>
      <c r="C9318" s="237"/>
      <c r="D9318" s="202"/>
      <c r="E9318" s="202"/>
      <c r="U9318" s="204"/>
    </row>
    <row r="9319" spans="2:21" x14ac:dyDescent="0.2">
      <c r="B9319" s="203"/>
      <c r="C9319" s="237"/>
      <c r="D9319" s="202"/>
      <c r="E9319" s="202"/>
      <c r="U9319" s="204"/>
    </row>
    <row r="9320" spans="2:21" x14ac:dyDescent="0.2">
      <c r="B9320" s="203"/>
      <c r="C9320" s="237"/>
      <c r="D9320" s="202"/>
      <c r="E9320" s="202"/>
      <c r="U9320" s="204"/>
    </row>
    <row r="9321" spans="2:21" x14ac:dyDescent="0.2">
      <c r="B9321" s="203"/>
      <c r="C9321" s="237"/>
      <c r="D9321" s="202"/>
      <c r="E9321" s="202"/>
      <c r="U9321" s="204"/>
    </row>
    <row r="9322" spans="2:21" x14ac:dyDescent="0.2">
      <c r="B9322" s="203"/>
      <c r="C9322" s="237"/>
      <c r="D9322" s="202"/>
      <c r="E9322" s="202"/>
      <c r="U9322" s="204"/>
    </row>
    <row r="9323" spans="2:21" x14ac:dyDescent="0.2">
      <c r="B9323" s="203"/>
      <c r="C9323" s="237"/>
      <c r="D9323" s="202"/>
      <c r="E9323" s="202"/>
      <c r="U9323" s="204"/>
    </row>
    <row r="9324" spans="2:21" x14ac:dyDescent="0.2">
      <c r="B9324" s="203"/>
      <c r="C9324" s="237"/>
      <c r="D9324" s="202"/>
      <c r="E9324" s="202"/>
      <c r="U9324" s="204"/>
    </row>
    <row r="9325" spans="2:21" x14ac:dyDescent="0.2">
      <c r="B9325" s="203"/>
      <c r="C9325" s="237"/>
      <c r="D9325" s="202"/>
      <c r="E9325" s="202"/>
      <c r="U9325" s="204"/>
    </row>
    <row r="9326" spans="2:21" x14ac:dyDescent="0.2">
      <c r="B9326" s="203"/>
      <c r="C9326" s="237"/>
      <c r="D9326" s="202"/>
      <c r="E9326" s="202"/>
      <c r="U9326" s="204"/>
    </row>
    <row r="9327" spans="2:21" x14ac:dyDescent="0.2">
      <c r="B9327" s="203"/>
      <c r="C9327" s="237"/>
      <c r="D9327" s="202"/>
      <c r="E9327" s="202"/>
      <c r="U9327" s="204"/>
    </row>
    <row r="9328" spans="2:21" x14ac:dyDescent="0.2">
      <c r="B9328" s="203"/>
      <c r="C9328" s="237"/>
      <c r="D9328" s="202"/>
      <c r="E9328" s="202"/>
      <c r="U9328" s="204"/>
    </row>
    <row r="9329" spans="2:21" x14ac:dyDescent="0.2">
      <c r="B9329" s="203"/>
      <c r="C9329" s="237"/>
      <c r="D9329" s="202"/>
      <c r="E9329" s="202"/>
      <c r="U9329" s="204"/>
    </row>
    <row r="9330" spans="2:21" x14ac:dyDescent="0.2">
      <c r="B9330" s="203"/>
      <c r="C9330" s="237"/>
      <c r="D9330" s="202"/>
      <c r="E9330" s="202"/>
      <c r="U9330" s="204"/>
    </row>
    <row r="9331" spans="2:21" x14ac:dyDescent="0.2">
      <c r="B9331" s="203"/>
      <c r="C9331" s="237"/>
      <c r="D9331" s="202"/>
      <c r="E9331" s="202"/>
      <c r="U9331" s="204"/>
    </row>
    <row r="9332" spans="2:21" x14ac:dyDescent="0.2">
      <c r="B9332" s="203"/>
      <c r="C9332" s="237"/>
      <c r="D9332" s="202"/>
      <c r="E9332" s="202"/>
      <c r="U9332" s="204"/>
    </row>
    <row r="9333" spans="2:21" x14ac:dyDescent="0.2">
      <c r="B9333" s="203"/>
      <c r="C9333" s="237"/>
      <c r="D9333" s="202"/>
      <c r="E9333" s="202"/>
      <c r="U9333" s="204"/>
    </row>
    <row r="9334" spans="2:21" x14ac:dyDescent="0.2">
      <c r="B9334" s="203"/>
      <c r="C9334" s="237"/>
      <c r="D9334" s="202"/>
      <c r="E9334" s="202"/>
      <c r="U9334" s="204"/>
    </row>
    <row r="9335" spans="2:21" x14ac:dyDescent="0.2">
      <c r="B9335" s="203"/>
      <c r="C9335" s="237"/>
      <c r="D9335" s="202"/>
      <c r="E9335" s="202"/>
      <c r="U9335" s="204"/>
    </row>
    <row r="9336" spans="2:21" x14ac:dyDescent="0.2">
      <c r="B9336" s="203"/>
      <c r="C9336" s="237"/>
      <c r="D9336" s="202"/>
      <c r="E9336" s="202"/>
      <c r="U9336" s="204"/>
    </row>
    <row r="9337" spans="2:21" x14ac:dyDescent="0.2">
      <c r="B9337" s="203"/>
      <c r="C9337" s="237"/>
      <c r="D9337" s="202"/>
      <c r="E9337" s="202"/>
      <c r="U9337" s="204"/>
    </row>
    <row r="9338" spans="2:21" x14ac:dyDescent="0.2">
      <c r="B9338" s="203"/>
      <c r="C9338" s="237"/>
      <c r="D9338" s="202"/>
      <c r="E9338" s="202"/>
      <c r="U9338" s="204"/>
    </row>
    <row r="9339" spans="2:21" x14ac:dyDescent="0.2">
      <c r="B9339" s="203"/>
      <c r="C9339" s="237"/>
      <c r="D9339" s="202"/>
      <c r="E9339" s="202"/>
      <c r="U9339" s="204"/>
    </row>
    <row r="9340" spans="2:21" x14ac:dyDescent="0.2">
      <c r="B9340" s="203"/>
      <c r="C9340" s="237"/>
      <c r="D9340" s="202"/>
      <c r="E9340" s="202"/>
      <c r="U9340" s="204"/>
    </row>
    <row r="9341" spans="2:21" x14ac:dyDescent="0.2">
      <c r="B9341" s="203"/>
      <c r="C9341" s="237"/>
      <c r="D9341" s="202"/>
      <c r="E9341" s="202"/>
      <c r="U9341" s="204"/>
    </row>
    <row r="9342" spans="2:21" x14ac:dyDescent="0.2">
      <c r="B9342" s="203"/>
      <c r="C9342" s="237"/>
      <c r="D9342" s="202"/>
      <c r="E9342" s="202"/>
      <c r="U9342" s="204"/>
    </row>
    <row r="9343" spans="2:21" x14ac:dyDescent="0.2">
      <c r="B9343" s="203"/>
      <c r="C9343" s="237"/>
      <c r="D9343" s="202"/>
      <c r="E9343" s="202"/>
      <c r="U9343" s="204"/>
    </row>
    <row r="9344" spans="2:21" x14ac:dyDescent="0.2">
      <c r="B9344" s="203"/>
      <c r="C9344" s="237"/>
      <c r="D9344" s="202"/>
      <c r="E9344" s="202"/>
      <c r="U9344" s="204"/>
    </row>
    <row r="9345" spans="2:21" x14ac:dyDescent="0.2">
      <c r="B9345" s="203"/>
      <c r="C9345" s="237"/>
      <c r="D9345" s="202"/>
      <c r="E9345" s="202"/>
      <c r="U9345" s="204"/>
    </row>
    <row r="9346" spans="2:21" x14ac:dyDescent="0.2">
      <c r="B9346" s="203"/>
      <c r="C9346" s="237"/>
      <c r="D9346" s="202"/>
      <c r="E9346" s="202"/>
      <c r="U9346" s="204"/>
    </row>
    <row r="9347" spans="2:21" x14ac:dyDescent="0.2">
      <c r="B9347" s="203"/>
      <c r="C9347" s="237"/>
      <c r="D9347" s="202"/>
      <c r="E9347" s="202"/>
      <c r="U9347" s="204"/>
    </row>
    <row r="9348" spans="2:21" x14ac:dyDescent="0.2">
      <c r="B9348" s="203"/>
      <c r="C9348" s="237"/>
      <c r="D9348" s="202"/>
      <c r="E9348" s="202"/>
      <c r="U9348" s="204"/>
    </row>
    <row r="9349" spans="2:21" x14ac:dyDescent="0.2">
      <c r="B9349" s="203"/>
      <c r="C9349" s="237"/>
      <c r="D9349" s="202"/>
      <c r="E9349" s="202"/>
      <c r="U9349" s="204"/>
    </row>
    <row r="9350" spans="2:21" x14ac:dyDescent="0.2">
      <c r="B9350" s="203"/>
      <c r="C9350" s="237"/>
      <c r="D9350" s="202"/>
      <c r="E9350" s="202"/>
      <c r="U9350" s="204"/>
    </row>
    <row r="9351" spans="2:21" x14ac:dyDescent="0.2">
      <c r="B9351" s="203"/>
      <c r="C9351" s="237"/>
      <c r="D9351" s="202"/>
      <c r="E9351" s="202"/>
      <c r="U9351" s="204"/>
    </row>
    <row r="9352" spans="2:21" x14ac:dyDescent="0.2">
      <c r="B9352" s="203"/>
      <c r="C9352" s="237"/>
      <c r="D9352" s="202"/>
      <c r="E9352" s="202"/>
      <c r="U9352" s="204"/>
    </row>
    <row r="9353" spans="2:21" x14ac:dyDescent="0.2">
      <c r="B9353" s="203"/>
      <c r="C9353" s="237"/>
      <c r="D9353" s="202"/>
      <c r="E9353" s="202"/>
      <c r="U9353" s="204"/>
    </row>
    <row r="9354" spans="2:21" x14ac:dyDescent="0.2">
      <c r="B9354" s="203"/>
      <c r="C9354" s="237"/>
      <c r="D9354" s="202"/>
      <c r="E9354" s="202"/>
      <c r="U9354" s="204"/>
    </row>
    <row r="9355" spans="2:21" x14ac:dyDescent="0.2">
      <c r="B9355" s="203"/>
      <c r="C9355" s="237"/>
      <c r="D9355" s="202"/>
      <c r="E9355" s="202"/>
      <c r="U9355" s="204"/>
    </row>
    <row r="9356" spans="2:21" x14ac:dyDescent="0.2">
      <c r="B9356" s="203"/>
      <c r="C9356" s="237"/>
      <c r="D9356" s="202"/>
      <c r="E9356" s="202"/>
      <c r="U9356" s="204"/>
    </row>
    <row r="9357" spans="2:21" x14ac:dyDescent="0.2">
      <c r="B9357" s="203"/>
      <c r="C9357" s="237"/>
      <c r="D9357" s="202"/>
      <c r="E9357" s="202"/>
      <c r="U9357" s="204"/>
    </row>
    <row r="9358" spans="2:21" x14ac:dyDescent="0.2">
      <c r="B9358" s="203"/>
      <c r="C9358" s="237"/>
      <c r="D9358" s="202"/>
      <c r="E9358" s="202"/>
      <c r="U9358" s="204"/>
    </row>
    <row r="9359" spans="2:21" x14ac:dyDescent="0.2">
      <c r="B9359" s="203"/>
      <c r="C9359" s="237"/>
      <c r="D9359" s="202"/>
      <c r="E9359" s="202"/>
      <c r="U9359" s="204"/>
    </row>
    <row r="9360" spans="2:21" x14ac:dyDescent="0.2">
      <c r="B9360" s="203"/>
      <c r="C9360" s="237"/>
      <c r="D9360" s="202"/>
      <c r="E9360" s="202"/>
      <c r="U9360" s="204"/>
    </row>
    <row r="9361" spans="2:21" x14ac:dyDescent="0.2">
      <c r="B9361" s="203"/>
      <c r="C9361" s="237"/>
      <c r="D9361" s="202"/>
      <c r="E9361" s="202"/>
      <c r="U9361" s="204"/>
    </row>
    <row r="9362" spans="2:21" x14ac:dyDescent="0.2">
      <c r="B9362" s="203"/>
      <c r="C9362" s="237"/>
      <c r="D9362" s="202"/>
      <c r="E9362" s="202"/>
      <c r="U9362" s="204"/>
    </row>
    <row r="9363" spans="2:21" x14ac:dyDescent="0.2">
      <c r="B9363" s="203"/>
      <c r="C9363" s="237"/>
      <c r="D9363" s="202"/>
      <c r="E9363" s="202"/>
      <c r="U9363" s="204"/>
    </row>
    <row r="9364" spans="2:21" x14ac:dyDescent="0.2">
      <c r="B9364" s="203"/>
      <c r="C9364" s="237"/>
      <c r="D9364" s="202"/>
      <c r="E9364" s="202"/>
      <c r="U9364" s="204"/>
    </row>
    <row r="9365" spans="2:21" x14ac:dyDescent="0.2">
      <c r="B9365" s="203"/>
      <c r="C9365" s="237"/>
      <c r="D9365" s="202"/>
      <c r="E9365" s="202"/>
      <c r="U9365" s="204"/>
    </row>
    <row r="9366" spans="2:21" x14ac:dyDescent="0.2">
      <c r="B9366" s="203"/>
      <c r="C9366" s="237"/>
      <c r="D9366" s="202"/>
      <c r="E9366" s="202"/>
      <c r="U9366" s="204"/>
    </row>
    <row r="9367" spans="2:21" x14ac:dyDescent="0.2">
      <c r="B9367" s="203"/>
      <c r="C9367" s="237"/>
      <c r="D9367" s="202"/>
      <c r="E9367" s="202"/>
      <c r="U9367" s="204"/>
    </row>
    <row r="9368" spans="2:21" x14ac:dyDescent="0.2">
      <c r="B9368" s="203"/>
      <c r="C9368" s="237"/>
      <c r="D9368" s="202"/>
      <c r="E9368" s="202"/>
      <c r="U9368" s="204"/>
    </row>
    <row r="9369" spans="2:21" x14ac:dyDescent="0.2">
      <c r="B9369" s="203"/>
      <c r="C9369" s="237"/>
      <c r="D9369" s="202"/>
      <c r="E9369" s="202"/>
      <c r="U9369" s="204"/>
    </row>
    <row r="9370" spans="2:21" x14ac:dyDescent="0.2">
      <c r="B9370" s="203"/>
      <c r="C9370" s="237"/>
      <c r="D9370" s="202"/>
      <c r="E9370" s="202"/>
      <c r="U9370" s="204"/>
    </row>
    <row r="9371" spans="2:21" x14ac:dyDescent="0.2">
      <c r="B9371" s="203"/>
      <c r="C9371" s="237"/>
      <c r="D9371" s="202"/>
      <c r="E9371" s="202"/>
      <c r="U9371" s="204"/>
    </row>
    <row r="9372" spans="2:21" x14ac:dyDescent="0.2">
      <c r="B9372" s="203"/>
      <c r="C9372" s="237"/>
      <c r="D9372" s="202"/>
      <c r="E9372" s="202"/>
      <c r="U9372" s="204"/>
    </row>
    <row r="9373" spans="2:21" x14ac:dyDescent="0.2">
      <c r="B9373" s="203"/>
      <c r="C9373" s="237"/>
      <c r="D9373" s="202"/>
      <c r="E9373" s="202"/>
      <c r="U9373" s="204"/>
    </row>
    <row r="9374" spans="2:21" x14ac:dyDescent="0.2">
      <c r="B9374" s="203"/>
      <c r="C9374" s="237"/>
      <c r="D9374" s="202"/>
      <c r="E9374" s="202"/>
      <c r="U9374" s="204"/>
    </row>
    <row r="9375" spans="2:21" x14ac:dyDescent="0.2">
      <c r="B9375" s="203"/>
      <c r="C9375" s="237"/>
      <c r="D9375" s="202"/>
      <c r="E9375" s="202"/>
      <c r="U9375" s="204"/>
    </row>
    <row r="9376" spans="2:21" x14ac:dyDescent="0.2">
      <c r="B9376" s="203"/>
      <c r="C9376" s="237"/>
      <c r="D9376" s="202"/>
      <c r="E9376" s="202"/>
      <c r="U9376" s="204"/>
    </row>
    <row r="9377" spans="2:21" x14ac:dyDescent="0.2">
      <c r="B9377" s="203"/>
      <c r="C9377" s="237"/>
      <c r="D9377" s="202"/>
      <c r="E9377" s="202"/>
      <c r="U9377" s="204"/>
    </row>
    <row r="9378" spans="2:21" x14ac:dyDescent="0.2">
      <c r="B9378" s="203"/>
      <c r="C9378" s="237"/>
      <c r="D9378" s="202"/>
      <c r="E9378" s="202"/>
      <c r="U9378" s="204"/>
    </row>
    <row r="9379" spans="2:21" x14ac:dyDescent="0.2">
      <c r="B9379" s="203"/>
      <c r="C9379" s="237"/>
      <c r="D9379" s="202"/>
      <c r="E9379" s="202"/>
      <c r="U9379" s="204"/>
    </row>
    <row r="9380" spans="2:21" x14ac:dyDescent="0.2">
      <c r="B9380" s="203"/>
      <c r="C9380" s="237"/>
      <c r="D9380" s="202"/>
      <c r="E9380" s="202"/>
      <c r="U9380" s="204"/>
    </row>
    <row r="9381" spans="2:21" x14ac:dyDescent="0.2">
      <c r="B9381" s="203"/>
      <c r="C9381" s="237"/>
      <c r="D9381" s="202"/>
      <c r="E9381" s="202"/>
      <c r="U9381" s="204"/>
    </row>
    <row r="9382" spans="2:21" x14ac:dyDescent="0.2">
      <c r="B9382" s="203"/>
      <c r="C9382" s="237"/>
      <c r="D9382" s="202"/>
      <c r="E9382" s="202"/>
      <c r="U9382" s="204"/>
    </row>
    <row r="9383" spans="2:21" x14ac:dyDescent="0.2">
      <c r="B9383" s="203"/>
      <c r="C9383" s="237"/>
      <c r="D9383" s="202"/>
      <c r="E9383" s="202"/>
      <c r="U9383" s="204"/>
    </row>
    <row r="9384" spans="2:21" x14ac:dyDescent="0.2">
      <c r="B9384" s="203"/>
      <c r="C9384" s="237"/>
      <c r="D9384" s="202"/>
      <c r="E9384" s="202"/>
      <c r="U9384" s="204"/>
    </row>
    <row r="9385" spans="2:21" x14ac:dyDescent="0.2">
      <c r="B9385" s="203"/>
      <c r="C9385" s="237"/>
      <c r="D9385" s="202"/>
      <c r="E9385" s="202"/>
      <c r="U9385" s="204"/>
    </row>
    <row r="9386" spans="2:21" x14ac:dyDescent="0.2">
      <c r="B9386" s="203"/>
      <c r="C9386" s="237"/>
      <c r="D9386" s="202"/>
      <c r="E9386" s="202"/>
      <c r="U9386" s="204"/>
    </row>
    <row r="9387" spans="2:21" x14ac:dyDescent="0.2">
      <c r="B9387" s="203"/>
      <c r="C9387" s="237"/>
      <c r="D9387" s="202"/>
      <c r="E9387" s="202"/>
      <c r="U9387" s="204"/>
    </row>
    <row r="9388" spans="2:21" x14ac:dyDescent="0.2">
      <c r="B9388" s="203"/>
      <c r="C9388" s="237"/>
      <c r="D9388" s="202"/>
      <c r="E9388" s="202"/>
      <c r="U9388" s="204"/>
    </row>
    <row r="9389" spans="2:21" x14ac:dyDescent="0.2">
      <c r="B9389" s="203"/>
      <c r="C9389" s="237"/>
      <c r="D9389" s="202"/>
      <c r="E9389" s="202"/>
      <c r="U9389" s="204"/>
    </row>
    <row r="9390" spans="2:21" x14ac:dyDescent="0.2">
      <c r="B9390" s="203"/>
      <c r="C9390" s="237"/>
      <c r="D9390" s="202"/>
      <c r="E9390" s="202"/>
      <c r="U9390" s="204"/>
    </row>
    <row r="9391" spans="2:21" x14ac:dyDescent="0.2">
      <c r="B9391" s="203"/>
      <c r="C9391" s="237"/>
      <c r="D9391" s="202"/>
      <c r="E9391" s="202"/>
      <c r="U9391" s="204"/>
    </row>
    <row r="9392" spans="2:21" x14ac:dyDescent="0.2">
      <c r="B9392" s="203"/>
      <c r="C9392" s="237"/>
      <c r="D9392" s="202"/>
      <c r="E9392" s="202"/>
      <c r="U9392" s="204"/>
    </row>
    <row r="9393" spans="2:21" x14ac:dyDescent="0.2">
      <c r="B9393" s="203"/>
      <c r="C9393" s="237"/>
      <c r="D9393" s="202"/>
      <c r="E9393" s="202"/>
      <c r="U9393" s="204"/>
    </row>
    <row r="9394" spans="2:21" x14ac:dyDescent="0.2">
      <c r="B9394" s="203"/>
      <c r="C9394" s="237"/>
      <c r="D9394" s="202"/>
      <c r="E9394" s="202"/>
      <c r="U9394" s="204"/>
    </row>
    <row r="9395" spans="2:21" x14ac:dyDescent="0.2">
      <c r="B9395" s="203"/>
      <c r="C9395" s="237"/>
      <c r="D9395" s="202"/>
      <c r="E9395" s="202"/>
      <c r="U9395" s="204"/>
    </row>
    <row r="9396" spans="2:21" x14ac:dyDescent="0.2">
      <c r="B9396" s="203"/>
      <c r="C9396" s="237"/>
      <c r="D9396" s="202"/>
      <c r="E9396" s="202"/>
      <c r="U9396" s="204"/>
    </row>
    <row r="9397" spans="2:21" x14ac:dyDescent="0.2">
      <c r="B9397" s="203"/>
      <c r="C9397" s="237"/>
      <c r="D9397" s="202"/>
      <c r="E9397" s="202"/>
      <c r="U9397" s="204"/>
    </row>
    <row r="9398" spans="2:21" x14ac:dyDescent="0.2">
      <c r="B9398" s="203"/>
      <c r="C9398" s="237"/>
      <c r="D9398" s="202"/>
      <c r="E9398" s="202"/>
      <c r="U9398" s="204"/>
    </row>
    <row r="9399" spans="2:21" x14ac:dyDescent="0.2">
      <c r="B9399" s="203"/>
      <c r="C9399" s="237"/>
      <c r="D9399" s="202"/>
      <c r="E9399" s="202"/>
      <c r="U9399" s="204"/>
    </row>
    <row r="9400" spans="2:21" x14ac:dyDescent="0.2">
      <c r="B9400" s="203"/>
      <c r="C9400" s="237"/>
      <c r="D9400" s="202"/>
      <c r="E9400" s="202"/>
      <c r="U9400" s="204"/>
    </row>
    <row r="9401" spans="2:21" x14ac:dyDescent="0.2">
      <c r="B9401" s="203"/>
      <c r="C9401" s="237"/>
      <c r="D9401" s="202"/>
      <c r="E9401" s="202"/>
      <c r="U9401" s="204"/>
    </row>
    <row r="9402" spans="2:21" x14ac:dyDescent="0.2">
      <c r="B9402" s="203"/>
      <c r="C9402" s="237"/>
      <c r="D9402" s="202"/>
      <c r="E9402" s="202"/>
      <c r="U9402" s="204"/>
    </row>
    <row r="9403" spans="2:21" x14ac:dyDescent="0.2">
      <c r="B9403" s="203"/>
      <c r="C9403" s="237"/>
      <c r="D9403" s="202"/>
      <c r="E9403" s="202"/>
      <c r="U9403" s="204"/>
    </row>
    <row r="9404" spans="2:21" x14ac:dyDescent="0.2">
      <c r="B9404" s="203"/>
      <c r="C9404" s="237"/>
      <c r="D9404" s="202"/>
      <c r="E9404" s="202"/>
      <c r="U9404" s="204"/>
    </row>
    <row r="9405" spans="2:21" x14ac:dyDescent="0.2">
      <c r="B9405" s="203"/>
      <c r="C9405" s="237"/>
      <c r="D9405" s="202"/>
      <c r="E9405" s="202"/>
      <c r="U9405" s="204"/>
    </row>
    <row r="9406" spans="2:21" x14ac:dyDescent="0.2">
      <c r="B9406" s="203"/>
      <c r="C9406" s="237"/>
      <c r="D9406" s="202"/>
      <c r="E9406" s="202"/>
      <c r="U9406" s="204"/>
    </row>
    <row r="9407" spans="2:21" x14ac:dyDescent="0.2">
      <c r="B9407" s="203"/>
      <c r="C9407" s="237"/>
      <c r="D9407" s="202"/>
      <c r="E9407" s="202"/>
      <c r="U9407" s="204"/>
    </row>
    <row r="9408" spans="2:21" x14ac:dyDescent="0.2">
      <c r="B9408" s="203"/>
      <c r="C9408" s="237"/>
      <c r="D9408" s="202"/>
      <c r="E9408" s="202"/>
      <c r="U9408" s="204"/>
    </row>
    <row r="9409" spans="2:21" x14ac:dyDescent="0.2">
      <c r="B9409" s="203"/>
      <c r="C9409" s="237"/>
      <c r="D9409" s="202"/>
      <c r="E9409" s="202"/>
      <c r="U9409" s="204"/>
    </row>
    <row r="9410" spans="2:21" x14ac:dyDescent="0.2">
      <c r="B9410" s="203"/>
      <c r="C9410" s="237"/>
      <c r="D9410" s="202"/>
      <c r="E9410" s="202"/>
      <c r="U9410" s="204"/>
    </row>
    <row r="9411" spans="2:21" x14ac:dyDescent="0.2">
      <c r="B9411" s="203"/>
      <c r="C9411" s="237"/>
      <c r="D9411" s="202"/>
      <c r="E9411" s="202"/>
      <c r="U9411" s="204"/>
    </row>
    <row r="9412" spans="2:21" x14ac:dyDescent="0.2">
      <c r="B9412" s="203"/>
      <c r="C9412" s="237"/>
      <c r="D9412" s="202"/>
      <c r="E9412" s="202"/>
      <c r="U9412" s="204"/>
    </row>
    <row r="9413" spans="2:21" x14ac:dyDescent="0.2">
      <c r="B9413" s="203"/>
      <c r="C9413" s="237"/>
      <c r="D9413" s="202"/>
      <c r="E9413" s="202"/>
      <c r="U9413" s="204"/>
    </row>
    <row r="9414" spans="2:21" x14ac:dyDescent="0.2">
      <c r="B9414" s="203"/>
      <c r="C9414" s="237"/>
      <c r="D9414" s="202"/>
      <c r="E9414" s="202"/>
      <c r="U9414" s="204"/>
    </row>
    <row r="9415" spans="2:21" x14ac:dyDescent="0.2">
      <c r="B9415" s="203"/>
      <c r="C9415" s="237"/>
      <c r="D9415" s="202"/>
      <c r="E9415" s="202"/>
      <c r="U9415" s="204"/>
    </row>
    <row r="9416" spans="2:21" x14ac:dyDescent="0.2">
      <c r="B9416" s="203"/>
      <c r="C9416" s="237"/>
      <c r="D9416" s="202"/>
      <c r="E9416" s="202"/>
      <c r="U9416" s="204"/>
    </row>
    <row r="9417" spans="2:21" x14ac:dyDescent="0.2">
      <c r="B9417" s="203"/>
      <c r="C9417" s="237"/>
      <c r="D9417" s="202"/>
      <c r="E9417" s="202"/>
      <c r="U9417" s="204"/>
    </row>
    <row r="9418" spans="2:21" x14ac:dyDescent="0.2">
      <c r="B9418" s="203"/>
      <c r="C9418" s="237"/>
      <c r="D9418" s="202"/>
      <c r="E9418" s="202"/>
      <c r="U9418" s="204"/>
    </row>
    <row r="9419" spans="2:21" x14ac:dyDescent="0.2">
      <c r="B9419" s="203"/>
      <c r="C9419" s="237"/>
      <c r="D9419" s="202"/>
      <c r="E9419" s="202"/>
      <c r="U9419" s="204"/>
    </row>
    <row r="9420" spans="2:21" x14ac:dyDescent="0.2">
      <c r="B9420" s="203"/>
      <c r="C9420" s="237"/>
      <c r="D9420" s="202"/>
      <c r="E9420" s="202"/>
      <c r="U9420" s="204"/>
    </row>
    <row r="9421" spans="2:21" x14ac:dyDescent="0.2">
      <c r="B9421" s="203"/>
      <c r="C9421" s="237"/>
      <c r="D9421" s="202"/>
      <c r="E9421" s="202"/>
      <c r="U9421" s="204"/>
    </row>
    <row r="9422" spans="2:21" x14ac:dyDescent="0.2">
      <c r="B9422" s="203"/>
      <c r="C9422" s="237"/>
      <c r="D9422" s="202"/>
      <c r="E9422" s="202"/>
      <c r="U9422" s="204"/>
    </row>
    <row r="9423" spans="2:21" x14ac:dyDescent="0.2">
      <c r="B9423" s="203"/>
      <c r="C9423" s="237"/>
      <c r="D9423" s="202"/>
      <c r="E9423" s="202"/>
      <c r="U9423" s="204"/>
    </row>
    <row r="9424" spans="2:21" x14ac:dyDescent="0.2">
      <c r="B9424" s="203"/>
      <c r="C9424" s="237"/>
      <c r="D9424" s="202"/>
      <c r="E9424" s="202"/>
      <c r="U9424" s="204"/>
    </row>
    <row r="9425" spans="2:21" x14ac:dyDescent="0.2">
      <c r="B9425" s="203"/>
      <c r="C9425" s="237"/>
      <c r="D9425" s="202"/>
      <c r="E9425" s="202"/>
      <c r="U9425" s="204"/>
    </row>
    <row r="9426" spans="2:21" x14ac:dyDescent="0.2">
      <c r="B9426" s="203"/>
      <c r="C9426" s="237"/>
      <c r="D9426" s="202"/>
      <c r="E9426" s="202"/>
      <c r="U9426" s="204"/>
    </row>
    <row r="9427" spans="2:21" x14ac:dyDescent="0.2">
      <c r="B9427" s="203"/>
      <c r="C9427" s="237"/>
      <c r="D9427" s="202"/>
      <c r="E9427" s="202"/>
      <c r="U9427" s="204"/>
    </row>
    <row r="9428" spans="2:21" x14ac:dyDescent="0.2">
      <c r="B9428" s="203"/>
      <c r="C9428" s="237"/>
      <c r="D9428" s="202"/>
      <c r="E9428" s="202"/>
      <c r="U9428" s="204"/>
    </row>
    <row r="9429" spans="2:21" x14ac:dyDescent="0.2">
      <c r="B9429" s="203"/>
      <c r="C9429" s="237"/>
      <c r="D9429" s="202"/>
      <c r="E9429" s="202"/>
      <c r="U9429" s="204"/>
    </row>
    <row r="9430" spans="2:21" x14ac:dyDescent="0.2">
      <c r="B9430" s="203"/>
      <c r="C9430" s="237"/>
      <c r="D9430" s="202"/>
      <c r="E9430" s="202"/>
      <c r="U9430" s="204"/>
    </row>
    <row r="9431" spans="2:21" x14ac:dyDescent="0.2">
      <c r="B9431" s="203"/>
      <c r="C9431" s="237"/>
      <c r="D9431" s="202"/>
      <c r="E9431" s="202"/>
      <c r="U9431" s="204"/>
    </row>
    <row r="9432" spans="2:21" x14ac:dyDescent="0.2">
      <c r="B9432" s="203"/>
      <c r="C9432" s="237"/>
      <c r="D9432" s="202"/>
      <c r="E9432" s="202"/>
      <c r="U9432" s="204"/>
    </row>
    <row r="9433" spans="2:21" x14ac:dyDescent="0.2">
      <c r="B9433" s="203"/>
      <c r="C9433" s="237"/>
      <c r="D9433" s="202"/>
      <c r="E9433" s="202"/>
      <c r="U9433" s="204"/>
    </row>
    <row r="9434" spans="2:21" x14ac:dyDescent="0.2">
      <c r="B9434" s="203"/>
      <c r="C9434" s="237"/>
      <c r="D9434" s="202"/>
      <c r="E9434" s="202"/>
      <c r="U9434" s="204"/>
    </row>
    <row r="9435" spans="2:21" x14ac:dyDescent="0.2">
      <c r="B9435" s="203"/>
      <c r="C9435" s="237"/>
      <c r="D9435" s="202"/>
      <c r="E9435" s="202"/>
      <c r="U9435" s="204"/>
    </row>
    <row r="9436" spans="2:21" x14ac:dyDescent="0.2">
      <c r="B9436" s="203"/>
      <c r="C9436" s="237"/>
      <c r="D9436" s="202"/>
      <c r="E9436" s="202"/>
      <c r="U9436" s="204"/>
    </row>
    <row r="9437" spans="2:21" x14ac:dyDescent="0.2">
      <c r="B9437" s="203"/>
      <c r="C9437" s="237"/>
      <c r="D9437" s="202"/>
      <c r="E9437" s="202"/>
      <c r="U9437" s="204"/>
    </row>
    <row r="9438" spans="2:21" x14ac:dyDescent="0.2">
      <c r="B9438" s="203"/>
      <c r="C9438" s="237"/>
      <c r="D9438" s="202"/>
      <c r="E9438" s="202"/>
      <c r="U9438" s="204"/>
    </row>
    <row r="9439" spans="2:21" x14ac:dyDescent="0.2">
      <c r="B9439" s="203"/>
      <c r="C9439" s="237"/>
      <c r="D9439" s="202"/>
      <c r="E9439" s="202"/>
      <c r="U9439" s="204"/>
    </row>
    <row r="9440" spans="2:21" x14ac:dyDescent="0.2">
      <c r="B9440" s="203"/>
      <c r="C9440" s="237"/>
      <c r="D9440" s="202"/>
      <c r="E9440" s="202"/>
      <c r="U9440" s="204"/>
    </row>
    <row r="9441" spans="2:21" x14ac:dyDescent="0.2">
      <c r="B9441" s="203"/>
      <c r="C9441" s="237"/>
      <c r="D9441" s="202"/>
      <c r="E9441" s="202"/>
      <c r="U9441" s="204"/>
    </row>
    <row r="9442" spans="2:21" x14ac:dyDescent="0.2">
      <c r="B9442" s="203"/>
      <c r="C9442" s="237"/>
      <c r="D9442" s="202"/>
      <c r="E9442" s="202"/>
      <c r="U9442" s="204"/>
    </row>
    <row r="9443" spans="2:21" x14ac:dyDescent="0.2">
      <c r="B9443" s="203"/>
      <c r="C9443" s="237"/>
      <c r="D9443" s="202"/>
      <c r="E9443" s="202"/>
      <c r="U9443" s="204"/>
    </row>
    <row r="9444" spans="2:21" x14ac:dyDescent="0.2">
      <c r="B9444" s="203"/>
      <c r="C9444" s="237"/>
      <c r="D9444" s="202"/>
      <c r="E9444" s="202"/>
      <c r="U9444" s="204"/>
    </row>
    <row r="9445" spans="2:21" x14ac:dyDescent="0.2">
      <c r="B9445" s="203"/>
      <c r="C9445" s="237"/>
      <c r="D9445" s="202"/>
      <c r="E9445" s="202"/>
      <c r="U9445" s="204"/>
    </row>
    <row r="9446" spans="2:21" x14ac:dyDescent="0.2">
      <c r="B9446" s="203"/>
      <c r="C9446" s="237"/>
      <c r="D9446" s="202"/>
      <c r="E9446" s="202"/>
      <c r="U9446" s="204"/>
    </row>
    <row r="9447" spans="2:21" x14ac:dyDescent="0.2">
      <c r="B9447" s="203"/>
      <c r="C9447" s="237"/>
      <c r="D9447" s="202"/>
      <c r="E9447" s="202"/>
      <c r="U9447" s="204"/>
    </row>
    <row r="9448" spans="2:21" x14ac:dyDescent="0.2">
      <c r="B9448" s="203"/>
      <c r="C9448" s="237"/>
      <c r="D9448" s="202"/>
      <c r="E9448" s="202"/>
      <c r="U9448" s="204"/>
    </row>
    <row r="9449" spans="2:21" x14ac:dyDescent="0.2">
      <c r="B9449" s="203"/>
      <c r="C9449" s="237"/>
      <c r="D9449" s="202"/>
      <c r="E9449" s="202"/>
      <c r="U9449" s="204"/>
    </row>
    <row r="9450" spans="2:21" x14ac:dyDescent="0.2">
      <c r="B9450" s="203"/>
      <c r="C9450" s="237"/>
      <c r="D9450" s="202"/>
      <c r="E9450" s="202"/>
      <c r="U9450" s="204"/>
    </row>
    <row r="9451" spans="2:21" x14ac:dyDescent="0.2">
      <c r="B9451" s="203"/>
      <c r="C9451" s="237"/>
      <c r="D9451" s="202"/>
      <c r="E9451" s="202"/>
      <c r="U9451" s="204"/>
    </row>
    <row r="9452" spans="2:21" x14ac:dyDescent="0.2">
      <c r="B9452" s="203"/>
      <c r="C9452" s="237"/>
      <c r="D9452" s="202"/>
      <c r="E9452" s="202"/>
      <c r="U9452" s="204"/>
    </row>
    <row r="9453" spans="2:21" x14ac:dyDescent="0.2">
      <c r="B9453" s="203"/>
      <c r="C9453" s="237"/>
      <c r="D9453" s="202"/>
      <c r="E9453" s="202"/>
      <c r="U9453" s="204"/>
    </row>
    <row r="9454" spans="2:21" x14ac:dyDescent="0.2">
      <c r="B9454" s="203"/>
      <c r="C9454" s="237"/>
      <c r="D9454" s="202"/>
      <c r="E9454" s="202"/>
      <c r="U9454" s="204"/>
    </row>
    <row r="9455" spans="2:21" x14ac:dyDescent="0.2">
      <c r="B9455" s="203"/>
      <c r="C9455" s="237"/>
      <c r="D9455" s="202"/>
      <c r="E9455" s="202"/>
      <c r="U9455" s="204"/>
    </row>
    <row r="9456" spans="2:21" x14ac:dyDescent="0.2">
      <c r="B9456" s="203"/>
      <c r="C9456" s="237"/>
      <c r="D9456" s="202"/>
      <c r="E9456" s="202"/>
      <c r="U9456" s="204"/>
    </row>
    <row r="9457" spans="2:21" x14ac:dyDescent="0.2">
      <c r="B9457" s="203"/>
      <c r="C9457" s="237"/>
      <c r="D9457" s="202"/>
      <c r="E9457" s="202"/>
      <c r="U9457" s="204"/>
    </row>
    <row r="9458" spans="2:21" x14ac:dyDescent="0.2">
      <c r="B9458" s="203"/>
      <c r="C9458" s="237"/>
      <c r="D9458" s="202"/>
      <c r="E9458" s="202"/>
      <c r="U9458" s="204"/>
    </row>
    <row r="9459" spans="2:21" x14ac:dyDescent="0.2">
      <c r="B9459" s="203"/>
      <c r="C9459" s="237"/>
      <c r="D9459" s="202"/>
      <c r="E9459" s="202"/>
      <c r="U9459" s="204"/>
    </row>
    <row r="9460" spans="2:21" x14ac:dyDescent="0.2">
      <c r="B9460" s="203"/>
      <c r="C9460" s="237"/>
      <c r="D9460" s="202"/>
      <c r="E9460" s="202"/>
      <c r="U9460" s="204"/>
    </row>
    <row r="9461" spans="2:21" x14ac:dyDescent="0.2">
      <c r="B9461" s="203"/>
      <c r="C9461" s="237"/>
      <c r="D9461" s="202"/>
      <c r="E9461" s="202"/>
      <c r="U9461" s="204"/>
    </row>
    <row r="9462" spans="2:21" x14ac:dyDescent="0.2">
      <c r="B9462" s="203"/>
      <c r="C9462" s="237"/>
      <c r="D9462" s="202"/>
      <c r="E9462" s="202"/>
      <c r="U9462" s="204"/>
    </row>
    <row r="9463" spans="2:21" x14ac:dyDescent="0.2">
      <c r="B9463" s="203"/>
      <c r="C9463" s="237"/>
      <c r="D9463" s="202"/>
      <c r="E9463" s="202"/>
      <c r="U9463" s="204"/>
    </row>
    <row r="9464" spans="2:21" x14ac:dyDescent="0.2">
      <c r="B9464" s="203"/>
      <c r="C9464" s="237"/>
      <c r="D9464" s="202"/>
      <c r="E9464" s="202"/>
      <c r="U9464" s="204"/>
    </row>
    <row r="9465" spans="2:21" x14ac:dyDescent="0.2">
      <c r="B9465" s="203"/>
      <c r="C9465" s="237"/>
      <c r="D9465" s="202"/>
      <c r="E9465" s="202"/>
      <c r="U9465" s="204"/>
    </row>
    <row r="9466" spans="2:21" x14ac:dyDescent="0.2">
      <c r="B9466" s="203"/>
      <c r="C9466" s="237"/>
      <c r="D9466" s="202"/>
      <c r="E9466" s="202"/>
      <c r="U9466" s="204"/>
    </row>
    <row r="9467" spans="2:21" x14ac:dyDescent="0.2">
      <c r="B9467" s="203"/>
      <c r="C9467" s="237"/>
      <c r="D9467" s="202"/>
      <c r="E9467" s="202"/>
      <c r="U9467" s="204"/>
    </row>
    <row r="9468" spans="2:21" x14ac:dyDescent="0.2">
      <c r="B9468" s="203"/>
      <c r="C9468" s="237"/>
      <c r="D9468" s="202"/>
      <c r="E9468" s="202"/>
      <c r="U9468" s="204"/>
    </row>
    <row r="9469" spans="2:21" x14ac:dyDescent="0.2">
      <c r="B9469" s="203"/>
      <c r="C9469" s="237"/>
      <c r="D9469" s="202"/>
      <c r="E9469" s="202"/>
      <c r="U9469" s="204"/>
    </row>
    <row r="9470" spans="2:21" x14ac:dyDescent="0.2">
      <c r="B9470" s="203"/>
      <c r="C9470" s="237"/>
      <c r="D9470" s="202"/>
      <c r="E9470" s="202"/>
      <c r="U9470" s="204"/>
    </row>
    <row r="9471" spans="2:21" x14ac:dyDescent="0.2">
      <c r="B9471" s="203"/>
      <c r="C9471" s="237"/>
      <c r="D9471" s="202"/>
      <c r="E9471" s="202"/>
      <c r="U9471" s="204"/>
    </row>
    <row r="9472" spans="2:21" x14ac:dyDescent="0.2">
      <c r="B9472" s="203"/>
      <c r="C9472" s="237"/>
      <c r="D9472" s="202"/>
      <c r="E9472" s="202"/>
      <c r="U9472" s="204"/>
    </row>
    <row r="9473" spans="2:21" x14ac:dyDescent="0.2">
      <c r="B9473" s="203"/>
      <c r="C9473" s="237"/>
      <c r="D9473" s="202"/>
      <c r="E9473" s="202"/>
      <c r="U9473" s="204"/>
    </row>
    <row r="9474" spans="2:21" x14ac:dyDescent="0.2">
      <c r="B9474" s="203"/>
      <c r="C9474" s="237"/>
      <c r="D9474" s="202"/>
      <c r="E9474" s="202"/>
      <c r="U9474" s="204"/>
    </row>
    <row r="9475" spans="2:21" x14ac:dyDescent="0.2">
      <c r="B9475" s="203"/>
      <c r="C9475" s="237"/>
      <c r="D9475" s="202"/>
      <c r="E9475" s="202"/>
      <c r="U9475" s="204"/>
    </row>
    <row r="9476" spans="2:21" x14ac:dyDescent="0.2">
      <c r="B9476" s="203"/>
      <c r="C9476" s="237"/>
      <c r="D9476" s="202"/>
      <c r="E9476" s="202"/>
      <c r="U9476" s="204"/>
    </row>
    <row r="9477" spans="2:21" x14ac:dyDescent="0.2">
      <c r="B9477" s="203"/>
      <c r="C9477" s="237"/>
      <c r="D9477" s="202"/>
      <c r="E9477" s="202"/>
      <c r="U9477" s="204"/>
    </row>
    <row r="9478" spans="2:21" x14ac:dyDescent="0.2">
      <c r="B9478" s="203"/>
      <c r="C9478" s="237"/>
      <c r="D9478" s="202"/>
      <c r="E9478" s="202"/>
      <c r="U9478" s="204"/>
    </row>
    <row r="9479" spans="2:21" x14ac:dyDescent="0.2">
      <c r="B9479" s="203"/>
      <c r="C9479" s="237"/>
      <c r="D9479" s="202"/>
      <c r="E9479" s="202"/>
      <c r="U9479" s="204"/>
    </row>
    <row r="9480" spans="2:21" x14ac:dyDescent="0.2">
      <c r="B9480" s="203"/>
      <c r="C9480" s="237"/>
      <c r="D9480" s="202"/>
      <c r="E9480" s="202"/>
      <c r="U9480" s="204"/>
    </row>
    <row r="9481" spans="2:21" x14ac:dyDescent="0.2">
      <c r="B9481" s="203"/>
      <c r="C9481" s="237"/>
      <c r="D9481" s="202"/>
      <c r="E9481" s="202"/>
      <c r="U9481" s="204"/>
    </row>
    <row r="9482" spans="2:21" x14ac:dyDescent="0.2">
      <c r="B9482" s="203"/>
      <c r="C9482" s="237"/>
      <c r="D9482" s="202"/>
      <c r="E9482" s="202"/>
      <c r="U9482" s="204"/>
    </row>
    <row r="9483" spans="2:21" x14ac:dyDescent="0.2">
      <c r="B9483" s="203"/>
      <c r="C9483" s="237"/>
      <c r="D9483" s="202"/>
      <c r="E9483" s="202"/>
      <c r="U9483" s="204"/>
    </row>
    <row r="9484" spans="2:21" x14ac:dyDescent="0.2">
      <c r="B9484" s="203"/>
      <c r="C9484" s="237"/>
      <c r="D9484" s="202"/>
      <c r="E9484" s="202"/>
      <c r="U9484" s="204"/>
    </row>
    <row r="9485" spans="2:21" x14ac:dyDescent="0.2">
      <c r="B9485" s="203"/>
      <c r="C9485" s="237"/>
      <c r="D9485" s="202"/>
      <c r="E9485" s="202"/>
      <c r="U9485" s="204"/>
    </row>
    <row r="9486" spans="2:21" x14ac:dyDescent="0.2">
      <c r="B9486" s="203"/>
      <c r="C9486" s="237"/>
      <c r="D9486" s="202"/>
      <c r="E9486" s="202"/>
      <c r="U9486" s="204"/>
    </row>
    <row r="9487" spans="2:21" x14ac:dyDescent="0.2">
      <c r="B9487" s="203"/>
      <c r="C9487" s="237"/>
      <c r="D9487" s="202"/>
      <c r="E9487" s="202"/>
      <c r="U9487" s="204"/>
    </row>
    <row r="9488" spans="2:21" x14ac:dyDescent="0.2">
      <c r="B9488" s="203"/>
      <c r="C9488" s="237"/>
      <c r="D9488" s="202"/>
      <c r="E9488" s="202"/>
      <c r="U9488" s="204"/>
    </row>
    <row r="9489" spans="2:21" x14ac:dyDescent="0.2">
      <c r="B9489" s="203"/>
      <c r="C9489" s="237"/>
      <c r="D9489" s="202"/>
      <c r="E9489" s="202"/>
      <c r="U9489" s="204"/>
    </row>
    <row r="9490" spans="2:21" x14ac:dyDescent="0.2">
      <c r="B9490" s="203"/>
      <c r="C9490" s="237"/>
      <c r="D9490" s="202"/>
      <c r="E9490" s="202"/>
      <c r="U9490" s="204"/>
    </row>
    <row r="9491" spans="2:21" x14ac:dyDescent="0.2">
      <c r="B9491" s="203"/>
      <c r="C9491" s="237"/>
      <c r="D9491" s="202"/>
      <c r="E9491" s="202"/>
      <c r="U9491" s="204"/>
    </row>
    <row r="9492" spans="2:21" x14ac:dyDescent="0.2">
      <c r="B9492" s="203"/>
      <c r="C9492" s="237"/>
      <c r="D9492" s="202"/>
      <c r="E9492" s="202"/>
      <c r="U9492" s="204"/>
    </row>
    <row r="9493" spans="2:21" x14ac:dyDescent="0.2">
      <c r="B9493" s="203"/>
      <c r="C9493" s="237"/>
      <c r="D9493" s="202"/>
      <c r="E9493" s="202"/>
      <c r="U9493" s="204"/>
    </row>
    <row r="9494" spans="2:21" x14ac:dyDescent="0.2">
      <c r="B9494" s="203"/>
      <c r="C9494" s="237"/>
      <c r="D9494" s="202"/>
      <c r="E9494" s="202"/>
      <c r="U9494" s="204"/>
    </row>
    <row r="9495" spans="2:21" x14ac:dyDescent="0.2">
      <c r="B9495" s="203"/>
      <c r="C9495" s="237"/>
      <c r="D9495" s="202"/>
      <c r="E9495" s="202"/>
      <c r="U9495" s="204"/>
    </row>
    <row r="9496" spans="2:21" x14ac:dyDescent="0.2">
      <c r="B9496" s="203"/>
      <c r="C9496" s="237"/>
      <c r="D9496" s="202"/>
      <c r="E9496" s="202"/>
      <c r="U9496" s="204"/>
    </row>
    <row r="9497" spans="2:21" x14ac:dyDescent="0.2">
      <c r="B9497" s="203"/>
      <c r="C9497" s="237"/>
      <c r="D9497" s="202"/>
      <c r="E9497" s="202"/>
      <c r="U9497" s="204"/>
    </row>
    <row r="9498" spans="2:21" x14ac:dyDescent="0.2">
      <c r="B9498" s="203"/>
      <c r="C9498" s="237"/>
      <c r="D9498" s="202"/>
      <c r="E9498" s="202"/>
      <c r="U9498" s="204"/>
    </row>
    <row r="9499" spans="2:21" x14ac:dyDescent="0.2">
      <c r="B9499" s="203"/>
      <c r="C9499" s="237"/>
      <c r="D9499" s="202"/>
      <c r="E9499" s="202"/>
      <c r="U9499" s="204"/>
    </row>
    <row r="9500" spans="2:21" x14ac:dyDescent="0.2">
      <c r="B9500" s="203"/>
      <c r="C9500" s="237"/>
      <c r="D9500" s="202"/>
      <c r="E9500" s="202"/>
      <c r="U9500" s="204"/>
    </row>
    <row r="9501" spans="2:21" x14ac:dyDescent="0.2">
      <c r="B9501" s="203"/>
      <c r="C9501" s="237"/>
      <c r="D9501" s="202"/>
      <c r="E9501" s="202"/>
      <c r="U9501" s="204"/>
    </row>
    <row r="9502" spans="2:21" x14ac:dyDescent="0.2">
      <c r="B9502" s="203"/>
      <c r="C9502" s="237"/>
      <c r="D9502" s="202"/>
      <c r="E9502" s="202"/>
      <c r="U9502" s="204"/>
    </row>
    <row r="9503" spans="2:21" x14ac:dyDescent="0.2">
      <c r="B9503" s="203"/>
      <c r="C9503" s="237"/>
      <c r="D9503" s="202"/>
      <c r="E9503" s="202"/>
      <c r="U9503" s="204"/>
    </row>
    <row r="9504" spans="2:21" x14ac:dyDescent="0.2">
      <c r="B9504" s="203"/>
      <c r="C9504" s="237"/>
      <c r="D9504" s="202"/>
      <c r="E9504" s="202"/>
      <c r="U9504" s="204"/>
    </row>
    <row r="9505" spans="2:21" x14ac:dyDescent="0.2">
      <c r="B9505" s="203"/>
      <c r="C9505" s="237"/>
      <c r="D9505" s="202"/>
      <c r="E9505" s="202"/>
      <c r="U9505" s="204"/>
    </row>
    <row r="9506" spans="2:21" x14ac:dyDescent="0.2">
      <c r="B9506" s="203"/>
      <c r="C9506" s="237"/>
      <c r="D9506" s="202"/>
      <c r="E9506" s="202"/>
      <c r="U9506" s="204"/>
    </row>
    <row r="9507" spans="2:21" x14ac:dyDescent="0.2">
      <c r="B9507" s="203"/>
      <c r="C9507" s="237"/>
      <c r="D9507" s="202"/>
      <c r="E9507" s="202"/>
      <c r="U9507" s="204"/>
    </row>
    <row r="9508" spans="2:21" x14ac:dyDescent="0.2">
      <c r="B9508" s="203"/>
      <c r="C9508" s="237"/>
      <c r="D9508" s="202"/>
      <c r="E9508" s="202"/>
      <c r="U9508" s="204"/>
    </row>
    <row r="9509" spans="2:21" x14ac:dyDescent="0.2">
      <c r="B9509" s="203"/>
      <c r="C9509" s="237"/>
      <c r="D9509" s="202"/>
      <c r="E9509" s="202"/>
      <c r="U9509" s="204"/>
    </row>
    <row r="9510" spans="2:21" x14ac:dyDescent="0.2">
      <c r="B9510" s="203"/>
      <c r="C9510" s="237"/>
      <c r="D9510" s="202"/>
      <c r="E9510" s="202"/>
      <c r="U9510" s="204"/>
    </row>
    <row r="9511" spans="2:21" x14ac:dyDescent="0.2">
      <c r="B9511" s="203"/>
      <c r="C9511" s="237"/>
      <c r="D9511" s="202"/>
      <c r="E9511" s="202"/>
      <c r="U9511" s="204"/>
    </row>
    <row r="9512" spans="2:21" x14ac:dyDescent="0.2">
      <c r="B9512" s="203"/>
      <c r="C9512" s="237"/>
      <c r="D9512" s="202"/>
      <c r="E9512" s="202"/>
      <c r="U9512" s="204"/>
    </row>
    <row r="9513" spans="2:21" x14ac:dyDescent="0.2">
      <c r="B9513" s="203"/>
      <c r="C9513" s="237"/>
      <c r="D9513" s="202"/>
      <c r="E9513" s="202"/>
      <c r="U9513" s="204"/>
    </row>
    <row r="9514" spans="2:21" x14ac:dyDescent="0.2">
      <c r="B9514" s="203"/>
      <c r="C9514" s="237"/>
      <c r="D9514" s="202"/>
      <c r="E9514" s="202"/>
      <c r="U9514" s="204"/>
    </row>
    <row r="9515" spans="2:21" x14ac:dyDescent="0.2">
      <c r="B9515" s="203"/>
      <c r="C9515" s="237"/>
      <c r="D9515" s="202"/>
      <c r="E9515" s="202"/>
      <c r="U9515" s="204"/>
    </row>
    <row r="9516" spans="2:21" x14ac:dyDescent="0.2">
      <c r="B9516" s="203"/>
      <c r="C9516" s="237"/>
      <c r="D9516" s="202"/>
      <c r="E9516" s="202"/>
      <c r="U9516" s="204"/>
    </row>
    <row r="9517" spans="2:21" x14ac:dyDescent="0.2">
      <c r="B9517" s="203"/>
      <c r="C9517" s="237"/>
      <c r="D9517" s="202"/>
      <c r="E9517" s="202"/>
      <c r="U9517" s="204"/>
    </row>
    <row r="9518" spans="2:21" x14ac:dyDescent="0.2">
      <c r="B9518" s="203"/>
      <c r="C9518" s="237"/>
      <c r="D9518" s="202"/>
      <c r="E9518" s="202"/>
      <c r="U9518" s="204"/>
    </row>
    <row r="9519" spans="2:21" x14ac:dyDescent="0.2">
      <c r="B9519" s="203"/>
      <c r="C9519" s="237"/>
      <c r="D9519" s="202"/>
      <c r="E9519" s="202"/>
      <c r="U9519" s="204"/>
    </row>
    <row r="9520" spans="2:21" x14ac:dyDescent="0.2">
      <c r="B9520" s="203"/>
      <c r="C9520" s="237"/>
      <c r="D9520" s="202"/>
      <c r="E9520" s="202"/>
      <c r="U9520" s="204"/>
    </row>
    <row r="9521" spans="2:21" x14ac:dyDescent="0.2">
      <c r="B9521" s="203"/>
      <c r="C9521" s="237"/>
      <c r="D9521" s="202"/>
      <c r="E9521" s="202"/>
      <c r="U9521" s="204"/>
    </row>
    <row r="9522" spans="2:21" x14ac:dyDescent="0.2">
      <c r="B9522" s="203"/>
      <c r="C9522" s="237"/>
      <c r="D9522" s="202"/>
      <c r="E9522" s="202"/>
      <c r="U9522" s="204"/>
    </row>
    <row r="9523" spans="2:21" x14ac:dyDescent="0.2">
      <c r="B9523" s="203"/>
      <c r="C9523" s="237"/>
      <c r="D9523" s="202"/>
      <c r="E9523" s="202"/>
      <c r="U9523" s="204"/>
    </row>
    <row r="9524" spans="2:21" x14ac:dyDescent="0.2">
      <c r="B9524" s="203"/>
      <c r="C9524" s="237"/>
      <c r="D9524" s="202"/>
      <c r="E9524" s="202"/>
      <c r="U9524" s="204"/>
    </row>
    <row r="9525" spans="2:21" x14ac:dyDescent="0.2">
      <c r="B9525" s="203"/>
      <c r="C9525" s="237"/>
      <c r="D9525" s="202"/>
      <c r="E9525" s="202"/>
      <c r="U9525" s="204"/>
    </row>
    <row r="9526" spans="2:21" x14ac:dyDescent="0.2">
      <c r="B9526" s="203"/>
      <c r="C9526" s="237"/>
      <c r="D9526" s="202"/>
      <c r="E9526" s="202"/>
      <c r="U9526" s="204"/>
    </row>
    <row r="9527" spans="2:21" x14ac:dyDescent="0.2">
      <c r="B9527" s="203"/>
      <c r="C9527" s="237"/>
      <c r="D9527" s="202"/>
      <c r="E9527" s="202"/>
      <c r="U9527" s="204"/>
    </row>
    <row r="9528" spans="2:21" x14ac:dyDescent="0.2">
      <c r="B9528" s="203"/>
      <c r="C9528" s="237"/>
      <c r="D9528" s="202"/>
      <c r="E9528" s="202"/>
      <c r="U9528" s="204"/>
    </row>
    <row r="9529" spans="2:21" x14ac:dyDescent="0.2">
      <c r="B9529" s="203"/>
      <c r="C9529" s="237"/>
      <c r="D9529" s="202"/>
      <c r="E9529" s="202"/>
      <c r="U9529" s="204"/>
    </row>
    <row r="9530" spans="2:21" x14ac:dyDescent="0.2">
      <c r="B9530" s="203"/>
      <c r="C9530" s="237"/>
      <c r="D9530" s="202"/>
      <c r="E9530" s="202"/>
      <c r="U9530" s="204"/>
    </row>
    <row r="9531" spans="2:21" x14ac:dyDescent="0.2">
      <c r="B9531" s="203"/>
      <c r="C9531" s="237"/>
      <c r="D9531" s="202"/>
      <c r="E9531" s="202"/>
      <c r="U9531" s="204"/>
    </row>
    <row r="9532" spans="2:21" x14ac:dyDescent="0.2">
      <c r="B9532" s="203"/>
      <c r="C9532" s="237"/>
      <c r="D9532" s="202"/>
      <c r="E9532" s="202"/>
      <c r="U9532" s="204"/>
    </row>
    <row r="9533" spans="2:21" x14ac:dyDescent="0.2">
      <c r="B9533" s="203"/>
      <c r="C9533" s="237"/>
      <c r="D9533" s="202"/>
      <c r="E9533" s="202"/>
      <c r="U9533" s="204"/>
    </row>
    <row r="9534" spans="2:21" x14ac:dyDescent="0.2">
      <c r="B9534" s="203"/>
      <c r="C9534" s="237"/>
      <c r="D9534" s="202"/>
      <c r="E9534" s="202"/>
      <c r="U9534" s="204"/>
    </row>
    <row r="9535" spans="2:21" x14ac:dyDescent="0.2">
      <c r="B9535" s="203"/>
      <c r="C9535" s="237"/>
      <c r="D9535" s="202"/>
      <c r="E9535" s="202"/>
      <c r="U9535" s="204"/>
    </row>
    <row r="9536" spans="2:21" x14ac:dyDescent="0.2">
      <c r="B9536" s="203"/>
      <c r="C9536" s="237"/>
      <c r="D9536" s="202"/>
      <c r="E9536" s="202"/>
      <c r="U9536" s="204"/>
    </row>
    <row r="9537" spans="2:21" x14ac:dyDescent="0.2">
      <c r="B9537" s="203"/>
      <c r="C9537" s="237"/>
      <c r="D9537" s="202"/>
      <c r="E9537" s="202"/>
      <c r="U9537" s="204"/>
    </row>
    <row r="9538" spans="2:21" x14ac:dyDescent="0.2">
      <c r="B9538" s="203"/>
      <c r="C9538" s="237"/>
      <c r="D9538" s="202"/>
      <c r="E9538" s="202"/>
      <c r="U9538" s="204"/>
    </row>
    <row r="9539" spans="2:21" x14ac:dyDescent="0.2">
      <c r="B9539" s="203"/>
      <c r="C9539" s="237"/>
      <c r="D9539" s="202"/>
      <c r="E9539" s="202"/>
      <c r="U9539" s="204"/>
    </row>
    <row r="9540" spans="2:21" x14ac:dyDescent="0.2">
      <c r="B9540" s="203"/>
      <c r="C9540" s="237"/>
      <c r="D9540" s="202"/>
      <c r="E9540" s="202"/>
      <c r="U9540" s="204"/>
    </row>
    <row r="9541" spans="2:21" x14ac:dyDescent="0.2">
      <c r="B9541" s="203"/>
      <c r="C9541" s="237"/>
      <c r="D9541" s="202"/>
      <c r="E9541" s="202"/>
      <c r="U9541" s="204"/>
    </row>
    <row r="9542" spans="2:21" x14ac:dyDescent="0.2">
      <c r="B9542" s="203"/>
      <c r="C9542" s="237"/>
      <c r="D9542" s="202"/>
      <c r="E9542" s="202"/>
      <c r="U9542" s="204"/>
    </row>
    <row r="9543" spans="2:21" x14ac:dyDescent="0.2">
      <c r="B9543" s="203"/>
      <c r="C9543" s="237"/>
      <c r="D9543" s="202"/>
      <c r="E9543" s="202"/>
      <c r="U9543" s="204"/>
    </row>
    <row r="9544" spans="2:21" x14ac:dyDescent="0.2">
      <c r="B9544" s="203"/>
      <c r="C9544" s="237"/>
      <c r="D9544" s="202"/>
      <c r="E9544" s="202"/>
      <c r="U9544" s="204"/>
    </row>
    <row r="9545" spans="2:21" x14ac:dyDescent="0.2">
      <c r="B9545" s="203"/>
      <c r="C9545" s="237"/>
      <c r="D9545" s="202"/>
      <c r="E9545" s="202"/>
      <c r="U9545" s="204"/>
    </row>
    <row r="9546" spans="2:21" x14ac:dyDescent="0.2">
      <c r="B9546" s="203"/>
      <c r="C9546" s="237"/>
      <c r="D9546" s="202"/>
      <c r="E9546" s="202"/>
      <c r="U9546" s="204"/>
    </row>
    <row r="9547" spans="2:21" x14ac:dyDescent="0.2">
      <c r="B9547" s="203"/>
      <c r="C9547" s="237"/>
      <c r="D9547" s="202"/>
      <c r="E9547" s="202"/>
      <c r="U9547" s="204"/>
    </row>
    <row r="9548" spans="2:21" x14ac:dyDescent="0.2">
      <c r="B9548" s="203"/>
      <c r="C9548" s="237"/>
      <c r="D9548" s="202"/>
      <c r="E9548" s="202"/>
      <c r="U9548" s="204"/>
    </row>
    <row r="9549" spans="2:21" x14ac:dyDescent="0.2">
      <c r="B9549" s="203"/>
      <c r="C9549" s="237"/>
      <c r="D9549" s="202"/>
      <c r="E9549" s="202"/>
      <c r="U9549" s="204"/>
    </row>
    <row r="9550" spans="2:21" x14ac:dyDescent="0.2">
      <c r="B9550" s="203"/>
      <c r="C9550" s="237"/>
      <c r="D9550" s="202"/>
      <c r="E9550" s="202"/>
      <c r="U9550" s="204"/>
    </row>
    <row r="9551" spans="2:21" x14ac:dyDescent="0.2">
      <c r="B9551" s="203"/>
      <c r="C9551" s="237"/>
      <c r="D9551" s="202"/>
      <c r="E9551" s="202"/>
      <c r="U9551" s="204"/>
    </row>
    <row r="9552" spans="2:21" x14ac:dyDescent="0.2">
      <c r="B9552" s="203"/>
      <c r="C9552" s="237"/>
      <c r="D9552" s="202"/>
      <c r="E9552" s="202"/>
      <c r="U9552" s="204"/>
    </row>
    <row r="9553" spans="2:21" x14ac:dyDescent="0.2">
      <c r="B9553" s="203"/>
      <c r="C9553" s="237"/>
      <c r="D9553" s="202"/>
      <c r="E9553" s="202"/>
      <c r="U9553" s="204"/>
    </row>
    <row r="9554" spans="2:21" x14ac:dyDescent="0.2">
      <c r="B9554" s="203"/>
      <c r="C9554" s="237"/>
      <c r="D9554" s="202"/>
      <c r="E9554" s="202"/>
      <c r="U9554" s="204"/>
    </row>
    <row r="9555" spans="2:21" x14ac:dyDescent="0.2">
      <c r="B9555" s="203"/>
      <c r="C9555" s="237"/>
      <c r="D9555" s="202"/>
      <c r="E9555" s="202"/>
      <c r="U9555" s="204"/>
    </row>
    <row r="9556" spans="2:21" x14ac:dyDescent="0.2">
      <c r="B9556" s="203"/>
      <c r="C9556" s="237"/>
      <c r="D9556" s="202"/>
      <c r="E9556" s="202"/>
      <c r="U9556" s="204"/>
    </row>
    <row r="9557" spans="2:21" x14ac:dyDescent="0.2">
      <c r="B9557" s="203"/>
      <c r="C9557" s="237"/>
      <c r="D9557" s="202"/>
      <c r="E9557" s="202"/>
      <c r="U9557" s="204"/>
    </row>
    <row r="9558" spans="2:21" x14ac:dyDescent="0.2">
      <c r="B9558" s="203"/>
      <c r="C9558" s="237"/>
      <c r="D9558" s="202"/>
      <c r="E9558" s="202"/>
      <c r="U9558" s="204"/>
    </row>
    <row r="9559" spans="2:21" x14ac:dyDescent="0.2">
      <c r="B9559" s="203"/>
      <c r="C9559" s="237"/>
      <c r="D9559" s="202"/>
      <c r="E9559" s="202"/>
      <c r="U9559" s="204"/>
    </row>
    <row r="9560" spans="2:21" x14ac:dyDescent="0.2">
      <c r="B9560" s="203"/>
      <c r="C9560" s="237"/>
      <c r="D9560" s="202"/>
      <c r="E9560" s="202"/>
      <c r="U9560" s="204"/>
    </row>
    <row r="9561" spans="2:21" x14ac:dyDescent="0.2">
      <c r="B9561" s="203"/>
      <c r="C9561" s="237"/>
      <c r="D9561" s="202"/>
      <c r="E9561" s="202"/>
      <c r="U9561" s="204"/>
    </row>
    <row r="9562" spans="2:21" x14ac:dyDescent="0.2">
      <c r="B9562" s="203"/>
      <c r="C9562" s="237"/>
      <c r="D9562" s="202"/>
      <c r="E9562" s="202"/>
      <c r="U9562" s="204"/>
    </row>
    <row r="9563" spans="2:21" x14ac:dyDescent="0.2">
      <c r="B9563" s="203"/>
      <c r="C9563" s="237"/>
      <c r="D9563" s="202"/>
      <c r="E9563" s="202"/>
      <c r="U9563" s="204"/>
    </row>
    <row r="9564" spans="2:21" x14ac:dyDescent="0.2">
      <c r="B9564" s="203"/>
      <c r="C9564" s="237"/>
      <c r="D9564" s="202"/>
      <c r="E9564" s="202"/>
      <c r="U9564" s="204"/>
    </row>
    <row r="9565" spans="2:21" x14ac:dyDescent="0.2">
      <c r="B9565" s="203"/>
      <c r="C9565" s="237"/>
      <c r="D9565" s="202"/>
      <c r="E9565" s="202"/>
      <c r="U9565" s="204"/>
    </row>
    <row r="9566" spans="2:21" x14ac:dyDescent="0.2">
      <c r="B9566" s="203"/>
      <c r="C9566" s="237"/>
      <c r="D9566" s="202"/>
      <c r="E9566" s="202"/>
      <c r="U9566" s="204"/>
    </row>
    <row r="9567" spans="2:21" x14ac:dyDescent="0.2">
      <c r="B9567" s="203"/>
      <c r="C9567" s="237"/>
      <c r="D9567" s="202"/>
      <c r="E9567" s="202"/>
      <c r="U9567" s="204"/>
    </row>
    <row r="9568" spans="2:21" x14ac:dyDescent="0.2">
      <c r="B9568" s="203"/>
      <c r="C9568" s="237"/>
      <c r="D9568" s="202"/>
      <c r="E9568" s="202"/>
      <c r="U9568" s="204"/>
    </row>
    <row r="9569" spans="2:21" x14ac:dyDescent="0.2">
      <c r="B9569" s="203"/>
      <c r="C9569" s="237"/>
      <c r="D9569" s="202"/>
      <c r="E9569" s="202"/>
      <c r="U9569" s="204"/>
    </row>
    <row r="9570" spans="2:21" x14ac:dyDescent="0.2">
      <c r="B9570" s="203"/>
      <c r="C9570" s="237"/>
      <c r="D9570" s="202"/>
      <c r="E9570" s="202"/>
      <c r="U9570" s="204"/>
    </row>
    <row r="9571" spans="2:21" x14ac:dyDescent="0.2">
      <c r="B9571" s="203"/>
      <c r="C9571" s="237"/>
      <c r="D9571" s="202"/>
      <c r="E9571" s="202"/>
      <c r="U9571" s="204"/>
    </row>
    <row r="9572" spans="2:21" x14ac:dyDescent="0.2">
      <c r="B9572" s="203"/>
      <c r="C9572" s="237"/>
      <c r="D9572" s="202"/>
      <c r="E9572" s="202"/>
      <c r="U9572" s="204"/>
    </row>
    <row r="9573" spans="2:21" x14ac:dyDescent="0.2">
      <c r="B9573" s="203"/>
      <c r="C9573" s="237"/>
      <c r="D9573" s="202"/>
      <c r="E9573" s="202"/>
      <c r="U9573" s="204"/>
    </row>
    <row r="9574" spans="2:21" x14ac:dyDescent="0.2">
      <c r="B9574" s="203"/>
      <c r="C9574" s="237"/>
      <c r="D9574" s="202"/>
      <c r="E9574" s="202"/>
      <c r="U9574" s="204"/>
    </row>
    <row r="9575" spans="2:21" x14ac:dyDescent="0.2">
      <c r="B9575" s="203"/>
      <c r="C9575" s="237"/>
      <c r="D9575" s="202"/>
      <c r="E9575" s="202"/>
      <c r="U9575" s="204"/>
    </row>
    <row r="9576" spans="2:21" x14ac:dyDescent="0.2">
      <c r="B9576" s="203"/>
      <c r="C9576" s="237"/>
      <c r="D9576" s="202"/>
      <c r="E9576" s="202"/>
      <c r="U9576" s="204"/>
    </row>
    <row r="9577" spans="2:21" x14ac:dyDescent="0.2">
      <c r="B9577" s="203"/>
      <c r="C9577" s="237"/>
      <c r="D9577" s="202"/>
      <c r="E9577" s="202"/>
      <c r="U9577" s="204"/>
    </row>
    <row r="9578" spans="2:21" x14ac:dyDescent="0.2">
      <c r="B9578" s="203"/>
      <c r="C9578" s="237"/>
      <c r="D9578" s="202"/>
      <c r="E9578" s="202"/>
      <c r="U9578" s="204"/>
    </row>
    <row r="9579" spans="2:21" x14ac:dyDescent="0.2">
      <c r="B9579" s="203"/>
      <c r="C9579" s="237"/>
      <c r="D9579" s="202"/>
      <c r="E9579" s="202"/>
      <c r="U9579" s="204"/>
    </row>
    <row r="9580" spans="2:21" x14ac:dyDescent="0.2">
      <c r="B9580" s="203"/>
      <c r="C9580" s="237"/>
      <c r="D9580" s="202"/>
      <c r="E9580" s="202"/>
      <c r="U9580" s="204"/>
    </row>
    <row r="9581" spans="2:21" x14ac:dyDescent="0.2">
      <c r="B9581" s="203"/>
      <c r="C9581" s="237"/>
      <c r="D9581" s="202"/>
      <c r="E9581" s="202"/>
      <c r="U9581" s="204"/>
    </row>
    <row r="9582" spans="2:21" x14ac:dyDescent="0.2">
      <c r="B9582" s="203"/>
      <c r="C9582" s="237"/>
      <c r="D9582" s="202"/>
      <c r="E9582" s="202"/>
      <c r="U9582" s="204"/>
    </row>
    <row r="9583" spans="2:21" x14ac:dyDescent="0.2">
      <c r="B9583" s="203"/>
      <c r="C9583" s="237"/>
      <c r="D9583" s="202"/>
      <c r="E9583" s="202"/>
      <c r="U9583" s="204"/>
    </row>
    <row r="9584" spans="2:21" x14ac:dyDescent="0.2">
      <c r="B9584" s="203"/>
      <c r="C9584" s="237"/>
      <c r="D9584" s="202"/>
      <c r="E9584" s="202"/>
      <c r="U9584" s="204"/>
    </row>
    <row r="9585" spans="2:21" x14ac:dyDescent="0.2">
      <c r="B9585" s="203"/>
      <c r="C9585" s="237"/>
      <c r="D9585" s="202"/>
      <c r="E9585" s="202"/>
      <c r="U9585" s="204"/>
    </row>
    <row r="9586" spans="2:21" x14ac:dyDescent="0.2">
      <c r="B9586" s="203"/>
      <c r="C9586" s="237"/>
      <c r="D9586" s="202"/>
      <c r="E9586" s="202"/>
      <c r="U9586" s="204"/>
    </row>
    <row r="9587" spans="2:21" x14ac:dyDescent="0.2">
      <c r="B9587" s="203"/>
      <c r="C9587" s="237"/>
      <c r="D9587" s="202"/>
      <c r="E9587" s="202"/>
      <c r="U9587" s="204"/>
    </row>
    <row r="9588" spans="2:21" x14ac:dyDescent="0.2">
      <c r="B9588" s="203"/>
      <c r="C9588" s="237"/>
      <c r="D9588" s="202"/>
      <c r="E9588" s="202"/>
      <c r="U9588" s="204"/>
    </row>
    <row r="9589" spans="2:21" x14ac:dyDescent="0.2">
      <c r="B9589" s="203"/>
      <c r="C9589" s="237"/>
      <c r="D9589" s="202"/>
      <c r="E9589" s="202"/>
      <c r="U9589" s="204"/>
    </row>
    <row r="9590" spans="2:21" x14ac:dyDescent="0.2">
      <c r="B9590" s="203"/>
      <c r="C9590" s="237"/>
      <c r="D9590" s="202"/>
      <c r="E9590" s="202"/>
      <c r="U9590" s="204"/>
    </row>
    <row r="9591" spans="2:21" x14ac:dyDescent="0.2">
      <c r="B9591" s="203"/>
      <c r="C9591" s="237"/>
      <c r="D9591" s="202"/>
      <c r="E9591" s="202"/>
      <c r="U9591" s="204"/>
    </row>
    <row r="9592" spans="2:21" x14ac:dyDescent="0.2">
      <c r="B9592" s="203"/>
      <c r="C9592" s="237"/>
      <c r="D9592" s="202"/>
      <c r="E9592" s="202"/>
      <c r="U9592" s="204"/>
    </row>
    <row r="9593" spans="2:21" x14ac:dyDescent="0.2">
      <c r="B9593" s="203"/>
      <c r="C9593" s="237"/>
      <c r="D9593" s="202"/>
      <c r="E9593" s="202"/>
      <c r="U9593" s="204"/>
    </row>
    <row r="9594" spans="2:21" x14ac:dyDescent="0.2">
      <c r="B9594" s="203"/>
      <c r="C9594" s="237"/>
      <c r="D9594" s="202"/>
      <c r="E9594" s="202"/>
      <c r="U9594" s="204"/>
    </row>
    <row r="9595" spans="2:21" x14ac:dyDescent="0.2">
      <c r="B9595" s="203"/>
      <c r="C9595" s="237"/>
      <c r="D9595" s="202"/>
      <c r="E9595" s="202"/>
      <c r="U9595" s="204"/>
    </row>
    <row r="9596" spans="2:21" x14ac:dyDescent="0.2">
      <c r="B9596" s="203"/>
      <c r="C9596" s="237"/>
      <c r="D9596" s="202"/>
      <c r="E9596" s="202"/>
      <c r="U9596" s="204"/>
    </row>
    <row r="9597" spans="2:21" x14ac:dyDescent="0.2">
      <c r="B9597" s="203"/>
      <c r="C9597" s="237"/>
      <c r="D9597" s="202"/>
      <c r="E9597" s="202"/>
      <c r="U9597" s="204"/>
    </row>
    <row r="9598" spans="2:21" x14ac:dyDescent="0.2">
      <c r="B9598" s="203"/>
      <c r="C9598" s="237"/>
      <c r="D9598" s="202"/>
      <c r="E9598" s="202"/>
      <c r="U9598" s="204"/>
    </row>
    <row r="9599" spans="2:21" x14ac:dyDescent="0.2">
      <c r="B9599" s="203"/>
      <c r="C9599" s="237"/>
      <c r="D9599" s="202"/>
      <c r="E9599" s="202"/>
      <c r="U9599" s="204"/>
    </row>
    <row r="9600" spans="2:21" x14ac:dyDescent="0.2">
      <c r="B9600" s="203"/>
      <c r="C9600" s="237"/>
      <c r="D9600" s="202"/>
      <c r="E9600" s="202"/>
      <c r="U9600" s="204"/>
    </row>
    <row r="9601" spans="2:21" x14ac:dyDescent="0.2">
      <c r="B9601" s="203"/>
      <c r="C9601" s="237"/>
      <c r="D9601" s="202"/>
      <c r="E9601" s="202"/>
      <c r="U9601" s="204"/>
    </row>
    <row r="9602" spans="2:21" x14ac:dyDescent="0.2">
      <c r="B9602" s="203"/>
      <c r="C9602" s="237"/>
      <c r="D9602" s="202"/>
      <c r="E9602" s="202"/>
      <c r="U9602" s="204"/>
    </row>
    <row r="9603" spans="2:21" x14ac:dyDescent="0.2">
      <c r="B9603" s="203"/>
      <c r="C9603" s="237"/>
      <c r="D9603" s="202"/>
      <c r="E9603" s="202"/>
      <c r="U9603" s="204"/>
    </row>
    <row r="9604" spans="2:21" x14ac:dyDescent="0.2">
      <c r="B9604" s="203"/>
      <c r="C9604" s="237"/>
      <c r="D9604" s="202"/>
      <c r="E9604" s="202"/>
      <c r="U9604" s="204"/>
    </row>
    <row r="9605" spans="2:21" x14ac:dyDescent="0.2">
      <c r="B9605" s="203"/>
      <c r="C9605" s="237"/>
      <c r="D9605" s="202"/>
      <c r="E9605" s="202"/>
      <c r="U9605" s="204"/>
    </row>
    <row r="9606" spans="2:21" x14ac:dyDescent="0.2">
      <c r="B9606" s="203"/>
      <c r="C9606" s="237"/>
      <c r="D9606" s="202"/>
      <c r="E9606" s="202"/>
      <c r="U9606" s="204"/>
    </row>
    <row r="9607" spans="2:21" x14ac:dyDescent="0.2">
      <c r="B9607" s="203"/>
      <c r="C9607" s="237"/>
      <c r="D9607" s="202"/>
      <c r="E9607" s="202"/>
      <c r="U9607" s="204"/>
    </row>
    <row r="9608" spans="2:21" x14ac:dyDescent="0.2">
      <c r="B9608" s="203"/>
      <c r="C9608" s="237"/>
      <c r="D9608" s="202"/>
      <c r="E9608" s="202"/>
      <c r="U9608" s="204"/>
    </row>
    <row r="9609" spans="2:21" x14ac:dyDescent="0.2">
      <c r="B9609" s="203"/>
      <c r="C9609" s="237"/>
      <c r="D9609" s="202"/>
      <c r="E9609" s="202"/>
      <c r="U9609" s="204"/>
    </row>
    <row r="9610" spans="2:21" x14ac:dyDescent="0.2">
      <c r="B9610" s="203"/>
      <c r="C9610" s="237"/>
      <c r="D9610" s="202"/>
      <c r="E9610" s="202"/>
      <c r="U9610" s="204"/>
    </row>
    <row r="9611" spans="2:21" x14ac:dyDescent="0.2">
      <c r="B9611" s="203"/>
      <c r="C9611" s="237"/>
      <c r="D9611" s="202"/>
      <c r="E9611" s="202"/>
      <c r="U9611" s="204"/>
    </row>
    <row r="9612" spans="2:21" x14ac:dyDescent="0.2">
      <c r="B9612" s="203"/>
      <c r="C9612" s="237"/>
      <c r="D9612" s="202"/>
      <c r="E9612" s="202"/>
      <c r="U9612" s="204"/>
    </row>
    <row r="9613" spans="2:21" x14ac:dyDescent="0.2">
      <c r="B9613" s="203"/>
      <c r="C9613" s="237"/>
      <c r="D9613" s="202"/>
      <c r="E9613" s="202"/>
      <c r="U9613" s="204"/>
    </row>
    <row r="9614" spans="2:21" x14ac:dyDescent="0.2">
      <c r="B9614" s="203"/>
      <c r="C9614" s="237"/>
      <c r="D9614" s="202"/>
      <c r="E9614" s="202"/>
      <c r="U9614" s="204"/>
    </row>
    <row r="9615" spans="2:21" x14ac:dyDescent="0.2">
      <c r="B9615" s="203"/>
      <c r="C9615" s="237"/>
      <c r="D9615" s="202"/>
      <c r="E9615" s="202"/>
      <c r="U9615" s="204"/>
    </row>
    <row r="9616" spans="2:21" x14ac:dyDescent="0.2">
      <c r="B9616" s="203"/>
      <c r="C9616" s="237"/>
      <c r="D9616" s="202"/>
      <c r="E9616" s="202"/>
      <c r="U9616" s="204"/>
    </row>
    <row r="9617" spans="2:21" x14ac:dyDescent="0.2">
      <c r="B9617" s="203"/>
      <c r="C9617" s="237"/>
      <c r="D9617" s="202"/>
      <c r="E9617" s="202"/>
      <c r="U9617" s="204"/>
    </row>
    <row r="9618" spans="2:21" x14ac:dyDescent="0.2">
      <c r="B9618" s="203"/>
      <c r="C9618" s="237"/>
      <c r="D9618" s="202"/>
      <c r="E9618" s="202"/>
      <c r="U9618" s="204"/>
    </row>
    <row r="9619" spans="2:21" x14ac:dyDescent="0.2">
      <c r="B9619" s="203"/>
      <c r="C9619" s="237"/>
      <c r="D9619" s="202"/>
      <c r="E9619" s="202"/>
      <c r="U9619" s="204"/>
    </row>
    <row r="9620" spans="2:21" x14ac:dyDescent="0.2">
      <c r="B9620" s="203"/>
      <c r="C9620" s="237"/>
      <c r="D9620" s="202"/>
      <c r="E9620" s="202"/>
      <c r="U9620" s="204"/>
    </row>
    <row r="9621" spans="2:21" x14ac:dyDescent="0.2">
      <c r="B9621" s="203"/>
      <c r="C9621" s="237"/>
      <c r="D9621" s="202"/>
      <c r="E9621" s="202"/>
      <c r="U9621" s="204"/>
    </row>
    <row r="9622" spans="2:21" x14ac:dyDescent="0.2">
      <c r="B9622" s="203"/>
      <c r="C9622" s="237"/>
      <c r="D9622" s="202"/>
      <c r="E9622" s="202"/>
      <c r="U9622" s="204"/>
    </row>
    <row r="9623" spans="2:21" x14ac:dyDescent="0.2">
      <c r="B9623" s="203"/>
      <c r="C9623" s="237"/>
      <c r="D9623" s="202"/>
      <c r="E9623" s="202"/>
      <c r="U9623" s="204"/>
    </row>
    <row r="9624" spans="2:21" x14ac:dyDescent="0.2">
      <c r="B9624" s="203"/>
      <c r="C9624" s="237"/>
      <c r="D9624" s="202"/>
      <c r="E9624" s="202"/>
      <c r="U9624" s="204"/>
    </row>
    <row r="9625" spans="2:21" x14ac:dyDescent="0.2">
      <c r="B9625" s="203"/>
      <c r="C9625" s="237"/>
      <c r="D9625" s="202"/>
      <c r="E9625" s="202"/>
      <c r="U9625" s="204"/>
    </row>
    <row r="9626" spans="2:21" x14ac:dyDescent="0.2">
      <c r="B9626" s="203"/>
      <c r="C9626" s="237"/>
      <c r="D9626" s="202"/>
      <c r="E9626" s="202"/>
      <c r="U9626" s="204"/>
    </row>
    <row r="9627" spans="2:21" x14ac:dyDescent="0.2">
      <c r="B9627" s="203"/>
      <c r="C9627" s="237"/>
      <c r="D9627" s="202"/>
      <c r="E9627" s="202"/>
      <c r="U9627" s="204"/>
    </row>
    <row r="9628" spans="2:21" x14ac:dyDescent="0.2">
      <c r="B9628" s="203"/>
      <c r="C9628" s="237"/>
      <c r="D9628" s="202"/>
      <c r="E9628" s="202"/>
      <c r="U9628" s="204"/>
    </row>
    <row r="9629" spans="2:21" x14ac:dyDescent="0.2">
      <c r="B9629" s="203"/>
      <c r="C9629" s="237"/>
      <c r="D9629" s="202"/>
      <c r="E9629" s="202"/>
      <c r="U9629" s="204"/>
    </row>
    <row r="9630" spans="2:21" x14ac:dyDescent="0.2">
      <c r="B9630" s="203"/>
      <c r="C9630" s="237"/>
      <c r="D9630" s="202"/>
      <c r="E9630" s="202"/>
      <c r="U9630" s="204"/>
    </row>
    <row r="9631" spans="2:21" x14ac:dyDescent="0.2">
      <c r="B9631" s="203"/>
      <c r="C9631" s="237"/>
      <c r="D9631" s="202"/>
      <c r="E9631" s="202"/>
      <c r="U9631" s="204"/>
    </row>
    <row r="9632" spans="2:21" x14ac:dyDescent="0.2">
      <c r="B9632" s="203"/>
      <c r="C9632" s="237"/>
      <c r="D9632" s="202"/>
      <c r="E9632" s="202"/>
      <c r="U9632" s="204"/>
    </row>
    <row r="9633" spans="2:21" x14ac:dyDescent="0.2">
      <c r="B9633" s="203"/>
      <c r="C9633" s="237"/>
      <c r="D9633" s="202"/>
      <c r="E9633" s="202"/>
      <c r="U9633" s="204"/>
    </row>
    <row r="9634" spans="2:21" x14ac:dyDescent="0.2">
      <c r="B9634" s="203"/>
      <c r="C9634" s="237"/>
      <c r="D9634" s="202"/>
      <c r="E9634" s="202"/>
      <c r="U9634" s="204"/>
    </row>
    <row r="9635" spans="2:21" x14ac:dyDescent="0.2">
      <c r="B9635" s="203"/>
      <c r="C9635" s="237"/>
      <c r="D9635" s="202"/>
      <c r="E9635" s="202"/>
      <c r="U9635" s="204"/>
    </row>
    <row r="9636" spans="2:21" x14ac:dyDescent="0.2">
      <c r="B9636" s="203"/>
      <c r="C9636" s="237"/>
      <c r="D9636" s="202"/>
      <c r="E9636" s="202"/>
      <c r="U9636" s="204"/>
    </row>
    <row r="9637" spans="2:21" x14ac:dyDescent="0.2">
      <c r="B9637" s="203"/>
      <c r="C9637" s="237"/>
      <c r="D9637" s="202"/>
      <c r="E9637" s="202"/>
      <c r="U9637" s="204"/>
    </row>
    <row r="9638" spans="2:21" x14ac:dyDescent="0.2">
      <c r="B9638" s="203"/>
      <c r="C9638" s="237"/>
      <c r="D9638" s="202"/>
      <c r="E9638" s="202"/>
      <c r="U9638" s="204"/>
    </row>
    <row r="9639" spans="2:21" x14ac:dyDescent="0.2">
      <c r="B9639" s="203"/>
      <c r="C9639" s="237"/>
      <c r="D9639" s="202"/>
      <c r="E9639" s="202"/>
      <c r="U9639" s="204"/>
    </row>
    <row r="9640" spans="2:21" x14ac:dyDescent="0.2">
      <c r="B9640" s="203"/>
      <c r="C9640" s="237"/>
      <c r="D9640" s="202"/>
      <c r="E9640" s="202"/>
      <c r="U9640" s="204"/>
    </row>
    <row r="9641" spans="2:21" x14ac:dyDescent="0.2">
      <c r="B9641" s="203"/>
      <c r="C9641" s="237"/>
      <c r="D9641" s="202"/>
      <c r="E9641" s="202"/>
      <c r="U9641" s="204"/>
    </row>
    <row r="9642" spans="2:21" x14ac:dyDescent="0.2">
      <c r="B9642" s="203"/>
      <c r="C9642" s="237"/>
      <c r="D9642" s="202"/>
      <c r="E9642" s="202"/>
      <c r="U9642" s="204"/>
    </row>
    <row r="9643" spans="2:21" x14ac:dyDescent="0.2">
      <c r="B9643" s="203"/>
      <c r="C9643" s="237"/>
      <c r="D9643" s="202"/>
      <c r="E9643" s="202"/>
      <c r="U9643" s="204"/>
    </row>
    <row r="9644" spans="2:21" x14ac:dyDescent="0.2">
      <c r="B9644" s="203"/>
      <c r="C9644" s="237"/>
      <c r="D9644" s="202"/>
      <c r="E9644" s="202"/>
      <c r="U9644" s="204"/>
    </row>
    <row r="9645" spans="2:21" x14ac:dyDescent="0.2">
      <c r="B9645" s="203"/>
      <c r="C9645" s="237"/>
      <c r="D9645" s="202"/>
      <c r="E9645" s="202"/>
      <c r="U9645" s="204"/>
    </row>
    <row r="9646" spans="2:21" x14ac:dyDescent="0.2">
      <c r="B9646" s="203"/>
      <c r="C9646" s="237"/>
      <c r="D9646" s="202"/>
      <c r="E9646" s="202"/>
      <c r="U9646" s="204"/>
    </row>
    <row r="9647" spans="2:21" x14ac:dyDescent="0.2">
      <c r="B9647" s="203"/>
      <c r="C9647" s="237"/>
      <c r="D9647" s="202"/>
      <c r="E9647" s="202"/>
      <c r="U9647" s="204"/>
    </row>
    <row r="9648" spans="2:21" x14ac:dyDescent="0.2">
      <c r="B9648" s="203"/>
      <c r="C9648" s="237"/>
      <c r="D9648" s="202"/>
      <c r="E9648" s="202"/>
      <c r="U9648" s="204"/>
    </row>
    <row r="9649" spans="2:21" x14ac:dyDescent="0.2">
      <c r="B9649" s="203"/>
      <c r="C9649" s="237"/>
      <c r="D9649" s="202"/>
      <c r="E9649" s="202"/>
      <c r="U9649" s="204"/>
    </row>
    <row r="9650" spans="2:21" x14ac:dyDescent="0.2">
      <c r="B9650" s="203"/>
      <c r="C9650" s="237"/>
      <c r="D9650" s="202"/>
      <c r="E9650" s="202"/>
      <c r="U9650" s="204"/>
    </row>
    <row r="9651" spans="2:21" x14ac:dyDescent="0.2">
      <c r="B9651" s="203"/>
      <c r="C9651" s="237"/>
      <c r="D9651" s="202"/>
      <c r="E9651" s="202"/>
      <c r="U9651" s="204"/>
    </row>
    <row r="9652" spans="2:21" x14ac:dyDescent="0.2">
      <c r="B9652" s="203"/>
      <c r="C9652" s="237"/>
      <c r="D9652" s="202"/>
      <c r="E9652" s="202"/>
      <c r="U9652" s="204"/>
    </row>
    <row r="9653" spans="2:21" x14ac:dyDescent="0.2">
      <c r="B9653" s="203"/>
      <c r="C9653" s="237"/>
      <c r="D9653" s="202"/>
      <c r="E9653" s="202"/>
      <c r="U9653" s="204"/>
    </row>
    <row r="9654" spans="2:21" x14ac:dyDescent="0.2">
      <c r="B9654" s="203"/>
      <c r="C9654" s="237"/>
      <c r="D9654" s="202"/>
      <c r="E9654" s="202"/>
      <c r="U9654" s="204"/>
    </row>
    <row r="9655" spans="2:21" x14ac:dyDescent="0.2">
      <c r="B9655" s="203"/>
      <c r="C9655" s="237"/>
      <c r="D9655" s="202"/>
      <c r="E9655" s="202"/>
      <c r="U9655" s="204"/>
    </row>
    <row r="9656" spans="2:21" x14ac:dyDescent="0.2">
      <c r="B9656" s="203"/>
      <c r="C9656" s="237"/>
      <c r="D9656" s="202"/>
      <c r="E9656" s="202"/>
      <c r="U9656" s="204"/>
    </row>
    <row r="9657" spans="2:21" x14ac:dyDescent="0.2">
      <c r="B9657" s="203"/>
      <c r="C9657" s="237"/>
      <c r="D9657" s="202"/>
      <c r="E9657" s="202"/>
      <c r="U9657" s="204"/>
    </row>
    <row r="9658" spans="2:21" x14ac:dyDescent="0.2">
      <c r="B9658" s="203"/>
      <c r="C9658" s="237"/>
      <c r="D9658" s="202"/>
      <c r="E9658" s="202"/>
      <c r="U9658" s="204"/>
    </row>
    <row r="9659" spans="2:21" x14ac:dyDescent="0.2">
      <c r="B9659" s="203"/>
      <c r="C9659" s="237"/>
      <c r="D9659" s="202"/>
      <c r="E9659" s="202"/>
      <c r="U9659" s="204"/>
    </row>
    <row r="9660" spans="2:21" x14ac:dyDescent="0.2">
      <c r="B9660" s="203"/>
      <c r="C9660" s="237"/>
      <c r="D9660" s="202"/>
      <c r="E9660" s="202"/>
      <c r="U9660" s="204"/>
    </row>
    <row r="9661" spans="2:21" x14ac:dyDescent="0.2">
      <c r="B9661" s="203"/>
      <c r="C9661" s="237"/>
      <c r="D9661" s="202"/>
      <c r="E9661" s="202"/>
      <c r="U9661" s="204"/>
    </row>
    <row r="9662" spans="2:21" x14ac:dyDescent="0.2">
      <c r="B9662" s="203"/>
      <c r="C9662" s="237"/>
      <c r="D9662" s="202"/>
      <c r="E9662" s="202"/>
      <c r="U9662" s="204"/>
    </row>
    <row r="9663" spans="2:21" x14ac:dyDescent="0.2">
      <c r="B9663" s="203"/>
      <c r="C9663" s="237"/>
      <c r="D9663" s="202"/>
      <c r="E9663" s="202"/>
      <c r="U9663" s="204"/>
    </row>
    <row r="9664" spans="2:21" x14ac:dyDescent="0.2">
      <c r="B9664" s="203"/>
      <c r="C9664" s="237"/>
      <c r="D9664" s="202"/>
      <c r="E9664" s="202"/>
      <c r="U9664" s="204"/>
    </row>
    <row r="9665" spans="2:21" x14ac:dyDescent="0.2">
      <c r="B9665" s="203"/>
      <c r="C9665" s="237"/>
      <c r="D9665" s="202"/>
      <c r="E9665" s="202"/>
      <c r="U9665" s="204"/>
    </row>
    <row r="9666" spans="2:21" x14ac:dyDescent="0.2">
      <c r="B9666" s="203"/>
      <c r="C9666" s="237"/>
      <c r="D9666" s="202"/>
      <c r="E9666" s="202"/>
      <c r="U9666" s="204"/>
    </row>
    <row r="9667" spans="2:21" x14ac:dyDescent="0.2">
      <c r="B9667" s="203"/>
      <c r="C9667" s="237"/>
      <c r="D9667" s="202"/>
      <c r="E9667" s="202"/>
      <c r="U9667" s="204"/>
    </row>
    <row r="9668" spans="2:21" x14ac:dyDescent="0.2">
      <c r="B9668" s="203"/>
      <c r="C9668" s="237"/>
      <c r="D9668" s="202"/>
      <c r="E9668" s="202"/>
      <c r="U9668" s="204"/>
    </row>
    <row r="9669" spans="2:21" x14ac:dyDescent="0.2">
      <c r="B9669" s="203"/>
      <c r="C9669" s="237"/>
      <c r="D9669" s="202"/>
      <c r="E9669" s="202"/>
      <c r="U9669" s="204"/>
    </row>
    <row r="9670" spans="2:21" x14ac:dyDescent="0.2">
      <c r="B9670" s="203"/>
      <c r="C9670" s="237"/>
      <c r="D9670" s="202"/>
      <c r="E9670" s="202"/>
      <c r="U9670" s="204"/>
    </row>
    <row r="9671" spans="2:21" x14ac:dyDescent="0.2">
      <c r="B9671" s="203"/>
      <c r="C9671" s="237"/>
      <c r="D9671" s="202"/>
      <c r="E9671" s="202"/>
      <c r="U9671" s="204"/>
    </row>
    <row r="9672" spans="2:21" x14ac:dyDescent="0.2">
      <c r="B9672" s="203"/>
      <c r="C9672" s="237"/>
      <c r="D9672" s="202"/>
      <c r="E9672" s="202"/>
      <c r="U9672" s="204"/>
    </row>
    <row r="9673" spans="2:21" x14ac:dyDescent="0.2">
      <c r="B9673" s="203"/>
      <c r="C9673" s="237"/>
      <c r="D9673" s="202"/>
      <c r="E9673" s="202"/>
      <c r="U9673" s="204"/>
    </row>
    <row r="9674" spans="2:21" x14ac:dyDescent="0.2">
      <c r="B9674" s="203"/>
      <c r="C9674" s="237"/>
      <c r="D9674" s="202"/>
      <c r="E9674" s="202"/>
      <c r="U9674" s="204"/>
    </row>
    <row r="9675" spans="2:21" x14ac:dyDescent="0.2">
      <c r="B9675" s="203"/>
      <c r="C9675" s="237"/>
      <c r="D9675" s="202"/>
      <c r="E9675" s="202"/>
      <c r="U9675" s="204"/>
    </row>
    <row r="9676" spans="2:21" x14ac:dyDescent="0.2">
      <c r="B9676" s="203"/>
      <c r="C9676" s="237"/>
      <c r="D9676" s="202"/>
      <c r="E9676" s="202"/>
      <c r="U9676" s="204"/>
    </row>
    <row r="9677" spans="2:21" x14ac:dyDescent="0.2">
      <c r="B9677" s="203"/>
      <c r="C9677" s="237"/>
      <c r="D9677" s="202"/>
      <c r="E9677" s="202"/>
      <c r="U9677" s="204"/>
    </row>
    <row r="9678" spans="2:21" x14ac:dyDescent="0.2">
      <c r="B9678" s="203"/>
      <c r="C9678" s="237"/>
      <c r="D9678" s="202"/>
      <c r="E9678" s="202"/>
      <c r="U9678" s="204"/>
    </row>
    <row r="9679" spans="2:21" x14ac:dyDescent="0.2">
      <c r="B9679" s="203"/>
      <c r="C9679" s="237"/>
      <c r="D9679" s="202"/>
      <c r="E9679" s="202"/>
      <c r="U9679" s="204"/>
    </row>
    <row r="9680" spans="2:21" x14ac:dyDescent="0.2">
      <c r="B9680" s="203"/>
      <c r="C9680" s="237"/>
      <c r="D9680" s="202"/>
      <c r="E9680" s="202"/>
      <c r="U9680" s="204"/>
    </row>
    <row r="9681" spans="2:21" x14ac:dyDescent="0.2">
      <c r="B9681" s="203"/>
      <c r="C9681" s="237"/>
      <c r="D9681" s="202"/>
      <c r="E9681" s="202"/>
      <c r="U9681" s="204"/>
    </row>
    <row r="9682" spans="2:21" x14ac:dyDescent="0.2">
      <c r="B9682" s="203"/>
      <c r="C9682" s="237"/>
      <c r="D9682" s="202"/>
      <c r="E9682" s="202"/>
      <c r="U9682" s="204"/>
    </row>
    <row r="9683" spans="2:21" x14ac:dyDescent="0.2">
      <c r="B9683" s="203"/>
      <c r="C9683" s="237"/>
      <c r="D9683" s="202"/>
      <c r="E9683" s="202"/>
      <c r="U9683" s="204"/>
    </row>
    <row r="9684" spans="2:21" x14ac:dyDescent="0.2">
      <c r="B9684" s="203"/>
      <c r="C9684" s="237"/>
      <c r="D9684" s="202"/>
      <c r="E9684" s="202"/>
      <c r="U9684" s="204"/>
    </row>
    <row r="9685" spans="2:21" x14ac:dyDescent="0.2">
      <c r="B9685" s="203"/>
      <c r="C9685" s="237"/>
      <c r="D9685" s="202"/>
      <c r="E9685" s="202"/>
      <c r="U9685" s="204"/>
    </row>
    <row r="9686" spans="2:21" x14ac:dyDescent="0.2">
      <c r="B9686" s="203"/>
      <c r="C9686" s="237"/>
      <c r="D9686" s="202"/>
      <c r="E9686" s="202"/>
      <c r="U9686" s="204"/>
    </row>
    <row r="9687" spans="2:21" x14ac:dyDescent="0.2">
      <c r="B9687" s="203"/>
      <c r="C9687" s="237"/>
      <c r="D9687" s="202"/>
      <c r="E9687" s="202"/>
      <c r="U9687" s="204"/>
    </row>
    <row r="9688" spans="2:21" x14ac:dyDescent="0.2">
      <c r="B9688" s="203"/>
      <c r="C9688" s="237"/>
      <c r="D9688" s="202"/>
      <c r="E9688" s="202"/>
      <c r="U9688" s="204"/>
    </row>
    <row r="9689" spans="2:21" x14ac:dyDescent="0.2">
      <c r="B9689" s="203"/>
      <c r="C9689" s="237"/>
      <c r="D9689" s="202"/>
      <c r="E9689" s="202"/>
      <c r="U9689" s="204"/>
    </row>
    <row r="9690" spans="2:21" x14ac:dyDescent="0.2">
      <c r="B9690" s="203"/>
      <c r="C9690" s="237"/>
      <c r="D9690" s="202"/>
      <c r="E9690" s="202"/>
      <c r="U9690" s="204"/>
    </row>
    <row r="9691" spans="2:21" x14ac:dyDescent="0.2">
      <c r="B9691" s="203"/>
      <c r="C9691" s="237"/>
      <c r="D9691" s="202"/>
      <c r="E9691" s="202"/>
      <c r="U9691" s="204"/>
    </row>
    <row r="9692" spans="2:21" x14ac:dyDescent="0.2">
      <c r="B9692" s="203"/>
      <c r="C9692" s="237"/>
      <c r="D9692" s="202"/>
      <c r="E9692" s="202"/>
      <c r="U9692" s="204"/>
    </row>
    <row r="9693" spans="2:21" x14ac:dyDescent="0.2">
      <c r="B9693" s="203"/>
      <c r="C9693" s="237"/>
      <c r="D9693" s="202"/>
      <c r="E9693" s="202"/>
      <c r="U9693" s="204"/>
    </row>
    <row r="9694" spans="2:21" x14ac:dyDescent="0.2">
      <c r="B9694" s="203"/>
      <c r="C9694" s="237"/>
      <c r="D9694" s="202"/>
      <c r="E9694" s="202"/>
      <c r="U9694" s="204"/>
    </row>
    <row r="9695" spans="2:21" x14ac:dyDescent="0.2">
      <c r="B9695" s="203"/>
      <c r="C9695" s="237"/>
      <c r="D9695" s="202"/>
      <c r="E9695" s="202"/>
      <c r="U9695" s="204"/>
    </row>
    <row r="9696" spans="2:21" x14ac:dyDescent="0.2">
      <c r="B9696" s="203"/>
      <c r="C9696" s="237"/>
      <c r="D9696" s="202"/>
      <c r="E9696" s="202"/>
      <c r="U9696" s="204"/>
    </row>
    <row r="9697" spans="2:21" x14ac:dyDescent="0.2">
      <c r="B9697" s="203"/>
      <c r="C9697" s="237"/>
      <c r="D9697" s="202"/>
      <c r="E9697" s="202"/>
      <c r="U9697" s="204"/>
    </row>
    <row r="9698" spans="2:21" x14ac:dyDescent="0.2">
      <c r="B9698" s="203"/>
      <c r="C9698" s="237"/>
      <c r="D9698" s="202"/>
      <c r="E9698" s="202"/>
      <c r="U9698" s="204"/>
    </row>
    <row r="9699" spans="2:21" x14ac:dyDescent="0.2">
      <c r="B9699" s="203"/>
      <c r="C9699" s="237"/>
      <c r="D9699" s="202"/>
      <c r="E9699" s="202"/>
      <c r="U9699" s="204"/>
    </row>
    <row r="9700" spans="2:21" x14ac:dyDescent="0.2">
      <c r="B9700" s="203"/>
      <c r="C9700" s="237"/>
      <c r="D9700" s="202"/>
      <c r="E9700" s="202"/>
      <c r="U9700" s="204"/>
    </row>
    <row r="9701" spans="2:21" x14ac:dyDescent="0.2">
      <c r="B9701" s="203"/>
      <c r="C9701" s="237"/>
      <c r="D9701" s="202"/>
      <c r="E9701" s="202"/>
      <c r="U9701" s="204"/>
    </row>
    <row r="9702" spans="2:21" x14ac:dyDescent="0.2">
      <c r="B9702" s="203"/>
      <c r="C9702" s="237"/>
      <c r="D9702" s="202"/>
      <c r="E9702" s="202"/>
      <c r="U9702" s="204"/>
    </row>
    <row r="9703" spans="2:21" x14ac:dyDescent="0.2">
      <c r="B9703" s="203"/>
      <c r="C9703" s="237"/>
      <c r="D9703" s="202"/>
      <c r="E9703" s="202"/>
      <c r="U9703" s="204"/>
    </row>
    <row r="9704" spans="2:21" x14ac:dyDescent="0.2">
      <c r="B9704" s="203"/>
      <c r="C9704" s="237"/>
      <c r="D9704" s="202"/>
      <c r="E9704" s="202"/>
      <c r="U9704" s="204"/>
    </row>
    <row r="9705" spans="2:21" x14ac:dyDescent="0.2">
      <c r="B9705" s="203"/>
      <c r="C9705" s="237"/>
      <c r="D9705" s="202"/>
      <c r="E9705" s="202"/>
      <c r="U9705" s="204"/>
    </row>
    <row r="9706" spans="2:21" x14ac:dyDescent="0.2">
      <c r="B9706" s="203"/>
      <c r="C9706" s="237"/>
      <c r="D9706" s="202"/>
      <c r="E9706" s="202"/>
      <c r="U9706" s="204"/>
    </row>
    <row r="9707" spans="2:21" x14ac:dyDescent="0.2">
      <c r="B9707" s="203"/>
      <c r="C9707" s="237"/>
      <c r="D9707" s="202"/>
      <c r="E9707" s="202"/>
      <c r="U9707" s="204"/>
    </row>
    <row r="9708" spans="2:21" x14ac:dyDescent="0.2">
      <c r="B9708" s="203"/>
      <c r="C9708" s="237"/>
      <c r="D9708" s="202"/>
      <c r="E9708" s="202"/>
      <c r="U9708" s="204"/>
    </row>
    <row r="9709" spans="2:21" x14ac:dyDescent="0.2">
      <c r="B9709" s="203"/>
      <c r="C9709" s="237"/>
      <c r="D9709" s="202"/>
      <c r="E9709" s="202"/>
      <c r="U9709" s="204"/>
    </row>
    <row r="9710" spans="2:21" x14ac:dyDescent="0.2">
      <c r="B9710" s="203"/>
      <c r="C9710" s="237"/>
      <c r="D9710" s="202"/>
      <c r="E9710" s="202"/>
      <c r="U9710" s="204"/>
    </row>
    <row r="9711" spans="2:21" x14ac:dyDescent="0.2">
      <c r="B9711" s="203"/>
      <c r="C9711" s="237"/>
      <c r="D9711" s="202"/>
      <c r="E9711" s="202"/>
      <c r="U9711" s="204"/>
    </row>
    <row r="9712" spans="2:21" x14ac:dyDescent="0.2">
      <c r="B9712" s="203"/>
      <c r="C9712" s="237"/>
      <c r="D9712" s="202"/>
      <c r="E9712" s="202"/>
      <c r="U9712" s="204"/>
    </row>
    <row r="9713" spans="2:21" x14ac:dyDescent="0.2">
      <c r="B9713" s="203"/>
      <c r="C9713" s="237"/>
      <c r="D9713" s="202"/>
      <c r="E9713" s="202"/>
      <c r="U9713" s="204"/>
    </row>
    <row r="9714" spans="2:21" x14ac:dyDescent="0.2">
      <c r="B9714" s="203"/>
      <c r="C9714" s="237"/>
      <c r="D9714" s="202"/>
      <c r="E9714" s="202"/>
      <c r="U9714" s="204"/>
    </row>
    <row r="9715" spans="2:21" x14ac:dyDescent="0.2">
      <c r="B9715" s="203"/>
      <c r="C9715" s="237"/>
      <c r="D9715" s="202"/>
      <c r="E9715" s="202"/>
      <c r="U9715" s="204"/>
    </row>
    <row r="9716" spans="2:21" x14ac:dyDescent="0.2">
      <c r="B9716" s="203"/>
      <c r="C9716" s="237"/>
      <c r="D9716" s="202"/>
      <c r="E9716" s="202"/>
      <c r="U9716" s="204"/>
    </row>
    <row r="9717" spans="2:21" x14ac:dyDescent="0.2">
      <c r="B9717" s="203"/>
      <c r="C9717" s="237"/>
      <c r="D9717" s="202"/>
      <c r="E9717" s="202"/>
      <c r="U9717" s="204"/>
    </row>
    <row r="9718" spans="2:21" x14ac:dyDescent="0.2">
      <c r="B9718" s="203"/>
      <c r="C9718" s="237"/>
      <c r="D9718" s="202"/>
      <c r="E9718" s="202"/>
      <c r="U9718" s="204"/>
    </row>
    <row r="9719" spans="2:21" x14ac:dyDescent="0.2">
      <c r="B9719" s="203"/>
      <c r="C9719" s="237"/>
      <c r="D9719" s="202"/>
      <c r="E9719" s="202"/>
      <c r="U9719" s="204"/>
    </row>
    <row r="9720" spans="2:21" x14ac:dyDescent="0.2">
      <c r="B9720" s="203"/>
      <c r="C9720" s="237"/>
      <c r="D9720" s="202"/>
      <c r="E9720" s="202"/>
      <c r="U9720" s="204"/>
    </row>
    <row r="9721" spans="2:21" x14ac:dyDescent="0.2">
      <c r="B9721" s="203"/>
      <c r="C9721" s="237"/>
      <c r="D9721" s="202"/>
      <c r="E9721" s="202"/>
      <c r="U9721" s="204"/>
    </row>
    <row r="9722" spans="2:21" x14ac:dyDescent="0.2">
      <c r="B9722" s="203"/>
      <c r="C9722" s="237"/>
      <c r="D9722" s="202"/>
      <c r="E9722" s="202"/>
      <c r="U9722" s="204"/>
    </row>
    <row r="9723" spans="2:21" x14ac:dyDescent="0.2">
      <c r="B9723" s="203"/>
      <c r="C9723" s="237"/>
      <c r="D9723" s="202"/>
      <c r="E9723" s="202"/>
      <c r="U9723" s="204"/>
    </row>
    <row r="9724" spans="2:21" x14ac:dyDescent="0.2">
      <c r="B9724" s="203"/>
      <c r="C9724" s="237"/>
      <c r="D9724" s="202"/>
      <c r="E9724" s="202"/>
      <c r="U9724" s="204"/>
    </row>
    <row r="9725" spans="2:21" x14ac:dyDescent="0.2">
      <c r="B9725" s="203"/>
      <c r="C9725" s="237"/>
      <c r="D9725" s="202"/>
      <c r="E9725" s="202"/>
      <c r="U9725" s="204"/>
    </row>
    <row r="9726" spans="2:21" x14ac:dyDescent="0.2">
      <c r="B9726" s="203"/>
      <c r="C9726" s="237"/>
      <c r="D9726" s="202"/>
      <c r="E9726" s="202"/>
      <c r="U9726" s="204"/>
    </row>
    <row r="9727" spans="2:21" x14ac:dyDescent="0.2">
      <c r="B9727" s="203"/>
      <c r="C9727" s="237"/>
      <c r="D9727" s="202"/>
      <c r="E9727" s="202"/>
      <c r="U9727" s="204"/>
    </row>
    <row r="9728" spans="2:21" x14ac:dyDescent="0.2">
      <c r="B9728" s="203"/>
      <c r="C9728" s="237"/>
      <c r="D9728" s="202"/>
      <c r="E9728" s="202"/>
      <c r="U9728" s="204"/>
    </row>
    <row r="9729" spans="2:21" x14ac:dyDescent="0.2">
      <c r="B9729" s="203"/>
      <c r="C9729" s="237"/>
      <c r="D9729" s="202"/>
      <c r="E9729" s="202"/>
      <c r="U9729" s="204"/>
    </row>
    <row r="9730" spans="2:21" x14ac:dyDescent="0.2">
      <c r="B9730" s="203"/>
      <c r="C9730" s="237"/>
      <c r="D9730" s="202"/>
      <c r="E9730" s="202"/>
      <c r="U9730" s="204"/>
    </row>
    <row r="9731" spans="2:21" x14ac:dyDescent="0.2">
      <c r="B9731" s="203"/>
      <c r="C9731" s="237"/>
      <c r="D9731" s="202"/>
      <c r="E9731" s="202"/>
      <c r="U9731" s="204"/>
    </row>
    <row r="9732" spans="2:21" x14ac:dyDescent="0.2">
      <c r="B9732" s="203"/>
      <c r="C9732" s="237"/>
      <c r="D9732" s="202"/>
      <c r="E9732" s="202"/>
      <c r="U9732" s="204"/>
    </row>
    <row r="9733" spans="2:21" x14ac:dyDescent="0.2">
      <c r="B9733" s="203"/>
      <c r="C9733" s="237"/>
      <c r="D9733" s="202"/>
      <c r="E9733" s="202"/>
      <c r="U9733" s="204"/>
    </row>
    <row r="9734" spans="2:21" x14ac:dyDescent="0.2">
      <c r="B9734" s="203"/>
      <c r="C9734" s="237"/>
      <c r="D9734" s="202"/>
      <c r="E9734" s="202"/>
      <c r="U9734" s="204"/>
    </row>
    <row r="9735" spans="2:21" x14ac:dyDescent="0.2">
      <c r="B9735" s="203"/>
      <c r="C9735" s="237"/>
      <c r="D9735" s="202"/>
      <c r="E9735" s="202"/>
      <c r="U9735" s="204"/>
    </row>
    <row r="9736" spans="2:21" x14ac:dyDescent="0.2">
      <c r="B9736" s="203"/>
      <c r="C9736" s="237"/>
      <c r="D9736" s="202"/>
      <c r="E9736" s="202"/>
      <c r="U9736" s="204"/>
    </row>
    <row r="9737" spans="2:21" x14ac:dyDescent="0.2">
      <c r="B9737" s="203"/>
      <c r="C9737" s="237"/>
      <c r="D9737" s="202"/>
      <c r="E9737" s="202"/>
      <c r="U9737" s="204"/>
    </row>
    <row r="9738" spans="2:21" x14ac:dyDescent="0.2">
      <c r="B9738" s="203"/>
      <c r="C9738" s="237"/>
      <c r="D9738" s="202"/>
      <c r="E9738" s="202"/>
      <c r="U9738" s="204"/>
    </row>
    <row r="9739" spans="2:21" x14ac:dyDescent="0.2">
      <c r="B9739" s="203"/>
      <c r="C9739" s="237"/>
      <c r="D9739" s="202"/>
      <c r="E9739" s="202"/>
      <c r="U9739" s="204"/>
    </row>
    <row r="9740" spans="2:21" x14ac:dyDescent="0.2">
      <c r="B9740" s="203"/>
      <c r="C9740" s="237"/>
      <c r="D9740" s="202"/>
      <c r="E9740" s="202"/>
      <c r="U9740" s="204"/>
    </row>
    <row r="9741" spans="2:21" x14ac:dyDescent="0.2">
      <c r="B9741" s="203"/>
      <c r="C9741" s="237"/>
      <c r="D9741" s="202"/>
      <c r="E9741" s="202"/>
      <c r="U9741" s="204"/>
    </row>
    <row r="9742" spans="2:21" x14ac:dyDescent="0.2">
      <c r="B9742" s="203"/>
      <c r="C9742" s="237"/>
      <c r="D9742" s="202"/>
      <c r="E9742" s="202"/>
      <c r="U9742" s="204"/>
    </row>
    <row r="9743" spans="2:21" x14ac:dyDescent="0.2">
      <c r="B9743" s="203"/>
      <c r="C9743" s="237"/>
      <c r="D9743" s="202"/>
      <c r="E9743" s="202"/>
      <c r="U9743" s="204"/>
    </row>
    <row r="9744" spans="2:21" x14ac:dyDescent="0.2">
      <c r="B9744" s="203"/>
      <c r="C9744" s="237"/>
      <c r="D9744" s="202"/>
      <c r="E9744" s="202"/>
      <c r="U9744" s="204"/>
    </row>
    <row r="9745" spans="2:21" x14ac:dyDescent="0.2">
      <c r="B9745" s="203"/>
      <c r="C9745" s="237"/>
      <c r="D9745" s="202"/>
      <c r="E9745" s="202"/>
      <c r="U9745" s="204"/>
    </row>
    <row r="9746" spans="2:21" x14ac:dyDescent="0.2">
      <c r="B9746" s="203"/>
      <c r="C9746" s="237"/>
      <c r="D9746" s="202"/>
      <c r="E9746" s="202"/>
      <c r="U9746" s="204"/>
    </row>
    <row r="9747" spans="2:21" x14ac:dyDescent="0.2">
      <c r="B9747" s="203"/>
      <c r="C9747" s="237"/>
      <c r="D9747" s="202"/>
      <c r="E9747" s="202"/>
      <c r="U9747" s="204"/>
    </row>
    <row r="9748" spans="2:21" x14ac:dyDescent="0.2">
      <c r="B9748" s="203"/>
      <c r="C9748" s="237"/>
      <c r="D9748" s="202"/>
      <c r="E9748" s="202"/>
      <c r="U9748" s="204"/>
    </row>
    <row r="9749" spans="2:21" x14ac:dyDescent="0.2">
      <c r="B9749" s="203"/>
      <c r="C9749" s="237"/>
      <c r="D9749" s="202"/>
      <c r="E9749" s="202"/>
      <c r="U9749" s="204"/>
    </row>
    <row r="9750" spans="2:21" x14ac:dyDescent="0.2">
      <c r="B9750" s="203"/>
      <c r="C9750" s="237"/>
      <c r="D9750" s="202"/>
      <c r="E9750" s="202"/>
      <c r="U9750" s="204"/>
    </row>
    <row r="9751" spans="2:21" x14ac:dyDescent="0.2">
      <c r="B9751" s="203"/>
      <c r="C9751" s="237"/>
      <c r="D9751" s="202"/>
      <c r="E9751" s="202"/>
      <c r="U9751" s="204"/>
    </row>
    <row r="9752" spans="2:21" x14ac:dyDescent="0.2">
      <c r="B9752" s="203"/>
      <c r="C9752" s="237"/>
      <c r="D9752" s="202"/>
      <c r="E9752" s="202"/>
      <c r="U9752" s="204"/>
    </row>
    <row r="9753" spans="2:21" x14ac:dyDescent="0.2">
      <c r="B9753" s="203"/>
      <c r="C9753" s="237"/>
      <c r="D9753" s="202"/>
      <c r="E9753" s="202"/>
      <c r="U9753" s="204"/>
    </row>
    <row r="9754" spans="2:21" x14ac:dyDescent="0.2">
      <c r="B9754" s="203"/>
      <c r="C9754" s="237"/>
      <c r="D9754" s="202"/>
      <c r="E9754" s="202"/>
      <c r="U9754" s="204"/>
    </row>
    <row r="9755" spans="2:21" x14ac:dyDescent="0.2">
      <c r="B9755" s="203"/>
      <c r="C9755" s="237"/>
      <c r="D9755" s="202"/>
      <c r="E9755" s="202"/>
      <c r="U9755" s="204"/>
    </row>
    <row r="9756" spans="2:21" x14ac:dyDescent="0.2">
      <c r="B9756" s="203"/>
      <c r="C9756" s="237"/>
      <c r="D9756" s="202"/>
      <c r="E9756" s="202"/>
      <c r="U9756" s="204"/>
    </row>
    <row r="9757" spans="2:21" x14ac:dyDescent="0.2">
      <c r="B9757" s="203"/>
      <c r="C9757" s="237"/>
      <c r="D9757" s="202"/>
      <c r="E9757" s="202"/>
      <c r="U9757" s="204"/>
    </row>
    <row r="9758" spans="2:21" x14ac:dyDescent="0.2">
      <c r="B9758" s="203"/>
      <c r="C9758" s="237"/>
      <c r="D9758" s="202"/>
      <c r="E9758" s="202"/>
      <c r="U9758" s="204"/>
    </row>
    <row r="9759" spans="2:21" x14ac:dyDescent="0.2">
      <c r="B9759" s="203"/>
      <c r="C9759" s="237"/>
      <c r="D9759" s="202"/>
      <c r="E9759" s="202"/>
      <c r="U9759" s="204"/>
    </row>
    <row r="9760" spans="2:21" x14ac:dyDescent="0.2">
      <c r="B9760" s="203"/>
      <c r="C9760" s="237"/>
      <c r="D9760" s="202"/>
      <c r="E9760" s="202"/>
      <c r="U9760" s="204"/>
    </row>
    <row r="9761" spans="2:21" x14ac:dyDescent="0.2">
      <c r="B9761" s="203"/>
      <c r="C9761" s="237"/>
      <c r="D9761" s="202"/>
      <c r="E9761" s="202"/>
      <c r="U9761" s="204"/>
    </row>
    <row r="9762" spans="2:21" x14ac:dyDescent="0.2">
      <c r="B9762" s="203"/>
      <c r="C9762" s="237"/>
      <c r="D9762" s="202"/>
      <c r="E9762" s="202"/>
      <c r="U9762" s="204"/>
    </row>
    <row r="9763" spans="2:21" x14ac:dyDescent="0.2">
      <c r="B9763" s="203"/>
      <c r="C9763" s="237"/>
      <c r="D9763" s="202"/>
      <c r="E9763" s="202"/>
      <c r="U9763" s="204"/>
    </row>
    <row r="9764" spans="2:21" x14ac:dyDescent="0.2">
      <c r="B9764" s="203"/>
      <c r="C9764" s="237"/>
      <c r="D9764" s="202"/>
      <c r="E9764" s="202"/>
      <c r="U9764" s="204"/>
    </row>
    <row r="9765" spans="2:21" x14ac:dyDescent="0.2">
      <c r="B9765" s="203"/>
      <c r="C9765" s="237"/>
      <c r="D9765" s="202"/>
      <c r="E9765" s="202"/>
      <c r="U9765" s="204"/>
    </row>
    <row r="9766" spans="2:21" x14ac:dyDescent="0.2">
      <c r="B9766" s="203"/>
      <c r="C9766" s="237"/>
      <c r="D9766" s="202"/>
      <c r="E9766" s="202"/>
      <c r="U9766" s="204"/>
    </row>
    <row r="9767" spans="2:21" x14ac:dyDescent="0.2">
      <c r="B9767" s="203"/>
      <c r="C9767" s="237"/>
      <c r="D9767" s="202"/>
      <c r="E9767" s="202"/>
      <c r="U9767" s="204"/>
    </row>
    <row r="9768" spans="2:21" x14ac:dyDescent="0.2">
      <c r="B9768" s="203"/>
      <c r="C9768" s="237"/>
      <c r="D9768" s="202"/>
      <c r="E9768" s="202"/>
      <c r="U9768" s="204"/>
    </row>
    <row r="9769" spans="2:21" x14ac:dyDescent="0.2">
      <c r="B9769" s="203"/>
      <c r="C9769" s="237"/>
      <c r="D9769" s="202"/>
      <c r="E9769" s="202"/>
      <c r="U9769" s="204"/>
    </row>
    <row r="9770" spans="2:21" x14ac:dyDescent="0.2">
      <c r="B9770" s="203"/>
      <c r="C9770" s="237"/>
      <c r="D9770" s="202"/>
      <c r="E9770" s="202"/>
      <c r="U9770" s="204"/>
    </row>
    <row r="9771" spans="2:21" x14ac:dyDescent="0.2">
      <c r="B9771" s="203"/>
      <c r="C9771" s="237"/>
      <c r="D9771" s="202"/>
      <c r="E9771" s="202"/>
      <c r="U9771" s="204"/>
    </row>
    <row r="9772" spans="2:21" x14ac:dyDescent="0.2">
      <c r="B9772" s="203"/>
      <c r="C9772" s="237"/>
      <c r="D9772" s="202"/>
      <c r="E9772" s="202"/>
      <c r="U9772" s="204"/>
    </row>
    <row r="9773" spans="2:21" x14ac:dyDescent="0.2">
      <c r="B9773" s="203"/>
      <c r="C9773" s="237"/>
      <c r="D9773" s="202"/>
      <c r="E9773" s="202"/>
      <c r="U9773" s="204"/>
    </row>
    <row r="9774" spans="2:21" x14ac:dyDescent="0.2">
      <c r="B9774" s="203"/>
      <c r="C9774" s="237"/>
      <c r="D9774" s="202"/>
      <c r="E9774" s="202"/>
      <c r="U9774" s="204"/>
    </row>
    <row r="9775" spans="2:21" x14ac:dyDescent="0.2">
      <c r="B9775" s="203"/>
      <c r="C9775" s="237"/>
      <c r="D9775" s="202"/>
      <c r="E9775" s="202"/>
      <c r="U9775" s="204"/>
    </row>
    <row r="9776" spans="2:21" x14ac:dyDescent="0.2">
      <c r="B9776" s="203"/>
      <c r="C9776" s="237"/>
      <c r="D9776" s="202"/>
      <c r="E9776" s="202"/>
      <c r="U9776" s="204"/>
    </row>
    <row r="9777" spans="2:21" x14ac:dyDescent="0.2">
      <c r="B9777" s="203"/>
      <c r="C9777" s="237"/>
      <c r="D9777" s="202"/>
      <c r="E9777" s="202"/>
      <c r="U9777" s="204"/>
    </row>
    <row r="9778" spans="2:21" x14ac:dyDescent="0.2">
      <c r="B9778" s="203"/>
      <c r="C9778" s="237"/>
      <c r="D9778" s="202"/>
      <c r="E9778" s="202"/>
      <c r="U9778" s="204"/>
    </row>
    <row r="9779" spans="2:21" x14ac:dyDescent="0.2">
      <c r="B9779" s="203"/>
      <c r="C9779" s="237"/>
      <c r="D9779" s="202"/>
      <c r="E9779" s="202"/>
      <c r="U9779" s="204"/>
    </row>
    <row r="9780" spans="2:21" x14ac:dyDescent="0.2">
      <c r="B9780" s="203"/>
      <c r="C9780" s="237"/>
      <c r="D9780" s="202"/>
      <c r="E9780" s="202"/>
      <c r="U9780" s="204"/>
    </row>
    <row r="9781" spans="2:21" x14ac:dyDescent="0.2">
      <c r="B9781" s="203"/>
      <c r="C9781" s="237"/>
      <c r="D9781" s="202"/>
      <c r="E9781" s="202"/>
      <c r="U9781" s="204"/>
    </row>
    <row r="9782" spans="2:21" x14ac:dyDescent="0.2">
      <c r="B9782" s="203"/>
      <c r="C9782" s="237"/>
      <c r="D9782" s="202"/>
      <c r="E9782" s="202"/>
      <c r="U9782" s="204"/>
    </row>
    <row r="9783" spans="2:21" x14ac:dyDescent="0.2">
      <c r="B9783" s="203"/>
      <c r="C9783" s="237"/>
      <c r="D9783" s="202"/>
      <c r="E9783" s="202"/>
      <c r="U9783" s="204"/>
    </row>
    <row r="9784" spans="2:21" x14ac:dyDescent="0.2">
      <c r="B9784" s="203"/>
      <c r="C9784" s="237"/>
      <c r="D9784" s="202"/>
      <c r="E9784" s="202"/>
      <c r="U9784" s="204"/>
    </row>
    <row r="9785" spans="2:21" x14ac:dyDescent="0.2">
      <c r="B9785" s="203"/>
      <c r="C9785" s="237"/>
      <c r="D9785" s="202"/>
      <c r="E9785" s="202"/>
      <c r="U9785" s="204"/>
    </row>
    <row r="9786" spans="2:21" x14ac:dyDescent="0.2">
      <c r="B9786" s="203"/>
      <c r="C9786" s="237"/>
      <c r="D9786" s="202"/>
      <c r="E9786" s="202"/>
      <c r="U9786" s="204"/>
    </row>
    <row r="9787" spans="2:21" x14ac:dyDescent="0.2">
      <c r="B9787" s="203"/>
      <c r="C9787" s="237"/>
      <c r="D9787" s="202"/>
      <c r="E9787" s="202"/>
      <c r="U9787" s="204"/>
    </row>
    <row r="9788" spans="2:21" x14ac:dyDescent="0.2">
      <c r="B9788" s="203"/>
      <c r="C9788" s="237"/>
      <c r="D9788" s="202"/>
      <c r="E9788" s="202"/>
      <c r="U9788" s="204"/>
    </row>
    <row r="9789" spans="2:21" x14ac:dyDescent="0.2">
      <c r="B9789" s="203"/>
      <c r="C9789" s="237"/>
      <c r="D9789" s="202"/>
      <c r="E9789" s="202"/>
      <c r="U9789" s="204"/>
    </row>
    <row r="9790" spans="2:21" x14ac:dyDescent="0.2">
      <c r="B9790" s="203"/>
      <c r="C9790" s="237"/>
      <c r="D9790" s="202"/>
      <c r="E9790" s="202"/>
      <c r="U9790" s="204"/>
    </row>
    <row r="9791" spans="2:21" x14ac:dyDescent="0.2">
      <c r="B9791" s="203"/>
      <c r="C9791" s="237"/>
      <c r="D9791" s="202"/>
      <c r="E9791" s="202"/>
      <c r="U9791" s="204"/>
    </row>
    <row r="9792" spans="2:21" x14ac:dyDescent="0.2">
      <c r="B9792" s="203"/>
      <c r="C9792" s="237"/>
      <c r="D9792" s="202"/>
      <c r="E9792" s="202"/>
      <c r="U9792" s="204"/>
    </row>
    <row r="9793" spans="2:21" x14ac:dyDescent="0.2">
      <c r="B9793" s="203"/>
      <c r="C9793" s="237"/>
      <c r="D9793" s="202"/>
      <c r="E9793" s="202"/>
      <c r="U9793" s="204"/>
    </row>
    <row r="9794" spans="2:21" x14ac:dyDescent="0.2">
      <c r="B9794" s="203"/>
      <c r="C9794" s="237"/>
      <c r="D9794" s="202"/>
      <c r="E9794" s="202"/>
      <c r="U9794" s="204"/>
    </row>
    <row r="9795" spans="2:21" x14ac:dyDescent="0.2">
      <c r="B9795" s="203"/>
      <c r="C9795" s="237"/>
      <c r="D9795" s="202"/>
      <c r="E9795" s="202"/>
      <c r="U9795" s="204"/>
    </row>
    <row r="9796" spans="2:21" x14ac:dyDescent="0.2">
      <c r="B9796" s="203"/>
      <c r="C9796" s="237"/>
      <c r="D9796" s="202"/>
      <c r="E9796" s="202"/>
      <c r="U9796" s="204"/>
    </row>
    <row r="9797" spans="2:21" x14ac:dyDescent="0.2">
      <c r="B9797" s="203"/>
      <c r="C9797" s="237"/>
      <c r="D9797" s="202"/>
      <c r="E9797" s="202"/>
      <c r="U9797" s="204"/>
    </row>
    <row r="9798" spans="2:21" x14ac:dyDescent="0.2">
      <c r="B9798" s="203"/>
      <c r="C9798" s="237"/>
      <c r="D9798" s="202"/>
      <c r="E9798" s="202"/>
      <c r="U9798" s="204"/>
    </row>
    <row r="9799" spans="2:21" x14ac:dyDescent="0.2">
      <c r="B9799" s="203"/>
      <c r="C9799" s="237"/>
      <c r="D9799" s="202"/>
      <c r="E9799" s="202"/>
      <c r="U9799" s="204"/>
    </row>
    <row r="9800" spans="2:21" x14ac:dyDescent="0.2">
      <c r="B9800" s="203"/>
      <c r="C9800" s="237"/>
      <c r="D9800" s="202"/>
      <c r="E9800" s="202"/>
      <c r="U9800" s="204"/>
    </row>
    <row r="9801" spans="2:21" x14ac:dyDescent="0.2">
      <c r="B9801" s="203"/>
      <c r="C9801" s="237"/>
      <c r="D9801" s="202"/>
      <c r="E9801" s="202"/>
      <c r="U9801" s="204"/>
    </row>
    <row r="9802" spans="2:21" x14ac:dyDescent="0.2">
      <c r="B9802" s="203"/>
      <c r="C9802" s="237"/>
      <c r="D9802" s="202"/>
      <c r="E9802" s="202"/>
      <c r="U9802" s="204"/>
    </row>
    <row r="9803" spans="2:21" x14ac:dyDescent="0.2">
      <c r="B9803" s="203"/>
      <c r="C9803" s="237"/>
      <c r="D9803" s="202"/>
      <c r="E9803" s="202"/>
      <c r="U9803" s="204"/>
    </row>
    <row r="9804" spans="2:21" x14ac:dyDescent="0.2">
      <c r="B9804" s="203"/>
      <c r="C9804" s="237"/>
      <c r="D9804" s="202"/>
      <c r="E9804" s="202"/>
      <c r="U9804" s="204"/>
    </row>
    <row r="9805" spans="2:21" x14ac:dyDescent="0.2">
      <c r="B9805" s="203"/>
      <c r="C9805" s="237"/>
      <c r="D9805" s="202"/>
      <c r="E9805" s="202"/>
      <c r="U9805" s="204"/>
    </row>
    <row r="9806" spans="2:21" x14ac:dyDescent="0.2">
      <c r="B9806" s="203"/>
      <c r="C9806" s="237"/>
      <c r="D9806" s="202"/>
      <c r="E9806" s="202"/>
      <c r="U9806" s="204"/>
    </row>
    <row r="9807" spans="2:21" x14ac:dyDescent="0.2">
      <c r="B9807" s="203"/>
      <c r="C9807" s="237"/>
      <c r="D9807" s="202"/>
      <c r="E9807" s="202"/>
      <c r="U9807" s="204"/>
    </row>
    <row r="9808" spans="2:21" x14ac:dyDescent="0.2">
      <c r="B9808" s="203"/>
      <c r="C9808" s="237"/>
      <c r="D9808" s="202"/>
      <c r="E9808" s="202"/>
      <c r="U9808" s="204"/>
    </row>
    <row r="9809" spans="2:21" x14ac:dyDescent="0.2">
      <c r="B9809" s="203"/>
      <c r="C9809" s="237"/>
      <c r="D9809" s="202"/>
      <c r="E9809" s="202"/>
      <c r="U9809" s="204"/>
    </row>
    <row r="9810" spans="2:21" x14ac:dyDescent="0.2">
      <c r="B9810" s="203"/>
      <c r="C9810" s="237"/>
      <c r="D9810" s="202"/>
      <c r="E9810" s="202"/>
      <c r="U9810" s="204"/>
    </row>
    <row r="9811" spans="2:21" x14ac:dyDescent="0.2">
      <c r="B9811" s="203"/>
      <c r="C9811" s="237"/>
      <c r="D9811" s="202"/>
      <c r="E9811" s="202"/>
      <c r="U9811" s="204"/>
    </row>
    <row r="9812" spans="2:21" x14ac:dyDescent="0.2">
      <c r="B9812" s="203"/>
      <c r="C9812" s="237"/>
      <c r="D9812" s="202"/>
      <c r="E9812" s="202"/>
      <c r="U9812" s="204"/>
    </row>
    <row r="9813" spans="2:21" x14ac:dyDescent="0.2">
      <c r="B9813" s="203"/>
      <c r="C9813" s="237"/>
      <c r="D9813" s="202"/>
      <c r="E9813" s="202"/>
      <c r="U9813" s="204"/>
    </row>
    <row r="9814" spans="2:21" x14ac:dyDescent="0.2">
      <c r="B9814" s="203"/>
      <c r="C9814" s="237"/>
      <c r="D9814" s="202"/>
      <c r="E9814" s="202"/>
      <c r="U9814" s="204"/>
    </row>
    <row r="9815" spans="2:21" x14ac:dyDescent="0.2">
      <c r="B9815" s="203"/>
      <c r="C9815" s="237"/>
      <c r="D9815" s="202"/>
      <c r="E9815" s="202"/>
      <c r="U9815" s="204"/>
    </row>
    <row r="9816" spans="2:21" x14ac:dyDescent="0.2">
      <c r="B9816" s="203"/>
      <c r="C9816" s="237"/>
      <c r="D9816" s="202"/>
      <c r="E9816" s="202"/>
      <c r="U9816" s="204"/>
    </row>
    <row r="9817" spans="2:21" x14ac:dyDescent="0.2">
      <c r="B9817" s="203"/>
      <c r="C9817" s="237"/>
      <c r="D9817" s="202"/>
      <c r="E9817" s="202"/>
      <c r="U9817" s="204"/>
    </row>
    <row r="9818" spans="2:21" x14ac:dyDescent="0.2">
      <c r="B9818" s="203"/>
      <c r="C9818" s="237"/>
      <c r="D9818" s="202"/>
      <c r="E9818" s="202"/>
      <c r="U9818" s="204"/>
    </row>
    <row r="9819" spans="2:21" x14ac:dyDescent="0.2">
      <c r="B9819" s="203"/>
      <c r="C9819" s="237"/>
      <c r="D9819" s="202"/>
      <c r="E9819" s="202"/>
      <c r="U9819" s="204"/>
    </row>
    <row r="9820" spans="2:21" x14ac:dyDescent="0.2">
      <c r="B9820" s="203"/>
      <c r="C9820" s="237"/>
      <c r="D9820" s="202"/>
      <c r="E9820" s="202"/>
      <c r="U9820" s="204"/>
    </row>
    <row r="9821" spans="2:21" x14ac:dyDescent="0.2">
      <c r="B9821" s="203"/>
      <c r="C9821" s="237"/>
      <c r="D9821" s="202"/>
      <c r="E9821" s="202"/>
      <c r="U9821" s="204"/>
    </row>
    <row r="9822" spans="2:21" x14ac:dyDescent="0.2">
      <c r="B9822" s="203"/>
      <c r="C9822" s="237"/>
      <c r="D9822" s="202"/>
      <c r="E9822" s="202"/>
      <c r="U9822" s="204"/>
    </row>
    <row r="9823" spans="2:21" x14ac:dyDescent="0.2">
      <c r="B9823" s="203"/>
      <c r="C9823" s="237"/>
      <c r="D9823" s="202"/>
      <c r="E9823" s="202"/>
      <c r="U9823" s="204"/>
    </row>
    <row r="9824" spans="2:21" x14ac:dyDescent="0.2">
      <c r="B9824" s="203"/>
      <c r="C9824" s="237"/>
      <c r="D9824" s="202"/>
      <c r="E9824" s="202"/>
      <c r="U9824" s="204"/>
    </row>
    <row r="9825" spans="2:21" x14ac:dyDescent="0.2">
      <c r="B9825" s="203"/>
      <c r="C9825" s="237"/>
      <c r="D9825" s="202"/>
      <c r="E9825" s="202"/>
      <c r="U9825" s="204"/>
    </row>
    <row r="9826" spans="2:21" x14ac:dyDescent="0.2">
      <c r="B9826" s="203"/>
      <c r="C9826" s="237"/>
      <c r="D9826" s="202"/>
      <c r="E9826" s="202"/>
      <c r="U9826" s="204"/>
    </row>
    <row r="9827" spans="2:21" x14ac:dyDescent="0.2">
      <c r="B9827" s="203"/>
      <c r="C9827" s="237"/>
      <c r="D9827" s="202"/>
      <c r="E9827" s="202"/>
      <c r="U9827" s="204"/>
    </row>
    <row r="9828" spans="2:21" x14ac:dyDescent="0.2">
      <c r="B9828" s="203"/>
      <c r="C9828" s="237"/>
      <c r="D9828" s="202"/>
      <c r="E9828" s="202"/>
      <c r="U9828" s="204"/>
    </row>
    <row r="9829" spans="2:21" x14ac:dyDescent="0.2">
      <c r="B9829" s="203"/>
      <c r="C9829" s="237"/>
      <c r="D9829" s="202"/>
      <c r="E9829" s="202"/>
      <c r="U9829" s="204"/>
    </row>
    <row r="9830" spans="2:21" x14ac:dyDescent="0.2">
      <c r="B9830" s="203"/>
      <c r="C9830" s="237"/>
      <c r="D9830" s="202"/>
      <c r="E9830" s="202"/>
      <c r="U9830" s="204"/>
    </row>
    <row r="9831" spans="2:21" x14ac:dyDescent="0.2">
      <c r="B9831" s="203"/>
      <c r="C9831" s="237"/>
      <c r="D9831" s="202"/>
      <c r="E9831" s="202"/>
      <c r="U9831" s="204"/>
    </row>
    <row r="9832" spans="2:21" x14ac:dyDescent="0.2">
      <c r="B9832" s="203"/>
      <c r="C9832" s="237"/>
      <c r="D9832" s="202"/>
      <c r="E9832" s="202"/>
      <c r="U9832" s="204"/>
    </row>
    <row r="9833" spans="2:21" x14ac:dyDescent="0.2">
      <c r="B9833" s="203"/>
      <c r="C9833" s="237"/>
      <c r="D9833" s="202"/>
      <c r="E9833" s="202"/>
      <c r="U9833" s="204"/>
    </row>
    <row r="9834" spans="2:21" x14ac:dyDescent="0.2">
      <c r="B9834" s="203"/>
      <c r="C9834" s="237"/>
      <c r="D9834" s="202"/>
      <c r="E9834" s="202"/>
      <c r="U9834" s="204"/>
    </row>
    <row r="9835" spans="2:21" x14ac:dyDescent="0.2">
      <c r="B9835" s="203"/>
      <c r="C9835" s="237"/>
      <c r="D9835" s="202"/>
      <c r="E9835" s="202"/>
      <c r="U9835" s="204"/>
    </row>
    <row r="9836" spans="2:21" x14ac:dyDescent="0.2">
      <c r="B9836" s="203"/>
      <c r="C9836" s="237"/>
      <c r="D9836" s="202"/>
      <c r="E9836" s="202"/>
      <c r="U9836" s="204"/>
    </row>
    <row r="9837" spans="2:21" x14ac:dyDescent="0.2">
      <c r="B9837" s="203"/>
      <c r="C9837" s="237"/>
      <c r="D9837" s="202"/>
      <c r="E9837" s="202"/>
      <c r="U9837" s="204"/>
    </row>
    <row r="9838" spans="2:21" x14ac:dyDescent="0.2">
      <c r="B9838" s="203"/>
      <c r="C9838" s="237"/>
      <c r="D9838" s="202"/>
      <c r="E9838" s="202"/>
      <c r="U9838" s="204"/>
    </row>
    <row r="9839" spans="2:21" x14ac:dyDescent="0.2">
      <c r="B9839" s="203"/>
      <c r="C9839" s="237"/>
      <c r="D9839" s="202"/>
      <c r="E9839" s="202"/>
      <c r="U9839" s="204"/>
    </row>
    <row r="9840" spans="2:21" x14ac:dyDescent="0.2">
      <c r="B9840" s="203"/>
      <c r="C9840" s="237"/>
      <c r="D9840" s="202"/>
      <c r="E9840" s="202"/>
      <c r="U9840" s="204"/>
    </row>
    <row r="9841" spans="2:21" x14ac:dyDescent="0.2">
      <c r="B9841" s="203"/>
      <c r="C9841" s="237"/>
      <c r="D9841" s="202"/>
      <c r="E9841" s="202"/>
      <c r="U9841" s="204"/>
    </row>
    <row r="9842" spans="2:21" x14ac:dyDescent="0.2">
      <c r="B9842" s="203"/>
      <c r="C9842" s="237"/>
      <c r="D9842" s="202"/>
      <c r="E9842" s="202"/>
      <c r="U9842" s="204"/>
    </row>
    <row r="9843" spans="2:21" x14ac:dyDescent="0.2">
      <c r="B9843" s="203"/>
      <c r="C9843" s="237"/>
      <c r="D9843" s="202"/>
      <c r="E9843" s="202"/>
      <c r="U9843" s="204"/>
    </row>
    <row r="9844" spans="2:21" x14ac:dyDescent="0.2">
      <c r="B9844" s="203"/>
      <c r="C9844" s="237"/>
      <c r="D9844" s="202"/>
      <c r="E9844" s="202"/>
      <c r="U9844" s="204"/>
    </row>
    <row r="9845" spans="2:21" x14ac:dyDescent="0.2">
      <c r="B9845" s="203"/>
      <c r="C9845" s="237"/>
      <c r="D9845" s="202"/>
      <c r="E9845" s="202"/>
      <c r="U9845" s="204"/>
    </row>
    <row r="9846" spans="2:21" x14ac:dyDescent="0.2">
      <c r="B9846" s="203"/>
      <c r="C9846" s="237"/>
      <c r="D9846" s="202"/>
      <c r="E9846" s="202"/>
      <c r="U9846" s="204"/>
    </row>
    <row r="9847" spans="2:21" x14ac:dyDescent="0.2">
      <c r="B9847" s="203"/>
      <c r="C9847" s="237"/>
      <c r="D9847" s="202"/>
      <c r="E9847" s="202"/>
      <c r="U9847" s="204"/>
    </row>
    <row r="9848" spans="2:21" x14ac:dyDescent="0.2">
      <c r="B9848" s="203"/>
      <c r="C9848" s="237"/>
      <c r="D9848" s="202"/>
      <c r="E9848" s="202"/>
      <c r="U9848" s="204"/>
    </row>
    <row r="9849" spans="2:21" x14ac:dyDescent="0.2">
      <c r="B9849" s="203"/>
      <c r="C9849" s="237"/>
      <c r="D9849" s="202"/>
      <c r="E9849" s="202"/>
      <c r="U9849" s="204"/>
    </row>
    <row r="9850" spans="2:21" x14ac:dyDescent="0.2">
      <c r="B9850" s="203"/>
      <c r="C9850" s="237"/>
      <c r="D9850" s="202"/>
      <c r="E9850" s="202"/>
      <c r="U9850" s="204"/>
    </row>
    <row r="9851" spans="2:21" x14ac:dyDescent="0.2">
      <c r="B9851" s="203"/>
      <c r="C9851" s="237"/>
      <c r="D9851" s="202"/>
      <c r="E9851" s="202"/>
      <c r="U9851" s="204"/>
    </row>
    <row r="9852" spans="2:21" x14ac:dyDescent="0.2">
      <c r="B9852" s="203"/>
      <c r="C9852" s="237"/>
      <c r="D9852" s="202"/>
      <c r="E9852" s="202"/>
      <c r="U9852" s="204"/>
    </row>
    <row r="9853" spans="2:21" x14ac:dyDescent="0.2">
      <c r="B9853" s="203"/>
      <c r="C9853" s="237"/>
      <c r="D9853" s="202"/>
      <c r="E9853" s="202"/>
      <c r="U9853" s="204"/>
    </row>
    <row r="9854" spans="2:21" x14ac:dyDescent="0.2">
      <c r="B9854" s="203"/>
      <c r="C9854" s="237"/>
      <c r="D9854" s="202"/>
      <c r="E9854" s="202"/>
      <c r="U9854" s="204"/>
    </row>
    <row r="9855" spans="2:21" x14ac:dyDescent="0.2">
      <c r="B9855" s="203"/>
      <c r="C9855" s="237"/>
      <c r="D9855" s="202"/>
      <c r="E9855" s="202"/>
      <c r="U9855" s="204"/>
    </row>
    <row r="9856" spans="2:21" x14ac:dyDescent="0.2">
      <c r="B9856" s="203"/>
      <c r="C9856" s="237"/>
      <c r="D9856" s="202"/>
      <c r="E9856" s="202"/>
      <c r="U9856" s="204"/>
    </row>
    <row r="9857" spans="2:21" x14ac:dyDescent="0.2">
      <c r="B9857" s="203"/>
      <c r="C9857" s="237"/>
      <c r="D9857" s="202"/>
      <c r="E9857" s="202"/>
      <c r="U9857" s="204"/>
    </row>
    <row r="9858" spans="2:21" x14ac:dyDescent="0.2">
      <c r="B9858" s="203"/>
      <c r="C9858" s="237"/>
      <c r="D9858" s="202"/>
      <c r="E9858" s="202"/>
      <c r="U9858" s="204"/>
    </row>
    <row r="9859" spans="2:21" x14ac:dyDescent="0.2">
      <c r="B9859" s="203"/>
      <c r="C9859" s="237"/>
      <c r="D9859" s="202"/>
      <c r="E9859" s="202"/>
      <c r="U9859" s="204"/>
    </row>
    <row r="9860" spans="2:21" x14ac:dyDescent="0.2">
      <c r="B9860" s="203"/>
      <c r="C9860" s="237"/>
      <c r="D9860" s="202"/>
      <c r="E9860" s="202"/>
      <c r="U9860" s="204"/>
    </row>
    <row r="9861" spans="2:21" x14ac:dyDescent="0.2">
      <c r="B9861" s="203"/>
      <c r="C9861" s="237"/>
      <c r="D9861" s="202"/>
      <c r="E9861" s="202"/>
      <c r="U9861" s="204"/>
    </row>
    <row r="9862" spans="2:21" x14ac:dyDescent="0.2">
      <c r="B9862" s="203"/>
      <c r="C9862" s="237"/>
      <c r="D9862" s="202"/>
      <c r="E9862" s="202"/>
      <c r="U9862" s="204"/>
    </row>
    <row r="9863" spans="2:21" x14ac:dyDescent="0.2">
      <c r="B9863" s="203"/>
      <c r="C9863" s="237"/>
      <c r="D9863" s="202"/>
      <c r="E9863" s="202"/>
      <c r="U9863" s="204"/>
    </row>
    <row r="9864" spans="2:21" x14ac:dyDescent="0.2">
      <c r="B9864" s="203"/>
      <c r="C9864" s="237"/>
      <c r="D9864" s="202"/>
      <c r="E9864" s="202"/>
      <c r="U9864" s="204"/>
    </row>
    <row r="9865" spans="2:21" x14ac:dyDescent="0.2">
      <c r="B9865" s="203"/>
      <c r="C9865" s="237"/>
      <c r="D9865" s="202"/>
      <c r="E9865" s="202"/>
      <c r="U9865" s="204"/>
    </row>
    <row r="9866" spans="2:21" x14ac:dyDescent="0.2">
      <c r="B9866" s="203"/>
      <c r="C9866" s="237"/>
      <c r="D9866" s="202"/>
      <c r="E9866" s="202"/>
      <c r="U9866" s="204"/>
    </row>
    <row r="9867" spans="2:21" x14ac:dyDescent="0.2">
      <c r="B9867" s="203"/>
      <c r="C9867" s="237"/>
      <c r="D9867" s="202"/>
      <c r="E9867" s="202"/>
      <c r="U9867" s="204"/>
    </row>
    <row r="9868" spans="2:21" x14ac:dyDescent="0.2">
      <c r="B9868" s="203"/>
      <c r="C9868" s="237"/>
      <c r="D9868" s="202"/>
      <c r="E9868" s="202"/>
      <c r="U9868" s="204"/>
    </row>
    <row r="9869" spans="2:21" x14ac:dyDescent="0.2">
      <c r="B9869" s="203"/>
      <c r="C9869" s="237"/>
      <c r="D9869" s="202"/>
      <c r="E9869" s="202"/>
      <c r="U9869" s="204"/>
    </row>
    <row r="9870" spans="2:21" x14ac:dyDescent="0.2">
      <c r="B9870" s="203"/>
      <c r="C9870" s="237"/>
      <c r="D9870" s="202"/>
      <c r="E9870" s="202"/>
      <c r="U9870" s="204"/>
    </row>
    <row r="9871" spans="2:21" x14ac:dyDescent="0.2">
      <c r="B9871" s="203"/>
      <c r="C9871" s="237"/>
      <c r="D9871" s="202"/>
      <c r="E9871" s="202"/>
      <c r="U9871" s="204"/>
    </row>
    <row r="9872" spans="2:21" x14ac:dyDescent="0.2">
      <c r="B9872" s="203"/>
      <c r="C9872" s="237"/>
      <c r="D9872" s="202"/>
      <c r="E9872" s="202"/>
      <c r="U9872" s="204"/>
    </row>
    <row r="9873" spans="2:21" x14ac:dyDescent="0.2">
      <c r="B9873" s="203"/>
      <c r="C9873" s="237"/>
      <c r="D9873" s="202"/>
      <c r="E9873" s="202"/>
      <c r="U9873" s="204"/>
    </row>
    <row r="9874" spans="2:21" x14ac:dyDescent="0.2">
      <c r="B9874" s="203"/>
      <c r="C9874" s="237"/>
      <c r="D9874" s="202"/>
      <c r="E9874" s="202"/>
      <c r="U9874" s="204"/>
    </row>
    <row r="9875" spans="2:21" x14ac:dyDescent="0.2">
      <c r="B9875" s="203"/>
      <c r="C9875" s="237"/>
      <c r="D9875" s="202"/>
      <c r="E9875" s="202"/>
      <c r="U9875" s="204"/>
    </row>
    <row r="9876" spans="2:21" x14ac:dyDescent="0.2">
      <c r="B9876" s="203"/>
      <c r="C9876" s="237"/>
      <c r="D9876" s="202"/>
      <c r="E9876" s="202"/>
      <c r="U9876" s="204"/>
    </row>
    <row r="9877" spans="2:21" x14ac:dyDescent="0.2">
      <c r="B9877" s="203"/>
      <c r="C9877" s="237"/>
      <c r="D9877" s="202"/>
      <c r="E9877" s="202"/>
      <c r="U9877" s="204"/>
    </row>
    <row r="9878" spans="2:21" x14ac:dyDescent="0.2">
      <c r="B9878" s="203"/>
      <c r="C9878" s="237"/>
      <c r="D9878" s="202"/>
      <c r="E9878" s="202"/>
      <c r="U9878" s="204"/>
    </row>
    <row r="9879" spans="2:21" x14ac:dyDescent="0.2">
      <c r="B9879" s="203"/>
      <c r="C9879" s="237"/>
      <c r="D9879" s="202"/>
      <c r="E9879" s="202"/>
      <c r="U9879" s="204"/>
    </row>
    <row r="9880" spans="2:21" x14ac:dyDescent="0.2">
      <c r="B9880" s="203"/>
      <c r="C9880" s="237"/>
      <c r="D9880" s="202"/>
      <c r="E9880" s="202"/>
      <c r="U9880" s="204"/>
    </row>
    <row r="9881" spans="2:21" x14ac:dyDescent="0.2">
      <c r="B9881" s="203"/>
      <c r="C9881" s="237"/>
      <c r="D9881" s="202"/>
      <c r="E9881" s="202"/>
      <c r="U9881" s="204"/>
    </row>
    <row r="9882" spans="2:21" x14ac:dyDescent="0.2">
      <c r="B9882" s="203"/>
      <c r="C9882" s="237"/>
      <c r="D9882" s="202"/>
      <c r="E9882" s="202"/>
      <c r="U9882" s="204"/>
    </row>
    <row r="9883" spans="2:21" x14ac:dyDescent="0.2">
      <c r="B9883" s="203"/>
      <c r="C9883" s="237"/>
      <c r="D9883" s="202"/>
      <c r="E9883" s="202"/>
      <c r="U9883" s="204"/>
    </row>
    <row r="9884" spans="2:21" x14ac:dyDescent="0.2">
      <c r="B9884" s="203"/>
      <c r="C9884" s="237"/>
      <c r="D9884" s="202"/>
      <c r="E9884" s="202"/>
      <c r="U9884" s="204"/>
    </row>
    <row r="9885" spans="2:21" x14ac:dyDescent="0.2">
      <c r="B9885" s="203"/>
      <c r="C9885" s="237"/>
      <c r="D9885" s="202"/>
      <c r="E9885" s="202"/>
      <c r="U9885" s="204"/>
    </row>
    <row r="9886" spans="2:21" x14ac:dyDescent="0.2">
      <c r="B9886" s="203"/>
      <c r="C9886" s="237"/>
      <c r="D9886" s="202"/>
      <c r="E9886" s="202"/>
      <c r="U9886" s="204"/>
    </row>
    <row r="9887" spans="2:21" x14ac:dyDescent="0.2">
      <c r="B9887" s="203"/>
      <c r="C9887" s="237"/>
      <c r="D9887" s="202"/>
      <c r="E9887" s="202"/>
      <c r="U9887" s="204"/>
    </row>
    <row r="9888" spans="2:21" x14ac:dyDescent="0.2">
      <c r="B9888" s="203"/>
      <c r="C9888" s="237"/>
      <c r="D9888" s="202"/>
      <c r="E9888" s="202"/>
      <c r="U9888" s="204"/>
    </row>
    <row r="9889" spans="2:21" x14ac:dyDescent="0.2">
      <c r="B9889" s="203"/>
      <c r="C9889" s="237"/>
      <c r="D9889" s="202"/>
      <c r="E9889" s="202"/>
      <c r="U9889" s="204"/>
    </row>
    <row r="9890" spans="2:21" x14ac:dyDescent="0.2">
      <c r="B9890" s="203"/>
      <c r="C9890" s="237"/>
      <c r="D9890" s="202"/>
      <c r="E9890" s="202"/>
      <c r="U9890" s="204"/>
    </row>
    <row r="9891" spans="2:21" x14ac:dyDescent="0.2">
      <c r="B9891" s="203"/>
      <c r="C9891" s="237"/>
      <c r="D9891" s="202"/>
      <c r="E9891" s="202"/>
      <c r="U9891" s="204"/>
    </row>
    <row r="9892" spans="2:21" x14ac:dyDescent="0.2">
      <c r="B9892" s="203"/>
      <c r="C9892" s="237"/>
      <c r="D9892" s="202"/>
      <c r="E9892" s="202"/>
      <c r="U9892" s="204"/>
    </row>
    <row r="9893" spans="2:21" x14ac:dyDescent="0.2">
      <c r="B9893" s="203"/>
      <c r="C9893" s="237"/>
      <c r="D9893" s="202"/>
      <c r="E9893" s="202"/>
      <c r="U9893" s="204"/>
    </row>
    <row r="9894" spans="2:21" x14ac:dyDescent="0.2">
      <c r="B9894" s="203"/>
      <c r="C9894" s="237"/>
      <c r="D9894" s="202"/>
      <c r="E9894" s="202"/>
      <c r="U9894" s="204"/>
    </row>
    <row r="9895" spans="2:21" x14ac:dyDescent="0.2">
      <c r="B9895" s="203"/>
      <c r="C9895" s="237"/>
      <c r="D9895" s="202"/>
      <c r="E9895" s="202"/>
      <c r="U9895" s="204"/>
    </row>
    <row r="9896" spans="2:21" x14ac:dyDescent="0.2">
      <c r="B9896" s="203"/>
      <c r="C9896" s="237"/>
      <c r="D9896" s="202"/>
      <c r="E9896" s="202"/>
      <c r="U9896" s="204"/>
    </row>
    <row r="9897" spans="2:21" x14ac:dyDescent="0.2">
      <c r="B9897" s="203"/>
      <c r="C9897" s="237"/>
      <c r="D9897" s="202"/>
      <c r="E9897" s="202"/>
      <c r="U9897" s="204"/>
    </row>
    <row r="9898" spans="2:21" x14ac:dyDescent="0.2">
      <c r="B9898" s="203"/>
      <c r="C9898" s="237"/>
      <c r="D9898" s="202"/>
      <c r="E9898" s="202"/>
      <c r="U9898" s="204"/>
    </row>
    <row r="9899" spans="2:21" x14ac:dyDescent="0.2">
      <c r="B9899" s="203"/>
      <c r="C9899" s="237"/>
      <c r="D9899" s="202"/>
      <c r="E9899" s="202"/>
      <c r="U9899" s="204"/>
    </row>
    <row r="9900" spans="2:21" x14ac:dyDescent="0.2">
      <c r="B9900" s="203"/>
      <c r="C9900" s="237"/>
      <c r="D9900" s="202"/>
      <c r="E9900" s="202"/>
      <c r="U9900" s="204"/>
    </row>
    <row r="9901" spans="2:21" x14ac:dyDescent="0.2">
      <c r="B9901" s="203"/>
      <c r="C9901" s="237"/>
      <c r="D9901" s="202"/>
      <c r="E9901" s="202"/>
      <c r="U9901" s="204"/>
    </row>
    <row r="9902" spans="2:21" x14ac:dyDescent="0.2">
      <c r="B9902" s="203"/>
      <c r="C9902" s="237"/>
      <c r="D9902" s="202"/>
      <c r="E9902" s="202"/>
      <c r="U9902" s="204"/>
    </row>
    <row r="9903" spans="2:21" x14ac:dyDescent="0.2">
      <c r="B9903" s="203"/>
      <c r="C9903" s="237"/>
      <c r="D9903" s="202"/>
      <c r="E9903" s="202"/>
      <c r="U9903" s="204"/>
    </row>
    <row r="9904" spans="2:21" x14ac:dyDescent="0.2">
      <c r="B9904" s="203"/>
      <c r="C9904" s="237"/>
      <c r="D9904" s="202"/>
      <c r="E9904" s="202"/>
      <c r="U9904" s="204"/>
    </row>
    <row r="9905" spans="2:21" x14ac:dyDescent="0.2">
      <c r="B9905" s="203"/>
      <c r="C9905" s="237"/>
      <c r="D9905" s="202"/>
      <c r="E9905" s="202"/>
      <c r="U9905" s="204"/>
    </row>
    <row r="9906" spans="2:21" x14ac:dyDescent="0.2">
      <c r="B9906" s="203"/>
      <c r="C9906" s="237"/>
      <c r="D9906" s="202"/>
      <c r="E9906" s="202"/>
      <c r="U9906" s="204"/>
    </row>
    <row r="9907" spans="2:21" x14ac:dyDescent="0.2">
      <c r="B9907" s="203"/>
      <c r="C9907" s="237"/>
      <c r="D9907" s="202"/>
      <c r="E9907" s="202"/>
      <c r="U9907" s="204"/>
    </row>
    <row r="9908" spans="2:21" x14ac:dyDescent="0.2">
      <c r="B9908" s="203"/>
      <c r="C9908" s="237"/>
      <c r="D9908" s="202"/>
      <c r="E9908" s="202"/>
      <c r="U9908" s="204"/>
    </row>
    <row r="9909" spans="2:21" x14ac:dyDescent="0.2">
      <c r="B9909" s="203"/>
      <c r="C9909" s="237"/>
      <c r="D9909" s="202"/>
      <c r="E9909" s="202"/>
      <c r="U9909" s="204"/>
    </row>
    <row r="9910" spans="2:21" x14ac:dyDescent="0.2">
      <c r="B9910" s="203"/>
      <c r="C9910" s="237"/>
      <c r="D9910" s="202"/>
      <c r="E9910" s="202"/>
      <c r="U9910" s="204"/>
    </row>
    <row r="9911" spans="2:21" x14ac:dyDescent="0.2">
      <c r="B9911" s="203"/>
      <c r="C9911" s="237"/>
      <c r="D9911" s="202"/>
      <c r="E9911" s="202"/>
      <c r="U9911" s="204"/>
    </row>
    <row r="9912" spans="2:21" x14ac:dyDescent="0.2">
      <c r="B9912" s="203"/>
      <c r="C9912" s="237"/>
      <c r="D9912" s="202"/>
      <c r="E9912" s="202"/>
      <c r="U9912" s="204"/>
    </row>
    <row r="9913" spans="2:21" x14ac:dyDescent="0.2">
      <c r="B9913" s="203"/>
      <c r="C9913" s="237"/>
      <c r="D9913" s="202"/>
      <c r="E9913" s="202"/>
      <c r="U9913" s="204"/>
    </row>
    <row r="9914" spans="2:21" x14ac:dyDescent="0.2">
      <c r="B9914" s="203"/>
      <c r="C9914" s="237"/>
      <c r="D9914" s="202"/>
      <c r="E9914" s="202"/>
      <c r="U9914" s="204"/>
    </row>
    <row r="9915" spans="2:21" x14ac:dyDescent="0.2">
      <c r="B9915" s="203"/>
      <c r="C9915" s="237"/>
      <c r="D9915" s="202"/>
      <c r="E9915" s="202"/>
      <c r="U9915" s="204"/>
    </row>
    <row r="9916" spans="2:21" x14ac:dyDescent="0.2">
      <c r="B9916" s="203"/>
      <c r="C9916" s="237"/>
      <c r="D9916" s="202"/>
      <c r="E9916" s="202"/>
      <c r="U9916" s="204"/>
    </row>
    <row r="9917" spans="2:21" x14ac:dyDescent="0.2">
      <c r="B9917" s="203"/>
      <c r="C9917" s="237"/>
      <c r="D9917" s="202"/>
      <c r="E9917" s="202"/>
      <c r="U9917" s="204"/>
    </row>
    <row r="9918" spans="2:21" x14ac:dyDescent="0.2">
      <c r="B9918" s="203"/>
      <c r="C9918" s="237"/>
      <c r="D9918" s="202"/>
      <c r="E9918" s="202"/>
      <c r="U9918" s="204"/>
    </row>
    <row r="9919" spans="2:21" x14ac:dyDescent="0.2">
      <c r="B9919" s="203"/>
      <c r="C9919" s="237"/>
      <c r="D9919" s="202"/>
      <c r="E9919" s="202"/>
      <c r="U9919" s="204"/>
    </row>
    <row r="9920" spans="2:21" x14ac:dyDescent="0.2">
      <c r="B9920" s="203"/>
      <c r="C9920" s="237"/>
      <c r="D9920" s="202"/>
      <c r="E9920" s="202"/>
      <c r="U9920" s="204"/>
    </row>
    <row r="9921" spans="2:21" x14ac:dyDescent="0.2">
      <c r="B9921" s="203"/>
      <c r="C9921" s="237"/>
      <c r="D9921" s="202"/>
      <c r="E9921" s="202"/>
      <c r="U9921" s="204"/>
    </row>
    <row r="9922" spans="2:21" x14ac:dyDescent="0.2">
      <c r="B9922" s="203"/>
      <c r="C9922" s="237"/>
      <c r="D9922" s="202"/>
      <c r="E9922" s="202"/>
      <c r="U9922" s="204"/>
    </row>
    <row r="9923" spans="2:21" x14ac:dyDescent="0.2">
      <c r="B9923" s="203"/>
      <c r="C9923" s="237"/>
      <c r="D9923" s="202"/>
      <c r="E9923" s="202"/>
      <c r="U9923" s="204"/>
    </row>
    <row r="9924" spans="2:21" x14ac:dyDescent="0.2">
      <c r="B9924" s="203"/>
      <c r="C9924" s="237"/>
      <c r="D9924" s="202"/>
      <c r="E9924" s="202"/>
      <c r="U9924" s="204"/>
    </row>
    <row r="9925" spans="2:21" x14ac:dyDescent="0.2">
      <c r="B9925" s="203"/>
      <c r="C9925" s="237"/>
      <c r="D9925" s="202"/>
      <c r="E9925" s="202"/>
      <c r="U9925" s="204"/>
    </row>
    <row r="9926" spans="2:21" x14ac:dyDescent="0.2">
      <c r="B9926" s="203"/>
      <c r="C9926" s="237"/>
      <c r="D9926" s="202"/>
      <c r="E9926" s="202"/>
      <c r="U9926" s="204"/>
    </row>
    <row r="9927" spans="2:21" x14ac:dyDescent="0.2">
      <c r="B9927" s="203"/>
      <c r="C9927" s="237"/>
      <c r="D9927" s="202"/>
      <c r="E9927" s="202"/>
      <c r="U9927" s="204"/>
    </row>
    <row r="9928" spans="2:21" x14ac:dyDescent="0.2">
      <c r="B9928" s="203"/>
      <c r="C9928" s="237"/>
      <c r="D9928" s="202"/>
      <c r="E9928" s="202"/>
      <c r="U9928" s="204"/>
    </row>
    <row r="9929" spans="2:21" x14ac:dyDescent="0.2">
      <c r="B9929" s="203"/>
      <c r="C9929" s="237"/>
      <c r="D9929" s="202"/>
      <c r="E9929" s="202"/>
      <c r="U9929" s="204"/>
    </row>
    <row r="9930" spans="2:21" x14ac:dyDescent="0.2">
      <c r="B9930" s="203"/>
      <c r="C9930" s="237"/>
      <c r="D9930" s="202"/>
      <c r="E9930" s="202"/>
      <c r="U9930" s="204"/>
    </row>
    <row r="9931" spans="2:21" x14ac:dyDescent="0.2">
      <c r="B9931" s="203"/>
      <c r="C9931" s="237"/>
      <c r="D9931" s="202"/>
      <c r="E9931" s="202"/>
      <c r="U9931" s="204"/>
    </row>
    <row r="9932" spans="2:21" x14ac:dyDescent="0.2">
      <c r="B9932" s="203"/>
      <c r="C9932" s="237"/>
      <c r="D9932" s="202"/>
      <c r="E9932" s="202"/>
      <c r="U9932" s="204"/>
    </row>
    <row r="9933" spans="2:21" x14ac:dyDescent="0.2">
      <c r="B9933" s="203"/>
      <c r="C9933" s="237"/>
      <c r="D9933" s="202"/>
      <c r="E9933" s="202"/>
      <c r="U9933" s="204"/>
    </row>
    <row r="9934" spans="2:21" x14ac:dyDescent="0.2">
      <c r="B9934" s="203"/>
      <c r="C9934" s="237"/>
      <c r="D9934" s="202"/>
      <c r="E9934" s="202"/>
      <c r="U9934" s="204"/>
    </row>
    <row r="9935" spans="2:21" x14ac:dyDescent="0.2">
      <c r="B9935" s="203"/>
      <c r="C9935" s="237"/>
      <c r="D9935" s="202"/>
      <c r="E9935" s="202"/>
      <c r="U9935" s="204"/>
    </row>
    <row r="9936" spans="2:21" x14ac:dyDescent="0.2">
      <c r="B9936" s="203"/>
      <c r="C9936" s="237"/>
      <c r="D9936" s="202"/>
      <c r="E9936" s="202"/>
      <c r="U9936" s="204"/>
    </row>
    <row r="9937" spans="2:21" x14ac:dyDescent="0.2">
      <c r="B9937" s="203"/>
      <c r="C9937" s="237"/>
      <c r="D9937" s="202"/>
      <c r="E9937" s="202"/>
      <c r="U9937" s="204"/>
    </row>
    <row r="9938" spans="2:21" x14ac:dyDescent="0.2">
      <c r="B9938" s="203"/>
      <c r="C9938" s="237"/>
      <c r="D9938" s="202"/>
      <c r="E9938" s="202"/>
      <c r="U9938" s="204"/>
    </row>
    <row r="9939" spans="2:21" x14ac:dyDescent="0.2">
      <c r="B9939" s="203"/>
      <c r="C9939" s="237"/>
      <c r="D9939" s="202"/>
      <c r="E9939" s="202"/>
      <c r="U9939" s="204"/>
    </row>
    <row r="9940" spans="2:21" x14ac:dyDescent="0.2">
      <c r="B9940" s="203"/>
      <c r="C9940" s="237"/>
      <c r="D9940" s="202"/>
      <c r="E9940" s="202"/>
      <c r="U9940" s="204"/>
    </row>
    <row r="9941" spans="2:21" x14ac:dyDescent="0.2">
      <c r="B9941" s="203"/>
      <c r="C9941" s="237"/>
      <c r="D9941" s="202"/>
      <c r="E9941" s="202"/>
      <c r="U9941" s="204"/>
    </row>
    <row r="9942" spans="2:21" x14ac:dyDescent="0.2">
      <c r="B9942" s="203"/>
      <c r="C9942" s="237"/>
      <c r="D9942" s="202"/>
      <c r="E9942" s="202"/>
      <c r="U9942" s="204"/>
    </row>
    <row r="9943" spans="2:21" x14ac:dyDescent="0.2">
      <c r="B9943" s="203"/>
      <c r="C9943" s="237"/>
      <c r="D9943" s="202"/>
      <c r="E9943" s="202"/>
      <c r="U9943" s="204"/>
    </row>
    <row r="9944" spans="2:21" x14ac:dyDescent="0.2">
      <c r="B9944" s="203"/>
      <c r="C9944" s="237"/>
      <c r="D9944" s="202"/>
      <c r="E9944" s="202"/>
      <c r="U9944" s="204"/>
    </row>
    <row r="9945" spans="2:21" x14ac:dyDescent="0.2">
      <c r="B9945" s="203"/>
      <c r="C9945" s="237"/>
      <c r="D9945" s="202"/>
      <c r="E9945" s="202"/>
      <c r="U9945" s="204"/>
    </row>
    <row r="9946" spans="2:21" x14ac:dyDescent="0.2">
      <c r="B9946" s="203"/>
      <c r="C9946" s="237"/>
      <c r="D9946" s="202"/>
      <c r="E9946" s="202"/>
      <c r="U9946" s="204"/>
    </row>
    <row r="9947" spans="2:21" x14ac:dyDescent="0.2">
      <c r="B9947" s="203"/>
      <c r="C9947" s="237"/>
      <c r="D9947" s="202"/>
      <c r="E9947" s="202"/>
      <c r="U9947" s="204"/>
    </row>
    <row r="9948" spans="2:21" x14ac:dyDescent="0.2">
      <c r="B9948" s="203"/>
      <c r="C9948" s="237"/>
      <c r="D9948" s="202"/>
      <c r="E9948" s="202"/>
      <c r="U9948" s="204"/>
    </row>
    <row r="9949" spans="2:21" x14ac:dyDescent="0.2">
      <c r="B9949" s="203"/>
      <c r="C9949" s="237"/>
      <c r="D9949" s="202"/>
      <c r="E9949" s="202"/>
      <c r="U9949" s="204"/>
    </row>
    <row r="9950" spans="2:21" x14ac:dyDescent="0.2">
      <c r="B9950" s="203"/>
      <c r="C9950" s="237"/>
      <c r="D9950" s="202"/>
      <c r="E9950" s="202"/>
      <c r="U9950" s="204"/>
    </row>
    <row r="9951" spans="2:21" x14ac:dyDescent="0.2">
      <c r="B9951" s="203"/>
      <c r="C9951" s="237"/>
      <c r="D9951" s="202"/>
      <c r="E9951" s="202"/>
      <c r="U9951" s="204"/>
    </row>
    <row r="9952" spans="2:21" x14ac:dyDescent="0.2">
      <c r="B9952" s="203"/>
      <c r="C9952" s="237"/>
      <c r="D9952" s="202"/>
      <c r="E9952" s="202"/>
      <c r="U9952" s="204"/>
    </row>
    <row r="9953" spans="2:21" x14ac:dyDescent="0.2">
      <c r="B9953" s="203"/>
      <c r="C9953" s="237"/>
      <c r="D9953" s="202"/>
      <c r="E9953" s="202"/>
      <c r="U9953" s="204"/>
    </row>
    <row r="9954" spans="2:21" x14ac:dyDescent="0.2">
      <c r="B9954" s="203"/>
      <c r="C9954" s="237"/>
      <c r="D9954" s="202"/>
      <c r="E9954" s="202"/>
      <c r="U9954" s="204"/>
    </row>
    <row r="9955" spans="2:21" x14ac:dyDescent="0.2">
      <c r="B9955" s="203"/>
      <c r="C9955" s="237"/>
      <c r="D9955" s="202"/>
      <c r="E9955" s="202"/>
      <c r="U9955" s="204"/>
    </row>
    <row r="9956" spans="2:21" x14ac:dyDescent="0.2">
      <c r="B9956" s="203"/>
      <c r="C9956" s="237"/>
      <c r="D9956" s="202"/>
      <c r="E9956" s="202"/>
      <c r="U9956" s="204"/>
    </row>
    <row r="9957" spans="2:21" x14ac:dyDescent="0.2">
      <c r="B9957" s="203"/>
      <c r="C9957" s="237"/>
      <c r="D9957" s="202"/>
      <c r="E9957" s="202"/>
      <c r="U9957" s="204"/>
    </row>
    <row r="9958" spans="2:21" x14ac:dyDescent="0.2">
      <c r="B9958" s="203"/>
      <c r="C9958" s="237"/>
      <c r="D9958" s="202"/>
      <c r="E9958" s="202"/>
      <c r="U9958" s="204"/>
    </row>
    <row r="9959" spans="2:21" x14ac:dyDescent="0.2">
      <c r="B9959" s="203"/>
      <c r="C9959" s="237"/>
      <c r="D9959" s="202"/>
      <c r="E9959" s="202"/>
      <c r="U9959" s="204"/>
    </row>
    <row r="9960" spans="2:21" x14ac:dyDescent="0.2">
      <c r="B9960" s="203"/>
      <c r="C9960" s="237"/>
      <c r="D9960" s="202"/>
      <c r="E9960" s="202"/>
      <c r="U9960" s="204"/>
    </row>
    <row r="9961" spans="2:21" x14ac:dyDescent="0.2">
      <c r="B9961" s="203"/>
      <c r="C9961" s="237"/>
      <c r="D9961" s="202"/>
      <c r="E9961" s="202"/>
      <c r="U9961" s="204"/>
    </row>
    <row r="9962" spans="2:21" x14ac:dyDescent="0.2">
      <c r="B9962" s="203"/>
      <c r="C9962" s="237"/>
      <c r="D9962" s="202"/>
      <c r="E9962" s="202"/>
      <c r="U9962" s="204"/>
    </row>
    <row r="9963" spans="2:21" x14ac:dyDescent="0.2">
      <c r="B9963" s="203"/>
      <c r="C9963" s="237"/>
      <c r="D9963" s="202"/>
      <c r="E9963" s="202"/>
      <c r="U9963" s="204"/>
    </row>
    <row r="9964" spans="2:21" x14ac:dyDescent="0.2">
      <c r="B9964" s="203"/>
      <c r="C9964" s="237"/>
      <c r="D9964" s="202"/>
      <c r="E9964" s="202"/>
      <c r="U9964" s="204"/>
    </row>
    <row r="9965" spans="2:21" x14ac:dyDescent="0.2">
      <c r="B9965" s="203"/>
      <c r="C9965" s="237"/>
      <c r="D9965" s="202"/>
      <c r="E9965" s="202"/>
      <c r="U9965" s="204"/>
    </row>
    <row r="9966" spans="2:21" x14ac:dyDescent="0.2">
      <c r="B9966" s="203"/>
      <c r="C9966" s="237"/>
      <c r="D9966" s="202"/>
      <c r="E9966" s="202"/>
      <c r="U9966" s="204"/>
    </row>
    <row r="9967" spans="2:21" x14ac:dyDescent="0.2">
      <c r="B9967" s="203"/>
      <c r="C9967" s="237"/>
      <c r="D9967" s="202"/>
      <c r="E9967" s="202"/>
      <c r="U9967" s="204"/>
    </row>
    <row r="9968" spans="2:21" x14ac:dyDescent="0.2">
      <c r="B9968" s="203"/>
      <c r="C9968" s="237"/>
      <c r="D9968" s="202"/>
      <c r="E9968" s="202"/>
      <c r="U9968" s="204"/>
    </row>
    <row r="9969" spans="2:21" x14ac:dyDescent="0.2">
      <c r="B9969" s="203"/>
      <c r="C9969" s="237"/>
      <c r="D9969" s="202"/>
      <c r="E9969" s="202"/>
      <c r="U9969" s="204"/>
    </row>
    <row r="9970" spans="2:21" x14ac:dyDescent="0.2">
      <c r="B9970" s="203"/>
      <c r="C9970" s="237"/>
      <c r="D9970" s="202"/>
      <c r="E9970" s="202"/>
      <c r="U9970" s="204"/>
    </row>
    <row r="9971" spans="2:21" x14ac:dyDescent="0.2">
      <c r="B9971" s="203"/>
      <c r="C9971" s="237"/>
      <c r="D9971" s="202"/>
      <c r="E9971" s="202"/>
      <c r="U9971" s="204"/>
    </row>
    <row r="9972" spans="2:21" x14ac:dyDescent="0.2">
      <c r="B9972" s="203"/>
      <c r="C9972" s="237"/>
      <c r="D9972" s="202"/>
      <c r="E9972" s="202"/>
      <c r="U9972" s="204"/>
    </row>
    <row r="9973" spans="2:21" x14ac:dyDescent="0.2">
      <c r="B9973" s="203"/>
      <c r="C9973" s="237"/>
      <c r="D9973" s="202"/>
      <c r="E9973" s="202"/>
      <c r="U9973" s="204"/>
    </row>
    <row r="9974" spans="2:21" x14ac:dyDescent="0.2">
      <c r="B9974" s="203"/>
      <c r="C9974" s="237"/>
      <c r="D9974" s="202"/>
      <c r="E9974" s="202"/>
      <c r="U9974" s="204"/>
    </row>
    <row r="9975" spans="2:21" x14ac:dyDescent="0.2">
      <c r="B9975" s="203"/>
      <c r="C9975" s="237"/>
      <c r="D9975" s="202"/>
      <c r="E9975" s="202"/>
      <c r="U9975" s="204"/>
    </row>
    <row r="9976" spans="2:21" x14ac:dyDescent="0.2">
      <c r="B9976" s="203"/>
      <c r="C9976" s="237"/>
      <c r="D9976" s="202"/>
      <c r="E9976" s="202"/>
      <c r="U9976" s="204"/>
    </row>
    <row r="9977" spans="2:21" x14ac:dyDescent="0.2">
      <c r="B9977" s="203"/>
      <c r="C9977" s="237"/>
      <c r="D9977" s="202"/>
      <c r="E9977" s="202"/>
      <c r="U9977" s="204"/>
    </row>
    <row r="9978" spans="2:21" x14ac:dyDescent="0.2">
      <c r="B9978" s="203"/>
      <c r="C9978" s="237"/>
      <c r="D9978" s="202"/>
      <c r="E9978" s="202"/>
      <c r="U9978" s="204"/>
    </row>
    <row r="9979" spans="2:21" x14ac:dyDescent="0.2">
      <c r="B9979" s="203"/>
      <c r="C9979" s="237"/>
      <c r="D9979" s="202"/>
      <c r="E9979" s="202"/>
      <c r="U9979" s="204"/>
    </row>
    <row r="9980" spans="2:21" x14ac:dyDescent="0.2">
      <c r="B9980" s="203"/>
      <c r="C9980" s="237"/>
      <c r="D9980" s="202"/>
      <c r="E9980" s="202"/>
      <c r="U9980" s="204"/>
    </row>
    <row r="9981" spans="2:21" x14ac:dyDescent="0.2">
      <c r="B9981" s="203"/>
      <c r="C9981" s="237"/>
      <c r="D9981" s="202"/>
      <c r="E9981" s="202"/>
      <c r="U9981" s="204"/>
    </row>
    <row r="9982" spans="2:21" x14ac:dyDescent="0.2">
      <c r="B9982" s="203"/>
      <c r="C9982" s="237"/>
      <c r="D9982" s="202"/>
      <c r="E9982" s="202"/>
      <c r="U9982" s="204"/>
    </row>
    <row r="9983" spans="2:21" x14ac:dyDescent="0.2">
      <c r="B9983" s="203"/>
      <c r="C9983" s="237"/>
      <c r="D9983" s="202"/>
      <c r="E9983" s="202"/>
      <c r="U9983" s="204"/>
    </row>
    <row r="9984" spans="2:21" x14ac:dyDescent="0.2">
      <c r="B9984" s="203"/>
      <c r="C9984" s="237"/>
      <c r="D9984" s="202"/>
      <c r="E9984" s="202"/>
      <c r="U9984" s="204"/>
    </row>
    <row r="9985" spans="2:21" x14ac:dyDescent="0.2">
      <c r="B9985" s="203"/>
      <c r="C9985" s="237"/>
      <c r="D9985" s="202"/>
      <c r="E9985" s="202"/>
      <c r="U9985" s="204"/>
    </row>
    <row r="9986" spans="2:21" x14ac:dyDescent="0.2">
      <c r="B9986" s="203"/>
      <c r="C9986" s="237"/>
      <c r="D9986" s="202"/>
      <c r="E9986" s="202"/>
      <c r="U9986" s="204"/>
    </row>
    <row r="9987" spans="2:21" x14ac:dyDescent="0.2">
      <c r="B9987" s="203"/>
      <c r="C9987" s="237"/>
      <c r="D9987" s="202"/>
      <c r="E9987" s="202"/>
      <c r="U9987" s="204"/>
    </row>
    <row r="9988" spans="2:21" x14ac:dyDescent="0.2">
      <c r="B9988" s="203"/>
      <c r="C9988" s="237"/>
      <c r="D9988" s="202"/>
      <c r="E9988" s="202"/>
      <c r="U9988" s="204"/>
    </row>
    <row r="9989" spans="2:21" x14ac:dyDescent="0.2">
      <c r="B9989" s="203"/>
      <c r="C9989" s="237"/>
      <c r="D9989" s="202"/>
      <c r="E9989" s="202"/>
      <c r="U9989" s="204"/>
    </row>
    <row r="9990" spans="2:21" x14ac:dyDescent="0.2">
      <c r="B9990" s="203"/>
      <c r="C9990" s="237"/>
      <c r="D9990" s="202"/>
      <c r="E9990" s="202"/>
      <c r="U9990" s="204"/>
    </row>
    <row r="9991" spans="2:21" x14ac:dyDescent="0.2">
      <c r="B9991" s="203"/>
      <c r="C9991" s="237"/>
      <c r="D9991" s="202"/>
      <c r="E9991" s="202"/>
      <c r="U9991" s="204"/>
    </row>
    <row r="9992" spans="2:21" x14ac:dyDescent="0.2">
      <c r="B9992" s="203"/>
      <c r="C9992" s="237"/>
      <c r="D9992" s="202"/>
      <c r="E9992" s="202"/>
      <c r="U9992" s="204"/>
    </row>
    <row r="9993" spans="2:21" x14ac:dyDescent="0.2">
      <c r="B9993" s="203"/>
      <c r="C9993" s="237"/>
      <c r="D9993" s="202"/>
      <c r="E9993" s="202"/>
      <c r="U9993" s="204"/>
    </row>
    <row r="9994" spans="2:21" x14ac:dyDescent="0.2">
      <c r="B9994" s="203"/>
      <c r="C9994" s="237"/>
      <c r="D9994" s="202"/>
      <c r="E9994" s="202"/>
      <c r="U9994" s="204"/>
    </row>
    <row r="9995" spans="2:21" x14ac:dyDescent="0.2">
      <c r="B9995" s="203"/>
      <c r="C9995" s="237"/>
      <c r="D9995" s="202"/>
      <c r="E9995" s="202"/>
      <c r="U9995" s="204"/>
    </row>
    <row r="9996" spans="2:21" x14ac:dyDescent="0.2">
      <c r="B9996" s="203"/>
      <c r="C9996" s="237"/>
      <c r="D9996" s="202"/>
      <c r="E9996" s="202"/>
      <c r="U9996" s="204"/>
    </row>
    <row r="9997" spans="2:21" x14ac:dyDescent="0.2">
      <c r="B9997" s="203"/>
      <c r="C9997" s="237"/>
      <c r="D9997" s="202"/>
      <c r="E9997" s="202"/>
      <c r="U9997" s="204"/>
    </row>
    <row r="9998" spans="2:21" x14ac:dyDescent="0.2">
      <c r="B9998" s="203"/>
      <c r="C9998" s="237"/>
      <c r="D9998" s="202"/>
      <c r="E9998" s="202"/>
      <c r="U9998" s="204"/>
    </row>
    <row r="9999" spans="2:21" x14ac:dyDescent="0.2">
      <c r="B9999" s="203"/>
      <c r="C9999" s="237"/>
      <c r="D9999" s="202"/>
      <c r="E9999" s="202"/>
      <c r="U9999" s="204"/>
    </row>
    <row r="10000" spans="2:21" x14ac:dyDescent="0.2">
      <c r="B10000" s="203"/>
      <c r="C10000" s="237"/>
      <c r="D10000" s="202"/>
      <c r="E10000" s="202"/>
      <c r="U10000" s="204"/>
    </row>
    <row r="10001" spans="2:21" x14ac:dyDescent="0.2">
      <c r="B10001" s="203"/>
      <c r="C10001" s="237"/>
      <c r="D10001" s="202"/>
      <c r="E10001" s="202"/>
      <c r="U10001" s="204"/>
    </row>
    <row r="10002" spans="2:21" x14ac:dyDescent="0.2">
      <c r="B10002" s="203"/>
      <c r="C10002" s="237"/>
      <c r="D10002" s="202"/>
      <c r="E10002" s="202"/>
      <c r="U10002" s="204"/>
    </row>
    <row r="10003" spans="2:21" x14ac:dyDescent="0.2">
      <c r="B10003" s="203"/>
      <c r="C10003" s="237"/>
      <c r="D10003" s="202"/>
      <c r="E10003" s="202"/>
      <c r="U10003" s="204"/>
    </row>
    <row r="10004" spans="2:21" x14ac:dyDescent="0.2">
      <c r="B10004" s="203"/>
      <c r="C10004" s="237"/>
      <c r="D10004" s="202"/>
      <c r="E10004" s="202"/>
      <c r="U10004" s="204"/>
    </row>
    <row r="10005" spans="2:21" x14ac:dyDescent="0.2">
      <c r="B10005" s="203"/>
      <c r="C10005" s="237"/>
      <c r="D10005" s="202"/>
      <c r="E10005" s="202"/>
      <c r="U10005" s="204"/>
    </row>
    <row r="10006" spans="2:21" x14ac:dyDescent="0.2">
      <c r="B10006" s="203"/>
      <c r="C10006" s="237"/>
      <c r="D10006" s="202"/>
      <c r="E10006" s="202"/>
      <c r="U10006" s="204"/>
    </row>
    <row r="10007" spans="2:21" x14ac:dyDescent="0.2">
      <c r="B10007" s="203"/>
      <c r="C10007" s="237"/>
      <c r="D10007" s="202"/>
      <c r="E10007" s="202"/>
      <c r="U10007" s="204"/>
    </row>
    <row r="10008" spans="2:21" x14ac:dyDescent="0.2">
      <c r="B10008" s="203"/>
      <c r="C10008" s="237"/>
      <c r="D10008" s="202"/>
      <c r="E10008" s="202"/>
      <c r="U10008" s="204"/>
    </row>
    <row r="10009" spans="2:21" x14ac:dyDescent="0.2">
      <c r="B10009" s="203"/>
      <c r="C10009" s="237"/>
      <c r="D10009" s="202"/>
      <c r="E10009" s="202"/>
      <c r="U10009" s="204"/>
    </row>
    <row r="10010" spans="2:21" x14ac:dyDescent="0.2">
      <c r="B10010" s="203"/>
      <c r="C10010" s="237"/>
      <c r="D10010" s="202"/>
      <c r="E10010" s="202"/>
      <c r="U10010" s="204"/>
    </row>
    <row r="10011" spans="2:21" x14ac:dyDescent="0.2">
      <c r="B10011" s="203"/>
      <c r="C10011" s="237"/>
      <c r="D10011" s="202"/>
      <c r="E10011" s="202"/>
      <c r="U10011" s="204"/>
    </row>
    <row r="10012" spans="2:21" x14ac:dyDescent="0.2">
      <c r="B10012" s="203"/>
      <c r="C10012" s="237"/>
      <c r="D10012" s="202"/>
      <c r="E10012" s="202"/>
      <c r="U10012" s="204"/>
    </row>
    <row r="10013" spans="2:21" x14ac:dyDescent="0.2">
      <c r="B10013" s="203"/>
      <c r="C10013" s="237"/>
      <c r="D10013" s="202"/>
      <c r="E10013" s="202"/>
      <c r="U10013" s="204"/>
    </row>
    <row r="10014" spans="2:21" x14ac:dyDescent="0.2">
      <c r="B10014" s="203"/>
      <c r="C10014" s="237"/>
      <c r="D10014" s="202"/>
      <c r="E10014" s="202"/>
      <c r="U10014" s="204"/>
    </row>
    <row r="10015" spans="2:21" x14ac:dyDescent="0.2">
      <c r="B10015" s="203"/>
      <c r="C10015" s="237"/>
      <c r="D10015" s="202"/>
      <c r="E10015" s="202"/>
      <c r="U10015" s="204"/>
    </row>
    <row r="10016" spans="2:21" x14ac:dyDescent="0.2">
      <c r="B10016" s="203"/>
      <c r="C10016" s="237"/>
      <c r="D10016" s="202"/>
      <c r="E10016" s="202"/>
      <c r="U10016" s="204"/>
    </row>
    <row r="10017" spans="2:21" x14ac:dyDescent="0.2">
      <c r="B10017" s="203"/>
      <c r="C10017" s="237"/>
      <c r="D10017" s="202"/>
      <c r="E10017" s="202"/>
      <c r="U10017" s="204"/>
    </row>
    <row r="10018" spans="2:21" x14ac:dyDescent="0.2">
      <c r="B10018" s="203"/>
      <c r="C10018" s="237"/>
      <c r="D10018" s="202"/>
      <c r="E10018" s="202"/>
      <c r="U10018" s="204"/>
    </row>
    <row r="10019" spans="2:21" x14ac:dyDescent="0.2">
      <c r="B10019" s="203"/>
      <c r="C10019" s="237"/>
      <c r="D10019" s="202"/>
      <c r="E10019" s="202"/>
      <c r="U10019" s="204"/>
    </row>
    <row r="10020" spans="2:21" x14ac:dyDescent="0.2">
      <c r="B10020" s="203"/>
      <c r="C10020" s="237"/>
      <c r="D10020" s="202"/>
      <c r="E10020" s="202"/>
      <c r="U10020" s="204"/>
    </row>
    <row r="10021" spans="2:21" x14ac:dyDescent="0.2">
      <c r="B10021" s="203"/>
      <c r="C10021" s="237"/>
      <c r="D10021" s="202"/>
      <c r="E10021" s="202"/>
      <c r="U10021" s="204"/>
    </row>
    <row r="10022" spans="2:21" x14ac:dyDescent="0.2">
      <c r="B10022" s="203"/>
      <c r="C10022" s="237"/>
      <c r="D10022" s="202"/>
      <c r="E10022" s="202"/>
      <c r="U10022" s="204"/>
    </row>
    <row r="10023" spans="2:21" x14ac:dyDescent="0.2">
      <c r="B10023" s="203"/>
      <c r="C10023" s="237"/>
      <c r="D10023" s="202"/>
      <c r="E10023" s="202"/>
      <c r="U10023" s="204"/>
    </row>
    <row r="10024" spans="2:21" x14ac:dyDescent="0.2">
      <c r="B10024" s="203"/>
      <c r="C10024" s="237"/>
      <c r="D10024" s="202"/>
      <c r="E10024" s="202"/>
      <c r="U10024" s="204"/>
    </row>
    <row r="10025" spans="2:21" x14ac:dyDescent="0.2">
      <c r="B10025" s="203"/>
      <c r="C10025" s="237"/>
      <c r="D10025" s="202"/>
      <c r="E10025" s="202"/>
      <c r="U10025" s="204"/>
    </row>
    <row r="10026" spans="2:21" x14ac:dyDescent="0.2">
      <c r="B10026" s="203"/>
      <c r="C10026" s="237"/>
      <c r="D10026" s="202"/>
      <c r="E10026" s="202"/>
      <c r="U10026" s="204"/>
    </row>
    <row r="10027" spans="2:21" x14ac:dyDescent="0.2">
      <c r="B10027" s="203"/>
      <c r="C10027" s="237"/>
      <c r="D10027" s="202"/>
      <c r="E10027" s="202"/>
      <c r="U10027" s="204"/>
    </row>
    <row r="10028" spans="2:21" x14ac:dyDescent="0.2">
      <c r="B10028" s="203"/>
      <c r="C10028" s="237"/>
      <c r="D10028" s="202"/>
      <c r="E10028" s="202"/>
      <c r="U10028" s="204"/>
    </row>
    <row r="10029" spans="2:21" x14ac:dyDescent="0.2">
      <c r="B10029" s="203"/>
      <c r="C10029" s="237"/>
      <c r="D10029" s="202"/>
      <c r="E10029" s="202"/>
      <c r="U10029" s="204"/>
    </row>
    <row r="10030" spans="2:21" x14ac:dyDescent="0.2">
      <c r="B10030" s="203"/>
      <c r="C10030" s="237"/>
      <c r="D10030" s="202"/>
      <c r="E10030" s="202"/>
      <c r="U10030" s="204"/>
    </row>
    <row r="10031" spans="2:21" x14ac:dyDescent="0.2">
      <c r="B10031" s="203"/>
      <c r="C10031" s="237"/>
      <c r="D10031" s="202"/>
      <c r="E10031" s="202"/>
      <c r="U10031" s="204"/>
    </row>
    <row r="10032" spans="2:21" x14ac:dyDescent="0.2">
      <c r="B10032" s="203"/>
      <c r="C10032" s="237"/>
      <c r="D10032" s="202"/>
      <c r="E10032" s="202"/>
      <c r="U10032" s="204"/>
    </row>
    <row r="10033" spans="2:21" x14ac:dyDescent="0.2">
      <c r="B10033" s="203"/>
      <c r="C10033" s="237"/>
      <c r="D10033" s="202"/>
      <c r="E10033" s="202"/>
      <c r="U10033" s="204"/>
    </row>
    <row r="10034" spans="2:21" x14ac:dyDescent="0.2">
      <c r="B10034" s="203"/>
      <c r="C10034" s="237"/>
      <c r="D10034" s="202"/>
      <c r="E10034" s="202"/>
      <c r="U10034" s="204"/>
    </row>
    <row r="10035" spans="2:21" x14ac:dyDescent="0.2">
      <c r="B10035" s="203"/>
      <c r="C10035" s="237"/>
      <c r="D10035" s="202"/>
      <c r="E10035" s="202"/>
      <c r="U10035" s="204"/>
    </row>
    <row r="10036" spans="2:21" x14ac:dyDescent="0.2">
      <c r="B10036" s="203"/>
      <c r="C10036" s="237"/>
      <c r="D10036" s="202"/>
      <c r="E10036" s="202"/>
      <c r="U10036" s="204"/>
    </row>
    <row r="10037" spans="2:21" x14ac:dyDescent="0.2">
      <c r="B10037" s="203"/>
      <c r="C10037" s="237"/>
      <c r="D10037" s="202"/>
      <c r="E10037" s="202"/>
      <c r="U10037" s="204"/>
    </row>
    <row r="10038" spans="2:21" x14ac:dyDescent="0.2">
      <c r="B10038" s="203"/>
      <c r="C10038" s="237"/>
      <c r="D10038" s="202"/>
      <c r="E10038" s="202"/>
      <c r="U10038" s="204"/>
    </row>
    <row r="10039" spans="2:21" x14ac:dyDescent="0.2">
      <c r="B10039" s="203"/>
      <c r="C10039" s="237"/>
      <c r="D10039" s="202"/>
      <c r="E10039" s="202"/>
      <c r="U10039" s="204"/>
    </row>
    <row r="10040" spans="2:21" x14ac:dyDescent="0.2">
      <c r="B10040" s="203"/>
      <c r="C10040" s="237"/>
      <c r="D10040" s="202"/>
      <c r="E10040" s="202"/>
      <c r="U10040" s="204"/>
    </row>
    <row r="10041" spans="2:21" x14ac:dyDescent="0.2">
      <c r="B10041" s="203"/>
      <c r="C10041" s="237"/>
      <c r="D10041" s="202"/>
      <c r="E10041" s="202"/>
      <c r="U10041" s="204"/>
    </row>
    <row r="10042" spans="2:21" x14ac:dyDescent="0.2">
      <c r="B10042" s="203"/>
      <c r="C10042" s="237"/>
      <c r="D10042" s="202"/>
      <c r="E10042" s="202"/>
      <c r="U10042" s="204"/>
    </row>
    <row r="10043" spans="2:21" x14ac:dyDescent="0.2">
      <c r="B10043" s="203"/>
      <c r="C10043" s="237"/>
      <c r="D10043" s="202"/>
      <c r="E10043" s="202"/>
      <c r="U10043" s="204"/>
    </row>
    <row r="10044" spans="2:21" x14ac:dyDescent="0.2">
      <c r="B10044" s="203"/>
      <c r="C10044" s="237"/>
      <c r="D10044" s="202"/>
      <c r="E10044" s="202"/>
      <c r="U10044" s="204"/>
    </row>
    <row r="10045" spans="2:21" x14ac:dyDescent="0.2">
      <c r="B10045" s="203"/>
      <c r="C10045" s="237"/>
      <c r="D10045" s="202"/>
      <c r="E10045" s="202"/>
      <c r="U10045" s="204"/>
    </row>
    <row r="10046" spans="2:21" x14ac:dyDescent="0.2">
      <c r="B10046" s="203"/>
      <c r="C10046" s="237"/>
      <c r="D10046" s="202"/>
      <c r="E10046" s="202"/>
      <c r="U10046" s="204"/>
    </row>
    <row r="10047" spans="2:21" x14ac:dyDescent="0.2">
      <c r="B10047" s="203"/>
      <c r="C10047" s="237"/>
      <c r="D10047" s="202"/>
      <c r="E10047" s="202"/>
      <c r="U10047" s="204"/>
    </row>
    <row r="10048" spans="2:21" x14ac:dyDescent="0.2">
      <c r="B10048" s="203"/>
      <c r="C10048" s="237"/>
      <c r="D10048" s="202"/>
      <c r="E10048" s="202"/>
      <c r="U10048" s="204"/>
    </row>
    <row r="10049" spans="2:21" x14ac:dyDescent="0.2">
      <c r="B10049" s="203"/>
      <c r="C10049" s="237"/>
      <c r="D10049" s="202"/>
      <c r="E10049" s="202"/>
      <c r="U10049" s="204"/>
    </row>
    <row r="10050" spans="2:21" x14ac:dyDescent="0.2">
      <c r="B10050" s="203"/>
      <c r="C10050" s="237"/>
      <c r="D10050" s="202"/>
      <c r="E10050" s="202"/>
      <c r="U10050" s="204"/>
    </row>
    <row r="10051" spans="2:21" x14ac:dyDescent="0.2">
      <c r="B10051" s="203"/>
      <c r="C10051" s="237"/>
      <c r="D10051" s="202"/>
      <c r="E10051" s="202"/>
      <c r="U10051" s="204"/>
    </row>
    <row r="10052" spans="2:21" x14ac:dyDescent="0.2">
      <c r="B10052" s="203"/>
      <c r="C10052" s="237"/>
      <c r="D10052" s="202"/>
      <c r="E10052" s="202"/>
      <c r="U10052" s="204"/>
    </row>
    <row r="10053" spans="2:21" x14ac:dyDescent="0.2">
      <c r="B10053" s="203"/>
      <c r="C10053" s="237"/>
      <c r="D10053" s="202"/>
      <c r="E10053" s="202"/>
      <c r="U10053" s="204"/>
    </row>
    <row r="10054" spans="2:21" x14ac:dyDescent="0.2">
      <c r="B10054" s="203"/>
      <c r="C10054" s="237"/>
      <c r="D10054" s="202"/>
      <c r="E10054" s="202"/>
      <c r="U10054" s="204"/>
    </row>
    <row r="10055" spans="2:21" x14ac:dyDescent="0.2">
      <c r="B10055" s="203"/>
      <c r="C10055" s="237"/>
      <c r="D10055" s="202"/>
      <c r="E10055" s="202"/>
      <c r="U10055" s="204"/>
    </row>
    <row r="10056" spans="2:21" x14ac:dyDescent="0.2">
      <c r="B10056" s="203"/>
      <c r="C10056" s="237"/>
      <c r="D10056" s="202"/>
      <c r="E10056" s="202"/>
      <c r="U10056" s="204"/>
    </row>
    <row r="10057" spans="2:21" x14ac:dyDescent="0.2">
      <c r="B10057" s="203"/>
      <c r="C10057" s="237"/>
      <c r="D10057" s="202"/>
      <c r="E10057" s="202"/>
      <c r="U10057" s="204"/>
    </row>
    <row r="10058" spans="2:21" x14ac:dyDescent="0.2">
      <c r="B10058" s="203"/>
      <c r="C10058" s="237"/>
      <c r="D10058" s="202"/>
      <c r="E10058" s="202"/>
      <c r="U10058" s="204"/>
    </row>
    <row r="10059" spans="2:21" x14ac:dyDescent="0.2">
      <c r="B10059" s="203"/>
      <c r="C10059" s="237"/>
      <c r="D10059" s="202"/>
      <c r="E10059" s="202"/>
      <c r="U10059" s="204"/>
    </row>
    <row r="10060" spans="2:21" x14ac:dyDescent="0.2">
      <c r="B10060" s="203"/>
      <c r="C10060" s="237"/>
      <c r="D10060" s="202"/>
      <c r="E10060" s="202"/>
      <c r="U10060" s="204"/>
    </row>
    <row r="10061" spans="2:21" x14ac:dyDescent="0.2">
      <c r="B10061" s="203"/>
      <c r="C10061" s="237"/>
      <c r="D10061" s="202"/>
      <c r="E10061" s="202"/>
      <c r="U10061" s="204"/>
    </row>
    <row r="10062" spans="2:21" x14ac:dyDescent="0.2">
      <c r="B10062" s="203"/>
      <c r="C10062" s="237"/>
      <c r="D10062" s="202"/>
      <c r="E10062" s="202"/>
      <c r="U10062" s="204"/>
    </row>
    <row r="10063" spans="2:21" x14ac:dyDescent="0.2">
      <c r="B10063" s="203"/>
      <c r="C10063" s="237"/>
      <c r="D10063" s="202"/>
      <c r="E10063" s="202"/>
      <c r="U10063" s="204"/>
    </row>
    <row r="10064" spans="2:21" x14ac:dyDescent="0.2">
      <c r="B10064" s="203"/>
      <c r="C10064" s="237"/>
      <c r="D10064" s="202"/>
      <c r="E10064" s="202"/>
      <c r="U10064" s="204"/>
    </row>
    <row r="10065" spans="2:21" x14ac:dyDescent="0.2">
      <c r="B10065" s="203"/>
      <c r="C10065" s="237"/>
      <c r="D10065" s="202"/>
      <c r="E10065" s="202"/>
      <c r="U10065" s="204"/>
    </row>
    <row r="10066" spans="2:21" x14ac:dyDescent="0.2">
      <c r="B10066" s="203"/>
      <c r="C10066" s="237"/>
      <c r="D10066" s="202"/>
      <c r="E10066" s="202"/>
      <c r="U10066" s="204"/>
    </row>
    <row r="10067" spans="2:21" x14ac:dyDescent="0.2">
      <c r="B10067" s="203"/>
      <c r="C10067" s="237"/>
      <c r="D10067" s="202"/>
      <c r="E10067" s="202"/>
      <c r="U10067" s="204"/>
    </row>
    <row r="10068" spans="2:21" x14ac:dyDescent="0.2">
      <c r="B10068" s="203"/>
      <c r="C10068" s="237"/>
      <c r="D10068" s="202"/>
      <c r="E10068" s="202"/>
      <c r="U10068" s="204"/>
    </row>
    <row r="10069" spans="2:21" x14ac:dyDescent="0.2">
      <c r="B10069" s="203"/>
      <c r="C10069" s="237"/>
      <c r="D10069" s="202"/>
      <c r="E10069" s="202"/>
      <c r="U10069" s="204"/>
    </row>
    <row r="10070" spans="2:21" x14ac:dyDescent="0.2">
      <c r="B10070" s="203"/>
      <c r="C10070" s="237"/>
      <c r="D10070" s="202"/>
      <c r="E10070" s="202"/>
      <c r="U10070" s="204"/>
    </row>
    <row r="10071" spans="2:21" x14ac:dyDescent="0.2">
      <c r="B10071" s="203"/>
      <c r="C10071" s="237"/>
      <c r="D10071" s="202"/>
      <c r="E10071" s="202"/>
      <c r="U10071" s="204"/>
    </row>
    <row r="10072" spans="2:21" x14ac:dyDescent="0.2">
      <c r="B10072" s="203"/>
      <c r="C10072" s="237"/>
      <c r="D10072" s="202"/>
      <c r="E10072" s="202"/>
      <c r="U10072" s="204"/>
    </row>
    <row r="10073" spans="2:21" x14ac:dyDescent="0.2">
      <c r="B10073" s="203"/>
      <c r="C10073" s="237"/>
      <c r="D10073" s="202"/>
      <c r="E10073" s="202"/>
      <c r="U10073" s="204"/>
    </row>
    <row r="10074" spans="2:21" x14ac:dyDescent="0.2">
      <c r="B10074" s="203"/>
      <c r="C10074" s="237"/>
      <c r="D10074" s="202"/>
      <c r="E10074" s="202"/>
      <c r="U10074" s="204"/>
    </row>
    <row r="10075" spans="2:21" x14ac:dyDescent="0.2">
      <c r="B10075" s="203"/>
      <c r="C10075" s="237"/>
      <c r="D10075" s="202"/>
      <c r="E10075" s="202"/>
      <c r="U10075" s="204"/>
    </row>
    <row r="10076" spans="2:21" x14ac:dyDescent="0.2">
      <c r="B10076" s="203"/>
      <c r="C10076" s="237"/>
      <c r="D10076" s="202"/>
      <c r="E10076" s="202"/>
      <c r="U10076" s="204"/>
    </row>
    <row r="10077" spans="2:21" x14ac:dyDescent="0.2">
      <c r="B10077" s="203"/>
      <c r="C10077" s="237"/>
      <c r="D10077" s="202"/>
      <c r="E10077" s="202"/>
      <c r="U10077" s="204"/>
    </row>
    <row r="10078" spans="2:21" x14ac:dyDescent="0.2">
      <c r="B10078" s="203"/>
      <c r="C10078" s="237"/>
      <c r="D10078" s="202"/>
      <c r="E10078" s="202"/>
      <c r="U10078" s="204"/>
    </row>
    <row r="10079" spans="2:21" x14ac:dyDescent="0.2">
      <c r="B10079" s="203"/>
      <c r="C10079" s="237"/>
      <c r="D10079" s="202"/>
      <c r="E10079" s="202"/>
      <c r="U10079" s="204"/>
    </row>
    <row r="10080" spans="2:21" x14ac:dyDescent="0.2">
      <c r="B10080" s="203"/>
      <c r="C10080" s="237"/>
      <c r="D10080" s="202"/>
      <c r="E10080" s="202"/>
      <c r="U10080" s="204"/>
    </row>
    <row r="10081" spans="2:21" x14ac:dyDescent="0.2">
      <c r="B10081" s="203"/>
      <c r="C10081" s="237"/>
      <c r="D10081" s="202"/>
      <c r="E10081" s="202"/>
      <c r="U10081" s="204"/>
    </row>
    <row r="10082" spans="2:21" x14ac:dyDescent="0.2">
      <c r="B10082" s="203"/>
      <c r="C10082" s="237"/>
      <c r="D10082" s="202"/>
      <c r="E10082" s="202"/>
      <c r="U10082" s="204"/>
    </row>
    <row r="10083" spans="2:21" x14ac:dyDescent="0.2">
      <c r="B10083" s="203"/>
      <c r="C10083" s="237"/>
      <c r="D10083" s="202"/>
      <c r="E10083" s="202"/>
      <c r="U10083" s="204"/>
    </row>
    <row r="10084" spans="2:21" x14ac:dyDescent="0.2">
      <c r="B10084" s="203"/>
      <c r="C10084" s="237"/>
      <c r="D10084" s="202"/>
      <c r="E10084" s="202"/>
      <c r="U10084" s="204"/>
    </row>
    <row r="10085" spans="2:21" x14ac:dyDescent="0.2">
      <c r="B10085" s="203"/>
      <c r="C10085" s="237"/>
      <c r="D10085" s="202"/>
      <c r="E10085" s="202"/>
      <c r="U10085" s="204"/>
    </row>
    <row r="10086" spans="2:21" x14ac:dyDescent="0.2">
      <c r="B10086" s="203"/>
      <c r="C10086" s="237"/>
      <c r="D10086" s="202"/>
      <c r="E10086" s="202"/>
      <c r="U10086" s="204"/>
    </row>
    <row r="10087" spans="2:21" x14ac:dyDescent="0.2">
      <c r="B10087" s="203"/>
      <c r="C10087" s="237"/>
      <c r="D10087" s="202"/>
      <c r="E10087" s="202"/>
      <c r="U10087" s="204"/>
    </row>
    <row r="10088" spans="2:21" x14ac:dyDescent="0.2">
      <c r="B10088" s="203"/>
      <c r="C10088" s="237"/>
      <c r="D10088" s="202"/>
      <c r="E10088" s="202"/>
      <c r="U10088" s="204"/>
    </row>
    <row r="10089" spans="2:21" x14ac:dyDescent="0.2">
      <c r="B10089" s="203"/>
      <c r="C10089" s="237"/>
      <c r="D10089" s="202"/>
      <c r="E10089" s="202"/>
      <c r="U10089" s="204"/>
    </row>
    <row r="10090" spans="2:21" x14ac:dyDescent="0.2">
      <c r="B10090" s="203"/>
      <c r="C10090" s="237"/>
      <c r="D10090" s="202"/>
      <c r="E10090" s="202"/>
      <c r="U10090" s="204"/>
    </row>
    <row r="10091" spans="2:21" x14ac:dyDescent="0.2">
      <c r="B10091" s="203"/>
      <c r="C10091" s="237"/>
      <c r="D10091" s="202"/>
      <c r="E10091" s="202"/>
      <c r="U10091" s="204"/>
    </row>
    <row r="10092" spans="2:21" x14ac:dyDescent="0.2">
      <c r="B10092" s="203"/>
      <c r="C10092" s="237"/>
      <c r="D10092" s="202"/>
      <c r="E10092" s="202"/>
      <c r="U10092" s="204"/>
    </row>
    <row r="10093" spans="2:21" x14ac:dyDescent="0.2">
      <c r="B10093" s="203"/>
      <c r="C10093" s="237"/>
      <c r="D10093" s="202"/>
      <c r="E10093" s="202"/>
      <c r="U10093" s="204"/>
    </row>
    <row r="10094" spans="2:21" x14ac:dyDescent="0.2">
      <c r="B10094" s="203"/>
      <c r="C10094" s="237"/>
      <c r="D10094" s="202"/>
      <c r="E10094" s="202"/>
      <c r="U10094" s="204"/>
    </row>
    <row r="10095" spans="2:21" x14ac:dyDescent="0.2">
      <c r="B10095" s="203"/>
      <c r="C10095" s="237"/>
      <c r="D10095" s="202"/>
      <c r="E10095" s="202"/>
      <c r="U10095" s="204"/>
    </row>
    <row r="10096" spans="2:21" x14ac:dyDescent="0.2">
      <c r="B10096" s="203"/>
      <c r="C10096" s="237"/>
      <c r="D10096" s="202"/>
      <c r="E10096" s="202"/>
      <c r="U10096" s="204"/>
    </row>
    <row r="10097" spans="2:21" x14ac:dyDescent="0.2">
      <c r="B10097" s="203"/>
      <c r="C10097" s="237"/>
      <c r="D10097" s="202"/>
      <c r="E10097" s="202"/>
      <c r="U10097" s="204"/>
    </row>
    <row r="10098" spans="2:21" x14ac:dyDescent="0.2">
      <c r="B10098" s="203"/>
      <c r="C10098" s="237"/>
      <c r="D10098" s="202"/>
      <c r="E10098" s="202"/>
      <c r="U10098" s="204"/>
    </row>
    <row r="10099" spans="2:21" x14ac:dyDescent="0.2">
      <c r="B10099" s="203"/>
      <c r="C10099" s="237"/>
      <c r="D10099" s="202"/>
      <c r="E10099" s="202"/>
      <c r="U10099" s="204"/>
    </row>
    <row r="10100" spans="2:21" x14ac:dyDescent="0.2">
      <c r="B10100" s="203"/>
      <c r="C10100" s="237"/>
      <c r="D10100" s="202"/>
      <c r="E10100" s="202"/>
      <c r="U10100" s="204"/>
    </row>
    <row r="10101" spans="2:21" x14ac:dyDescent="0.2">
      <c r="B10101" s="203"/>
      <c r="C10101" s="237"/>
      <c r="D10101" s="202"/>
      <c r="E10101" s="202"/>
      <c r="U10101" s="204"/>
    </row>
    <row r="10102" spans="2:21" x14ac:dyDescent="0.2">
      <c r="B10102" s="203"/>
      <c r="C10102" s="237"/>
      <c r="D10102" s="202"/>
      <c r="E10102" s="202"/>
      <c r="U10102" s="204"/>
    </row>
    <row r="10103" spans="2:21" x14ac:dyDescent="0.2">
      <c r="B10103" s="203"/>
      <c r="C10103" s="237"/>
      <c r="D10103" s="202"/>
      <c r="E10103" s="202"/>
      <c r="U10103" s="204"/>
    </row>
    <row r="10104" spans="2:21" x14ac:dyDescent="0.2">
      <c r="B10104" s="203"/>
      <c r="C10104" s="237"/>
      <c r="D10104" s="202"/>
      <c r="E10104" s="202"/>
      <c r="U10104" s="204"/>
    </row>
    <row r="10105" spans="2:21" x14ac:dyDescent="0.2">
      <c r="B10105" s="203"/>
      <c r="C10105" s="237"/>
      <c r="D10105" s="202"/>
      <c r="E10105" s="202"/>
      <c r="U10105" s="204"/>
    </row>
    <row r="10106" spans="2:21" x14ac:dyDescent="0.2">
      <c r="B10106" s="203"/>
      <c r="C10106" s="237"/>
      <c r="D10106" s="202"/>
      <c r="E10106" s="202"/>
      <c r="U10106" s="204"/>
    </row>
    <row r="10107" spans="2:21" x14ac:dyDescent="0.2">
      <c r="B10107" s="203"/>
      <c r="C10107" s="237"/>
      <c r="D10107" s="202"/>
      <c r="E10107" s="202"/>
      <c r="U10107" s="204"/>
    </row>
    <row r="10108" spans="2:21" x14ac:dyDescent="0.2">
      <c r="B10108" s="203"/>
      <c r="C10108" s="237"/>
      <c r="D10108" s="202"/>
      <c r="E10108" s="202"/>
      <c r="U10108" s="204"/>
    </row>
    <row r="10109" spans="2:21" x14ac:dyDescent="0.2">
      <c r="B10109" s="203"/>
      <c r="C10109" s="237"/>
      <c r="D10109" s="202"/>
      <c r="E10109" s="202"/>
      <c r="U10109" s="204"/>
    </row>
    <row r="10110" spans="2:21" x14ac:dyDescent="0.2">
      <c r="B10110" s="203"/>
      <c r="C10110" s="237"/>
      <c r="D10110" s="202"/>
      <c r="E10110" s="202"/>
      <c r="U10110" s="204"/>
    </row>
    <row r="10111" spans="2:21" x14ac:dyDescent="0.2">
      <c r="B10111" s="203"/>
      <c r="C10111" s="237"/>
      <c r="D10111" s="202"/>
      <c r="E10111" s="202"/>
      <c r="U10111" s="204"/>
    </row>
    <row r="10112" spans="2:21" x14ac:dyDescent="0.2">
      <c r="B10112" s="203"/>
      <c r="C10112" s="237"/>
      <c r="D10112" s="202"/>
      <c r="E10112" s="202"/>
      <c r="U10112" s="204"/>
    </row>
    <row r="10113" spans="2:21" x14ac:dyDescent="0.2">
      <c r="B10113" s="203"/>
      <c r="C10113" s="237"/>
      <c r="D10113" s="202"/>
      <c r="E10113" s="202"/>
      <c r="U10113" s="204"/>
    </row>
    <row r="10114" spans="2:21" x14ac:dyDescent="0.2">
      <c r="B10114" s="203"/>
      <c r="C10114" s="237"/>
      <c r="D10114" s="202"/>
      <c r="E10114" s="202"/>
      <c r="U10114" s="204"/>
    </row>
    <row r="10115" spans="2:21" x14ac:dyDescent="0.2">
      <c r="B10115" s="203"/>
      <c r="C10115" s="237"/>
      <c r="D10115" s="202"/>
      <c r="E10115" s="202"/>
      <c r="U10115" s="204"/>
    </row>
    <row r="10116" spans="2:21" x14ac:dyDescent="0.2">
      <c r="B10116" s="203"/>
      <c r="C10116" s="237"/>
      <c r="D10116" s="202"/>
      <c r="E10116" s="202"/>
      <c r="U10116" s="204"/>
    </row>
    <row r="10117" spans="2:21" x14ac:dyDescent="0.2">
      <c r="B10117" s="203"/>
      <c r="C10117" s="237"/>
      <c r="D10117" s="202"/>
      <c r="E10117" s="202"/>
      <c r="U10117" s="204"/>
    </row>
    <row r="10118" spans="2:21" x14ac:dyDescent="0.2">
      <c r="B10118" s="203"/>
      <c r="C10118" s="237"/>
      <c r="D10118" s="202"/>
      <c r="E10118" s="202"/>
      <c r="U10118" s="204"/>
    </row>
    <row r="10119" spans="2:21" x14ac:dyDescent="0.2">
      <c r="B10119" s="203"/>
      <c r="C10119" s="237"/>
      <c r="D10119" s="202"/>
      <c r="E10119" s="202"/>
      <c r="U10119" s="204"/>
    </row>
    <row r="10120" spans="2:21" x14ac:dyDescent="0.2">
      <c r="B10120" s="203"/>
      <c r="C10120" s="237"/>
      <c r="D10120" s="202"/>
      <c r="E10120" s="202"/>
      <c r="U10120" s="204"/>
    </row>
    <row r="10121" spans="2:21" x14ac:dyDescent="0.2">
      <c r="B10121" s="203"/>
      <c r="C10121" s="237"/>
      <c r="D10121" s="202"/>
      <c r="E10121" s="202"/>
      <c r="U10121" s="204"/>
    </row>
    <row r="10122" spans="2:21" x14ac:dyDescent="0.2">
      <c r="B10122" s="203"/>
      <c r="C10122" s="237"/>
      <c r="D10122" s="202"/>
      <c r="E10122" s="202"/>
      <c r="U10122" s="204"/>
    </row>
    <row r="10123" spans="2:21" x14ac:dyDescent="0.2">
      <c r="B10123" s="203"/>
      <c r="C10123" s="237"/>
      <c r="D10123" s="202"/>
      <c r="E10123" s="202"/>
      <c r="U10123" s="204"/>
    </row>
    <row r="10124" spans="2:21" x14ac:dyDescent="0.2">
      <c r="B10124" s="203"/>
      <c r="C10124" s="237"/>
      <c r="D10124" s="202"/>
      <c r="E10124" s="202"/>
      <c r="U10124" s="204"/>
    </row>
    <row r="10125" spans="2:21" x14ac:dyDescent="0.2">
      <c r="B10125" s="203"/>
      <c r="C10125" s="237"/>
      <c r="D10125" s="202"/>
      <c r="E10125" s="202"/>
      <c r="U10125" s="204"/>
    </row>
    <row r="10126" spans="2:21" x14ac:dyDescent="0.2">
      <c r="B10126" s="203"/>
      <c r="C10126" s="237"/>
      <c r="D10126" s="202"/>
      <c r="E10126" s="202"/>
      <c r="U10126" s="204"/>
    </row>
    <row r="10127" spans="2:21" x14ac:dyDescent="0.2">
      <c r="B10127" s="203"/>
      <c r="C10127" s="237"/>
      <c r="D10127" s="202"/>
      <c r="E10127" s="202"/>
      <c r="U10127" s="204"/>
    </row>
    <row r="10128" spans="2:21" x14ac:dyDescent="0.2">
      <c r="B10128" s="203"/>
      <c r="C10128" s="237"/>
      <c r="D10128" s="202"/>
      <c r="E10128" s="202"/>
      <c r="U10128" s="204"/>
    </row>
    <row r="10129" spans="2:21" x14ac:dyDescent="0.2">
      <c r="B10129" s="203"/>
      <c r="C10129" s="237"/>
      <c r="D10129" s="202"/>
      <c r="E10129" s="202"/>
      <c r="U10129" s="204"/>
    </row>
    <row r="10130" spans="2:21" x14ac:dyDescent="0.2">
      <c r="B10130" s="203"/>
      <c r="C10130" s="237"/>
      <c r="D10130" s="202"/>
      <c r="E10130" s="202"/>
      <c r="U10130" s="204"/>
    </row>
    <row r="10131" spans="2:21" x14ac:dyDescent="0.2">
      <c r="B10131" s="203"/>
      <c r="C10131" s="237"/>
      <c r="D10131" s="202"/>
      <c r="E10131" s="202"/>
      <c r="U10131" s="204"/>
    </row>
    <row r="10132" spans="2:21" x14ac:dyDescent="0.2">
      <c r="B10132" s="203"/>
      <c r="C10132" s="237"/>
      <c r="D10132" s="202"/>
      <c r="E10132" s="202"/>
      <c r="U10132" s="204"/>
    </row>
    <row r="10133" spans="2:21" x14ac:dyDescent="0.2">
      <c r="B10133" s="203"/>
      <c r="C10133" s="237"/>
      <c r="D10133" s="202"/>
      <c r="E10133" s="202"/>
      <c r="U10133" s="204"/>
    </row>
    <row r="10134" spans="2:21" x14ac:dyDescent="0.2">
      <c r="B10134" s="203"/>
      <c r="C10134" s="237"/>
      <c r="D10134" s="202"/>
      <c r="E10134" s="202"/>
      <c r="U10134" s="204"/>
    </row>
    <row r="10135" spans="2:21" x14ac:dyDescent="0.2">
      <c r="B10135" s="203"/>
      <c r="C10135" s="237"/>
      <c r="D10135" s="202"/>
      <c r="E10135" s="202"/>
      <c r="U10135" s="204"/>
    </row>
    <row r="10136" spans="2:21" x14ac:dyDescent="0.2">
      <c r="B10136" s="203"/>
      <c r="C10136" s="237"/>
      <c r="D10136" s="202"/>
      <c r="E10136" s="202"/>
      <c r="U10136" s="204"/>
    </row>
    <row r="10137" spans="2:21" x14ac:dyDescent="0.2">
      <c r="B10137" s="203"/>
      <c r="C10137" s="237"/>
      <c r="D10137" s="202"/>
      <c r="E10137" s="202"/>
      <c r="U10137" s="204"/>
    </row>
    <row r="10138" spans="2:21" x14ac:dyDescent="0.2">
      <c r="B10138" s="203"/>
      <c r="C10138" s="237"/>
      <c r="D10138" s="202"/>
      <c r="E10138" s="202"/>
      <c r="U10138" s="204"/>
    </row>
    <row r="10139" spans="2:21" x14ac:dyDescent="0.2">
      <c r="B10139" s="203"/>
      <c r="C10139" s="237"/>
      <c r="D10139" s="202"/>
      <c r="E10139" s="202"/>
      <c r="U10139" s="204"/>
    </row>
    <row r="10140" spans="2:21" x14ac:dyDescent="0.2">
      <c r="B10140" s="203"/>
      <c r="C10140" s="237"/>
      <c r="D10140" s="202"/>
      <c r="E10140" s="202"/>
      <c r="U10140" s="204"/>
    </row>
    <row r="10141" spans="2:21" x14ac:dyDescent="0.2">
      <c r="B10141" s="203"/>
      <c r="C10141" s="237"/>
      <c r="D10141" s="202"/>
      <c r="E10141" s="202"/>
      <c r="U10141" s="204"/>
    </row>
    <row r="10142" spans="2:21" x14ac:dyDescent="0.2">
      <c r="B10142" s="203"/>
      <c r="C10142" s="237"/>
      <c r="D10142" s="202"/>
      <c r="E10142" s="202"/>
      <c r="U10142" s="204"/>
    </row>
    <row r="10143" spans="2:21" x14ac:dyDescent="0.2">
      <c r="B10143" s="203"/>
      <c r="C10143" s="237"/>
      <c r="D10143" s="202"/>
      <c r="E10143" s="202"/>
      <c r="U10143" s="204"/>
    </row>
    <row r="10144" spans="2:21" x14ac:dyDescent="0.2">
      <c r="B10144" s="203"/>
      <c r="C10144" s="237"/>
      <c r="D10144" s="202"/>
      <c r="E10144" s="202"/>
      <c r="U10144" s="204"/>
    </row>
    <row r="10145" spans="2:21" x14ac:dyDescent="0.2">
      <c r="B10145" s="203"/>
      <c r="C10145" s="237"/>
      <c r="D10145" s="202"/>
      <c r="E10145" s="202"/>
      <c r="U10145" s="204"/>
    </row>
    <row r="10146" spans="2:21" x14ac:dyDescent="0.2">
      <c r="B10146" s="203"/>
      <c r="C10146" s="237"/>
      <c r="D10146" s="202"/>
      <c r="E10146" s="202"/>
      <c r="U10146" s="204"/>
    </row>
    <row r="10147" spans="2:21" x14ac:dyDescent="0.2">
      <c r="B10147" s="203"/>
      <c r="C10147" s="237"/>
      <c r="D10147" s="202"/>
      <c r="E10147" s="202"/>
      <c r="U10147" s="204"/>
    </row>
    <row r="10148" spans="2:21" x14ac:dyDescent="0.2">
      <c r="B10148" s="203"/>
      <c r="C10148" s="237"/>
      <c r="D10148" s="202"/>
      <c r="E10148" s="202"/>
      <c r="U10148" s="204"/>
    </row>
    <row r="10149" spans="2:21" x14ac:dyDescent="0.2">
      <c r="B10149" s="203"/>
      <c r="C10149" s="237"/>
      <c r="D10149" s="202"/>
      <c r="E10149" s="202"/>
      <c r="U10149" s="204"/>
    </row>
    <row r="10150" spans="2:21" x14ac:dyDescent="0.2">
      <c r="B10150" s="203"/>
      <c r="C10150" s="237"/>
      <c r="D10150" s="202"/>
      <c r="E10150" s="202"/>
      <c r="U10150" s="204"/>
    </row>
    <row r="10151" spans="2:21" x14ac:dyDescent="0.2">
      <c r="B10151" s="203"/>
      <c r="C10151" s="237"/>
      <c r="D10151" s="202"/>
      <c r="E10151" s="202"/>
      <c r="U10151" s="204"/>
    </row>
    <row r="10152" spans="2:21" x14ac:dyDescent="0.2">
      <c r="B10152" s="203"/>
      <c r="C10152" s="237"/>
      <c r="D10152" s="202"/>
      <c r="E10152" s="202"/>
      <c r="U10152" s="204"/>
    </row>
    <row r="10153" spans="2:21" x14ac:dyDescent="0.2">
      <c r="B10153" s="203"/>
      <c r="C10153" s="237"/>
      <c r="D10153" s="202"/>
      <c r="E10153" s="202"/>
      <c r="U10153" s="204"/>
    </row>
    <row r="10154" spans="2:21" x14ac:dyDescent="0.2">
      <c r="B10154" s="203"/>
      <c r="C10154" s="237"/>
      <c r="D10154" s="202"/>
      <c r="E10154" s="202"/>
      <c r="U10154" s="204"/>
    </row>
    <row r="10155" spans="2:21" x14ac:dyDescent="0.2">
      <c r="B10155" s="203"/>
      <c r="C10155" s="237"/>
      <c r="D10155" s="202"/>
      <c r="E10155" s="202"/>
      <c r="U10155" s="204"/>
    </row>
    <row r="10156" spans="2:21" x14ac:dyDescent="0.2">
      <c r="B10156" s="203"/>
      <c r="C10156" s="237"/>
      <c r="D10156" s="202"/>
      <c r="E10156" s="202"/>
      <c r="U10156" s="204"/>
    </row>
    <row r="10157" spans="2:21" x14ac:dyDescent="0.2">
      <c r="B10157" s="203"/>
      <c r="C10157" s="237"/>
      <c r="D10157" s="202"/>
      <c r="E10157" s="202"/>
      <c r="U10157" s="204"/>
    </row>
    <row r="10158" spans="2:21" x14ac:dyDescent="0.2">
      <c r="B10158" s="203"/>
      <c r="C10158" s="237"/>
      <c r="D10158" s="202"/>
      <c r="E10158" s="202"/>
      <c r="U10158" s="204"/>
    </row>
    <row r="10159" spans="2:21" x14ac:dyDescent="0.2">
      <c r="B10159" s="203"/>
      <c r="C10159" s="237"/>
      <c r="D10159" s="202"/>
      <c r="E10159" s="202"/>
      <c r="U10159" s="204"/>
    </row>
    <row r="10160" spans="2:21" x14ac:dyDescent="0.2">
      <c r="B10160" s="203"/>
      <c r="C10160" s="237"/>
      <c r="D10160" s="202"/>
      <c r="E10160" s="202"/>
      <c r="U10160" s="204"/>
    </row>
    <row r="10161" spans="2:21" x14ac:dyDescent="0.2">
      <c r="B10161" s="203"/>
      <c r="C10161" s="237"/>
      <c r="D10161" s="202"/>
      <c r="E10161" s="202"/>
      <c r="U10161" s="204"/>
    </row>
    <row r="10162" spans="2:21" x14ac:dyDescent="0.2">
      <c r="B10162" s="203"/>
      <c r="C10162" s="237"/>
      <c r="D10162" s="202"/>
      <c r="E10162" s="202"/>
      <c r="U10162" s="204"/>
    </row>
    <row r="10163" spans="2:21" x14ac:dyDescent="0.2">
      <c r="B10163" s="203"/>
      <c r="C10163" s="237"/>
      <c r="D10163" s="202"/>
      <c r="E10163" s="202"/>
      <c r="U10163" s="204"/>
    </row>
    <row r="10164" spans="2:21" x14ac:dyDescent="0.2">
      <c r="B10164" s="203"/>
      <c r="C10164" s="237"/>
      <c r="D10164" s="202"/>
      <c r="E10164" s="202"/>
      <c r="U10164" s="204"/>
    </row>
    <row r="10165" spans="2:21" x14ac:dyDescent="0.2">
      <c r="B10165" s="203"/>
      <c r="C10165" s="237"/>
      <c r="D10165" s="202"/>
      <c r="E10165" s="202"/>
      <c r="U10165" s="204"/>
    </row>
    <row r="10166" spans="2:21" x14ac:dyDescent="0.2">
      <c r="B10166" s="203"/>
      <c r="C10166" s="237"/>
      <c r="D10166" s="202"/>
      <c r="E10166" s="202"/>
      <c r="U10166" s="204"/>
    </row>
    <row r="10167" spans="2:21" x14ac:dyDescent="0.2">
      <c r="B10167" s="203"/>
      <c r="C10167" s="237"/>
      <c r="D10167" s="202"/>
      <c r="E10167" s="202"/>
      <c r="U10167" s="204"/>
    </row>
    <row r="10168" spans="2:21" x14ac:dyDescent="0.2">
      <c r="B10168" s="203"/>
      <c r="C10168" s="237"/>
      <c r="D10168" s="202"/>
      <c r="E10168" s="202"/>
      <c r="U10168" s="204"/>
    </row>
    <row r="10169" spans="2:21" x14ac:dyDescent="0.2">
      <c r="B10169" s="203"/>
      <c r="C10169" s="237"/>
      <c r="D10169" s="202"/>
      <c r="E10169" s="202"/>
      <c r="U10169" s="204"/>
    </row>
    <row r="10170" spans="2:21" x14ac:dyDescent="0.2">
      <c r="B10170" s="203"/>
      <c r="C10170" s="237"/>
      <c r="D10170" s="202"/>
      <c r="E10170" s="202"/>
      <c r="U10170" s="204"/>
    </row>
    <row r="10171" spans="2:21" x14ac:dyDescent="0.2">
      <c r="B10171" s="203"/>
      <c r="C10171" s="237"/>
      <c r="D10171" s="202"/>
      <c r="E10171" s="202"/>
      <c r="U10171" s="204"/>
    </row>
    <row r="10172" spans="2:21" x14ac:dyDescent="0.2">
      <c r="B10172" s="203"/>
      <c r="C10172" s="237"/>
      <c r="D10172" s="202"/>
      <c r="E10172" s="202"/>
      <c r="U10172" s="204"/>
    </row>
    <row r="10173" spans="2:21" x14ac:dyDescent="0.2">
      <c r="B10173" s="203"/>
      <c r="C10173" s="237"/>
      <c r="D10173" s="202"/>
      <c r="E10173" s="202"/>
      <c r="U10173" s="204"/>
    </row>
    <row r="10174" spans="2:21" x14ac:dyDescent="0.2">
      <c r="B10174" s="203"/>
      <c r="C10174" s="237"/>
      <c r="D10174" s="202"/>
      <c r="E10174" s="202"/>
      <c r="U10174" s="204"/>
    </row>
    <row r="10175" spans="2:21" x14ac:dyDescent="0.2">
      <c r="B10175" s="203"/>
      <c r="C10175" s="237"/>
      <c r="D10175" s="202"/>
      <c r="E10175" s="202"/>
      <c r="U10175" s="204"/>
    </row>
    <row r="10176" spans="2:21" x14ac:dyDescent="0.2">
      <c r="B10176" s="203"/>
      <c r="C10176" s="237"/>
      <c r="D10176" s="202"/>
      <c r="E10176" s="202"/>
      <c r="U10176" s="204"/>
    </row>
    <row r="10177" spans="2:21" x14ac:dyDescent="0.2">
      <c r="B10177" s="203"/>
      <c r="C10177" s="237"/>
      <c r="D10177" s="202"/>
      <c r="E10177" s="202"/>
      <c r="U10177" s="204"/>
    </row>
    <row r="10178" spans="2:21" x14ac:dyDescent="0.2">
      <c r="B10178" s="203"/>
      <c r="C10178" s="237"/>
      <c r="D10178" s="202"/>
      <c r="E10178" s="202"/>
      <c r="U10178" s="204"/>
    </row>
    <row r="10179" spans="2:21" x14ac:dyDescent="0.2">
      <c r="B10179" s="203"/>
      <c r="C10179" s="237"/>
      <c r="D10179" s="202"/>
      <c r="E10179" s="202"/>
      <c r="U10179" s="204"/>
    </row>
    <row r="10180" spans="2:21" x14ac:dyDescent="0.2">
      <c r="B10180" s="203"/>
      <c r="C10180" s="237"/>
      <c r="D10180" s="202"/>
      <c r="E10180" s="202"/>
      <c r="U10180" s="204"/>
    </row>
    <row r="10181" spans="2:21" x14ac:dyDescent="0.2">
      <c r="B10181" s="203"/>
      <c r="C10181" s="237"/>
      <c r="D10181" s="202"/>
      <c r="E10181" s="202"/>
      <c r="U10181" s="204"/>
    </row>
    <row r="10182" spans="2:21" x14ac:dyDescent="0.2">
      <c r="B10182" s="203"/>
      <c r="C10182" s="237"/>
      <c r="D10182" s="202"/>
      <c r="E10182" s="202"/>
      <c r="U10182" s="204"/>
    </row>
    <row r="10183" spans="2:21" x14ac:dyDescent="0.2">
      <c r="B10183" s="203"/>
      <c r="C10183" s="237"/>
      <c r="D10183" s="202"/>
      <c r="E10183" s="202"/>
      <c r="U10183" s="204"/>
    </row>
    <row r="10184" spans="2:21" x14ac:dyDescent="0.2">
      <c r="B10184" s="203"/>
      <c r="C10184" s="237"/>
      <c r="D10184" s="202"/>
      <c r="E10184" s="202"/>
      <c r="U10184" s="204"/>
    </row>
    <row r="10185" spans="2:21" x14ac:dyDescent="0.2">
      <c r="B10185" s="203"/>
      <c r="C10185" s="237"/>
      <c r="D10185" s="202"/>
      <c r="E10185" s="202"/>
      <c r="U10185" s="204"/>
    </row>
    <row r="10186" spans="2:21" x14ac:dyDescent="0.2">
      <c r="B10186" s="203"/>
      <c r="C10186" s="237"/>
      <c r="D10186" s="202"/>
      <c r="E10186" s="202"/>
      <c r="U10186" s="204"/>
    </row>
    <row r="10187" spans="2:21" x14ac:dyDescent="0.2">
      <c r="B10187" s="203"/>
      <c r="C10187" s="237"/>
      <c r="D10187" s="202"/>
      <c r="E10187" s="202"/>
      <c r="U10187" s="204"/>
    </row>
    <row r="10188" spans="2:21" x14ac:dyDescent="0.2">
      <c r="B10188" s="203"/>
      <c r="C10188" s="237"/>
      <c r="D10188" s="202"/>
      <c r="E10188" s="202"/>
      <c r="U10188" s="204"/>
    </row>
    <row r="10189" spans="2:21" x14ac:dyDescent="0.2">
      <c r="B10189" s="203"/>
      <c r="C10189" s="237"/>
      <c r="D10189" s="202"/>
      <c r="E10189" s="202"/>
      <c r="U10189" s="204"/>
    </row>
    <row r="10190" spans="2:21" x14ac:dyDescent="0.2">
      <c r="B10190" s="203"/>
      <c r="C10190" s="237"/>
      <c r="D10190" s="202"/>
      <c r="E10190" s="202"/>
      <c r="U10190" s="204"/>
    </row>
    <row r="10191" spans="2:21" x14ac:dyDescent="0.2">
      <c r="B10191" s="203"/>
      <c r="C10191" s="237"/>
      <c r="D10191" s="202"/>
      <c r="E10191" s="202"/>
      <c r="U10191" s="204"/>
    </row>
    <row r="10192" spans="2:21" x14ac:dyDescent="0.2">
      <c r="B10192" s="203"/>
      <c r="C10192" s="237"/>
      <c r="D10192" s="202"/>
      <c r="E10192" s="202"/>
      <c r="U10192" s="204"/>
    </row>
    <row r="10193" spans="2:21" x14ac:dyDescent="0.2">
      <c r="B10193" s="203"/>
      <c r="C10193" s="237"/>
      <c r="D10193" s="202"/>
      <c r="E10193" s="202"/>
      <c r="U10193" s="204"/>
    </row>
    <row r="10194" spans="2:21" x14ac:dyDescent="0.2">
      <c r="B10194" s="203"/>
      <c r="C10194" s="237"/>
      <c r="D10194" s="202"/>
      <c r="E10194" s="202"/>
      <c r="U10194" s="204"/>
    </row>
    <row r="10195" spans="2:21" x14ac:dyDescent="0.2">
      <c r="B10195" s="203"/>
      <c r="C10195" s="237"/>
      <c r="D10195" s="202"/>
      <c r="E10195" s="202"/>
      <c r="U10195" s="204"/>
    </row>
    <row r="10196" spans="2:21" x14ac:dyDescent="0.2">
      <c r="B10196" s="203"/>
      <c r="C10196" s="237"/>
      <c r="D10196" s="202"/>
      <c r="E10196" s="202"/>
      <c r="U10196" s="204"/>
    </row>
    <row r="10197" spans="2:21" x14ac:dyDescent="0.2">
      <c r="B10197" s="203"/>
      <c r="C10197" s="237"/>
      <c r="D10197" s="202"/>
      <c r="E10197" s="202"/>
      <c r="U10197" s="204"/>
    </row>
    <row r="10198" spans="2:21" x14ac:dyDescent="0.2">
      <c r="B10198" s="203"/>
      <c r="C10198" s="237"/>
      <c r="D10198" s="202"/>
      <c r="E10198" s="202"/>
      <c r="U10198" s="204"/>
    </row>
    <row r="10199" spans="2:21" x14ac:dyDescent="0.2">
      <c r="B10199" s="203"/>
      <c r="C10199" s="237"/>
      <c r="D10199" s="202"/>
      <c r="E10199" s="202"/>
      <c r="U10199" s="204"/>
    </row>
    <row r="10200" spans="2:21" x14ac:dyDescent="0.2">
      <c r="B10200" s="203"/>
      <c r="C10200" s="237"/>
      <c r="D10200" s="202"/>
      <c r="E10200" s="202"/>
      <c r="U10200" s="204"/>
    </row>
    <row r="10201" spans="2:21" x14ac:dyDescent="0.2">
      <c r="B10201" s="203"/>
      <c r="C10201" s="237"/>
      <c r="D10201" s="202"/>
      <c r="E10201" s="202"/>
      <c r="U10201" s="204"/>
    </row>
    <row r="10202" spans="2:21" x14ac:dyDescent="0.2">
      <c r="B10202" s="203"/>
      <c r="C10202" s="237"/>
      <c r="D10202" s="202"/>
      <c r="E10202" s="202"/>
      <c r="U10202" s="204"/>
    </row>
    <row r="10203" spans="2:21" x14ac:dyDescent="0.2">
      <c r="B10203" s="203"/>
      <c r="C10203" s="237"/>
      <c r="D10203" s="202"/>
      <c r="E10203" s="202"/>
      <c r="U10203" s="204"/>
    </row>
    <row r="10204" spans="2:21" x14ac:dyDescent="0.2">
      <c r="B10204" s="203"/>
      <c r="C10204" s="237"/>
      <c r="D10204" s="202"/>
      <c r="E10204" s="202"/>
      <c r="U10204" s="204"/>
    </row>
    <row r="10205" spans="2:21" x14ac:dyDescent="0.2">
      <c r="B10205" s="203"/>
      <c r="C10205" s="237"/>
      <c r="D10205" s="202"/>
      <c r="E10205" s="202"/>
      <c r="U10205" s="204"/>
    </row>
    <row r="10206" spans="2:21" x14ac:dyDescent="0.2">
      <c r="B10206" s="203"/>
      <c r="C10206" s="237"/>
      <c r="D10206" s="202"/>
      <c r="E10206" s="202"/>
      <c r="U10206" s="204"/>
    </row>
    <row r="10207" spans="2:21" x14ac:dyDescent="0.2">
      <c r="B10207" s="203"/>
      <c r="C10207" s="237"/>
      <c r="D10207" s="202"/>
      <c r="E10207" s="202"/>
      <c r="U10207" s="204"/>
    </row>
    <row r="10208" spans="2:21" x14ac:dyDescent="0.2">
      <c r="B10208" s="203"/>
      <c r="C10208" s="237"/>
      <c r="D10208" s="202"/>
      <c r="E10208" s="202"/>
      <c r="U10208" s="204"/>
    </row>
    <row r="10209" spans="2:21" x14ac:dyDescent="0.2">
      <c r="B10209" s="203"/>
      <c r="C10209" s="237"/>
      <c r="D10209" s="202"/>
      <c r="E10209" s="202"/>
      <c r="U10209" s="204"/>
    </row>
    <row r="10210" spans="2:21" x14ac:dyDescent="0.2">
      <c r="B10210" s="203"/>
      <c r="C10210" s="237"/>
      <c r="D10210" s="202"/>
      <c r="E10210" s="202"/>
      <c r="U10210" s="204"/>
    </row>
    <row r="10211" spans="2:21" x14ac:dyDescent="0.2">
      <c r="B10211" s="203"/>
      <c r="C10211" s="237"/>
      <c r="D10211" s="202"/>
      <c r="E10211" s="202"/>
      <c r="U10211" s="204"/>
    </row>
    <row r="10212" spans="2:21" x14ac:dyDescent="0.2">
      <c r="B10212" s="203"/>
      <c r="C10212" s="237"/>
      <c r="D10212" s="202"/>
      <c r="E10212" s="202"/>
      <c r="U10212" s="204"/>
    </row>
    <row r="10213" spans="2:21" x14ac:dyDescent="0.2">
      <c r="B10213" s="203"/>
      <c r="C10213" s="237"/>
      <c r="D10213" s="202"/>
      <c r="E10213" s="202"/>
      <c r="U10213" s="204"/>
    </row>
    <row r="10214" spans="2:21" x14ac:dyDescent="0.2">
      <c r="B10214" s="203"/>
      <c r="C10214" s="237"/>
      <c r="D10214" s="202"/>
      <c r="E10214" s="202"/>
      <c r="U10214" s="204"/>
    </row>
    <row r="10215" spans="2:21" x14ac:dyDescent="0.2">
      <c r="B10215" s="203"/>
      <c r="C10215" s="237"/>
      <c r="D10215" s="202"/>
      <c r="E10215" s="202"/>
      <c r="U10215" s="204"/>
    </row>
    <row r="10216" spans="2:21" x14ac:dyDescent="0.2">
      <c r="B10216" s="203"/>
      <c r="C10216" s="237"/>
      <c r="D10216" s="202"/>
      <c r="E10216" s="202"/>
      <c r="U10216" s="204"/>
    </row>
    <row r="10217" spans="2:21" x14ac:dyDescent="0.2">
      <c r="B10217" s="203"/>
      <c r="C10217" s="237"/>
      <c r="D10217" s="202"/>
      <c r="E10217" s="202"/>
      <c r="U10217" s="204"/>
    </row>
    <row r="10218" spans="2:21" x14ac:dyDescent="0.2">
      <c r="B10218" s="203"/>
      <c r="C10218" s="237"/>
      <c r="D10218" s="202"/>
      <c r="E10218" s="202"/>
      <c r="U10218" s="204"/>
    </row>
    <row r="10219" spans="2:21" x14ac:dyDescent="0.2">
      <c r="B10219" s="203"/>
      <c r="C10219" s="237"/>
      <c r="D10219" s="202"/>
      <c r="E10219" s="202"/>
      <c r="U10219" s="204"/>
    </row>
    <row r="10220" spans="2:21" x14ac:dyDescent="0.2">
      <c r="B10220" s="203"/>
      <c r="C10220" s="237"/>
      <c r="D10220" s="202"/>
      <c r="E10220" s="202"/>
      <c r="U10220" s="204"/>
    </row>
    <row r="10221" spans="2:21" x14ac:dyDescent="0.2">
      <c r="B10221" s="203"/>
      <c r="C10221" s="237"/>
      <c r="D10221" s="202"/>
      <c r="E10221" s="202"/>
      <c r="U10221" s="204"/>
    </row>
    <row r="10222" spans="2:21" x14ac:dyDescent="0.2">
      <c r="B10222" s="203"/>
      <c r="C10222" s="237"/>
      <c r="D10222" s="202"/>
      <c r="E10222" s="202"/>
      <c r="U10222" s="204"/>
    </row>
    <row r="10223" spans="2:21" x14ac:dyDescent="0.2">
      <c r="B10223" s="203"/>
      <c r="C10223" s="237"/>
      <c r="D10223" s="202"/>
      <c r="E10223" s="202"/>
      <c r="U10223" s="204"/>
    </row>
    <row r="10224" spans="2:21" x14ac:dyDescent="0.2">
      <c r="B10224" s="203"/>
      <c r="C10224" s="237"/>
      <c r="D10224" s="202"/>
      <c r="E10224" s="202"/>
      <c r="U10224" s="204"/>
    </row>
    <row r="10225" spans="2:21" x14ac:dyDescent="0.2">
      <c r="B10225" s="203"/>
      <c r="C10225" s="237"/>
      <c r="D10225" s="202"/>
      <c r="E10225" s="202"/>
      <c r="U10225" s="204"/>
    </row>
    <row r="10226" spans="2:21" x14ac:dyDescent="0.2">
      <c r="B10226" s="203"/>
      <c r="C10226" s="237"/>
      <c r="D10226" s="202"/>
      <c r="E10226" s="202"/>
      <c r="U10226" s="204"/>
    </row>
    <row r="10227" spans="2:21" x14ac:dyDescent="0.2">
      <c r="B10227" s="203"/>
      <c r="C10227" s="237"/>
      <c r="D10227" s="202"/>
      <c r="E10227" s="202"/>
      <c r="U10227" s="204"/>
    </row>
    <row r="10228" spans="2:21" x14ac:dyDescent="0.2">
      <c r="B10228" s="203"/>
      <c r="C10228" s="237"/>
      <c r="D10228" s="202"/>
      <c r="E10228" s="202"/>
      <c r="U10228" s="204"/>
    </row>
    <row r="10229" spans="2:21" x14ac:dyDescent="0.2">
      <c r="B10229" s="203"/>
      <c r="C10229" s="237"/>
      <c r="D10229" s="202"/>
      <c r="E10229" s="202"/>
      <c r="U10229" s="204"/>
    </row>
    <row r="10230" spans="2:21" x14ac:dyDescent="0.2">
      <c r="B10230" s="203"/>
      <c r="C10230" s="237"/>
      <c r="D10230" s="202"/>
      <c r="E10230" s="202"/>
      <c r="U10230" s="204"/>
    </row>
    <row r="10231" spans="2:21" x14ac:dyDescent="0.2">
      <c r="B10231" s="203"/>
      <c r="C10231" s="237"/>
      <c r="D10231" s="202"/>
      <c r="E10231" s="202"/>
      <c r="U10231" s="204"/>
    </row>
    <row r="10232" spans="2:21" x14ac:dyDescent="0.2">
      <c r="B10232" s="203"/>
      <c r="C10232" s="237"/>
      <c r="D10232" s="202"/>
      <c r="E10232" s="202"/>
      <c r="U10232" s="204"/>
    </row>
    <row r="10233" spans="2:21" x14ac:dyDescent="0.2">
      <c r="B10233" s="203"/>
      <c r="C10233" s="237"/>
      <c r="D10233" s="202"/>
      <c r="E10233" s="202"/>
      <c r="U10233" s="204"/>
    </row>
    <row r="10234" spans="2:21" x14ac:dyDescent="0.2">
      <c r="B10234" s="203"/>
      <c r="C10234" s="237"/>
      <c r="D10234" s="202"/>
      <c r="E10234" s="202"/>
      <c r="U10234" s="204"/>
    </row>
    <row r="10235" spans="2:21" x14ac:dyDescent="0.2">
      <c r="B10235" s="203"/>
      <c r="C10235" s="237"/>
      <c r="D10235" s="202"/>
      <c r="E10235" s="202"/>
      <c r="U10235" s="204"/>
    </row>
    <row r="10236" spans="2:21" x14ac:dyDescent="0.2">
      <c r="B10236" s="203"/>
      <c r="C10236" s="237"/>
      <c r="D10236" s="202"/>
      <c r="E10236" s="202"/>
      <c r="U10236" s="204"/>
    </row>
    <row r="10237" spans="2:21" x14ac:dyDescent="0.2">
      <c r="B10237" s="203"/>
      <c r="C10237" s="237"/>
      <c r="D10237" s="202"/>
      <c r="E10237" s="202"/>
      <c r="U10237" s="204"/>
    </row>
    <row r="10238" spans="2:21" x14ac:dyDescent="0.2">
      <c r="B10238" s="203"/>
      <c r="C10238" s="237"/>
      <c r="D10238" s="202"/>
      <c r="E10238" s="202"/>
      <c r="U10238" s="204"/>
    </row>
    <row r="10239" spans="2:21" x14ac:dyDescent="0.2">
      <c r="B10239" s="203"/>
      <c r="C10239" s="237"/>
      <c r="D10239" s="202"/>
      <c r="E10239" s="202"/>
      <c r="U10239" s="204"/>
    </row>
    <row r="10240" spans="2:21" x14ac:dyDescent="0.2">
      <c r="B10240" s="203"/>
      <c r="C10240" s="237"/>
      <c r="D10240" s="202"/>
      <c r="E10240" s="202"/>
      <c r="U10240" s="204"/>
    </row>
    <row r="10241" spans="2:21" x14ac:dyDescent="0.2">
      <c r="B10241" s="203"/>
      <c r="C10241" s="237"/>
      <c r="D10241" s="202"/>
      <c r="E10241" s="202"/>
      <c r="U10241" s="204"/>
    </row>
    <row r="10242" spans="2:21" x14ac:dyDescent="0.2">
      <c r="B10242" s="203"/>
      <c r="C10242" s="237"/>
      <c r="D10242" s="202"/>
      <c r="E10242" s="202"/>
      <c r="U10242" s="204"/>
    </row>
    <row r="10243" spans="2:21" x14ac:dyDescent="0.2">
      <c r="B10243" s="203"/>
      <c r="C10243" s="237"/>
      <c r="D10243" s="202"/>
      <c r="E10243" s="202"/>
      <c r="U10243" s="204"/>
    </row>
    <row r="10244" spans="2:21" x14ac:dyDescent="0.2">
      <c r="B10244" s="203"/>
      <c r="C10244" s="237"/>
      <c r="D10244" s="202"/>
      <c r="E10244" s="202"/>
      <c r="U10244" s="204"/>
    </row>
    <row r="10245" spans="2:21" x14ac:dyDescent="0.2">
      <c r="B10245" s="203"/>
      <c r="C10245" s="237"/>
      <c r="D10245" s="202"/>
      <c r="E10245" s="202"/>
      <c r="U10245" s="204"/>
    </row>
    <row r="10246" spans="2:21" x14ac:dyDescent="0.2">
      <c r="B10246" s="203"/>
      <c r="C10246" s="237"/>
      <c r="D10246" s="202"/>
      <c r="E10246" s="202"/>
      <c r="U10246" s="204"/>
    </row>
    <row r="10247" spans="2:21" x14ac:dyDescent="0.2">
      <c r="B10247" s="203"/>
      <c r="C10247" s="237"/>
      <c r="D10247" s="202"/>
      <c r="E10247" s="202"/>
      <c r="U10247" s="204"/>
    </row>
    <row r="10248" spans="2:21" x14ac:dyDescent="0.2">
      <c r="B10248" s="203"/>
      <c r="C10248" s="237"/>
      <c r="D10248" s="202"/>
      <c r="E10248" s="202"/>
      <c r="U10248" s="204"/>
    </row>
    <row r="10249" spans="2:21" x14ac:dyDescent="0.2">
      <c r="B10249" s="203"/>
      <c r="C10249" s="237"/>
      <c r="D10249" s="202"/>
      <c r="E10249" s="202"/>
      <c r="U10249" s="204"/>
    </row>
    <row r="10250" spans="2:21" x14ac:dyDescent="0.2">
      <c r="B10250" s="203"/>
      <c r="C10250" s="237"/>
      <c r="D10250" s="202"/>
      <c r="E10250" s="202"/>
      <c r="U10250" s="204"/>
    </row>
    <row r="10251" spans="2:21" x14ac:dyDescent="0.2">
      <c r="B10251" s="203"/>
      <c r="C10251" s="237"/>
      <c r="D10251" s="202"/>
      <c r="E10251" s="202"/>
      <c r="U10251" s="204"/>
    </row>
    <row r="10252" spans="2:21" x14ac:dyDescent="0.2">
      <c r="B10252" s="203"/>
      <c r="C10252" s="237"/>
      <c r="D10252" s="202"/>
      <c r="E10252" s="202"/>
      <c r="U10252" s="204"/>
    </row>
    <row r="10253" spans="2:21" x14ac:dyDescent="0.2">
      <c r="B10253" s="203"/>
      <c r="C10253" s="237"/>
      <c r="D10253" s="202"/>
      <c r="E10253" s="202"/>
      <c r="U10253" s="204"/>
    </row>
    <row r="10254" spans="2:21" x14ac:dyDescent="0.2">
      <c r="B10254" s="203"/>
      <c r="C10254" s="237"/>
      <c r="D10254" s="202"/>
      <c r="E10254" s="202"/>
      <c r="U10254" s="204"/>
    </row>
    <row r="10255" spans="2:21" x14ac:dyDescent="0.2">
      <c r="B10255" s="203"/>
      <c r="C10255" s="237"/>
      <c r="D10255" s="202"/>
      <c r="E10255" s="202"/>
      <c r="U10255" s="204"/>
    </row>
    <row r="10256" spans="2:21" x14ac:dyDescent="0.2">
      <c r="B10256" s="203"/>
      <c r="C10256" s="237"/>
      <c r="D10256" s="202"/>
      <c r="E10256" s="202"/>
      <c r="U10256" s="204"/>
    </row>
    <row r="10257" spans="2:21" x14ac:dyDescent="0.2">
      <c r="B10257" s="203"/>
      <c r="C10257" s="237"/>
      <c r="D10257" s="202"/>
      <c r="E10257" s="202"/>
      <c r="U10257" s="204"/>
    </row>
    <row r="10258" spans="2:21" x14ac:dyDescent="0.2">
      <c r="B10258" s="203"/>
      <c r="C10258" s="237"/>
      <c r="D10258" s="202"/>
      <c r="E10258" s="202"/>
      <c r="U10258" s="204"/>
    </row>
    <row r="10259" spans="2:21" x14ac:dyDescent="0.2">
      <c r="B10259" s="203"/>
      <c r="C10259" s="237"/>
      <c r="D10259" s="202"/>
      <c r="E10259" s="202"/>
      <c r="U10259" s="204"/>
    </row>
    <row r="10260" spans="2:21" x14ac:dyDescent="0.2">
      <c r="B10260" s="203"/>
      <c r="C10260" s="237"/>
      <c r="D10260" s="202"/>
      <c r="E10260" s="202"/>
      <c r="U10260" s="204"/>
    </row>
    <row r="10261" spans="2:21" x14ac:dyDescent="0.2">
      <c r="B10261" s="203"/>
      <c r="C10261" s="237"/>
      <c r="D10261" s="202"/>
      <c r="E10261" s="202"/>
      <c r="U10261" s="204"/>
    </row>
    <row r="10262" spans="2:21" x14ac:dyDescent="0.2">
      <c r="B10262" s="203"/>
      <c r="C10262" s="237"/>
      <c r="D10262" s="202"/>
      <c r="E10262" s="202"/>
      <c r="U10262" s="204"/>
    </row>
    <row r="10263" spans="2:21" x14ac:dyDescent="0.2">
      <c r="B10263" s="203"/>
      <c r="C10263" s="237"/>
      <c r="D10263" s="202"/>
      <c r="E10263" s="202"/>
      <c r="U10263" s="204"/>
    </row>
    <row r="10264" spans="2:21" x14ac:dyDescent="0.2">
      <c r="B10264" s="203"/>
      <c r="C10264" s="237"/>
      <c r="D10264" s="202"/>
      <c r="E10264" s="202"/>
      <c r="U10264" s="204"/>
    </row>
    <row r="10265" spans="2:21" x14ac:dyDescent="0.2">
      <c r="B10265" s="203"/>
      <c r="C10265" s="237"/>
      <c r="D10265" s="202"/>
      <c r="E10265" s="202"/>
      <c r="U10265" s="204"/>
    </row>
    <row r="10266" spans="2:21" x14ac:dyDescent="0.2">
      <c r="B10266" s="203"/>
      <c r="C10266" s="237"/>
      <c r="D10266" s="202"/>
      <c r="E10266" s="202"/>
      <c r="U10266" s="204"/>
    </row>
    <row r="10267" spans="2:21" x14ac:dyDescent="0.2">
      <c r="B10267" s="203"/>
      <c r="C10267" s="237"/>
      <c r="D10267" s="202"/>
      <c r="E10267" s="202"/>
      <c r="U10267" s="204"/>
    </row>
    <row r="10268" spans="2:21" x14ac:dyDescent="0.2">
      <c r="B10268" s="203"/>
      <c r="C10268" s="237"/>
      <c r="D10268" s="202"/>
      <c r="E10268" s="202"/>
      <c r="U10268" s="204"/>
    </row>
    <row r="10269" spans="2:21" x14ac:dyDescent="0.2">
      <c r="B10269" s="203"/>
      <c r="C10269" s="237"/>
      <c r="D10269" s="202"/>
      <c r="E10269" s="202"/>
      <c r="U10269" s="204"/>
    </row>
    <row r="10270" spans="2:21" x14ac:dyDescent="0.2">
      <c r="B10270" s="203"/>
      <c r="C10270" s="237"/>
      <c r="D10270" s="202"/>
      <c r="E10270" s="202"/>
      <c r="U10270" s="204"/>
    </row>
    <row r="10271" spans="2:21" x14ac:dyDescent="0.2">
      <c r="B10271" s="203"/>
      <c r="C10271" s="237"/>
      <c r="D10271" s="202"/>
      <c r="E10271" s="202"/>
      <c r="U10271" s="204"/>
    </row>
    <row r="10272" spans="2:21" x14ac:dyDescent="0.2">
      <c r="B10272" s="203"/>
      <c r="C10272" s="237"/>
      <c r="D10272" s="202"/>
      <c r="E10272" s="202"/>
      <c r="U10272" s="204"/>
    </row>
    <row r="10273" spans="2:21" x14ac:dyDescent="0.2">
      <c r="B10273" s="203"/>
      <c r="C10273" s="237"/>
      <c r="D10273" s="202"/>
      <c r="E10273" s="202"/>
      <c r="U10273" s="204"/>
    </row>
    <row r="10274" spans="2:21" x14ac:dyDescent="0.2">
      <c r="B10274" s="203"/>
      <c r="C10274" s="237"/>
      <c r="D10274" s="202"/>
      <c r="E10274" s="202"/>
      <c r="U10274" s="204"/>
    </row>
    <row r="10275" spans="2:21" x14ac:dyDescent="0.2">
      <c r="B10275" s="203"/>
      <c r="C10275" s="237"/>
      <c r="D10275" s="202"/>
      <c r="E10275" s="202"/>
      <c r="U10275" s="204"/>
    </row>
    <row r="10276" spans="2:21" x14ac:dyDescent="0.2">
      <c r="B10276" s="203"/>
      <c r="C10276" s="237"/>
      <c r="D10276" s="202"/>
      <c r="E10276" s="202"/>
      <c r="U10276" s="204"/>
    </row>
    <row r="10277" spans="2:21" x14ac:dyDescent="0.2">
      <c r="B10277" s="203"/>
      <c r="C10277" s="237"/>
      <c r="D10277" s="202"/>
      <c r="E10277" s="202"/>
      <c r="U10277" s="204"/>
    </row>
    <row r="10278" spans="2:21" x14ac:dyDescent="0.2">
      <c r="B10278" s="203"/>
      <c r="C10278" s="237"/>
      <c r="D10278" s="202"/>
      <c r="E10278" s="202"/>
      <c r="U10278" s="204"/>
    </row>
    <row r="10279" spans="2:21" x14ac:dyDescent="0.2">
      <c r="B10279" s="203"/>
      <c r="C10279" s="237"/>
      <c r="D10279" s="202"/>
      <c r="E10279" s="202"/>
      <c r="U10279" s="204"/>
    </row>
    <row r="10280" spans="2:21" x14ac:dyDescent="0.2">
      <c r="B10280" s="203"/>
      <c r="C10280" s="237"/>
      <c r="D10280" s="202"/>
      <c r="E10280" s="202"/>
      <c r="U10280" s="204"/>
    </row>
    <row r="10281" spans="2:21" x14ac:dyDescent="0.2">
      <c r="B10281" s="203"/>
      <c r="C10281" s="237"/>
      <c r="D10281" s="202"/>
      <c r="E10281" s="202"/>
      <c r="U10281" s="204"/>
    </row>
    <row r="10282" spans="2:21" x14ac:dyDescent="0.2">
      <c r="B10282" s="203"/>
      <c r="C10282" s="237"/>
      <c r="D10282" s="202"/>
      <c r="E10282" s="202"/>
      <c r="U10282" s="204"/>
    </row>
    <row r="10283" spans="2:21" x14ac:dyDescent="0.2">
      <c r="B10283" s="203"/>
      <c r="C10283" s="237"/>
      <c r="D10283" s="202"/>
      <c r="E10283" s="202"/>
      <c r="U10283" s="204"/>
    </row>
    <row r="10284" spans="2:21" x14ac:dyDescent="0.2">
      <c r="B10284" s="203"/>
      <c r="C10284" s="237"/>
      <c r="D10284" s="202"/>
      <c r="E10284" s="202"/>
      <c r="U10284" s="204"/>
    </row>
    <row r="10285" spans="2:21" x14ac:dyDescent="0.2">
      <c r="B10285" s="203"/>
      <c r="C10285" s="237"/>
      <c r="D10285" s="202"/>
      <c r="E10285" s="202"/>
      <c r="U10285" s="204"/>
    </row>
    <row r="10286" spans="2:21" x14ac:dyDescent="0.2">
      <c r="B10286" s="203"/>
      <c r="C10286" s="237"/>
      <c r="D10286" s="202"/>
      <c r="E10286" s="202"/>
      <c r="U10286" s="204"/>
    </row>
    <row r="10287" spans="2:21" x14ac:dyDescent="0.2">
      <c r="B10287" s="203"/>
      <c r="C10287" s="237"/>
      <c r="D10287" s="202"/>
      <c r="E10287" s="202"/>
      <c r="U10287" s="204"/>
    </row>
    <row r="10288" spans="2:21" x14ac:dyDescent="0.2">
      <c r="B10288" s="203"/>
      <c r="C10288" s="237"/>
      <c r="D10288" s="202"/>
      <c r="E10288" s="202"/>
      <c r="U10288" s="204"/>
    </row>
    <row r="10289" spans="2:21" x14ac:dyDescent="0.2">
      <c r="B10289" s="203"/>
      <c r="C10289" s="237"/>
      <c r="D10289" s="202"/>
      <c r="E10289" s="202"/>
      <c r="U10289" s="204"/>
    </row>
    <row r="10290" spans="2:21" x14ac:dyDescent="0.2">
      <c r="B10290" s="203"/>
      <c r="C10290" s="237"/>
      <c r="D10290" s="202"/>
      <c r="E10290" s="202"/>
      <c r="U10290" s="204"/>
    </row>
    <row r="10291" spans="2:21" x14ac:dyDescent="0.2">
      <c r="B10291" s="203"/>
      <c r="C10291" s="237"/>
      <c r="D10291" s="202"/>
      <c r="E10291" s="202"/>
      <c r="U10291" s="204"/>
    </row>
    <row r="10292" spans="2:21" x14ac:dyDescent="0.2">
      <c r="B10292" s="203"/>
      <c r="C10292" s="237"/>
      <c r="D10292" s="202"/>
      <c r="E10292" s="202"/>
      <c r="U10292" s="204"/>
    </row>
    <row r="10293" spans="2:21" x14ac:dyDescent="0.2">
      <c r="B10293" s="203"/>
      <c r="C10293" s="237"/>
      <c r="D10293" s="202"/>
      <c r="E10293" s="202"/>
      <c r="U10293" s="204"/>
    </row>
    <row r="10294" spans="2:21" x14ac:dyDescent="0.2">
      <c r="B10294" s="203"/>
      <c r="C10294" s="237"/>
      <c r="D10294" s="202"/>
      <c r="E10294" s="202"/>
      <c r="U10294" s="204"/>
    </row>
    <row r="10295" spans="2:21" x14ac:dyDescent="0.2">
      <c r="B10295" s="203"/>
      <c r="C10295" s="237"/>
      <c r="D10295" s="202"/>
      <c r="E10295" s="202"/>
      <c r="U10295" s="204"/>
    </row>
    <row r="10296" spans="2:21" x14ac:dyDescent="0.2">
      <c r="B10296" s="203"/>
      <c r="C10296" s="237"/>
      <c r="D10296" s="202"/>
      <c r="E10296" s="202"/>
      <c r="U10296" s="204"/>
    </row>
    <row r="10297" spans="2:21" x14ac:dyDescent="0.2">
      <c r="B10297" s="203"/>
      <c r="C10297" s="237"/>
      <c r="D10297" s="202"/>
      <c r="E10297" s="202"/>
      <c r="U10297" s="204"/>
    </row>
    <row r="10298" spans="2:21" x14ac:dyDescent="0.2">
      <c r="B10298" s="203"/>
      <c r="C10298" s="237"/>
      <c r="D10298" s="202"/>
      <c r="E10298" s="202"/>
      <c r="U10298" s="204"/>
    </row>
    <row r="10299" spans="2:21" x14ac:dyDescent="0.2">
      <c r="B10299" s="203"/>
      <c r="C10299" s="237"/>
      <c r="D10299" s="202"/>
      <c r="E10299" s="202"/>
      <c r="U10299" s="204"/>
    </row>
    <row r="10300" spans="2:21" x14ac:dyDescent="0.2">
      <c r="B10300" s="203"/>
      <c r="C10300" s="237"/>
      <c r="D10300" s="202"/>
      <c r="E10300" s="202"/>
      <c r="U10300" s="204"/>
    </row>
    <row r="10301" spans="2:21" x14ac:dyDescent="0.2">
      <c r="B10301" s="203"/>
      <c r="C10301" s="237"/>
      <c r="D10301" s="202"/>
      <c r="E10301" s="202"/>
      <c r="U10301" s="204"/>
    </row>
    <row r="10302" spans="2:21" x14ac:dyDescent="0.2">
      <c r="B10302" s="203"/>
      <c r="C10302" s="237"/>
      <c r="D10302" s="202"/>
      <c r="E10302" s="202"/>
      <c r="U10302" s="204"/>
    </row>
    <row r="10303" spans="2:21" x14ac:dyDescent="0.2">
      <c r="B10303" s="203"/>
      <c r="C10303" s="237"/>
      <c r="D10303" s="202"/>
      <c r="E10303" s="202"/>
      <c r="U10303" s="204"/>
    </row>
    <row r="10304" spans="2:21" x14ac:dyDescent="0.2">
      <c r="B10304" s="203"/>
      <c r="C10304" s="237"/>
      <c r="D10304" s="202"/>
      <c r="E10304" s="202"/>
      <c r="U10304" s="204"/>
    </row>
    <row r="10305" spans="2:21" x14ac:dyDescent="0.2">
      <c r="B10305" s="203"/>
      <c r="C10305" s="237"/>
      <c r="D10305" s="202"/>
      <c r="E10305" s="202"/>
      <c r="U10305" s="204"/>
    </row>
    <row r="10306" spans="2:21" x14ac:dyDescent="0.2">
      <c r="B10306" s="203"/>
      <c r="C10306" s="237"/>
      <c r="D10306" s="202"/>
      <c r="E10306" s="202"/>
      <c r="U10306" s="204"/>
    </row>
    <row r="10307" spans="2:21" x14ac:dyDescent="0.2">
      <c r="B10307" s="203"/>
      <c r="C10307" s="237"/>
      <c r="D10307" s="202"/>
      <c r="E10307" s="202"/>
      <c r="U10307" s="204"/>
    </row>
    <row r="10308" spans="2:21" x14ac:dyDescent="0.2">
      <c r="B10308" s="203"/>
      <c r="C10308" s="237"/>
      <c r="D10308" s="202"/>
      <c r="E10308" s="202"/>
      <c r="U10308" s="204"/>
    </row>
    <row r="10309" spans="2:21" x14ac:dyDescent="0.2">
      <c r="B10309" s="203"/>
      <c r="C10309" s="237"/>
      <c r="D10309" s="202"/>
      <c r="E10309" s="202"/>
      <c r="U10309" s="204"/>
    </row>
    <row r="10310" spans="2:21" x14ac:dyDescent="0.2">
      <c r="B10310" s="203"/>
      <c r="C10310" s="237"/>
      <c r="D10310" s="202"/>
      <c r="E10310" s="202"/>
      <c r="U10310" s="204"/>
    </row>
    <row r="10311" spans="2:21" x14ac:dyDescent="0.2">
      <c r="B10311" s="203"/>
      <c r="C10311" s="237"/>
      <c r="D10311" s="202"/>
      <c r="E10311" s="202"/>
      <c r="U10311" s="204"/>
    </row>
    <row r="10312" spans="2:21" x14ac:dyDescent="0.2">
      <c r="B10312" s="203"/>
      <c r="C10312" s="237"/>
      <c r="D10312" s="202"/>
      <c r="E10312" s="202"/>
      <c r="U10312" s="204"/>
    </row>
    <row r="10313" spans="2:21" x14ac:dyDescent="0.2">
      <c r="B10313" s="203"/>
      <c r="C10313" s="237"/>
      <c r="D10313" s="202"/>
      <c r="E10313" s="202"/>
      <c r="U10313" s="204"/>
    </row>
    <row r="10314" spans="2:21" x14ac:dyDescent="0.2">
      <c r="B10314" s="203"/>
      <c r="C10314" s="237"/>
      <c r="D10314" s="202"/>
      <c r="E10314" s="202"/>
      <c r="U10314" s="204"/>
    </row>
    <row r="10315" spans="2:21" x14ac:dyDescent="0.2">
      <c r="B10315" s="203"/>
      <c r="C10315" s="237"/>
      <c r="D10315" s="202"/>
      <c r="E10315" s="202"/>
      <c r="U10315" s="204"/>
    </row>
    <row r="10316" spans="2:21" x14ac:dyDescent="0.2">
      <c r="B10316" s="203"/>
      <c r="C10316" s="237"/>
      <c r="D10316" s="202"/>
      <c r="E10316" s="202"/>
      <c r="U10316" s="204"/>
    </row>
    <row r="10317" spans="2:21" x14ac:dyDescent="0.2">
      <c r="B10317" s="203"/>
      <c r="C10317" s="237"/>
      <c r="D10317" s="202"/>
      <c r="E10317" s="202"/>
      <c r="U10317" s="204"/>
    </row>
    <row r="10318" spans="2:21" x14ac:dyDescent="0.2">
      <c r="B10318" s="203"/>
      <c r="C10318" s="237"/>
      <c r="D10318" s="202"/>
      <c r="E10318" s="202"/>
      <c r="U10318" s="204"/>
    </row>
    <row r="10319" spans="2:21" x14ac:dyDescent="0.2">
      <c r="B10319" s="203"/>
      <c r="C10319" s="237"/>
      <c r="D10319" s="202"/>
      <c r="E10319" s="202"/>
      <c r="U10319" s="204"/>
    </row>
    <row r="10320" spans="2:21" x14ac:dyDescent="0.2">
      <c r="B10320" s="203"/>
      <c r="C10320" s="237"/>
      <c r="D10320" s="202"/>
      <c r="E10320" s="202"/>
      <c r="U10320" s="204"/>
    </row>
    <row r="10321" spans="2:21" x14ac:dyDescent="0.2">
      <c r="B10321" s="203"/>
      <c r="C10321" s="237"/>
      <c r="D10321" s="202"/>
      <c r="E10321" s="202"/>
      <c r="U10321" s="204"/>
    </row>
    <row r="10322" spans="2:21" x14ac:dyDescent="0.2">
      <c r="B10322" s="203"/>
      <c r="C10322" s="237"/>
      <c r="D10322" s="202"/>
      <c r="E10322" s="202"/>
      <c r="U10322" s="204"/>
    </row>
    <row r="10323" spans="2:21" x14ac:dyDescent="0.2">
      <c r="B10323" s="203"/>
      <c r="C10323" s="237"/>
      <c r="D10323" s="202"/>
      <c r="E10323" s="202"/>
      <c r="U10323" s="204"/>
    </row>
    <row r="10324" spans="2:21" x14ac:dyDescent="0.2">
      <c r="B10324" s="203"/>
      <c r="C10324" s="237"/>
      <c r="D10324" s="202"/>
      <c r="E10324" s="202"/>
      <c r="U10324" s="204"/>
    </row>
    <row r="10325" spans="2:21" x14ac:dyDescent="0.2">
      <c r="B10325" s="203"/>
      <c r="C10325" s="237"/>
      <c r="D10325" s="202"/>
      <c r="E10325" s="202"/>
      <c r="U10325" s="204"/>
    </row>
    <row r="10326" spans="2:21" x14ac:dyDescent="0.2">
      <c r="B10326" s="203"/>
      <c r="C10326" s="237"/>
      <c r="D10326" s="202"/>
      <c r="E10326" s="202"/>
      <c r="U10326" s="204"/>
    </row>
    <row r="10327" spans="2:21" x14ac:dyDescent="0.2">
      <c r="B10327" s="203"/>
      <c r="C10327" s="237"/>
      <c r="D10327" s="202"/>
      <c r="E10327" s="202"/>
      <c r="U10327" s="204"/>
    </row>
    <row r="10328" spans="2:21" x14ac:dyDescent="0.2">
      <c r="B10328" s="203"/>
      <c r="C10328" s="237"/>
      <c r="D10328" s="202"/>
      <c r="E10328" s="202"/>
      <c r="U10328" s="204"/>
    </row>
    <row r="10329" spans="2:21" x14ac:dyDescent="0.2">
      <c r="B10329" s="203"/>
      <c r="C10329" s="237"/>
      <c r="D10329" s="202"/>
      <c r="E10329" s="202"/>
      <c r="U10329" s="204"/>
    </row>
    <row r="10330" spans="2:21" x14ac:dyDescent="0.2">
      <c r="B10330" s="203"/>
      <c r="C10330" s="237"/>
      <c r="D10330" s="202"/>
      <c r="E10330" s="202"/>
      <c r="U10330" s="204"/>
    </row>
    <row r="10331" spans="2:21" x14ac:dyDescent="0.2">
      <c r="B10331" s="203"/>
      <c r="C10331" s="237"/>
      <c r="D10331" s="202"/>
      <c r="E10331" s="202"/>
      <c r="U10331" s="204"/>
    </row>
    <row r="10332" spans="2:21" x14ac:dyDescent="0.2">
      <c r="B10332" s="203"/>
      <c r="C10332" s="237"/>
      <c r="D10332" s="202"/>
      <c r="E10332" s="202"/>
      <c r="U10332" s="204"/>
    </row>
    <row r="10333" spans="2:21" x14ac:dyDescent="0.2">
      <c r="B10333" s="203"/>
      <c r="C10333" s="237"/>
      <c r="D10333" s="202"/>
      <c r="E10333" s="202"/>
      <c r="U10333" s="204"/>
    </row>
    <row r="10334" spans="2:21" x14ac:dyDescent="0.2">
      <c r="B10334" s="203"/>
      <c r="C10334" s="237"/>
      <c r="D10334" s="202"/>
      <c r="E10334" s="202"/>
      <c r="U10334" s="204"/>
    </row>
    <row r="10335" spans="2:21" x14ac:dyDescent="0.2">
      <c r="B10335" s="203"/>
      <c r="C10335" s="237"/>
      <c r="D10335" s="202"/>
      <c r="E10335" s="202"/>
      <c r="U10335" s="204"/>
    </row>
    <row r="10336" spans="2:21" x14ac:dyDescent="0.2">
      <c r="B10336" s="203"/>
      <c r="C10336" s="237"/>
      <c r="D10336" s="202"/>
      <c r="E10336" s="202"/>
      <c r="U10336" s="204"/>
    </row>
    <row r="10337" spans="2:21" x14ac:dyDescent="0.2">
      <c r="B10337" s="203"/>
      <c r="C10337" s="237"/>
      <c r="D10337" s="202"/>
      <c r="E10337" s="202"/>
      <c r="U10337" s="204"/>
    </row>
    <row r="10338" spans="2:21" x14ac:dyDescent="0.2">
      <c r="B10338" s="203"/>
      <c r="C10338" s="237"/>
      <c r="D10338" s="202"/>
      <c r="E10338" s="202"/>
      <c r="U10338" s="204"/>
    </row>
    <row r="10339" spans="2:21" x14ac:dyDescent="0.2">
      <c r="B10339" s="203"/>
      <c r="C10339" s="237"/>
      <c r="D10339" s="202"/>
      <c r="E10339" s="202"/>
      <c r="U10339" s="204"/>
    </row>
    <row r="10340" spans="2:21" x14ac:dyDescent="0.2">
      <c r="B10340" s="203"/>
      <c r="C10340" s="237"/>
      <c r="D10340" s="202"/>
      <c r="E10340" s="202"/>
      <c r="U10340" s="204"/>
    </row>
    <row r="10341" spans="2:21" x14ac:dyDescent="0.2">
      <c r="B10341" s="203"/>
      <c r="C10341" s="237"/>
      <c r="D10341" s="202"/>
      <c r="E10341" s="202"/>
      <c r="U10341" s="204"/>
    </row>
    <row r="10342" spans="2:21" x14ac:dyDescent="0.2">
      <c r="B10342" s="203"/>
      <c r="C10342" s="237"/>
      <c r="D10342" s="202"/>
      <c r="E10342" s="202"/>
      <c r="U10342" s="204"/>
    </row>
    <row r="10343" spans="2:21" x14ac:dyDescent="0.2">
      <c r="B10343" s="203"/>
      <c r="C10343" s="237"/>
      <c r="D10343" s="202"/>
      <c r="E10343" s="202"/>
      <c r="U10343" s="204"/>
    </row>
    <row r="10344" spans="2:21" x14ac:dyDescent="0.2">
      <c r="B10344" s="203"/>
      <c r="C10344" s="237"/>
      <c r="D10344" s="202"/>
      <c r="E10344" s="202"/>
      <c r="U10344" s="204"/>
    </row>
    <row r="10345" spans="2:21" x14ac:dyDescent="0.2">
      <c r="B10345" s="203"/>
      <c r="C10345" s="237"/>
      <c r="D10345" s="202"/>
      <c r="E10345" s="202"/>
      <c r="U10345" s="204"/>
    </row>
    <row r="10346" spans="2:21" x14ac:dyDescent="0.2">
      <c r="B10346" s="203"/>
      <c r="C10346" s="237"/>
      <c r="D10346" s="202"/>
      <c r="E10346" s="202"/>
      <c r="U10346" s="204"/>
    </row>
    <row r="10347" spans="2:21" x14ac:dyDescent="0.2">
      <c r="B10347" s="203"/>
      <c r="C10347" s="237"/>
      <c r="D10347" s="202"/>
      <c r="E10347" s="202"/>
      <c r="U10347" s="204"/>
    </row>
    <row r="10348" spans="2:21" x14ac:dyDescent="0.2">
      <c r="B10348" s="203"/>
      <c r="C10348" s="237"/>
      <c r="D10348" s="202"/>
      <c r="E10348" s="202"/>
      <c r="U10348" s="204"/>
    </row>
    <row r="10349" spans="2:21" x14ac:dyDescent="0.2">
      <c r="B10349" s="203"/>
      <c r="C10349" s="237"/>
      <c r="D10349" s="202"/>
      <c r="E10349" s="202"/>
      <c r="U10349" s="204"/>
    </row>
    <row r="10350" spans="2:21" x14ac:dyDescent="0.2">
      <c r="B10350" s="203"/>
      <c r="C10350" s="237"/>
      <c r="D10350" s="202"/>
      <c r="E10350" s="202"/>
      <c r="U10350" s="204"/>
    </row>
    <row r="10351" spans="2:21" x14ac:dyDescent="0.2">
      <c r="B10351" s="203"/>
      <c r="C10351" s="237"/>
      <c r="D10351" s="202"/>
      <c r="E10351" s="202"/>
      <c r="U10351" s="204"/>
    </row>
    <row r="10352" spans="2:21" x14ac:dyDescent="0.2">
      <c r="B10352" s="203"/>
      <c r="C10352" s="237"/>
      <c r="D10352" s="202"/>
      <c r="E10352" s="202"/>
      <c r="U10352" s="204"/>
    </row>
    <row r="10353" spans="2:21" x14ac:dyDescent="0.2">
      <c r="B10353" s="203"/>
      <c r="C10353" s="237"/>
      <c r="D10353" s="202"/>
      <c r="E10353" s="202"/>
      <c r="U10353" s="204"/>
    </row>
    <row r="10354" spans="2:21" x14ac:dyDescent="0.2">
      <c r="B10354" s="203"/>
      <c r="C10354" s="237"/>
      <c r="D10354" s="202"/>
      <c r="E10354" s="202"/>
      <c r="U10354" s="204"/>
    </row>
    <row r="10355" spans="2:21" x14ac:dyDescent="0.2">
      <c r="B10355" s="203"/>
      <c r="C10355" s="237"/>
      <c r="D10355" s="202"/>
      <c r="E10355" s="202"/>
      <c r="U10355" s="204"/>
    </row>
    <row r="10356" spans="2:21" x14ac:dyDescent="0.2">
      <c r="B10356" s="203"/>
      <c r="C10356" s="237"/>
      <c r="D10356" s="202"/>
      <c r="E10356" s="202"/>
      <c r="U10356" s="204"/>
    </row>
    <row r="10357" spans="2:21" x14ac:dyDescent="0.2">
      <c r="B10357" s="203"/>
      <c r="C10357" s="237"/>
      <c r="D10357" s="202"/>
      <c r="E10357" s="202"/>
      <c r="U10357" s="204"/>
    </row>
    <row r="10358" spans="2:21" x14ac:dyDescent="0.2">
      <c r="B10358" s="203"/>
      <c r="C10358" s="237"/>
      <c r="D10358" s="202"/>
      <c r="E10358" s="202"/>
      <c r="U10358" s="204"/>
    </row>
    <row r="10359" spans="2:21" x14ac:dyDescent="0.2">
      <c r="B10359" s="203"/>
      <c r="C10359" s="237"/>
      <c r="D10359" s="202"/>
      <c r="E10359" s="202"/>
      <c r="U10359" s="204"/>
    </row>
    <row r="10360" spans="2:21" x14ac:dyDescent="0.2">
      <c r="B10360" s="203"/>
      <c r="C10360" s="237"/>
      <c r="D10360" s="202"/>
      <c r="E10360" s="202"/>
      <c r="U10360" s="204"/>
    </row>
    <row r="10361" spans="2:21" x14ac:dyDescent="0.2">
      <c r="B10361" s="203"/>
      <c r="C10361" s="237"/>
      <c r="D10361" s="202"/>
      <c r="E10361" s="202"/>
      <c r="U10361" s="204"/>
    </row>
    <row r="10362" spans="2:21" x14ac:dyDescent="0.2">
      <c r="B10362" s="203"/>
      <c r="C10362" s="237"/>
      <c r="D10362" s="202"/>
      <c r="E10362" s="202"/>
      <c r="U10362" s="204"/>
    </row>
    <row r="10363" spans="2:21" x14ac:dyDescent="0.2">
      <c r="B10363" s="203"/>
      <c r="C10363" s="237"/>
      <c r="D10363" s="202"/>
      <c r="E10363" s="202"/>
      <c r="U10363" s="204"/>
    </row>
    <row r="10364" spans="2:21" x14ac:dyDescent="0.2">
      <c r="B10364" s="203"/>
      <c r="C10364" s="237"/>
      <c r="D10364" s="202"/>
      <c r="E10364" s="202"/>
      <c r="U10364" s="204"/>
    </row>
    <row r="10365" spans="2:21" x14ac:dyDescent="0.2">
      <c r="B10365" s="203"/>
      <c r="C10365" s="237"/>
      <c r="D10365" s="202"/>
      <c r="E10365" s="202"/>
      <c r="U10365" s="204"/>
    </row>
    <row r="10366" spans="2:21" x14ac:dyDescent="0.2">
      <c r="B10366" s="203"/>
      <c r="C10366" s="237"/>
      <c r="D10366" s="202"/>
      <c r="E10366" s="202"/>
      <c r="U10366" s="204"/>
    </row>
    <row r="10367" spans="2:21" x14ac:dyDescent="0.2">
      <c r="B10367" s="203"/>
      <c r="C10367" s="237"/>
      <c r="D10367" s="202"/>
      <c r="E10367" s="202"/>
      <c r="U10367" s="204"/>
    </row>
    <row r="10368" spans="2:21" x14ac:dyDescent="0.2">
      <c r="B10368" s="203"/>
      <c r="C10368" s="237"/>
      <c r="D10368" s="202"/>
      <c r="E10368" s="202"/>
      <c r="U10368" s="204"/>
    </row>
    <row r="10369" spans="2:21" x14ac:dyDescent="0.2">
      <c r="B10369" s="203"/>
      <c r="C10369" s="237"/>
      <c r="D10369" s="202"/>
      <c r="E10369" s="202"/>
      <c r="U10369" s="204"/>
    </row>
    <row r="10370" spans="2:21" x14ac:dyDescent="0.2">
      <c r="B10370" s="203"/>
      <c r="C10370" s="237"/>
      <c r="D10370" s="202"/>
      <c r="E10370" s="202"/>
      <c r="U10370" s="204"/>
    </row>
    <row r="10371" spans="2:21" x14ac:dyDescent="0.2">
      <c r="B10371" s="203"/>
      <c r="C10371" s="237"/>
      <c r="D10371" s="202"/>
      <c r="E10371" s="202"/>
      <c r="U10371" s="204"/>
    </row>
    <row r="10372" spans="2:21" x14ac:dyDescent="0.2">
      <c r="B10372" s="203"/>
      <c r="C10372" s="237"/>
      <c r="D10372" s="202"/>
      <c r="E10372" s="202"/>
      <c r="U10372" s="204"/>
    </row>
    <row r="10373" spans="2:21" x14ac:dyDescent="0.2">
      <c r="B10373" s="203"/>
      <c r="C10373" s="237"/>
      <c r="D10373" s="202"/>
      <c r="E10373" s="202"/>
      <c r="U10373" s="204"/>
    </row>
    <row r="10374" spans="2:21" x14ac:dyDescent="0.2">
      <c r="B10374" s="203"/>
      <c r="C10374" s="237"/>
      <c r="D10374" s="202"/>
      <c r="E10374" s="202"/>
      <c r="U10374" s="204"/>
    </row>
    <row r="10375" spans="2:21" x14ac:dyDescent="0.2">
      <c r="B10375" s="203"/>
      <c r="C10375" s="237"/>
      <c r="D10375" s="202"/>
      <c r="E10375" s="202"/>
      <c r="U10375" s="204"/>
    </row>
    <row r="10376" spans="2:21" x14ac:dyDescent="0.2">
      <c r="B10376" s="203"/>
      <c r="C10376" s="237"/>
      <c r="D10376" s="202"/>
      <c r="E10376" s="202"/>
      <c r="U10376" s="204"/>
    </row>
    <row r="10377" spans="2:21" x14ac:dyDescent="0.2">
      <c r="B10377" s="203"/>
      <c r="C10377" s="237"/>
      <c r="D10377" s="202"/>
      <c r="E10377" s="202"/>
      <c r="U10377" s="204"/>
    </row>
    <row r="10378" spans="2:21" x14ac:dyDescent="0.2">
      <c r="B10378" s="203"/>
      <c r="C10378" s="237"/>
      <c r="D10378" s="202"/>
      <c r="E10378" s="202"/>
      <c r="U10378" s="204"/>
    </row>
    <row r="10379" spans="2:21" x14ac:dyDescent="0.2">
      <c r="B10379" s="203"/>
      <c r="C10379" s="237"/>
      <c r="D10379" s="202"/>
      <c r="E10379" s="202"/>
      <c r="U10379" s="204"/>
    </row>
    <row r="10380" spans="2:21" x14ac:dyDescent="0.2">
      <c r="B10380" s="203"/>
      <c r="C10380" s="237"/>
      <c r="D10380" s="202"/>
      <c r="E10380" s="202"/>
      <c r="U10380" s="204"/>
    </row>
    <row r="10381" spans="2:21" x14ac:dyDescent="0.2">
      <c r="B10381" s="203"/>
      <c r="C10381" s="237"/>
      <c r="D10381" s="202"/>
      <c r="E10381" s="202"/>
      <c r="U10381" s="204"/>
    </row>
    <row r="10382" spans="2:21" x14ac:dyDescent="0.2">
      <c r="B10382" s="203"/>
      <c r="C10382" s="237"/>
      <c r="D10382" s="202"/>
      <c r="E10382" s="202"/>
      <c r="U10382" s="204"/>
    </row>
    <row r="10383" spans="2:21" x14ac:dyDescent="0.2">
      <c r="B10383" s="203"/>
      <c r="C10383" s="237"/>
      <c r="D10383" s="202"/>
      <c r="E10383" s="202"/>
      <c r="U10383" s="204"/>
    </row>
    <row r="10384" spans="2:21" x14ac:dyDescent="0.2">
      <c r="B10384" s="203"/>
      <c r="C10384" s="237"/>
      <c r="D10384" s="202"/>
      <c r="E10384" s="202"/>
      <c r="U10384" s="204"/>
    </row>
    <row r="10385" spans="2:21" x14ac:dyDescent="0.2">
      <c r="B10385" s="203"/>
      <c r="C10385" s="237"/>
      <c r="D10385" s="202"/>
      <c r="E10385" s="202"/>
      <c r="U10385" s="204"/>
    </row>
    <row r="10386" spans="2:21" x14ac:dyDescent="0.2">
      <c r="B10386" s="203"/>
      <c r="C10386" s="237"/>
      <c r="D10386" s="202"/>
      <c r="E10386" s="202"/>
      <c r="U10386" s="204"/>
    </row>
    <row r="10387" spans="2:21" x14ac:dyDescent="0.2">
      <c r="B10387" s="203"/>
      <c r="C10387" s="237"/>
      <c r="D10387" s="202"/>
      <c r="E10387" s="202"/>
      <c r="U10387" s="204"/>
    </row>
    <row r="10388" spans="2:21" x14ac:dyDescent="0.2">
      <c r="B10388" s="203"/>
      <c r="C10388" s="237"/>
      <c r="D10388" s="202"/>
      <c r="E10388" s="202"/>
      <c r="U10388" s="204"/>
    </row>
    <row r="10389" spans="2:21" x14ac:dyDescent="0.2">
      <c r="B10389" s="203"/>
      <c r="C10389" s="237"/>
      <c r="D10389" s="202"/>
      <c r="E10389" s="202"/>
      <c r="U10389" s="204"/>
    </row>
    <row r="10390" spans="2:21" x14ac:dyDescent="0.2">
      <c r="B10390" s="203"/>
      <c r="C10390" s="237"/>
      <c r="D10390" s="202"/>
      <c r="E10390" s="202"/>
      <c r="U10390" s="204"/>
    </row>
    <row r="10391" spans="2:21" x14ac:dyDescent="0.2">
      <c r="B10391" s="203"/>
      <c r="C10391" s="237"/>
      <c r="D10391" s="202"/>
      <c r="E10391" s="202"/>
      <c r="U10391" s="204"/>
    </row>
    <row r="10392" spans="2:21" x14ac:dyDescent="0.2">
      <c r="B10392" s="203"/>
      <c r="C10392" s="237"/>
      <c r="D10392" s="202"/>
      <c r="E10392" s="202"/>
      <c r="U10392" s="204"/>
    </row>
    <row r="10393" spans="2:21" x14ac:dyDescent="0.2">
      <c r="B10393" s="203"/>
      <c r="C10393" s="237"/>
      <c r="D10393" s="202"/>
      <c r="E10393" s="202"/>
      <c r="U10393" s="204"/>
    </row>
    <row r="10394" spans="2:21" x14ac:dyDescent="0.2">
      <c r="B10394" s="203"/>
      <c r="C10394" s="237"/>
      <c r="D10394" s="202"/>
      <c r="E10394" s="202"/>
      <c r="U10394" s="204"/>
    </row>
    <row r="10395" spans="2:21" x14ac:dyDescent="0.2">
      <c r="B10395" s="203"/>
      <c r="C10395" s="237"/>
      <c r="D10395" s="202"/>
      <c r="E10395" s="202"/>
      <c r="U10395" s="204"/>
    </row>
    <row r="10396" spans="2:21" x14ac:dyDescent="0.2">
      <c r="B10396" s="203"/>
      <c r="C10396" s="237"/>
      <c r="D10396" s="202"/>
      <c r="E10396" s="202"/>
      <c r="U10396" s="204"/>
    </row>
    <row r="10397" spans="2:21" x14ac:dyDescent="0.2">
      <c r="B10397" s="203"/>
      <c r="C10397" s="237"/>
      <c r="D10397" s="202"/>
      <c r="E10397" s="202"/>
      <c r="U10397" s="204"/>
    </row>
    <row r="10398" spans="2:21" x14ac:dyDescent="0.2">
      <c r="B10398" s="203"/>
      <c r="C10398" s="237"/>
      <c r="D10398" s="202"/>
      <c r="E10398" s="202"/>
      <c r="U10398" s="204"/>
    </row>
    <row r="10399" spans="2:21" x14ac:dyDescent="0.2">
      <c r="B10399" s="203"/>
      <c r="C10399" s="237"/>
      <c r="D10399" s="202"/>
      <c r="E10399" s="202"/>
      <c r="U10399" s="204"/>
    </row>
    <row r="10400" spans="2:21" x14ac:dyDescent="0.2">
      <c r="B10400" s="203"/>
      <c r="C10400" s="237"/>
      <c r="D10400" s="202"/>
      <c r="E10400" s="202"/>
      <c r="U10400" s="204"/>
    </row>
    <row r="10401" spans="2:21" x14ac:dyDescent="0.2">
      <c r="B10401" s="203"/>
      <c r="C10401" s="237"/>
      <c r="D10401" s="202"/>
      <c r="E10401" s="202"/>
      <c r="U10401" s="204"/>
    </row>
    <row r="10402" spans="2:21" x14ac:dyDescent="0.2">
      <c r="B10402" s="203"/>
      <c r="C10402" s="237"/>
      <c r="D10402" s="202"/>
      <c r="E10402" s="202"/>
      <c r="U10402" s="204"/>
    </row>
    <row r="10403" spans="2:21" x14ac:dyDescent="0.2">
      <c r="B10403" s="203"/>
      <c r="C10403" s="237"/>
      <c r="D10403" s="202"/>
      <c r="E10403" s="202"/>
      <c r="U10403" s="204"/>
    </row>
    <row r="10404" spans="2:21" x14ac:dyDescent="0.2">
      <c r="B10404" s="203"/>
      <c r="C10404" s="237"/>
      <c r="D10404" s="202"/>
      <c r="E10404" s="202"/>
      <c r="U10404" s="204"/>
    </row>
    <row r="10405" spans="2:21" x14ac:dyDescent="0.2">
      <c r="B10405" s="203"/>
      <c r="C10405" s="237"/>
      <c r="D10405" s="202"/>
      <c r="E10405" s="202"/>
      <c r="U10405" s="204"/>
    </row>
    <row r="10406" spans="2:21" x14ac:dyDescent="0.2">
      <c r="B10406" s="203"/>
      <c r="C10406" s="237"/>
      <c r="D10406" s="202"/>
      <c r="E10406" s="202"/>
      <c r="U10406" s="204"/>
    </row>
    <row r="10407" spans="2:21" x14ac:dyDescent="0.2">
      <c r="B10407" s="203"/>
      <c r="C10407" s="237"/>
      <c r="D10407" s="202"/>
      <c r="E10407" s="202"/>
      <c r="U10407" s="204"/>
    </row>
    <row r="10408" spans="2:21" x14ac:dyDescent="0.2">
      <c r="B10408" s="203"/>
      <c r="C10408" s="237"/>
      <c r="D10408" s="202"/>
      <c r="E10408" s="202"/>
      <c r="U10408" s="204"/>
    </row>
    <row r="10409" spans="2:21" x14ac:dyDescent="0.2">
      <c r="B10409" s="203"/>
      <c r="C10409" s="237"/>
      <c r="D10409" s="202"/>
      <c r="E10409" s="202"/>
      <c r="U10409" s="204"/>
    </row>
    <row r="10410" spans="2:21" x14ac:dyDescent="0.2">
      <c r="B10410" s="203"/>
      <c r="C10410" s="237"/>
      <c r="D10410" s="202"/>
      <c r="E10410" s="202"/>
      <c r="U10410" s="204"/>
    </row>
    <row r="10411" spans="2:21" x14ac:dyDescent="0.2">
      <c r="B10411" s="203"/>
      <c r="C10411" s="237"/>
      <c r="D10411" s="202"/>
      <c r="E10411" s="202"/>
      <c r="U10411" s="204"/>
    </row>
    <row r="10412" spans="2:21" x14ac:dyDescent="0.2">
      <c r="B10412" s="203"/>
      <c r="C10412" s="237"/>
      <c r="D10412" s="202"/>
      <c r="E10412" s="202"/>
      <c r="U10412" s="204"/>
    </row>
    <row r="10413" spans="2:21" x14ac:dyDescent="0.2">
      <c r="B10413" s="203"/>
      <c r="C10413" s="237"/>
      <c r="D10413" s="202"/>
      <c r="E10413" s="202"/>
      <c r="U10413" s="204"/>
    </row>
    <row r="10414" spans="2:21" x14ac:dyDescent="0.2">
      <c r="B10414" s="203"/>
      <c r="C10414" s="237"/>
      <c r="D10414" s="202"/>
      <c r="E10414" s="202"/>
      <c r="U10414" s="204"/>
    </row>
    <row r="10415" spans="2:21" x14ac:dyDescent="0.2">
      <c r="B10415" s="203"/>
      <c r="C10415" s="237"/>
      <c r="D10415" s="202"/>
      <c r="E10415" s="202"/>
      <c r="U10415" s="204"/>
    </row>
    <row r="10416" spans="2:21" x14ac:dyDescent="0.2">
      <c r="B10416" s="203"/>
      <c r="C10416" s="237"/>
      <c r="D10416" s="202"/>
      <c r="E10416" s="202"/>
      <c r="U10416" s="204"/>
    </row>
    <row r="10417" spans="2:21" x14ac:dyDescent="0.2">
      <c r="B10417" s="203"/>
      <c r="C10417" s="237"/>
      <c r="D10417" s="202"/>
      <c r="E10417" s="202"/>
      <c r="U10417" s="204"/>
    </row>
    <row r="10418" spans="2:21" x14ac:dyDescent="0.2">
      <c r="B10418" s="203"/>
      <c r="C10418" s="237"/>
      <c r="D10418" s="202"/>
      <c r="E10418" s="202"/>
      <c r="U10418" s="204"/>
    </row>
    <row r="10419" spans="2:21" x14ac:dyDescent="0.2">
      <c r="B10419" s="203"/>
      <c r="C10419" s="237"/>
      <c r="D10419" s="202"/>
      <c r="E10419" s="202"/>
      <c r="U10419" s="204"/>
    </row>
    <row r="10420" spans="2:21" x14ac:dyDescent="0.2">
      <c r="B10420" s="203"/>
      <c r="C10420" s="237"/>
      <c r="D10420" s="202"/>
      <c r="E10420" s="202"/>
      <c r="U10420" s="204"/>
    </row>
    <row r="10421" spans="2:21" x14ac:dyDescent="0.2">
      <c r="B10421" s="203"/>
      <c r="C10421" s="237"/>
      <c r="D10421" s="202"/>
      <c r="E10421" s="202"/>
      <c r="U10421" s="204"/>
    </row>
    <row r="10422" spans="2:21" x14ac:dyDescent="0.2">
      <c r="B10422" s="203"/>
      <c r="C10422" s="237"/>
      <c r="D10422" s="202"/>
      <c r="E10422" s="202"/>
      <c r="U10422" s="204"/>
    </row>
    <row r="10423" spans="2:21" x14ac:dyDescent="0.2">
      <c r="B10423" s="203"/>
      <c r="C10423" s="237"/>
      <c r="D10423" s="202"/>
      <c r="E10423" s="202"/>
      <c r="U10423" s="204"/>
    </row>
    <row r="10424" spans="2:21" x14ac:dyDescent="0.2">
      <c r="B10424" s="203"/>
      <c r="C10424" s="237"/>
      <c r="D10424" s="202"/>
      <c r="E10424" s="202"/>
      <c r="U10424" s="204"/>
    </row>
    <row r="10425" spans="2:21" x14ac:dyDescent="0.2">
      <c r="B10425" s="203"/>
      <c r="C10425" s="237"/>
      <c r="D10425" s="202"/>
      <c r="E10425" s="202"/>
      <c r="U10425" s="204"/>
    </row>
    <row r="10426" spans="2:21" x14ac:dyDescent="0.2">
      <c r="B10426" s="203"/>
      <c r="C10426" s="237"/>
      <c r="D10426" s="202"/>
      <c r="E10426" s="202"/>
      <c r="U10426" s="204"/>
    </row>
    <row r="10427" spans="2:21" x14ac:dyDescent="0.2">
      <c r="B10427" s="203"/>
      <c r="C10427" s="237"/>
      <c r="D10427" s="202"/>
      <c r="E10427" s="202"/>
      <c r="U10427" s="204"/>
    </row>
    <row r="10428" spans="2:21" x14ac:dyDescent="0.2">
      <c r="B10428" s="203"/>
      <c r="C10428" s="237"/>
      <c r="D10428" s="202"/>
      <c r="E10428" s="202"/>
      <c r="U10428" s="204"/>
    </row>
    <row r="10429" spans="2:21" x14ac:dyDescent="0.2">
      <c r="B10429" s="203"/>
      <c r="C10429" s="237"/>
      <c r="D10429" s="202"/>
      <c r="E10429" s="202"/>
      <c r="U10429" s="204"/>
    </row>
    <row r="10430" spans="2:21" x14ac:dyDescent="0.2">
      <c r="B10430" s="203"/>
      <c r="C10430" s="237"/>
      <c r="D10430" s="202"/>
      <c r="E10430" s="202"/>
      <c r="U10430" s="204"/>
    </row>
    <row r="10431" spans="2:21" x14ac:dyDescent="0.2">
      <c r="B10431" s="203"/>
      <c r="C10431" s="237"/>
      <c r="D10431" s="202"/>
      <c r="E10431" s="202"/>
      <c r="U10431" s="204"/>
    </row>
    <row r="10432" spans="2:21" x14ac:dyDescent="0.2">
      <c r="B10432" s="203"/>
      <c r="C10432" s="237"/>
      <c r="D10432" s="202"/>
      <c r="E10432" s="202"/>
      <c r="U10432" s="204"/>
    </row>
    <row r="10433" spans="2:21" x14ac:dyDescent="0.2">
      <c r="B10433" s="203"/>
      <c r="C10433" s="237"/>
      <c r="D10433" s="202"/>
      <c r="E10433" s="202"/>
      <c r="U10433" s="204"/>
    </row>
    <row r="10434" spans="2:21" x14ac:dyDescent="0.2">
      <c r="B10434" s="203"/>
      <c r="C10434" s="237"/>
      <c r="D10434" s="202"/>
      <c r="E10434" s="202"/>
      <c r="U10434" s="204"/>
    </row>
    <row r="10435" spans="2:21" x14ac:dyDescent="0.2">
      <c r="B10435" s="203"/>
      <c r="C10435" s="237"/>
      <c r="D10435" s="202"/>
      <c r="E10435" s="202"/>
      <c r="U10435" s="204"/>
    </row>
    <row r="10436" spans="2:21" x14ac:dyDescent="0.2">
      <c r="B10436" s="203"/>
      <c r="C10436" s="237"/>
      <c r="D10436" s="202"/>
      <c r="E10436" s="202"/>
      <c r="U10436" s="204"/>
    </row>
    <row r="10437" spans="2:21" x14ac:dyDescent="0.2">
      <c r="B10437" s="203"/>
      <c r="C10437" s="237"/>
      <c r="D10437" s="202"/>
      <c r="E10437" s="202"/>
      <c r="U10437" s="204"/>
    </row>
    <row r="10438" spans="2:21" x14ac:dyDescent="0.2">
      <c r="B10438" s="203"/>
      <c r="C10438" s="237"/>
      <c r="D10438" s="202"/>
      <c r="E10438" s="202"/>
      <c r="U10438" s="204"/>
    </row>
    <row r="10439" spans="2:21" x14ac:dyDescent="0.2">
      <c r="B10439" s="203"/>
      <c r="C10439" s="237"/>
      <c r="D10439" s="202"/>
      <c r="E10439" s="202"/>
      <c r="U10439" s="204"/>
    </row>
    <row r="10440" spans="2:21" x14ac:dyDescent="0.2">
      <c r="B10440" s="203"/>
      <c r="C10440" s="237"/>
      <c r="D10440" s="202"/>
      <c r="E10440" s="202"/>
      <c r="U10440" s="204"/>
    </row>
    <row r="10441" spans="2:21" x14ac:dyDescent="0.2">
      <c r="B10441" s="203"/>
      <c r="C10441" s="237"/>
      <c r="D10441" s="202"/>
      <c r="E10441" s="202"/>
      <c r="U10441" s="204"/>
    </row>
    <row r="10442" spans="2:21" x14ac:dyDescent="0.2">
      <c r="B10442" s="203"/>
      <c r="C10442" s="237"/>
      <c r="D10442" s="202"/>
      <c r="E10442" s="202"/>
      <c r="U10442" s="204"/>
    </row>
    <row r="10443" spans="2:21" x14ac:dyDescent="0.2">
      <c r="B10443" s="203"/>
      <c r="C10443" s="237"/>
      <c r="D10443" s="202"/>
      <c r="E10443" s="202"/>
      <c r="U10443" s="204"/>
    </row>
    <row r="10444" spans="2:21" x14ac:dyDescent="0.2">
      <c r="B10444" s="203"/>
      <c r="C10444" s="237"/>
      <c r="D10444" s="202"/>
      <c r="E10444" s="202"/>
      <c r="U10444" s="204"/>
    </row>
    <row r="10445" spans="2:21" x14ac:dyDescent="0.2">
      <c r="B10445" s="203"/>
      <c r="C10445" s="237"/>
      <c r="D10445" s="202"/>
      <c r="E10445" s="202"/>
      <c r="U10445" s="204"/>
    </row>
    <row r="10446" spans="2:21" x14ac:dyDescent="0.2">
      <c r="B10446" s="203"/>
      <c r="C10446" s="237"/>
      <c r="D10446" s="202"/>
      <c r="E10446" s="202"/>
      <c r="U10446" s="204"/>
    </row>
    <row r="10447" spans="2:21" x14ac:dyDescent="0.2">
      <c r="B10447" s="203"/>
      <c r="C10447" s="237"/>
      <c r="D10447" s="202"/>
      <c r="E10447" s="202"/>
      <c r="U10447" s="204"/>
    </row>
    <row r="10448" spans="2:21" x14ac:dyDescent="0.2">
      <c r="B10448" s="203"/>
      <c r="C10448" s="237"/>
      <c r="D10448" s="202"/>
      <c r="E10448" s="202"/>
      <c r="U10448" s="204"/>
    </row>
    <row r="10449" spans="2:21" x14ac:dyDescent="0.2">
      <c r="B10449" s="203"/>
      <c r="C10449" s="237"/>
      <c r="D10449" s="202"/>
      <c r="E10449" s="202"/>
      <c r="U10449" s="204"/>
    </row>
    <row r="10450" spans="2:21" x14ac:dyDescent="0.2">
      <c r="B10450" s="203"/>
      <c r="C10450" s="237"/>
      <c r="D10450" s="202"/>
      <c r="E10450" s="202"/>
      <c r="U10450" s="204"/>
    </row>
    <row r="10451" spans="2:21" x14ac:dyDescent="0.2">
      <c r="B10451" s="203"/>
      <c r="C10451" s="237"/>
      <c r="D10451" s="202"/>
      <c r="E10451" s="202"/>
      <c r="U10451" s="204"/>
    </row>
    <row r="10452" spans="2:21" x14ac:dyDescent="0.2">
      <c r="B10452" s="203"/>
      <c r="C10452" s="237"/>
      <c r="D10452" s="202"/>
      <c r="E10452" s="202"/>
      <c r="U10452" s="204"/>
    </row>
    <row r="10453" spans="2:21" x14ac:dyDescent="0.2">
      <c r="B10453" s="203"/>
      <c r="C10453" s="237"/>
      <c r="D10453" s="202"/>
      <c r="E10453" s="202"/>
      <c r="U10453" s="204"/>
    </row>
    <row r="10454" spans="2:21" x14ac:dyDescent="0.2">
      <c r="B10454" s="203"/>
      <c r="C10454" s="237"/>
      <c r="D10454" s="202"/>
      <c r="E10454" s="202"/>
      <c r="U10454" s="204"/>
    </row>
    <row r="10455" spans="2:21" x14ac:dyDescent="0.2">
      <c r="B10455" s="203"/>
      <c r="C10455" s="237"/>
      <c r="D10455" s="202"/>
      <c r="E10455" s="202"/>
      <c r="U10455" s="204"/>
    </row>
    <row r="10456" spans="2:21" x14ac:dyDescent="0.2">
      <c r="B10456" s="203"/>
      <c r="C10456" s="237"/>
      <c r="D10456" s="202"/>
      <c r="E10456" s="202"/>
      <c r="U10456" s="204"/>
    </row>
    <row r="10457" spans="2:21" x14ac:dyDescent="0.2">
      <c r="B10457" s="203"/>
      <c r="C10457" s="237"/>
      <c r="D10457" s="202"/>
      <c r="E10457" s="202"/>
      <c r="U10457" s="204"/>
    </row>
    <row r="10458" spans="2:21" x14ac:dyDescent="0.2">
      <c r="B10458" s="203"/>
      <c r="C10458" s="237"/>
      <c r="D10458" s="202"/>
      <c r="E10458" s="202"/>
      <c r="U10458" s="204"/>
    </row>
    <row r="10459" spans="2:21" x14ac:dyDescent="0.2">
      <c r="B10459" s="203"/>
      <c r="C10459" s="237"/>
      <c r="D10459" s="202"/>
      <c r="E10459" s="202"/>
      <c r="U10459" s="204"/>
    </row>
    <row r="10460" spans="2:21" x14ac:dyDescent="0.2">
      <c r="B10460" s="203"/>
      <c r="C10460" s="237"/>
      <c r="D10460" s="202"/>
      <c r="E10460" s="202"/>
      <c r="U10460" s="204"/>
    </row>
    <row r="10461" spans="2:21" x14ac:dyDescent="0.2">
      <c r="B10461" s="203"/>
      <c r="C10461" s="237"/>
      <c r="D10461" s="202"/>
      <c r="E10461" s="202"/>
      <c r="U10461" s="204"/>
    </row>
    <row r="10462" spans="2:21" x14ac:dyDescent="0.2">
      <c r="B10462" s="203"/>
      <c r="C10462" s="237"/>
      <c r="D10462" s="202"/>
      <c r="E10462" s="202"/>
      <c r="U10462" s="204"/>
    </row>
    <row r="10463" spans="2:21" x14ac:dyDescent="0.2">
      <c r="B10463" s="203"/>
      <c r="C10463" s="237"/>
      <c r="D10463" s="202"/>
      <c r="E10463" s="202"/>
      <c r="U10463" s="204"/>
    </row>
    <row r="10464" spans="2:21" x14ac:dyDescent="0.2">
      <c r="B10464" s="203"/>
      <c r="C10464" s="237"/>
      <c r="D10464" s="202"/>
      <c r="E10464" s="202"/>
      <c r="U10464" s="204"/>
    </row>
    <row r="10465" spans="2:21" x14ac:dyDescent="0.2">
      <c r="B10465" s="203"/>
      <c r="C10465" s="237"/>
      <c r="D10465" s="202"/>
      <c r="E10465" s="202"/>
      <c r="U10465" s="204"/>
    </row>
    <row r="10466" spans="2:21" x14ac:dyDescent="0.2">
      <c r="B10466" s="203"/>
      <c r="C10466" s="237"/>
      <c r="D10466" s="202"/>
      <c r="E10466" s="202"/>
      <c r="U10466" s="204"/>
    </row>
    <row r="10467" spans="2:21" x14ac:dyDescent="0.2">
      <c r="B10467" s="203"/>
      <c r="C10467" s="237"/>
      <c r="D10467" s="202"/>
      <c r="E10467" s="202"/>
      <c r="U10467" s="204"/>
    </row>
    <row r="10468" spans="2:21" x14ac:dyDescent="0.2">
      <c r="B10468" s="203"/>
      <c r="C10468" s="237"/>
      <c r="D10468" s="202"/>
      <c r="E10468" s="202"/>
      <c r="U10468" s="204"/>
    </row>
    <row r="10469" spans="2:21" x14ac:dyDescent="0.2">
      <c r="B10469" s="203"/>
      <c r="C10469" s="237"/>
      <c r="D10469" s="202"/>
      <c r="E10469" s="202"/>
      <c r="U10469" s="204"/>
    </row>
    <row r="10470" spans="2:21" x14ac:dyDescent="0.2">
      <c r="B10470" s="203"/>
      <c r="C10470" s="237"/>
      <c r="D10470" s="202"/>
      <c r="E10470" s="202"/>
      <c r="U10470" s="204"/>
    </row>
    <row r="10471" spans="2:21" x14ac:dyDescent="0.2">
      <c r="B10471" s="203"/>
      <c r="C10471" s="237"/>
      <c r="D10471" s="202"/>
      <c r="E10471" s="202"/>
      <c r="U10471" s="204"/>
    </row>
    <row r="10472" spans="2:21" x14ac:dyDescent="0.2">
      <c r="B10472" s="203"/>
      <c r="C10472" s="237"/>
      <c r="D10472" s="202"/>
      <c r="E10472" s="202"/>
      <c r="U10472" s="204"/>
    </row>
    <row r="10473" spans="2:21" x14ac:dyDescent="0.2">
      <c r="B10473" s="203"/>
      <c r="C10473" s="237"/>
      <c r="D10473" s="202"/>
      <c r="E10473" s="202"/>
      <c r="U10473" s="204"/>
    </row>
    <row r="10474" spans="2:21" x14ac:dyDescent="0.2">
      <c r="B10474" s="203"/>
      <c r="C10474" s="237"/>
      <c r="D10474" s="202"/>
      <c r="E10474" s="202"/>
      <c r="U10474" s="204"/>
    </row>
    <row r="10475" spans="2:21" x14ac:dyDescent="0.2">
      <c r="B10475" s="203"/>
      <c r="C10475" s="237"/>
      <c r="D10475" s="202"/>
      <c r="E10475" s="202"/>
      <c r="U10475" s="204"/>
    </row>
    <row r="10476" spans="2:21" x14ac:dyDescent="0.2">
      <c r="B10476" s="203"/>
      <c r="C10476" s="237"/>
      <c r="D10476" s="202"/>
      <c r="E10476" s="202"/>
      <c r="U10476" s="204"/>
    </row>
    <row r="10477" spans="2:21" x14ac:dyDescent="0.2">
      <c r="B10477" s="203"/>
      <c r="C10477" s="237"/>
      <c r="D10477" s="202"/>
      <c r="E10477" s="202"/>
      <c r="U10477" s="204"/>
    </row>
    <row r="10478" spans="2:21" x14ac:dyDescent="0.2">
      <c r="B10478" s="203"/>
      <c r="C10478" s="237"/>
      <c r="D10478" s="202"/>
      <c r="E10478" s="202"/>
      <c r="U10478" s="204"/>
    </row>
    <row r="10479" spans="2:21" x14ac:dyDescent="0.2">
      <c r="B10479" s="203"/>
      <c r="C10479" s="237"/>
      <c r="D10479" s="202"/>
      <c r="E10479" s="202"/>
      <c r="U10479" s="204"/>
    </row>
    <row r="10480" spans="2:21" x14ac:dyDescent="0.2">
      <c r="B10480" s="203"/>
      <c r="C10480" s="237"/>
      <c r="D10480" s="202"/>
      <c r="E10480" s="202"/>
      <c r="U10480" s="204"/>
    </row>
    <row r="10481" spans="2:21" x14ac:dyDescent="0.2">
      <c r="B10481" s="203"/>
      <c r="C10481" s="237"/>
      <c r="D10481" s="202"/>
      <c r="E10481" s="202"/>
      <c r="U10481" s="204"/>
    </row>
    <row r="10482" spans="2:21" x14ac:dyDescent="0.2">
      <c r="B10482" s="203"/>
      <c r="C10482" s="237"/>
      <c r="D10482" s="202"/>
      <c r="E10482" s="202"/>
      <c r="U10482" s="204"/>
    </row>
    <row r="10483" spans="2:21" x14ac:dyDescent="0.2">
      <c r="B10483" s="203"/>
      <c r="C10483" s="237"/>
      <c r="D10483" s="202"/>
      <c r="E10483" s="202"/>
      <c r="U10483" s="204"/>
    </row>
    <row r="10484" spans="2:21" x14ac:dyDescent="0.2">
      <c r="B10484" s="203"/>
      <c r="C10484" s="237"/>
      <c r="D10484" s="202"/>
      <c r="E10484" s="202"/>
      <c r="U10484" s="204"/>
    </row>
    <row r="10485" spans="2:21" x14ac:dyDescent="0.2">
      <c r="B10485" s="203"/>
      <c r="C10485" s="237"/>
      <c r="D10485" s="202"/>
      <c r="E10485" s="202"/>
      <c r="U10485" s="204"/>
    </row>
    <row r="10486" spans="2:21" x14ac:dyDescent="0.2">
      <c r="B10486" s="203"/>
      <c r="C10486" s="237"/>
      <c r="D10486" s="202"/>
      <c r="E10486" s="202"/>
      <c r="U10486" s="204"/>
    </row>
    <row r="10487" spans="2:21" x14ac:dyDescent="0.2">
      <c r="B10487" s="203"/>
      <c r="C10487" s="237"/>
      <c r="D10487" s="202"/>
      <c r="E10487" s="202"/>
      <c r="U10487" s="204"/>
    </row>
    <row r="10488" spans="2:21" x14ac:dyDescent="0.2">
      <c r="B10488" s="203"/>
      <c r="C10488" s="237"/>
      <c r="D10488" s="202"/>
      <c r="E10488" s="202"/>
      <c r="U10488" s="204"/>
    </row>
    <row r="10489" spans="2:21" x14ac:dyDescent="0.2">
      <c r="B10489" s="203"/>
      <c r="C10489" s="237"/>
      <c r="D10489" s="202"/>
      <c r="E10489" s="202"/>
      <c r="U10489" s="204"/>
    </row>
    <row r="10490" spans="2:21" x14ac:dyDescent="0.2">
      <c r="B10490" s="203"/>
      <c r="C10490" s="237"/>
      <c r="D10490" s="202"/>
      <c r="E10490" s="202"/>
      <c r="U10490" s="204"/>
    </row>
    <row r="10491" spans="2:21" x14ac:dyDescent="0.2">
      <c r="B10491" s="203"/>
      <c r="C10491" s="237"/>
      <c r="D10491" s="202"/>
      <c r="E10491" s="202"/>
      <c r="U10491" s="204"/>
    </row>
    <row r="10492" spans="2:21" x14ac:dyDescent="0.2">
      <c r="B10492" s="203"/>
      <c r="C10492" s="237"/>
      <c r="D10492" s="202"/>
      <c r="E10492" s="202"/>
      <c r="U10492" s="204"/>
    </row>
    <row r="10493" spans="2:21" x14ac:dyDescent="0.2">
      <c r="B10493" s="203"/>
      <c r="C10493" s="237"/>
      <c r="D10493" s="202"/>
      <c r="E10493" s="202"/>
      <c r="U10493" s="204"/>
    </row>
    <row r="10494" spans="2:21" x14ac:dyDescent="0.2">
      <c r="B10494" s="203"/>
      <c r="C10494" s="237"/>
      <c r="D10494" s="202"/>
      <c r="E10494" s="202"/>
      <c r="U10494" s="204"/>
    </row>
    <row r="10495" spans="2:21" x14ac:dyDescent="0.2">
      <c r="B10495" s="203"/>
      <c r="C10495" s="237"/>
      <c r="D10495" s="202"/>
      <c r="E10495" s="202"/>
      <c r="U10495" s="204"/>
    </row>
    <row r="10496" spans="2:21" x14ac:dyDescent="0.2">
      <c r="B10496" s="203"/>
      <c r="C10496" s="237"/>
      <c r="D10496" s="202"/>
      <c r="E10496" s="202"/>
      <c r="U10496" s="204"/>
    </row>
    <row r="10497" spans="2:21" x14ac:dyDescent="0.2">
      <c r="B10497" s="203"/>
      <c r="C10497" s="237"/>
      <c r="D10497" s="202"/>
      <c r="E10497" s="202"/>
      <c r="U10497" s="204"/>
    </row>
    <row r="10498" spans="2:21" x14ac:dyDescent="0.2">
      <c r="B10498" s="203"/>
      <c r="C10498" s="237"/>
      <c r="D10498" s="202"/>
      <c r="E10498" s="202"/>
      <c r="U10498" s="204"/>
    </row>
    <row r="10499" spans="2:21" x14ac:dyDescent="0.2">
      <c r="B10499" s="203"/>
      <c r="C10499" s="237"/>
      <c r="D10499" s="202"/>
      <c r="E10499" s="202"/>
      <c r="U10499" s="204"/>
    </row>
    <row r="10500" spans="2:21" x14ac:dyDescent="0.2">
      <c r="B10500" s="203"/>
      <c r="C10500" s="237"/>
      <c r="D10500" s="202"/>
      <c r="E10500" s="202"/>
      <c r="U10500" s="204"/>
    </row>
    <row r="10501" spans="2:21" x14ac:dyDescent="0.2">
      <c r="B10501" s="203"/>
      <c r="C10501" s="237"/>
      <c r="D10501" s="202"/>
      <c r="E10501" s="202"/>
      <c r="U10501" s="204"/>
    </row>
    <row r="10502" spans="2:21" x14ac:dyDescent="0.2">
      <c r="B10502" s="203"/>
      <c r="C10502" s="237"/>
      <c r="D10502" s="202"/>
      <c r="E10502" s="202"/>
      <c r="U10502" s="204"/>
    </row>
    <row r="10503" spans="2:21" x14ac:dyDescent="0.2">
      <c r="B10503" s="203"/>
      <c r="C10503" s="237"/>
      <c r="D10503" s="202"/>
      <c r="E10503" s="202"/>
      <c r="U10503" s="204"/>
    </row>
    <row r="10504" spans="2:21" x14ac:dyDescent="0.2">
      <c r="B10504" s="203"/>
      <c r="C10504" s="237"/>
      <c r="D10504" s="202"/>
      <c r="E10504" s="202"/>
      <c r="U10504" s="204"/>
    </row>
    <row r="10505" spans="2:21" x14ac:dyDescent="0.2">
      <c r="B10505" s="203"/>
      <c r="C10505" s="237"/>
      <c r="D10505" s="202"/>
      <c r="E10505" s="202"/>
      <c r="U10505" s="204"/>
    </row>
    <row r="10506" spans="2:21" x14ac:dyDescent="0.2">
      <c r="B10506" s="203"/>
      <c r="C10506" s="237"/>
      <c r="D10506" s="202"/>
      <c r="E10506" s="202"/>
      <c r="U10506" s="204"/>
    </row>
    <row r="10507" spans="2:21" x14ac:dyDescent="0.2">
      <c r="B10507" s="203"/>
      <c r="C10507" s="237"/>
      <c r="D10507" s="202"/>
      <c r="E10507" s="202"/>
      <c r="U10507" s="204"/>
    </row>
    <row r="10508" spans="2:21" x14ac:dyDescent="0.2">
      <c r="B10508" s="203"/>
      <c r="C10508" s="237"/>
      <c r="D10508" s="202"/>
      <c r="E10508" s="202"/>
      <c r="U10508" s="204"/>
    </row>
    <row r="10509" spans="2:21" x14ac:dyDescent="0.2">
      <c r="B10509" s="203"/>
      <c r="C10509" s="237"/>
      <c r="D10509" s="202"/>
      <c r="E10509" s="202"/>
      <c r="U10509" s="204"/>
    </row>
    <row r="10510" spans="2:21" x14ac:dyDescent="0.2">
      <c r="B10510" s="203"/>
      <c r="C10510" s="237"/>
      <c r="D10510" s="202"/>
      <c r="E10510" s="202"/>
      <c r="U10510" s="204"/>
    </row>
    <row r="10511" spans="2:21" x14ac:dyDescent="0.2">
      <c r="B10511" s="203"/>
      <c r="C10511" s="237"/>
      <c r="D10511" s="202"/>
      <c r="E10511" s="202"/>
      <c r="U10511" s="204"/>
    </row>
    <row r="10512" spans="2:21" x14ac:dyDescent="0.2">
      <c r="B10512" s="203"/>
      <c r="C10512" s="237"/>
      <c r="D10512" s="202"/>
      <c r="E10512" s="202"/>
      <c r="U10512" s="204"/>
    </row>
    <row r="10513" spans="2:21" x14ac:dyDescent="0.2">
      <c r="B10513" s="203"/>
      <c r="C10513" s="237"/>
      <c r="D10513" s="202"/>
      <c r="E10513" s="202"/>
      <c r="U10513" s="204"/>
    </row>
    <row r="10514" spans="2:21" x14ac:dyDescent="0.2">
      <c r="B10514" s="203"/>
      <c r="C10514" s="237"/>
      <c r="D10514" s="202"/>
      <c r="E10514" s="202"/>
      <c r="U10514" s="204"/>
    </row>
    <row r="10515" spans="2:21" x14ac:dyDescent="0.2">
      <c r="B10515" s="203"/>
      <c r="C10515" s="237"/>
      <c r="D10515" s="202"/>
      <c r="E10515" s="202"/>
      <c r="U10515" s="204"/>
    </row>
    <row r="10516" spans="2:21" x14ac:dyDescent="0.2">
      <c r="B10516" s="203"/>
      <c r="C10516" s="237"/>
      <c r="D10516" s="202"/>
      <c r="E10516" s="202"/>
      <c r="U10516" s="204"/>
    </row>
    <row r="10517" spans="2:21" x14ac:dyDescent="0.2">
      <c r="B10517" s="203"/>
      <c r="C10517" s="237"/>
      <c r="D10517" s="202"/>
      <c r="E10517" s="202"/>
      <c r="U10517" s="204"/>
    </row>
    <row r="10518" spans="2:21" x14ac:dyDescent="0.2">
      <c r="B10518" s="203"/>
      <c r="C10518" s="237"/>
      <c r="D10518" s="202"/>
      <c r="E10518" s="202"/>
      <c r="U10518" s="204"/>
    </row>
    <row r="10519" spans="2:21" x14ac:dyDescent="0.2">
      <c r="B10519" s="203"/>
      <c r="C10519" s="237"/>
      <c r="D10519" s="202"/>
      <c r="E10519" s="202"/>
      <c r="U10519" s="204"/>
    </row>
    <row r="10520" spans="2:21" x14ac:dyDescent="0.2">
      <c r="B10520" s="203"/>
      <c r="C10520" s="237"/>
      <c r="D10520" s="202"/>
      <c r="E10520" s="202"/>
      <c r="U10520" s="204"/>
    </row>
    <row r="10521" spans="2:21" x14ac:dyDescent="0.2">
      <c r="B10521" s="203"/>
      <c r="C10521" s="237"/>
      <c r="D10521" s="202"/>
      <c r="E10521" s="202"/>
      <c r="U10521" s="204"/>
    </row>
    <row r="10522" spans="2:21" x14ac:dyDescent="0.2">
      <c r="B10522" s="203"/>
      <c r="C10522" s="237"/>
      <c r="D10522" s="202"/>
      <c r="E10522" s="202"/>
      <c r="U10522" s="204"/>
    </row>
    <row r="10523" spans="2:21" x14ac:dyDescent="0.2">
      <c r="B10523" s="203"/>
      <c r="C10523" s="237"/>
      <c r="D10523" s="202"/>
      <c r="E10523" s="202"/>
      <c r="U10523" s="204"/>
    </row>
    <row r="10524" spans="2:21" x14ac:dyDescent="0.2">
      <c r="B10524" s="203"/>
      <c r="C10524" s="237"/>
      <c r="D10524" s="202"/>
      <c r="E10524" s="202"/>
      <c r="U10524" s="204"/>
    </row>
    <row r="10525" spans="2:21" x14ac:dyDescent="0.2">
      <c r="B10525" s="203"/>
      <c r="C10525" s="237"/>
      <c r="D10525" s="202"/>
      <c r="E10525" s="202"/>
      <c r="U10525" s="204"/>
    </row>
    <row r="10526" spans="2:21" x14ac:dyDescent="0.2">
      <c r="B10526" s="203"/>
      <c r="C10526" s="237"/>
      <c r="D10526" s="202"/>
      <c r="E10526" s="202"/>
      <c r="U10526" s="204"/>
    </row>
    <row r="10527" spans="2:21" x14ac:dyDescent="0.2">
      <c r="B10527" s="203"/>
      <c r="C10527" s="237"/>
      <c r="D10527" s="202"/>
      <c r="E10527" s="202"/>
      <c r="U10527" s="204"/>
    </row>
    <row r="10528" spans="2:21" x14ac:dyDescent="0.2">
      <c r="B10528" s="203"/>
      <c r="C10528" s="237"/>
      <c r="D10528" s="202"/>
      <c r="E10528" s="202"/>
      <c r="U10528" s="204"/>
    </row>
    <row r="10529" spans="2:21" x14ac:dyDescent="0.2">
      <c r="B10529" s="203"/>
      <c r="C10529" s="237"/>
      <c r="D10529" s="202"/>
      <c r="E10529" s="202"/>
      <c r="U10529" s="204"/>
    </row>
    <row r="10530" spans="2:21" x14ac:dyDescent="0.2">
      <c r="B10530" s="203"/>
      <c r="C10530" s="237"/>
      <c r="D10530" s="202"/>
      <c r="E10530" s="202"/>
      <c r="U10530" s="204"/>
    </row>
    <row r="10531" spans="2:21" x14ac:dyDescent="0.2">
      <c r="B10531" s="203"/>
      <c r="C10531" s="237"/>
      <c r="D10531" s="202"/>
      <c r="E10531" s="202"/>
      <c r="U10531" s="204"/>
    </row>
    <row r="10532" spans="2:21" x14ac:dyDescent="0.2">
      <c r="B10532" s="203"/>
      <c r="C10532" s="237"/>
      <c r="D10532" s="202"/>
      <c r="E10532" s="202"/>
      <c r="U10532" s="204"/>
    </row>
    <row r="10533" spans="2:21" x14ac:dyDescent="0.2">
      <c r="B10533" s="203"/>
      <c r="C10533" s="237"/>
      <c r="D10533" s="202"/>
      <c r="E10533" s="202"/>
      <c r="U10533" s="204"/>
    </row>
    <row r="10534" spans="2:21" x14ac:dyDescent="0.2">
      <c r="B10534" s="203"/>
      <c r="C10534" s="237"/>
      <c r="D10534" s="202"/>
      <c r="E10534" s="202"/>
      <c r="U10534" s="204"/>
    </row>
    <row r="10535" spans="2:21" x14ac:dyDescent="0.2">
      <c r="B10535" s="203"/>
      <c r="C10535" s="237"/>
      <c r="D10535" s="202"/>
      <c r="E10535" s="202"/>
      <c r="U10535" s="204"/>
    </row>
    <row r="10536" spans="2:21" x14ac:dyDescent="0.2">
      <c r="B10536" s="203"/>
      <c r="C10536" s="237"/>
      <c r="D10536" s="202"/>
      <c r="E10536" s="202"/>
      <c r="U10536" s="204"/>
    </row>
    <row r="10537" spans="2:21" x14ac:dyDescent="0.2">
      <c r="B10537" s="203"/>
      <c r="C10537" s="237"/>
      <c r="D10537" s="202"/>
      <c r="E10537" s="202"/>
      <c r="U10537" s="204"/>
    </row>
    <row r="10538" spans="2:21" x14ac:dyDescent="0.2">
      <c r="B10538" s="203"/>
      <c r="C10538" s="237"/>
      <c r="D10538" s="202"/>
      <c r="E10538" s="202"/>
      <c r="U10538" s="204"/>
    </row>
    <row r="10539" spans="2:21" x14ac:dyDescent="0.2">
      <c r="B10539" s="203"/>
      <c r="C10539" s="237"/>
      <c r="D10539" s="202"/>
      <c r="E10539" s="202"/>
      <c r="U10539" s="204"/>
    </row>
    <row r="10540" spans="2:21" x14ac:dyDescent="0.2">
      <c r="B10540" s="203"/>
      <c r="C10540" s="237"/>
      <c r="D10540" s="202"/>
      <c r="E10540" s="202"/>
      <c r="U10540" s="204"/>
    </row>
    <row r="10541" spans="2:21" x14ac:dyDescent="0.2">
      <c r="B10541" s="203"/>
      <c r="C10541" s="237"/>
      <c r="D10541" s="202"/>
      <c r="E10541" s="202"/>
      <c r="U10541" s="204"/>
    </row>
    <row r="10542" spans="2:21" x14ac:dyDescent="0.2">
      <c r="B10542" s="203"/>
      <c r="C10542" s="237"/>
      <c r="D10542" s="202"/>
      <c r="E10542" s="202"/>
      <c r="U10542" s="204"/>
    </row>
    <row r="10543" spans="2:21" x14ac:dyDescent="0.2">
      <c r="B10543" s="203"/>
      <c r="C10543" s="237"/>
      <c r="D10543" s="202"/>
      <c r="E10543" s="202"/>
      <c r="U10543" s="204"/>
    </row>
    <row r="10544" spans="2:21" x14ac:dyDescent="0.2">
      <c r="B10544" s="203"/>
      <c r="C10544" s="237"/>
      <c r="D10544" s="202"/>
      <c r="E10544" s="202"/>
      <c r="U10544" s="204"/>
    </row>
    <row r="10545" spans="2:21" x14ac:dyDescent="0.2">
      <c r="B10545" s="203"/>
      <c r="C10545" s="237"/>
      <c r="D10545" s="202"/>
      <c r="E10545" s="202"/>
      <c r="U10545" s="204"/>
    </row>
    <row r="10546" spans="2:21" x14ac:dyDescent="0.2">
      <c r="B10546" s="203"/>
      <c r="C10546" s="237"/>
      <c r="D10546" s="202"/>
      <c r="E10546" s="202"/>
      <c r="U10546" s="204"/>
    </row>
    <row r="10547" spans="2:21" x14ac:dyDescent="0.2">
      <c r="B10547" s="203"/>
      <c r="C10547" s="237"/>
      <c r="D10547" s="202"/>
      <c r="E10547" s="202"/>
      <c r="U10547" s="204"/>
    </row>
    <row r="10548" spans="2:21" x14ac:dyDescent="0.2">
      <c r="B10548" s="203"/>
      <c r="C10548" s="237"/>
      <c r="D10548" s="202"/>
      <c r="E10548" s="202"/>
      <c r="U10548" s="204"/>
    </row>
    <row r="10549" spans="2:21" x14ac:dyDescent="0.2">
      <c r="B10549" s="203"/>
      <c r="C10549" s="237"/>
      <c r="D10549" s="202"/>
      <c r="E10549" s="202"/>
      <c r="U10549" s="204"/>
    </row>
    <row r="10550" spans="2:21" x14ac:dyDescent="0.2">
      <c r="B10550" s="203"/>
      <c r="C10550" s="237"/>
      <c r="D10550" s="202"/>
      <c r="E10550" s="202"/>
      <c r="U10550" s="204"/>
    </row>
    <row r="10551" spans="2:21" x14ac:dyDescent="0.2">
      <c r="B10551" s="203"/>
      <c r="C10551" s="237"/>
      <c r="D10551" s="202"/>
      <c r="E10551" s="202"/>
      <c r="U10551" s="204"/>
    </row>
    <row r="10552" spans="2:21" x14ac:dyDescent="0.2">
      <c r="B10552" s="203"/>
      <c r="C10552" s="237"/>
      <c r="D10552" s="202"/>
      <c r="E10552" s="202"/>
      <c r="U10552" s="204"/>
    </row>
    <row r="10553" spans="2:21" x14ac:dyDescent="0.2">
      <c r="B10553" s="203"/>
      <c r="C10553" s="237"/>
      <c r="D10553" s="202"/>
      <c r="E10553" s="202"/>
      <c r="U10553" s="204"/>
    </row>
    <row r="10554" spans="2:21" x14ac:dyDescent="0.2">
      <c r="B10554" s="203"/>
      <c r="C10554" s="237"/>
      <c r="D10554" s="202"/>
      <c r="E10554" s="202"/>
      <c r="U10554" s="204"/>
    </row>
    <row r="10555" spans="2:21" x14ac:dyDescent="0.2">
      <c r="B10555" s="203"/>
      <c r="C10555" s="237"/>
      <c r="D10555" s="202"/>
      <c r="E10555" s="202"/>
      <c r="U10555" s="204"/>
    </row>
    <row r="10556" spans="2:21" x14ac:dyDescent="0.2">
      <c r="B10556" s="203"/>
      <c r="C10556" s="237"/>
      <c r="D10556" s="202"/>
      <c r="E10556" s="202"/>
      <c r="U10556" s="204"/>
    </row>
    <row r="10557" spans="2:21" x14ac:dyDescent="0.2">
      <c r="B10557" s="203"/>
      <c r="C10557" s="237"/>
      <c r="D10557" s="202"/>
      <c r="E10557" s="202"/>
      <c r="U10557" s="204"/>
    </row>
    <row r="10558" spans="2:21" x14ac:dyDescent="0.2">
      <c r="B10558" s="203"/>
      <c r="C10558" s="237"/>
      <c r="D10558" s="202"/>
      <c r="E10558" s="202"/>
      <c r="U10558" s="204"/>
    </row>
    <row r="10559" spans="2:21" x14ac:dyDescent="0.2">
      <c r="B10559" s="203"/>
      <c r="C10559" s="237"/>
      <c r="D10559" s="202"/>
      <c r="E10559" s="202"/>
      <c r="U10559" s="204"/>
    </row>
    <row r="10560" spans="2:21" x14ac:dyDescent="0.2">
      <c r="B10560" s="203"/>
      <c r="C10560" s="237"/>
      <c r="D10560" s="202"/>
      <c r="E10560" s="202"/>
      <c r="U10560" s="204"/>
    </row>
    <row r="10561" spans="2:21" x14ac:dyDescent="0.2">
      <c r="B10561" s="203"/>
      <c r="C10561" s="237"/>
      <c r="D10561" s="202"/>
      <c r="E10561" s="202"/>
      <c r="U10561" s="204"/>
    </row>
    <row r="10562" spans="2:21" x14ac:dyDescent="0.2">
      <c r="B10562" s="203"/>
      <c r="C10562" s="237"/>
      <c r="D10562" s="202"/>
      <c r="E10562" s="202"/>
      <c r="U10562" s="204"/>
    </row>
    <row r="10563" spans="2:21" x14ac:dyDescent="0.2">
      <c r="B10563" s="203"/>
      <c r="C10563" s="237"/>
      <c r="D10563" s="202"/>
      <c r="E10563" s="202"/>
      <c r="U10563" s="204"/>
    </row>
    <row r="10564" spans="2:21" x14ac:dyDescent="0.2">
      <c r="B10564" s="203"/>
      <c r="C10564" s="237"/>
      <c r="D10564" s="202"/>
      <c r="E10564" s="202"/>
      <c r="U10564" s="204"/>
    </row>
    <row r="10565" spans="2:21" x14ac:dyDescent="0.2">
      <c r="B10565" s="203"/>
      <c r="C10565" s="237"/>
      <c r="D10565" s="202"/>
      <c r="E10565" s="202"/>
      <c r="U10565" s="204"/>
    </row>
    <row r="10566" spans="2:21" x14ac:dyDescent="0.2">
      <c r="B10566" s="203"/>
      <c r="C10566" s="237"/>
      <c r="D10566" s="202"/>
      <c r="E10566" s="202"/>
      <c r="U10566" s="204"/>
    </row>
    <row r="10567" spans="2:21" x14ac:dyDescent="0.2">
      <c r="B10567" s="203"/>
      <c r="C10567" s="237"/>
      <c r="D10567" s="202"/>
      <c r="E10567" s="202"/>
      <c r="U10567" s="204"/>
    </row>
    <row r="10568" spans="2:21" x14ac:dyDescent="0.2">
      <c r="B10568" s="203"/>
      <c r="C10568" s="237"/>
      <c r="D10568" s="202"/>
      <c r="E10568" s="202"/>
      <c r="U10568" s="204"/>
    </row>
    <row r="10569" spans="2:21" x14ac:dyDescent="0.2">
      <c r="B10569" s="203"/>
      <c r="C10569" s="237"/>
      <c r="D10569" s="202"/>
      <c r="E10569" s="202"/>
      <c r="U10569" s="204"/>
    </row>
    <row r="10570" spans="2:21" x14ac:dyDescent="0.2">
      <c r="B10570" s="203"/>
      <c r="C10570" s="237"/>
      <c r="D10570" s="202"/>
      <c r="E10570" s="202"/>
      <c r="U10570" s="204"/>
    </row>
    <row r="10571" spans="2:21" x14ac:dyDescent="0.2">
      <c r="B10571" s="203"/>
      <c r="C10571" s="237"/>
      <c r="D10571" s="202"/>
      <c r="E10571" s="202"/>
      <c r="U10571" s="204"/>
    </row>
    <row r="10572" spans="2:21" x14ac:dyDescent="0.2">
      <c r="B10572" s="203"/>
      <c r="C10572" s="237"/>
      <c r="D10572" s="202"/>
      <c r="E10572" s="202"/>
      <c r="U10572" s="204"/>
    </row>
    <row r="10573" spans="2:21" x14ac:dyDescent="0.2">
      <c r="B10573" s="203"/>
      <c r="C10573" s="237"/>
      <c r="D10573" s="202"/>
      <c r="E10573" s="202"/>
      <c r="U10573" s="204"/>
    </row>
    <row r="10574" spans="2:21" x14ac:dyDescent="0.2">
      <c r="B10574" s="203"/>
      <c r="C10574" s="237"/>
      <c r="D10574" s="202"/>
      <c r="E10574" s="202"/>
      <c r="U10574" s="204"/>
    </row>
    <row r="10575" spans="2:21" x14ac:dyDescent="0.2">
      <c r="B10575" s="203"/>
      <c r="C10575" s="237"/>
      <c r="D10575" s="202"/>
      <c r="E10575" s="202"/>
      <c r="U10575" s="204"/>
    </row>
    <row r="10576" spans="2:21" x14ac:dyDescent="0.2">
      <c r="B10576" s="203"/>
      <c r="C10576" s="237"/>
      <c r="D10576" s="202"/>
      <c r="E10576" s="202"/>
      <c r="U10576" s="204"/>
    </row>
    <row r="10577" spans="2:21" x14ac:dyDescent="0.2">
      <c r="B10577" s="203"/>
      <c r="C10577" s="237"/>
      <c r="D10577" s="202"/>
      <c r="E10577" s="202"/>
      <c r="U10577" s="204"/>
    </row>
    <row r="10578" spans="2:21" x14ac:dyDescent="0.2">
      <c r="B10578" s="203"/>
      <c r="C10578" s="237"/>
      <c r="D10578" s="202"/>
      <c r="E10578" s="202"/>
      <c r="U10578" s="204"/>
    </row>
    <row r="10579" spans="2:21" x14ac:dyDescent="0.2">
      <c r="B10579" s="203"/>
      <c r="C10579" s="237"/>
      <c r="D10579" s="202"/>
      <c r="E10579" s="202"/>
      <c r="U10579" s="204"/>
    </row>
    <row r="10580" spans="2:21" x14ac:dyDescent="0.2">
      <c r="B10580" s="203"/>
      <c r="C10580" s="237"/>
      <c r="D10580" s="202"/>
      <c r="E10580" s="202"/>
      <c r="U10580" s="204"/>
    </row>
    <row r="10581" spans="2:21" x14ac:dyDescent="0.2">
      <c r="B10581" s="203"/>
      <c r="C10581" s="237"/>
      <c r="D10581" s="202"/>
      <c r="E10581" s="202"/>
      <c r="U10581" s="204"/>
    </row>
    <row r="10582" spans="2:21" x14ac:dyDescent="0.2">
      <c r="B10582" s="203"/>
      <c r="C10582" s="237"/>
      <c r="D10582" s="202"/>
      <c r="E10582" s="202"/>
      <c r="U10582" s="204"/>
    </row>
    <row r="10583" spans="2:21" x14ac:dyDescent="0.2">
      <c r="B10583" s="203"/>
      <c r="C10583" s="237"/>
      <c r="D10583" s="202"/>
      <c r="E10583" s="202"/>
      <c r="U10583" s="204"/>
    </row>
    <row r="10584" spans="2:21" x14ac:dyDescent="0.2">
      <c r="B10584" s="203"/>
      <c r="C10584" s="237"/>
      <c r="D10584" s="202"/>
      <c r="E10584" s="202"/>
      <c r="U10584" s="204"/>
    </row>
    <row r="10585" spans="2:21" x14ac:dyDescent="0.2">
      <c r="B10585" s="203"/>
      <c r="C10585" s="237"/>
      <c r="D10585" s="202"/>
      <c r="E10585" s="202"/>
      <c r="U10585" s="204"/>
    </row>
    <row r="10586" spans="2:21" x14ac:dyDescent="0.2">
      <c r="B10586" s="203"/>
      <c r="C10586" s="237"/>
      <c r="D10586" s="202"/>
      <c r="E10586" s="202"/>
      <c r="U10586" s="204"/>
    </row>
    <row r="10587" spans="2:21" x14ac:dyDescent="0.2">
      <c r="B10587" s="203"/>
      <c r="C10587" s="237"/>
      <c r="D10587" s="202"/>
      <c r="E10587" s="202"/>
      <c r="U10587" s="204"/>
    </row>
    <row r="10588" spans="2:21" x14ac:dyDescent="0.2">
      <c r="B10588" s="203"/>
      <c r="C10588" s="237"/>
      <c r="D10588" s="202"/>
      <c r="E10588" s="202"/>
      <c r="U10588" s="204"/>
    </row>
    <row r="10589" spans="2:21" x14ac:dyDescent="0.2">
      <c r="B10589" s="203"/>
      <c r="C10589" s="237"/>
      <c r="D10589" s="202"/>
      <c r="E10589" s="202"/>
      <c r="U10589" s="204"/>
    </row>
    <row r="10590" spans="2:21" x14ac:dyDescent="0.2">
      <c r="B10590" s="203"/>
      <c r="C10590" s="237"/>
      <c r="D10590" s="202"/>
      <c r="E10590" s="202"/>
      <c r="U10590" s="204"/>
    </row>
    <row r="10591" spans="2:21" x14ac:dyDescent="0.2">
      <c r="B10591" s="203"/>
      <c r="C10591" s="237"/>
      <c r="D10591" s="202"/>
      <c r="E10591" s="202"/>
      <c r="U10591" s="204"/>
    </row>
    <row r="10592" spans="2:21" x14ac:dyDescent="0.2">
      <c r="B10592" s="203"/>
      <c r="C10592" s="237"/>
      <c r="D10592" s="202"/>
      <c r="E10592" s="202"/>
      <c r="U10592" s="204"/>
    </row>
    <row r="10593" spans="2:21" x14ac:dyDescent="0.2">
      <c r="B10593" s="203"/>
      <c r="C10593" s="237"/>
      <c r="D10593" s="202"/>
      <c r="E10593" s="202"/>
      <c r="U10593" s="204"/>
    </row>
    <row r="10594" spans="2:21" x14ac:dyDescent="0.2">
      <c r="B10594" s="203"/>
      <c r="C10594" s="237"/>
      <c r="D10594" s="202"/>
      <c r="E10594" s="202"/>
      <c r="U10594" s="204"/>
    </row>
    <row r="10595" spans="2:21" x14ac:dyDescent="0.2">
      <c r="B10595" s="203"/>
      <c r="C10595" s="237"/>
      <c r="D10595" s="202"/>
      <c r="E10595" s="202"/>
      <c r="U10595" s="204"/>
    </row>
    <row r="10596" spans="2:21" x14ac:dyDescent="0.2">
      <c r="B10596" s="203"/>
      <c r="C10596" s="237"/>
      <c r="D10596" s="202"/>
      <c r="E10596" s="202"/>
      <c r="U10596" s="204"/>
    </row>
    <row r="10597" spans="2:21" x14ac:dyDescent="0.2">
      <c r="B10597" s="203"/>
      <c r="C10597" s="237"/>
      <c r="D10597" s="202"/>
      <c r="E10597" s="202"/>
      <c r="U10597" s="204"/>
    </row>
    <row r="10598" spans="2:21" x14ac:dyDescent="0.2">
      <c r="B10598" s="203"/>
      <c r="C10598" s="237"/>
      <c r="D10598" s="202"/>
      <c r="E10598" s="202"/>
      <c r="U10598" s="204"/>
    </row>
    <row r="10599" spans="2:21" x14ac:dyDescent="0.2">
      <c r="B10599" s="203"/>
      <c r="C10599" s="237"/>
      <c r="D10599" s="202"/>
      <c r="E10599" s="202"/>
      <c r="U10599" s="204"/>
    </row>
    <row r="10600" spans="2:21" x14ac:dyDescent="0.2">
      <c r="B10600" s="203"/>
      <c r="C10600" s="237"/>
      <c r="D10600" s="202"/>
      <c r="E10600" s="202"/>
      <c r="U10600" s="204"/>
    </row>
    <row r="10601" spans="2:21" x14ac:dyDescent="0.2">
      <c r="B10601" s="203"/>
      <c r="C10601" s="237"/>
      <c r="D10601" s="202"/>
      <c r="E10601" s="202"/>
      <c r="U10601" s="204"/>
    </row>
    <row r="10602" spans="2:21" x14ac:dyDescent="0.2">
      <c r="B10602" s="203"/>
      <c r="C10602" s="237"/>
      <c r="D10602" s="202"/>
      <c r="E10602" s="202"/>
      <c r="U10602" s="204"/>
    </row>
    <row r="10603" spans="2:21" x14ac:dyDescent="0.2">
      <c r="B10603" s="203"/>
      <c r="C10603" s="237"/>
      <c r="D10603" s="202"/>
      <c r="E10603" s="202"/>
      <c r="U10603" s="204"/>
    </row>
    <row r="10604" spans="2:21" x14ac:dyDescent="0.2">
      <c r="B10604" s="203"/>
      <c r="C10604" s="237"/>
      <c r="D10604" s="202"/>
      <c r="E10604" s="202"/>
      <c r="U10604" s="204"/>
    </row>
    <row r="10605" spans="2:21" x14ac:dyDescent="0.2">
      <c r="B10605" s="203"/>
      <c r="C10605" s="237"/>
      <c r="D10605" s="202"/>
      <c r="E10605" s="202"/>
      <c r="U10605" s="204"/>
    </row>
    <row r="10606" spans="2:21" x14ac:dyDescent="0.2">
      <c r="B10606" s="203"/>
      <c r="C10606" s="237"/>
      <c r="D10606" s="202"/>
      <c r="E10606" s="202"/>
      <c r="U10606" s="204"/>
    </row>
    <row r="10607" spans="2:21" x14ac:dyDescent="0.2">
      <c r="B10607" s="203"/>
      <c r="C10607" s="237"/>
      <c r="D10607" s="202"/>
      <c r="E10607" s="202"/>
      <c r="U10607" s="204"/>
    </row>
    <row r="10608" spans="2:21" x14ac:dyDescent="0.2">
      <c r="B10608" s="203"/>
      <c r="C10608" s="237"/>
      <c r="D10608" s="202"/>
      <c r="E10608" s="202"/>
      <c r="U10608" s="204"/>
    </row>
    <row r="10609" spans="2:21" x14ac:dyDescent="0.2">
      <c r="B10609" s="203"/>
      <c r="C10609" s="237"/>
      <c r="D10609" s="202"/>
      <c r="E10609" s="202"/>
      <c r="U10609" s="204"/>
    </row>
    <row r="10610" spans="2:21" x14ac:dyDescent="0.2">
      <c r="B10610" s="203"/>
      <c r="C10610" s="237"/>
      <c r="D10610" s="202"/>
      <c r="E10610" s="202"/>
      <c r="U10610" s="204"/>
    </row>
    <row r="10611" spans="2:21" x14ac:dyDescent="0.2">
      <c r="B10611" s="203"/>
      <c r="C10611" s="237"/>
      <c r="D10611" s="202"/>
      <c r="E10611" s="202"/>
      <c r="U10611" s="204"/>
    </row>
    <row r="10612" spans="2:21" x14ac:dyDescent="0.2">
      <c r="B10612" s="203"/>
      <c r="C10612" s="237"/>
      <c r="D10612" s="202"/>
      <c r="E10612" s="202"/>
      <c r="U10612" s="204"/>
    </row>
    <row r="10613" spans="2:21" x14ac:dyDescent="0.2">
      <c r="B10613" s="203"/>
      <c r="C10613" s="237"/>
      <c r="D10613" s="202"/>
      <c r="E10613" s="202"/>
      <c r="U10613" s="204"/>
    </row>
    <row r="10614" spans="2:21" x14ac:dyDescent="0.2">
      <c r="B10614" s="203"/>
      <c r="C10614" s="237"/>
      <c r="D10614" s="202"/>
      <c r="E10614" s="202"/>
      <c r="U10614" s="204"/>
    </row>
    <row r="10615" spans="2:21" x14ac:dyDescent="0.2">
      <c r="B10615" s="203"/>
      <c r="C10615" s="237"/>
      <c r="D10615" s="202"/>
      <c r="E10615" s="202"/>
      <c r="U10615" s="204"/>
    </row>
    <row r="10616" spans="2:21" x14ac:dyDescent="0.2">
      <c r="B10616" s="203"/>
      <c r="C10616" s="237"/>
      <c r="D10616" s="202"/>
      <c r="E10616" s="202"/>
      <c r="U10616" s="204"/>
    </row>
    <row r="10617" spans="2:21" x14ac:dyDescent="0.2">
      <c r="B10617" s="203"/>
      <c r="C10617" s="237"/>
      <c r="D10617" s="202"/>
      <c r="E10617" s="202"/>
      <c r="U10617" s="204"/>
    </row>
    <row r="10618" spans="2:21" x14ac:dyDescent="0.2">
      <c r="B10618" s="203"/>
      <c r="C10618" s="237"/>
      <c r="D10618" s="202"/>
      <c r="E10618" s="202"/>
      <c r="U10618" s="204"/>
    </row>
    <row r="10619" spans="2:21" x14ac:dyDescent="0.2">
      <c r="B10619" s="203"/>
      <c r="C10619" s="237"/>
      <c r="D10619" s="202"/>
      <c r="E10619" s="202"/>
      <c r="U10619" s="204"/>
    </row>
    <row r="10620" spans="2:21" x14ac:dyDescent="0.2">
      <c r="B10620" s="203"/>
      <c r="C10620" s="237"/>
      <c r="D10620" s="202"/>
      <c r="E10620" s="202"/>
      <c r="U10620" s="204"/>
    </row>
    <row r="10621" spans="2:21" x14ac:dyDescent="0.2">
      <c r="B10621" s="203"/>
      <c r="C10621" s="237"/>
      <c r="D10621" s="202"/>
      <c r="E10621" s="202"/>
      <c r="U10621" s="204"/>
    </row>
    <row r="10622" spans="2:21" x14ac:dyDescent="0.2">
      <c r="B10622" s="203"/>
      <c r="C10622" s="237"/>
      <c r="D10622" s="202"/>
      <c r="E10622" s="202"/>
      <c r="U10622" s="204"/>
    </row>
    <row r="10623" spans="2:21" x14ac:dyDescent="0.2">
      <c r="B10623" s="203"/>
      <c r="C10623" s="237"/>
      <c r="D10623" s="202"/>
      <c r="E10623" s="202"/>
      <c r="U10623" s="204"/>
    </row>
    <row r="10624" spans="2:21" x14ac:dyDescent="0.2">
      <c r="B10624" s="203"/>
      <c r="C10624" s="237"/>
      <c r="D10624" s="202"/>
      <c r="E10624" s="202"/>
      <c r="U10624" s="204"/>
    </row>
    <row r="10625" spans="2:21" x14ac:dyDescent="0.2">
      <c r="B10625" s="203"/>
      <c r="C10625" s="237"/>
      <c r="D10625" s="202"/>
      <c r="E10625" s="202"/>
      <c r="U10625" s="204"/>
    </row>
    <row r="10626" spans="2:21" x14ac:dyDescent="0.2">
      <c r="B10626" s="203"/>
      <c r="C10626" s="237"/>
      <c r="D10626" s="202"/>
      <c r="E10626" s="202"/>
      <c r="U10626" s="204"/>
    </row>
    <row r="10627" spans="2:21" x14ac:dyDescent="0.2">
      <c r="B10627" s="203"/>
      <c r="C10627" s="237"/>
      <c r="D10627" s="202"/>
      <c r="E10627" s="202"/>
      <c r="U10627" s="204"/>
    </row>
    <row r="10628" spans="2:21" x14ac:dyDescent="0.2">
      <c r="B10628" s="203"/>
      <c r="C10628" s="237"/>
      <c r="D10628" s="202"/>
      <c r="E10628" s="202"/>
      <c r="U10628" s="204"/>
    </row>
    <row r="10629" spans="2:21" x14ac:dyDescent="0.2">
      <c r="B10629" s="203"/>
      <c r="C10629" s="237"/>
      <c r="D10629" s="202"/>
      <c r="E10629" s="202"/>
      <c r="U10629" s="204"/>
    </row>
    <row r="10630" spans="2:21" x14ac:dyDescent="0.2">
      <c r="B10630" s="203"/>
      <c r="C10630" s="237"/>
      <c r="D10630" s="202"/>
      <c r="E10630" s="202"/>
      <c r="U10630" s="204"/>
    </row>
    <row r="10631" spans="2:21" x14ac:dyDescent="0.2">
      <c r="B10631" s="203"/>
      <c r="C10631" s="237"/>
      <c r="D10631" s="202"/>
      <c r="E10631" s="202"/>
      <c r="U10631" s="204"/>
    </row>
    <row r="10632" spans="2:21" x14ac:dyDescent="0.2">
      <c r="B10632" s="203"/>
      <c r="C10632" s="237"/>
      <c r="D10632" s="202"/>
      <c r="E10632" s="202"/>
      <c r="U10632" s="204"/>
    </row>
    <row r="10633" spans="2:21" x14ac:dyDescent="0.2">
      <c r="B10633" s="203"/>
      <c r="C10633" s="237"/>
      <c r="D10633" s="202"/>
      <c r="E10633" s="202"/>
      <c r="U10633" s="204"/>
    </row>
    <row r="10634" spans="2:21" x14ac:dyDescent="0.2">
      <c r="B10634" s="203"/>
      <c r="C10634" s="237"/>
      <c r="D10634" s="202"/>
      <c r="E10634" s="202"/>
      <c r="U10634" s="204"/>
    </row>
    <row r="10635" spans="2:21" x14ac:dyDescent="0.2">
      <c r="B10635" s="203"/>
      <c r="C10635" s="237"/>
      <c r="D10635" s="202"/>
      <c r="E10635" s="202"/>
      <c r="U10635" s="204"/>
    </row>
    <row r="10636" spans="2:21" x14ac:dyDescent="0.2">
      <c r="B10636" s="203"/>
      <c r="C10636" s="237"/>
      <c r="D10636" s="202"/>
      <c r="E10636" s="202"/>
      <c r="U10636" s="204"/>
    </row>
    <row r="10637" spans="2:21" x14ac:dyDescent="0.2">
      <c r="B10637" s="203"/>
      <c r="C10637" s="237"/>
      <c r="D10637" s="202"/>
      <c r="E10637" s="202"/>
      <c r="U10637" s="204"/>
    </row>
    <row r="10638" spans="2:21" x14ac:dyDescent="0.2">
      <c r="B10638" s="203"/>
      <c r="C10638" s="237"/>
      <c r="D10638" s="202"/>
      <c r="E10638" s="202"/>
      <c r="U10638" s="204"/>
    </row>
    <row r="10639" spans="2:21" x14ac:dyDescent="0.2">
      <c r="B10639" s="203"/>
      <c r="C10639" s="237"/>
      <c r="D10639" s="202"/>
      <c r="E10639" s="202"/>
      <c r="U10639" s="204"/>
    </row>
    <row r="10640" spans="2:21" x14ac:dyDescent="0.2">
      <c r="B10640" s="203"/>
      <c r="C10640" s="237"/>
      <c r="D10640" s="202"/>
      <c r="E10640" s="202"/>
      <c r="U10640" s="204"/>
    </row>
    <row r="10641" spans="2:21" x14ac:dyDescent="0.2">
      <c r="B10641" s="203"/>
      <c r="C10641" s="237"/>
      <c r="D10641" s="202"/>
      <c r="E10641" s="202"/>
      <c r="U10641" s="204"/>
    </row>
    <row r="10642" spans="2:21" x14ac:dyDescent="0.2">
      <c r="B10642" s="203"/>
      <c r="C10642" s="237"/>
      <c r="D10642" s="202"/>
      <c r="E10642" s="202"/>
      <c r="U10642" s="204"/>
    </row>
    <row r="10643" spans="2:21" x14ac:dyDescent="0.2">
      <c r="B10643" s="203"/>
      <c r="C10643" s="237"/>
      <c r="D10643" s="202"/>
      <c r="E10643" s="202"/>
      <c r="U10643" s="204"/>
    </row>
    <row r="10644" spans="2:21" x14ac:dyDescent="0.2">
      <c r="B10644" s="203"/>
      <c r="C10644" s="237"/>
      <c r="D10644" s="202"/>
      <c r="E10644" s="202"/>
      <c r="U10644" s="204"/>
    </row>
    <row r="10645" spans="2:21" x14ac:dyDescent="0.2">
      <c r="B10645" s="203"/>
      <c r="C10645" s="237"/>
      <c r="D10645" s="202"/>
      <c r="E10645" s="202"/>
      <c r="U10645" s="204"/>
    </row>
    <row r="10646" spans="2:21" x14ac:dyDescent="0.2">
      <c r="B10646" s="203"/>
      <c r="C10646" s="237"/>
      <c r="D10646" s="202"/>
      <c r="E10646" s="202"/>
      <c r="U10646" s="204"/>
    </row>
    <row r="10647" spans="2:21" x14ac:dyDescent="0.2">
      <c r="B10647" s="203"/>
      <c r="C10647" s="237"/>
      <c r="D10647" s="202"/>
      <c r="E10647" s="202"/>
      <c r="U10647" s="204"/>
    </row>
    <row r="10648" spans="2:21" x14ac:dyDescent="0.2">
      <c r="B10648" s="203"/>
      <c r="C10648" s="237"/>
      <c r="D10648" s="202"/>
      <c r="E10648" s="202"/>
      <c r="U10648" s="204"/>
    </row>
    <row r="10649" spans="2:21" x14ac:dyDescent="0.2">
      <c r="B10649" s="203"/>
      <c r="C10649" s="237"/>
      <c r="D10649" s="202"/>
      <c r="E10649" s="202"/>
      <c r="U10649" s="204"/>
    </row>
    <row r="10650" spans="2:21" x14ac:dyDescent="0.2">
      <c r="B10650" s="203"/>
      <c r="C10650" s="237"/>
      <c r="D10650" s="202"/>
      <c r="E10650" s="202"/>
      <c r="U10650" s="204"/>
    </row>
    <row r="10651" spans="2:21" x14ac:dyDescent="0.2">
      <c r="B10651" s="203"/>
      <c r="C10651" s="237"/>
      <c r="D10651" s="202"/>
      <c r="E10651" s="202"/>
      <c r="U10651" s="204"/>
    </row>
    <row r="10652" spans="2:21" x14ac:dyDescent="0.2">
      <c r="B10652" s="203"/>
      <c r="C10652" s="237"/>
      <c r="D10652" s="202"/>
      <c r="E10652" s="202"/>
      <c r="U10652" s="204"/>
    </row>
    <row r="10653" spans="2:21" x14ac:dyDescent="0.2">
      <c r="B10653" s="203"/>
      <c r="C10653" s="237"/>
      <c r="D10653" s="202"/>
      <c r="E10653" s="202"/>
      <c r="U10653" s="204"/>
    </row>
    <row r="10654" spans="2:21" x14ac:dyDescent="0.2">
      <c r="B10654" s="203"/>
      <c r="C10654" s="237"/>
      <c r="D10654" s="202"/>
      <c r="E10654" s="202"/>
      <c r="U10654" s="204"/>
    </row>
    <row r="10655" spans="2:21" x14ac:dyDescent="0.2">
      <c r="B10655" s="203"/>
      <c r="C10655" s="237"/>
      <c r="D10655" s="202"/>
      <c r="E10655" s="202"/>
      <c r="U10655" s="204"/>
    </row>
    <row r="10656" spans="2:21" x14ac:dyDescent="0.2">
      <c r="B10656" s="203"/>
      <c r="C10656" s="237"/>
      <c r="D10656" s="202"/>
      <c r="E10656" s="202"/>
      <c r="U10656" s="204"/>
    </row>
    <row r="10657" spans="2:21" x14ac:dyDescent="0.2">
      <c r="B10657" s="203"/>
      <c r="C10657" s="237"/>
      <c r="D10657" s="202"/>
      <c r="E10657" s="202"/>
      <c r="U10657" s="204"/>
    </row>
    <row r="10658" spans="2:21" x14ac:dyDescent="0.2">
      <c r="B10658" s="203"/>
      <c r="C10658" s="237"/>
      <c r="D10658" s="202"/>
      <c r="E10658" s="202"/>
      <c r="U10658" s="204"/>
    </row>
    <row r="10659" spans="2:21" x14ac:dyDescent="0.2">
      <c r="B10659" s="203"/>
      <c r="C10659" s="237"/>
      <c r="D10659" s="202"/>
      <c r="E10659" s="202"/>
      <c r="U10659" s="204"/>
    </row>
    <row r="10660" spans="2:21" x14ac:dyDescent="0.2">
      <c r="B10660" s="203"/>
      <c r="C10660" s="237"/>
      <c r="D10660" s="202"/>
      <c r="E10660" s="202"/>
      <c r="U10660" s="204"/>
    </row>
    <row r="10661" spans="2:21" x14ac:dyDescent="0.2">
      <c r="B10661" s="203"/>
      <c r="C10661" s="237"/>
      <c r="D10661" s="202"/>
      <c r="E10661" s="202"/>
      <c r="U10661" s="204"/>
    </row>
    <row r="10662" spans="2:21" x14ac:dyDescent="0.2">
      <c r="B10662" s="203"/>
      <c r="C10662" s="237"/>
      <c r="D10662" s="202"/>
      <c r="E10662" s="202"/>
      <c r="U10662" s="204"/>
    </row>
    <row r="10663" spans="2:21" x14ac:dyDescent="0.2">
      <c r="B10663" s="203"/>
      <c r="C10663" s="237"/>
      <c r="D10663" s="202"/>
      <c r="E10663" s="202"/>
      <c r="U10663" s="204"/>
    </row>
    <row r="10664" spans="2:21" x14ac:dyDescent="0.2">
      <c r="B10664" s="203"/>
      <c r="C10664" s="237"/>
      <c r="D10664" s="202"/>
      <c r="E10664" s="202"/>
      <c r="U10664" s="204"/>
    </row>
    <row r="10665" spans="2:21" x14ac:dyDescent="0.2">
      <c r="B10665" s="203"/>
      <c r="C10665" s="237"/>
      <c r="D10665" s="202"/>
      <c r="E10665" s="202"/>
      <c r="U10665" s="204"/>
    </row>
    <row r="10666" spans="2:21" x14ac:dyDescent="0.2">
      <c r="B10666" s="203"/>
      <c r="C10666" s="237"/>
      <c r="D10666" s="202"/>
      <c r="E10666" s="202"/>
      <c r="U10666" s="204"/>
    </row>
    <row r="10667" spans="2:21" x14ac:dyDescent="0.2">
      <c r="B10667" s="203"/>
      <c r="C10667" s="237"/>
      <c r="D10667" s="202"/>
      <c r="E10667" s="202"/>
      <c r="U10667" s="204"/>
    </row>
    <row r="10668" spans="2:21" x14ac:dyDescent="0.2">
      <c r="B10668" s="203"/>
      <c r="C10668" s="237"/>
      <c r="D10668" s="202"/>
      <c r="E10668" s="202"/>
      <c r="U10668" s="204"/>
    </row>
    <row r="10669" spans="2:21" x14ac:dyDescent="0.2">
      <c r="B10669" s="203"/>
      <c r="C10669" s="237"/>
      <c r="D10669" s="202"/>
      <c r="E10669" s="202"/>
      <c r="U10669" s="204"/>
    </row>
    <row r="10670" spans="2:21" x14ac:dyDescent="0.2">
      <c r="B10670" s="203"/>
      <c r="C10670" s="237"/>
      <c r="D10670" s="202"/>
      <c r="E10670" s="202"/>
      <c r="U10670" s="204"/>
    </row>
    <row r="10671" spans="2:21" x14ac:dyDescent="0.2">
      <c r="B10671" s="203"/>
      <c r="C10671" s="237"/>
      <c r="D10671" s="202"/>
      <c r="E10671" s="202"/>
      <c r="U10671" s="204"/>
    </row>
    <row r="10672" spans="2:21" x14ac:dyDescent="0.2">
      <c r="B10672" s="203"/>
      <c r="C10672" s="237"/>
      <c r="D10672" s="202"/>
      <c r="E10672" s="202"/>
      <c r="U10672" s="204"/>
    </row>
    <row r="10673" spans="2:21" x14ac:dyDescent="0.2">
      <c r="B10673" s="203"/>
      <c r="C10673" s="237"/>
      <c r="D10673" s="202"/>
      <c r="E10673" s="202"/>
      <c r="U10673" s="204"/>
    </row>
    <row r="10674" spans="2:21" x14ac:dyDescent="0.2">
      <c r="B10674" s="203"/>
      <c r="C10674" s="237"/>
      <c r="D10674" s="202"/>
      <c r="E10674" s="202"/>
      <c r="U10674" s="204"/>
    </row>
    <row r="10675" spans="2:21" x14ac:dyDescent="0.2">
      <c r="B10675" s="203"/>
      <c r="C10675" s="237"/>
      <c r="D10675" s="202"/>
      <c r="E10675" s="202"/>
      <c r="U10675" s="204"/>
    </row>
    <row r="10676" spans="2:21" x14ac:dyDescent="0.2">
      <c r="B10676" s="203"/>
      <c r="C10676" s="237"/>
      <c r="D10676" s="202"/>
      <c r="E10676" s="202"/>
      <c r="U10676" s="204"/>
    </row>
    <row r="10677" spans="2:21" x14ac:dyDescent="0.2">
      <c r="B10677" s="203"/>
      <c r="C10677" s="237"/>
      <c r="D10677" s="202"/>
      <c r="E10677" s="202"/>
      <c r="U10677" s="204"/>
    </row>
    <row r="10678" spans="2:21" x14ac:dyDescent="0.2">
      <c r="B10678" s="203"/>
      <c r="C10678" s="237"/>
      <c r="D10678" s="202"/>
      <c r="E10678" s="202"/>
      <c r="U10678" s="204"/>
    </row>
    <row r="10679" spans="2:21" x14ac:dyDescent="0.2">
      <c r="B10679" s="203"/>
      <c r="C10679" s="237"/>
      <c r="D10679" s="202"/>
      <c r="E10679" s="202"/>
      <c r="U10679" s="204"/>
    </row>
    <row r="10680" spans="2:21" x14ac:dyDescent="0.2">
      <c r="B10680" s="203"/>
      <c r="C10680" s="237"/>
      <c r="D10680" s="202"/>
      <c r="E10680" s="202"/>
      <c r="U10680" s="204"/>
    </row>
    <row r="10681" spans="2:21" x14ac:dyDescent="0.2">
      <c r="B10681" s="203"/>
      <c r="C10681" s="237"/>
      <c r="D10681" s="202"/>
      <c r="E10681" s="202"/>
      <c r="U10681" s="204"/>
    </row>
    <row r="10682" spans="2:21" x14ac:dyDescent="0.2">
      <c r="B10682" s="203"/>
      <c r="C10682" s="237"/>
      <c r="D10682" s="202"/>
      <c r="E10682" s="202"/>
      <c r="U10682" s="204"/>
    </row>
    <row r="10683" spans="2:21" x14ac:dyDescent="0.2">
      <c r="B10683" s="203"/>
      <c r="C10683" s="237"/>
      <c r="D10683" s="202"/>
      <c r="E10683" s="202"/>
      <c r="U10683" s="204"/>
    </row>
    <row r="10684" spans="2:21" x14ac:dyDescent="0.2">
      <c r="B10684" s="203"/>
      <c r="C10684" s="237"/>
      <c r="D10684" s="202"/>
      <c r="E10684" s="202"/>
      <c r="U10684" s="204"/>
    </row>
    <row r="10685" spans="2:21" x14ac:dyDescent="0.2">
      <c r="B10685" s="203"/>
      <c r="C10685" s="237"/>
      <c r="D10685" s="202"/>
      <c r="E10685" s="202"/>
      <c r="U10685" s="204"/>
    </row>
    <row r="10686" spans="2:21" x14ac:dyDescent="0.2">
      <c r="B10686" s="203"/>
      <c r="C10686" s="237"/>
      <c r="D10686" s="202"/>
      <c r="E10686" s="202"/>
      <c r="U10686" s="204"/>
    </row>
    <row r="10687" spans="2:21" x14ac:dyDescent="0.2">
      <c r="B10687" s="203"/>
      <c r="C10687" s="237"/>
      <c r="D10687" s="202"/>
      <c r="E10687" s="202"/>
      <c r="U10687" s="204"/>
    </row>
    <row r="10688" spans="2:21" x14ac:dyDescent="0.2">
      <c r="B10688" s="203"/>
      <c r="C10688" s="237"/>
      <c r="D10688" s="202"/>
      <c r="E10688" s="202"/>
      <c r="U10688" s="204"/>
    </row>
    <row r="10689" spans="2:21" x14ac:dyDescent="0.2">
      <c r="B10689" s="203"/>
      <c r="C10689" s="237"/>
      <c r="D10689" s="202"/>
      <c r="E10689" s="202"/>
      <c r="U10689" s="204"/>
    </row>
    <row r="10690" spans="2:21" x14ac:dyDescent="0.2">
      <c r="B10690" s="203"/>
      <c r="C10690" s="237"/>
      <c r="D10690" s="202"/>
      <c r="E10690" s="202"/>
      <c r="U10690" s="204"/>
    </row>
    <row r="10691" spans="2:21" x14ac:dyDescent="0.2">
      <c r="B10691" s="203"/>
      <c r="C10691" s="237"/>
      <c r="D10691" s="202"/>
      <c r="E10691" s="202"/>
      <c r="U10691" s="204"/>
    </row>
    <row r="10692" spans="2:21" x14ac:dyDescent="0.2">
      <c r="B10692" s="203"/>
      <c r="C10692" s="237"/>
      <c r="D10692" s="202"/>
      <c r="E10692" s="202"/>
      <c r="U10692" s="204"/>
    </row>
    <row r="10693" spans="2:21" x14ac:dyDescent="0.2">
      <c r="B10693" s="203"/>
      <c r="C10693" s="237"/>
      <c r="D10693" s="202"/>
      <c r="E10693" s="202"/>
      <c r="U10693" s="204"/>
    </row>
    <row r="10694" spans="2:21" x14ac:dyDescent="0.2">
      <c r="B10694" s="203"/>
      <c r="C10694" s="237"/>
      <c r="D10694" s="202"/>
      <c r="E10694" s="202"/>
      <c r="U10694" s="204"/>
    </row>
    <row r="10695" spans="2:21" x14ac:dyDescent="0.2">
      <c r="B10695" s="203"/>
      <c r="C10695" s="237"/>
      <c r="D10695" s="202"/>
      <c r="E10695" s="202"/>
      <c r="U10695" s="204"/>
    </row>
    <row r="10696" spans="2:21" x14ac:dyDescent="0.2">
      <c r="B10696" s="203"/>
      <c r="C10696" s="237"/>
      <c r="D10696" s="202"/>
      <c r="E10696" s="202"/>
      <c r="U10696" s="204"/>
    </row>
    <row r="10697" spans="2:21" x14ac:dyDescent="0.2">
      <c r="B10697" s="203"/>
      <c r="C10697" s="237"/>
      <c r="D10697" s="202"/>
      <c r="E10697" s="202"/>
      <c r="U10697" s="204"/>
    </row>
    <row r="10698" spans="2:21" x14ac:dyDescent="0.2">
      <c r="B10698" s="203"/>
      <c r="C10698" s="237"/>
      <c r="D10698" s="202"/>
      <c r="E10698" s="202"/>
      <c r="U10698" s="204"/>
    </row>
    <row r="10699" spans="2:21" x14ac:dyDescent="0.2">
      <c r="B10699" s="203"/>
      <c r="C10699" s="237"/>
      <c r="D10699" s="202"/>
      <c r="E10699" s="202"/>
      <c r="U10699" s="204"/>
    </row>
    <row r="10700" spans="2:21" x14ac:dyDescent="0.2">
      <c r="B10700" s="203"/>
      <c r="C10700" s="237"/>
      <c r="D10700" s="202"/>
      <c r="E10700" s="202"/>
      <c r="U10700" s="204"/>
    </row>
    <row r="10701" spans="2:21" x14ac:dyDescent="0.2">
      <c r="B10701" s="203"/>
      <c r="C10701" s="237"/>
      <c r="D10701" s="202"/>
      <c r="E10701" s="202"/>
      <c r="U10701" s="204"/>
    </row>
    <row r="10702" spans="2:21" x14ac:dyDescent="0.2">
      <c r="B10702" s="203"/>
      <c r="C10702" s="237"/>
      <c r="D10702" s="202"/>
      <c r="E10702" s="202"/>
      <c r="U10702" s="204"/>
    </row>
    <row r="10703" spans="2:21" x14ac:dyDescent="0.2">
      <c r="B10703" s="203"/>
      <c r="C10703" s="237"/>
      <c r="D10703" s="202"/>
      <c r="E10703" s="202"/>
      <c r="U10703" s="204"/>
    </row>
    <row r="10704" spans="2:21" x14ac:dyDescent="0.2">
      <c r="B10704" s="203"/>
      <c r="C10704" s="237"/>
      <c r="D10704" s="202"/>
      <c r="E10704" s="202"/>
      <c r="U10704" s="204"/>
    </row>
    <row r="10705" spans="2:21" x14ac:dyDescent="0.2">
      <c r="B10705" s="203"/>
      <c r="C10705" s="237"/>
      <c r="D10705" s="202"/>
      <c r="E10705" s="202"/>
      <c r="U10705" s="204"/>
    </row>
    <row r="10706" spans="2:21" x14ac:dyDescent="0.2">
      <c r="B10706" s="203"/>
      <c r="C10706" s="237"/>
      <c r="D10706" s="202"/>
      <c r="E10706" s="202"/>
      <c r="U10706" s="204"/>
    </row>
    <row r="10707" spans="2:21" x14ac:dyDescent="0.2">
      <c r="B10707" s="203"/>
      <c r="C10707" s="237"/>
      <c r="D10707" s="202"/>
      <c r="E10707" s="202"/>
      <c r="U10707" s="204"/>
    </row>
    <row r="10708" spans="2:21" x14ac:dyDescent="0.2">
      <c r="B10708" s="203"/>
      <c r="C10708" s="237"/>
      <c r="D10708" s="202"/>
      <c r="E10708" s="202"/>
      <c r="U10708" s="204"/>
    </row>
    <row r="10709" spans="2:21" x14ac:dyDescent="0.2">
      <c r="B10709" s="203"/>
      <c r="C10709" s="237"/>
      <c r="D10709" s="202"/>
      <c r="E10709" s="202"/>
      <c r="U10709" s="204"/>
    </row>
    <row r="10710" spans="2:21" x14ac:dyDescent="0.2">
      <c r="B10710" s="203"/>
      <c r="C10710" s="237"/>
      <c r="D10710" s="202"/>
      <c r="E10710" s="202"/>
      <c r="U10710" s="204"/>
    </row>
    <row r="10711" spans="2:21" x14ac:dyDescent="0.2">
      <c r="B10711" s="203"/>
      <c r="C10711" s="237"/>
      <c r="D10711" s="202"/>
      <c r="E10711" s="202"/>
      <c r="U10711" s="204"/>
    </row>
    <row r="10712" spans="2:21" x14ac:dyDescent="0.2">
      <c r="B10712" s="203"/>
      <c r="C10712" s="237"/>
      <c r="D10712" s="202"/>
      <c r="E10712" s="202"/>
      <c r="U10712" s="204"/>
    </row>
    <row r="10713" spans="2:21" x14ac:dyDescent="0.2">
      <c r="B10713" s="203"/>
      <c r="C10713" s="237"/>
      <c r="D10713" s="202"/>
      <c r="E10713" s="202"/>
      <c r="U10713" s="204"/>
    </row>
    <row r="10714" spans="2:21" x14ac:dyDescent="0.2">
      <c r="B10714" s="203"/>
      <c r="C10714" s="237"/>
      <c r="D10714" s="202"/>
      <c r="E10714" s="202"/>
      <c r="U10714" s="204"/>
    </row>
    <row r="10715" spans="2:21" x14ac:dyDescent="0.2">
      <c r="B10715" s="203"/>
      <c r="C10715" s="237"/>
      <c r="D10715" s="202"/>
      <c r="E10715" s="202"/>
      <c r="U10715" s="204"/>
    </row>
    <row r="10716" spans="2:21" x14ac:dyDescent="0.2">
      <c r="B10716" s="203"/>
      <c r="C10716" s="237"/>
      <c r="D10716" s="202"/>
      <c r="E10716" s="202"/>
      <c r="U10716" s="204"/>
    </row>
    <row r="10717" spans="2:21" x14ac:dyDescent="0.2">
      <c r="B10717" s="203"/>
      <c r="C10717" s="237"/>
      <c r="D10717" s="202"/>
      <c r="E10717" s="202"/>
      <c r="U10717" s="204"/>
    </row>
    <row r="10718" spans="2:21" x14ac:dyDescent="0.2">
      <c r="B10718" s="203"/>
      <c r="C10718" s="237"/>
      <c r="D10718" s="202"/>
      <c r="E10718" s="202"/>
      <c r="U10718" s="204"/>
    </row>
    <row r="10719" spans="2:21" x14ac:dyDescent="0.2">
      <c r="B10719" s="203"/>
      <c r="C10719" s="237"/>
      <c r="D10719" s="202"/>
      <c r="E10719" s="202"/>
      <c r="U10719" s="204"/>
    </row>
    <row r="10720" spans="2:21" x14ac:dyDescent="0.2">
      <c r="B10720" s="203"/>
      <c r="C10720" s="237"/>
      <c r="D10720" s="202"/>
      <c r="E10720" s="202"/>
      <c r="U10720" s="204"/>
    </row>
    <row r="10721" spans="2:21" x14ac:dyDescent="0.2">
      <c r="B10721" s="203"/>
      <c r="C10721" s="237"/>
      <c r="D10721" s="202"/>
      <c r="E10721" s="202"/>
      <c r="U10721" s="204"/>
    </row>
    <row r="10722" spans="2:21" x14ac:dyDescent="0.2">
      <c r="B10722" s="203"/>
      <c r="C10722" s="237"/>
      <c r="D10722" s="202"/>
      <c r="E10722" s="202"/>
      <c r="U10722" s="204"/>
    </row>
    <row r="10723" spans="2:21" x14ac:dyDescent="0.2">
      <c r="B10723" s="203"/>
      <c r="C10723" s="237"/>
      <c r="D10723" s="202"/>
      <c r="E10723" s="202"/>
      <c r="U10723" s="204"/>
    </row>
    <row r="10724" spans="2:21" x14ac:dyDescent="0.2">
      <c r="B10724" s="203"/>
      <c r="C10724" s="237"/>
      <c r="D10724" s="202"/>
      <c r="E10724" s="202"/>
      <c r="U10724" s="204"/>
    </row>
    <row r="10725" spans="2:21" x14ac:dyDescent="0.2">
      <c r="B10725" s="203"/>
      <c r="C10725" s="237"/>
      <c r="D10725" s="202"/>
      <c r="E10725" s="202"/>
      <c r="U10725" s="204"/>
    </row>
    <row r="10726" spans="2:21" x14ac:dyDescent="0.2">
      <c r="B10726" s="203"/>
      <c r="C10726" s="237"/>
      <c r="D10726" s="202"/>
      <c r="E10726" s="202"/>
      <c r="U10726" s="204"/>
    </row>
    <row r="10727" spans="2:21" x14ac:dyDescent="0.2">
      <c r="B10727" s="203"/>
      <c r="C10727" s="237"/>
      <c r="D10727" s="202"/>
      <c r="E10727" s="202"/>
      <c r="U10727" s="204"/>
    </row>
    <row r="10728" spans="2:21" x14ac:dyDescent="0.2">
      <c r="B10728" s="203"/>
      <c r="C10728" s="237"/>
      <c r="D10728" s="202"/>
      <c r="E10728" s="202"/>
      <c r="U10728" s="204"/>
    </row>
    <row r="10729" spans="2:21" x14ac:dyDescent="0.2">
      <c r="B10729" s="203"/>
      <c r="C10729" s="237"/>
      <c r="D10729" s="202"/>
      <c r="E10729" s="202"/>
      <c r="U10729" s="204"/>
    </row>
    <row r="10730" spans="2:21" x14ac:dyDescent="0.2">
      <c r="B10730" s="203"/>
      <c r="C10730" s="237"/>
      <c r="D10730" s="202"/>
      <c r="E10730" s="202"/>
      <c r="U10730" s="204"/>
    </row>
    <row r="10731" spans="2:21" x14ac:dyDescent="0.2">
      <c r="B10731" s="203"/>
      <c r="C10731" s="237"/>
      <c r="D10731" s="202"/>
      <c r="E10731" s="202"/>
      <c r="U10731" s="204"/>
    </row>
    <row r="10732" spans="2:21" x14ac:dyDescent="0.2">
      <c r="B10732" s="203"/>
      <c r="C10732" s="237"/>
      <c r="D10732" s="202"/>
      <c r="E10732" s="202"/>
      <c r="U10732" s="204"/>
    </row>
    <row r="10733" spans="2:21" x14ac:dyDescent="0.2">
      <c r="B10733" s="203"/>
      <c r="C10733" s="237"/>
      <c r="D10733" s="202"/>
      <c r="E10733" s="202"/>
      <c r="U10733" s="204"/>
    </row>
    <row r="10734" spans="2:21" x14ac:dyDescent="0.2">
      <c r="B10734" s="203"/>
      <c r="C10734" s="237"/>
      <c r="D10734" s="202"/>
      <c r="E10734" s="202"/>
      <c r="U10734" s="204"/>
    </row>
    <row r="10735" spans="2:21" x14ac:dyDescent="0.2">
      <c r="B10735" s="203"/>
      <c r="C10735" s="237"/>
      <c r="D10735" s="202"/>
      <c r="E10735" s="202"/>
      <c r="U10735" s="204"/>
    </row>
    <row r="10736" spans="2:21" x14ac:dyDescent="0.2">
      <c r="B10736" s="203"/>
      <c r="C10736" s="237"/>
      <c r="D10736" s="202"/>
      <c r="E10736" s="202"/>
      <c r="U10736" s="204"/>
    </row>
    <row r="10737" spans="2:21" x14ac:dyDescent="0.2">
      <c r="B10737" s="203"/>
      <c r="C10737" s="237"/>
      <c r="D10737" s="202"/>
      <c r="E10737" s="202"/>
      <c r="U10737" s="204"/>
    </row>
    <row r="10738" spans="2:21" x14ac:dyDescent="0.2">
      <c r="B10738" s="203"/>
      <c r="C10738" s="237"/>
      <c r="D10738" s="202"/>
      <c r="E10738" s="202"/>
      <c r="U10738" s="204"/>
    </row>
    <row r="10739" spans="2:21" x14ac:dyDescent="0.2">
      <c r="B10739" s="203"/>
      <c r="C10739" s="237"/>
      <c r="D10739" s="202"/>
      <c r="E10739" s="202"/>
      <c r="U10739" s="204"/>
    </row>
    <row r="10740" spans="2:21" x14ac:dyDescent="0.2">
      <c r="B10740" s="203"/>
      <c r="C10740" s="237"/>
      <c r="D10740" s="202"/>
      <c r="E10740" s="202"/>
      <c r="U10740" s="204"/>
    </row>
    <row r="10741" spans="2:21" x14ac:dyDescent="0.2">
      <c r="B10741" s="203"/>
      <c r="C10741" s="237"/>
      <c r="D10741" s="202"/>
      <c r="E10741" s="202"/>
      <c r="U10741" s="204"/>
    </row>
    <row r="10742" spans="2:21" x14ac:dyDescent="0.2">
      <c r="B10742" s="203"/>
      <c r="C10742" s="237"/>
      <c r="D10742" s="202"/>
      <c r="E10742" s="202"/>
      <c r="U10742" s="204"/>
    </row>
    <row r="10743" spans="2:21" x14ac:dyDescent="0.2">
      <c r="B10743" s="203"/>
      <c r="C10743" s="237"/>
      <c r="D10743" s="202"/>
      <c r="E10743" s="202"/>
      <c r="U10743" s="204"/>
    </row>
    <row r="10744" spans="2:21" x14ac:dyDescent="0.2">
      <c r="B10744" s="203"/>
      <c r="C10744" s="237"/>
      <c r="D10744" s="202"/>
      <c r="E10744" s="202"/>
      <c r="U10744" s="204"/>
    </row>
    <row r="10745" spans="2:21" x14ac:dyDescent="0.2">
      <c r="B10745" s="203"/>
      <c r="C10745" s="237"/>
      <c r="D10745" s="202"/>
      <c r="E10745" s="202"/>
      <c r="U10745" s="204"/>
    </row>
    <row r="10746" spans="2:21" x14ac:dyDescent="0.2">
      <c r="B10746" s="203"/>
      <c r="C10746" s="237"/>
      <c r="D10746" s="202"/>
      <c r="E10746" s="202"/>
      <c r="U10746" s="204"/>
    </row>
    <row r="10747" spans="2:21" x14ac:dyDescent="0.2">
      <c r="B10747" s="203"/>
      <c r="C10747" s="237"/>
      <c r="D10747" s="202"/>
      <c r="E10747" s="202"/>
      <c r="U10747" s="204"/>
    </row>
    <row r="10748" spans="2:21" x14ac:dyDescent="0.2">
      <c r="B10748" s="203"/>
      <c r="C10748" s="237"/>
      <c r="D10748" s="202"/>
      <c r="E10748" s="202"/>
      <c r="U10748" s="204"/>
    </row>
    <row r="10749" spans="2:21" x14ac:dyDescent="0.2">
      <c r="B10749" s="203"/>
      <c r="C10749" s="237"/>
      <c r="D10749" s="202"/>
      <c r="E10749" s="202"/>
      <c r="U10749" s="204"/>
    </row>
    <row r="10750" spans="2:21" x14ac:dyDescent="0.2">
      <c r="B10750" s="203"/>
      <c r="C10750" s="237"/>
      <c r="D10750" s="202"/>
      <c r="E10750" s="202"/>
      <c r="U10750" s="204"/>
    </row>
    <row r="10751" spans="2:21" x14ac:dyDescent="0.2">
      <c r="B10751" s="203"/>
      <c r="C10751" s="237"/>
      <c r="D10751" s="202"/>
      <c r="E10751" s="202"/>
      <c r="U10751" s="204"/>
    </row>
    <row r="10752" spans="2:21" x14ac:dyDescent="0.2">
      <c r="B10752" s="203"/>
      <c r="C10752" s="237"/>
      <c r="D10752" s="202"/>
      <c r="E10752" s="202"/>
      <c r="U10752" s="204"/>
    </row>
    <row r="10753" spans="2:21" x14ac:dyDescent="0.2">
      <c r="B10753" s="203"/>
      <c r="C10753" s="237"/>
      <c r="D10753" s="202"/>
      <c r="E10753" s="202"/>
      <c r="U10753" s="204"/>
    </row>
    <row r="10754" spans="2:21" x14ac:dyDescent="0.2">
      <c r="B10754" s="203"/>
      <c r="C10754" s="237"/>
      <c r="D10754" s="202"/>
      <c r="E10754" s="202"/>
      <c r="U10754" s="204"/>
    </row>
    <row r="10755" spans="2:21" x14ac:dyDescent="0.2">
      <c r="B10755" s="203"/>
      <c r="C10755" s="237"/>
      <c r="D10755" s="202"/>
      <c r="E10755" s="202"/>
      <c r="U10755" s="204"/>
    </row>
    <row r="10756" spans="2:21" x14ac:dyDescent="0.2">
      <c r="B10756" s="203"/>
      <c r="C10756" s="237"/>
      <c r="D10756" s="202"/>
      <c r="E10756" s="202"/>
      <c r="U10756" s="204"/>
    </row>
    <row r="10757" spans="2:21" x14ac:dyDescent="0.2">
      <c r="B10757" s="203"/>
      <c r="C10757" s="237"/>
      <c r="D10757" s="202"/>
      <c r="E10757" s="202"/>
      <c r="U10757" s="204"/>
    </row>
    <row r="10758" spans="2:21" x14ac:dyDescent="0.2">
      <c r="B10758" s="203"/>
      <c r="C10758" s="237"/>
      <c r="D10758" s="202"/>
      <c r="E10758" s="202"/>
      <c r="U10758" s="204"/>
    </row>
    <row r="10759" spans="2:21" x14ac:dyDescent="0.2">
      <c r="B10759" s="203"/>
      <c r="C10759" s="237"/>
      <c r="D10759" s="202"/>
      <c r="E10759" s="202"/>
      <c r="U10759" s="204"/>
    </row>
    <row r="10760" spans="2:21" x14ac:dyDescent="0.2">
      <c r="B10760" s="203"/>
      <c r="C10760" s="237"/>
      <c r="D10760" s="202"/>
      <c r="E10760" s="202"/>
      <c r="U10760" s="204"/>
    </row>
    <row r="10761" spans="2:21" x14ac:dyDescent="0.2">
      <c r="B10761" s="203"/>
      <c r="C10761" s="237"/>
      <c r="D10761" s="202"/>
      <c r="E10761" s="202"/>
      <c r="U10761" s="204"/>
    </row>
    <row r="10762" spans="2:21" x14ac:dyDescent="0.2">
      <c r="B10762" s="203"/>
      <c r="C10762" s="237"/>
      <c r="D10762" s="202"/>
      <c r="E10762" s="202"/>
      <c r="U10762" s="204"/>
    </row>
    <row r="10763" spans="2:21" x14ac:dyDescent="0.2">
      <c r="B10763" s="203"/>
      <c r="C10763" s="237"/>
      <c r="D10763" s="202"/>
      <c r="E10763" s="202"/>
      <c r="U10763" s="204"/>
    </row>
    <row r="10764" spans="2:21" x14ac:dyDescent="0.2">
      <c r="B10764" s="203"/>
      <c r="C10764" s="237"/>
      <c r="D10764" s="202"/>
      <c r="E10764" s="202"/>
      <c r="U10764" s="204"/>
    </row>
    <row r="10765" spans="2:21" x14ac:dyDescent="0.2">
      <c r="B10765" s="203"/>
      <c r="C10765" s="237"/>
      <c r="D10765" s="202"/>
      <c r="E10765" s="202"/>
      <c r="U10765" s="204"/>
    </row>
    <row r="10766" spans="2:21" x14ac:dyDescent="0.2">
      <c r="B10766" s="203"/>
      <c r="C10766" s="237"/>
      <c r="D10766" s="202"/>
      <c r="E10766" s="202"/>
      <c r="U10766" s="204"/>
    </row>
    <row r="10767" spans="2:21" x14ac:dyDescent="0.2">
      <c r="B10767" s="203"/>
      <c r="C10767" s="237"/>
      <c r="D10767" s="202"/>
      <c r="E10767" s="202"/>
      <c r="U10767" s="204"/>
    </row>
    <row r="10768" spans="2:21" x14ac:dyDescent="0.2">
      <c r="B10768" s="203"/>
      <c r="C10768" s="237"/>
      <c r="D10768" s="202"/>
      <c r="E10768" s="202"/>
      <c r="U10768" s="204"/>
    </row>
    <row r="10769" spans="2:21" x14ac:dyDescent="0.2">
      <c r="B10769" s="203"/>
      <c r="C10769" s="237"/>
      <c r="D10769" s="202"/>
      <c r="E10769" s="202"/>
      <c r="U10769" s="204"/>
    </row>
    <row r="10770" spans="2:21" x14ac:dyDescent="0.2">
      <c r="B10770" s="203"/>
      <c r="C10770" s="237"/>
      <c r="D10770" s="202"/>
      <c r="E10770" s="202"/>
      <c r="U10770" s="204"/>
    </row>
    <row r="10771" spans="2:21" x14ac:dyDescent="0.2">
      <c r="B10771" s="203"/>
      <c r="C10771" s="237"/>
      <c r="D10771" s="202"/>
      <c r="E10771" s="202"/>
      <c r="U10771" s="204"/>
    </row>
    <row r="10772" spans="2:21" x14ac:dyDescent="0.2">
      <c r="B10772" s="203"/>
      <c r="C10772" s="237"/>
      <c r="D10772" s="202"/>
      <c r="E10772" s="202"/>
      <c r="U10772" s="204"/>
    </row>
    <row r="10773" spans="2:21" x14ac:dyDescent="0.2">
      <c r="B10773" s="203"/>
      <c r="C10773" s="237"/>
      <c r="D10773" s="202"/>
      <c r="E10773" s="202"/>
      <c r="U10773" s="204"/>
    </row>
    <row r="10774" spans="2:21" x14ac:dyDescent="0.2">
      <c r="B10774" s="203"/>
      <c r="C10774" s="237"/>
      <c r="D10774" s="202"/>
      <c r="E10774" s="202"/>
      <c r="U10774" s="204"/>
    </row>
    <row r="10775" spans="2:21" x14ac:dyDescent="0.2">
      <c r="B10775" s="203"/>
      <c r="C10775" s="237"/>
      <c r="D10775" s="202"/>
      <c r="E10775" s="202"/>
      <c r="U10775" s="204"/>
    </row>
    <row r="10776" spans="2:21" x14ac:dyDescent="0.2">
      <c r="B10776" s="203"/>
      <c r="C10776" s="237"/>
      <c r="D10776" s="202"/>
      <c r="E10776" s="202"/>
      <c r="U10776" s="204"/>
    </row>
    <row r="10777" spans="2:21" x14ac:dyDescent="0.2">
      <c r="B10777" s="203"/>
      <c r="C10777" s="237"/>
      <c r="D10777" s="202"/>
      <c r="E10777" s="202"/>
      <c r="U10777" s="204"/>
    </row>
    <row r="10778" spans="2:21" x14ac:dyDescent="0.2">
      <c r="B10778" s="203"/>
      <c r="C10778" s="237"/>
      <c r="D10778" s="202"/>
      <c r="E10778" s="202"/>
      <c r="U10778" s="204"/>
    </row>
    <row r="10779" spans="2:21" x14ac:dyDescent="0.2">
      <c r="B10779" s="203"/>
      <c r="C10779" s="237"/>
      <c r="D10779" s="202"/>
      <c r="E10779" s="202"/>
      <c r="U10779" s="204"/>
    </row>
    <row r="10780" spans="2:21" x14ac:dyDescent="0.2">
      <c r="B10780" s="203"/>
      <c r="C10780" s="237"/>
      <c r="D10780" s="202"/>
      <c r="E10780" s="202"/>
      <c r="U10780" s="204"/>
    </row>
    <row r="10781" spans="2:21" x14ac:dyDescent="0.2">
      <c r="B10781" s="203"/>
      <c r="C10781" s="237"/>
      <c r="D10781" s="202"/>
      <c r="E10781" s="202"/>
      <c r="U10781" s="204"/>
    </row>
    <row r="10782" spans="2:21" x14ac:dyDescent="0.2">
      <c r="B10782" s="203"/>
      <c r="C10782" s="237"/>
      <c r="D10782" s="202"/>
      <c r="E10782" s="202"/>
      <c r="U10782" s="204"/>
    </row>
    <row r="10783" spans="2:21" x14ac:dyDescent="0.2">
      <c r="B10783" s="203"/>
      <c r="C10783" s="237"/>
      <c r="D10783" s="202"/>
      <c r="E10783" s="202"/>
      <c r="U10783" s="204"/>
    </row>
    <row r="10784" spans="2:21" x14ac:dyDescent="0.2">
      <c r="B10784" s="203"/>
      <c r="C10784" s="237"/>
      <c r="D10784" s="202"/>
      <c r="E10784" s="202"/>
      <c r="U10784" s="204"/>
    </row>
    <row r="10785" spans="2:21" x14ac:dyDescent="0.2">
      <c r="B10785" s="203"/>
      <c r="C10785" s="237"/>
      <c r="D10785" s="202"/>
      <c r="E10785" s="202"/>
      <c r="U10785" s="204"/>
    </row>
    <row r="10786" spans="2:21" x14ac:dyDescent="0.2">
      <c r="B10786" s="203"/>
      <c r="C10786" s="237"/>
      <c r="D10786" s="202"/>
      <c r="E10786" s="202"/>
      <c r="U10786" s="204"/>
    </row>
    <row r="10787" spans="2:21" x14ac:dyDescent="0.2">
      <c r="B10787" s="203"/>
      <c r="C10787" s="237"/>
      <c r="D10787" s="202"/>
      <c r="E10787" s="202"/>
      <c r="U10787" s="204"/>
    </row>
    <row r="10788" spans="2:21" x14ac:dyDescent="0.2">
      <c r="B10788" s="203"/>
      <c r="C10788" s="237"/>
      <c r="D10788" s="202"/>
      <c r="E10788" s="202"/>
      <c r="U10788" s="204"/>
    </row>
    <row r="10789" spans="2:21" x14ac:dyDescent="0.2">
      <c r="B10789" s="203"/>
      <c r="C10789" s="237"/>
      <c r="D10789" s="202"/>
      <c r="E10789" s="202"/>
      <c r="U10789" s="204"/>
    </row>
    <row r="10790" spans="2:21" x14ac:dyDescent="0.2">
      <c r="B10790" s="203"/>
      <c r="C10790" s="237"/>
      <c r="D10790" s="202"/>
      <c r="E10790" s="202"/>
      <c r="U10790" s="204"/>
    </row>
    <row r="10791" spans="2:21" x14ac:dyDescent="0.2">
      <c r="B10791" s="203"/>
      <c r="C10791" s="237"/>
      <c r="D10791" s="202"/>
      <c r="E10791" s="202"/>
      <c r="U10791" s="204"/>
    </row>
    <row r="10792" spans="2:21" x14ac:dyDescent="0.2">
      <c r="B10792" s="203"/>
      <c r="C10792" s="237"/>
      <c r="D10792" s="202"/>
      <c r="E10792" s="202"/>
      <c r="U10792" s="204"/>
    </row>
    <row r="10793" spans="2:21" x14ac:dyDescent="0.2">
      <c r="B10793" s="203"/>
      <c r="C10793" s="237"/>
      <c r="D10793" s="202"/>
      <c r="E10793" s="202"/>
      <c r="U10793" s="204"/>
    </row>
    <row r="10794" spans="2:21" x14ac:dyDescent="0.2">
      <c r="B10794" s="203"/>
      <c r="C10794" s="237"/>
      <c r="D10794" s="202"/>
      <c r="E10794" s="202"/>
      <c r="U10794" s="204"/>
    </row>
    <row r="10795" spans="2:21" x14ac:dyDescent="0.2">
      <c r="B10795" s="203"/>
      <c r="C10795" s="237"/>
      <c r="D10795" s="202"/>
      <c r="E10795" s="202"/>
      <c r="U10795" s="204"/>
    </row>
    <row r="10796" spans="2:21" x14ac:dyDescent="0.2">
      <c r="B10796" s="203"/>
      <c r="C10796" s="237"/>
      <c r="D10796" s="202"/>
      <c r="E10796" s="202"/>
      <c r="U10796" s="204"/>
    </row>
    <row r="10797" spans="2:21" x14ac:dyDescent="0.2">
      <c r="B10797" s="203"/>
      <c r="C10797" s="237"/>
      <c r="D10797" s="202"/>
      <c r="E10797" s="202"/>
      <c r="U10797" s="204"/>
    </row>
    <row r="10798" spans="2:21" x14ac:dyDescent="0.2">
      <c r="B10798" s="203"/>
      <c r="C10798" s="237"/>
      <c r="D10798" s="202"/>
      <c r="E10798" s="202"/>
      <c r="U10798" s="204"/>
    </row>
    <row r="10799" spans="2:21" x14ac:dyDescent="0.2">
      <c r="B10799" s="203"/>
      <c r="C10799" s="237"/>
      <c r="D10799" s="202"/>
      <c r="E10799" s="202"/>
      <c r="U10799" s="204"/>
    </row>
    <row r="10800" spans="2:21" x14ac:dyDescent="0.2">
      <c r="B10800" s="203"/>
      <c r="C10800" s="237"/>
      <c r="D10800" s="202"/>
      <c r="E10800" s="202"/>
      <c r="U10800" s="204"/>
    </row>
    <row r="10801" spans="2:21" x14ac:dyDescent="0.2">
      <c r="B10801" s="203"/>
      <c r="C10801" s="237"/>
      <c r="D10801" s="202"/>
      <c r="E10801" s="202"/>
      <c r="U10801" s="204"/>
    </row>
    <row r="10802" spans="2:21" x14ac:dyDescent="0.2">
      <c r="B10802" s="203"/>
      <c r="C10802" s="237"/>
      <c r="D10802" s="202"/>
      <c r="E10802" s="202"/>
      <c r="U10802" s="204"/>
    </row>
    <row r="10803" spans="2:21" x14ac:dyDescent="0.2">
      <c r="B10803" s="203"/>
      <c r="C10803" s="237"/>
      <c r="D10803" s="202"/>
      <c r="E10803" s="202"/>
      <c r="U10803" s="204"/>
    </row>
    <row r="10804" spans="2:21" x14ac:dyDescent="0.2">
      <c r="B10804" s="203"/>
      <c r="C10804" s="237"/>
      <c r="D10804" s="202"/>
      <c r="E10804" s="202"/>
      <c r="U10804" s="204"/>
    </row>
    <row r="10805" spans="2:21" x14ac:dyDescent="0.2">
      <c r="B10805" s="203"/>
      <c r="C10805" s="237"/>
      <c r="D10805" s="202"/>
      <c r="E10805" s="202"/>
      <c r="U10805" s="204"/>
    </row>
    <row r="10806" spans="2:21" x14ac:dyDescent="0.2">
      <c r="B10806" s="203"/>
      <c r="C10806" s="237"/>
      <c r="D10806" s="202"/>
      <c r="E10806" s="202"/>
      <c r="U10806" s="204"/>
    </row>
    <row r="10807" spans="2:21" x14ac:dyDescent="0.2">
      <c r="B10807" s="203"/>
      <c r="C10807" s="237"/>
      <c r="D10807" s="202"/>
      <c r="E10807" s="202"/>
      <c r="U10807" s="204"/>
    </row>
    <row r="10808" spans="2:21" x14ac:dyDescent="0.2">
      <c r="B10808" s="203"/>
      <c r="C10808" s="237"/>
      <c r="D10808" s="202"/>
      <c r="E10808" s="202"/>
      <c r="U10808" s="204"/>
    </row>
    <row r="10809" spans="2:21" x14ac:dyDescent="0.2">
      <c r="B10809" s="203"/>
      <c r="C10809" s="237"/>
      <c r="D10809" s="202"/>
      <c r="E10809" s="202"/>
      <c r="U10809" s="204"/>
    </row>
    <row r="10810" spans="2:21" x14ac:dyDescent="0.2">
      <c r="B10810" s="203"/>
      <c r="C10810" s="237"/>
      <c r="D10810" s="202"/>
      <c r="E10810" s="202"/>
      <c r="U10810" s="204"/>
    </row>
    <row r="10811" spans="2:21" x14ac:dyDescent="0.2">
      <c r="B10811" s="203"/>
      <c r="C10811" s="237"/>
      <c r="D10811" s="202"/>
      <c r="E10811" s="202"/>
      <c r="U10811" s="204"/>
    </row>
    <row r="10812" spans="2:21" x14ac:dyDescent="0.2">
      <c r="B10812" s="203"/>
      <c r="C10812" s="237"/>
      <c r="D10812" s="202"/>
      <c r="E10812" s="202"/>
      <c r="U10812" s="204"/>
    </row>
    <row r="10813" spans="2:21" x14ac:dyDescent="0.2">
      <c r="B10813" s="203"/>
      <c r="C10813" s="237"/>
      <c r="D10813" s="202"/>
      <c r="E10813" s="202"/>
      <c r="U10813" s="204"/>
    </row>
    <row r="10814" spans="2:21" x14ac:dyDescent="0.2">
      <c r="B10814" s="203"/>
      <c r="C10814" s="237"/>
      <c r="D10814" s="202"/>
      <c r="E10814" s="202"/>
      <c r="U10814" s="204"/>
    </row>
    <row r="10815" spans="2:21" x14ac:dyDescent="0.2">
      <c r="B10815" s="203"/>
      <c r="C10815" s="237"/>
      <c r="D10815" s="202"/>
      <c r="E10815" s="202"/>
      <c r="U10815" s="204"/>
    </row>
    <row r="10816" spans="2:21" x14ac:dyDescent="0.2">
      <c r="B10816" s="203"/>
      <c r="C10816" s="237"/>
      <c r="D10816" s="202"/>
      <c r="E10816" s="202"/>
      <c r="U10816" s="204"/>
    </row>
    <row r="10817" spans="2:21" x14ac:dyDescent="0.2">
      <c r="B10817" s="203"/>
      <c r="C10817" s="237"/>
      <c r="D10817" s="202"/>
      <c r="E10817" s="202"/>
      <c r="U10817" s="204"/>
    </row>
    <row r="10818" spans="2:21" x14ac:dyDescent="0.2">
      <c r="B10818" s="203"/>
      <c r="C10818" s="237"/>
      <c r="D10818" s="202"/>
      <c r="E10818" s="202"/>
      <c r="U10818" s="204"/>
    </row>
    <row r="10819" spans="2:21" x14ac:dyDescent="0.2">
      <c r="B10819" s="203"/>
      <c r="C10819" s="237"/>
      <c r="D10819" s="202"/>
      <c r="E10819" s="202"/>
      <c r="U10819" s="204"/>
    </row>
    <row r="10820" spans="2:21" x14ac:dyDescent="0.2">
      <c r="B10820" s="203"/>
      <c r="C10820" s="237"/>
      <c r="D10820" s="202"/>
      <c r="E10820" s="202"/>
      <c r="U10820" s="204"/>
    </row>
    <row r="10821" spans="2:21" x14ac:dyDescent="0.2">
      <c r="B10821" s="203"/>
      <c r="C10821" s="237"/>
      <c r="D10821" s="202"/>
      <c r="E10821" s="202"/>
      <c r="U10821" s="204"/>
    </row>
    <row r="10822" spans="2:21" x14ac:dyDescent="0.2">
      <c r="B10822" s="203"/>
      <c r="C10822" s="237"/>
      <c r="D10822" s="202"/>
      <c r="E10822" s="202"/>
      <c r="U10822" s="204"/>
    </row>
    <row r="10823" spans="2:21" x14ac:dyDescent="0.2">
      <c r="B10823" s="203"/>
      <c r="C10823" s="237"/>
      <c r="D10823" s="202"/>
      <c r="E10823" s="202"/>
      <c r="U10823" s="204"/>
    </row>
    <row r="10824" spans="2:21" x14ac:dyDescent="0.2">
      <c r="B10824" s="203"/>
      <c r="C10824" s="237"/>
      <c r="D10824" s="202"/>
      <c r="E10824" s="202"/>
      <c r="U10824" s="204"/>
    </row>
    <row r="10825" spans="2:21" x14ac:dyDescent="0.2">
      <c r="B10825" s="203"/>
      <c r="C10825" s="237"/>
      <c r="D10825" s="202"/>
      <c r="E10825" s="202"/>
      <c r="U10825" s="204"/>
    </row>
    <row r="10826" spans="2:21" x14ac:dyDescent="0.2">
      <c r="B10826" s="203"/>
      <c r="C10826" s="237"/>
      <c r="D10826" s="202"/>
      <c r="E10826" s="202"/>
      <c r="U10826" s="204"/>
    </row>
    <row r="10827" spans="2:21" x14ac:dyDescent="0.2">
      <c r="B10827" s="203"/>
      <c r="C10827" s="237"/>
      <c r="D10827" s="202"/>
      <c r="E10827" s="202"/>
      <c r="U10827" s="204"/>
    </row>
    <row r="10828" spans="2:21" x14ac:dyDescent="0.2">
      <c r="B10828" s="203"/>
      <c r="C10828" s="237"/>
      <c r="D10828" s="202"/>
      <c r="E10828" s="202"/>
      <c r="U10828" s="204"/>
    </row>
    <row r="10829" spans="2:21" x14ac:dyDescent="0.2">
      <c r="B10829" s="203"/>
      <c r="C10829" s="237"/>
      <c r="D10829" s="202"/>
      <c r="E10829" s="202"/>
      <c r="U10829" s="204"/>
    </row>
    <row r="10830" spans="2:21" x14ac:dyDescent="0.2">
      <c r="B10830" s="203"/>
      <c r="C10830" s="237"/>
      <c r="D10830" s="202"/>
      <c r="E10830" s="202"/>
      <c r="U10830" s="204"/>
    </row>
    <row r="10831" spans="2:21" x14ac:dyDescent="0.2">
      <c r="B10831" s="203"/>
      <c r="C10831" s="237"/>
      <c r="D10831" s="202"/>
      <c r="E10831" s="202"/>
      <c r="U10831" s="204"/>
    </row>
    <row r="10832" spans="2:21" x14ac:dyDescent="0.2">
      <c r="B10832" s="203"/>
      <c r="C10832" s="237"/>
      <c r="D10832" s="202"/>
      <c r="E10832" s="202"/>
      <c r="U10832" s="204"/>
    </row>
    <row r="10833" spans="2:21" x14ac:dyDescent="0.2">
      <c r="B10833" s="203"/>
      <c r="C10833" s="237"/>
      <c r="D10833" s="202"/>
      <c r="E10833" s="202"/>
      <c r="U10833" s="204"/>
    </row>
    <row r="10834" spans="2:21" x14ac:dyDescent="0.2">
      <c r="B10834" s="203"/>
      <c r="C10834" s="237"/>
      <c r="D10834" s="202"/>
      <c r="E10834" s="202"/>
      <c r="U10834" s="204"/>
    </row>
    <row r="10835" spans="2:21" x14ac:dyDescent="0.2">
      <c r="B10835" s="203"/>
      <c r="C10835" s="237"/>
      <c r="D10835" s="202"/>
      <c r="E10835" s="202"/>
      <c r="U10835" s="204"/>
    </row>
    <row r="10836" spans="2:21" x14ac:dyDescent="0.2">
      <c r="B10836" s="203"/>
      <c r="C10836" s="237"/>
      <c r="D10836" s="202"/>
      <c r="E10836" s="202"/>
      <c r="U10836" s="204"/>
    </row>
    <row r="10837" spans="2:21" x14ac:dyDescent="0.2">
      <c r="B10837" s="203"/>
      <c r="C10837" s="237"/>
      <c r="D10837" s="202"/>
      <c r="E10837" s="202"/>
      <c r="U10837" s="204"/>
    </row>
    <row r="10838" spans="2:21" x14ac:dyDescent="0.2">
      <c r="B10838" s="203"/>
      <c r="C10838" s="237"/>
      <c r="D10838" s="202"/>
      <c r="E10838" s="202"/>
      <c r="U10838" s="204"/>
    </row>
    <row r="10839" spans="2:21" x14ac:dyDescent="0.2">
      <c r="B10839" s="203"/>
      <c r="C10839" s="237"/>
      <c r="D10839" s="202"/>
      <c r="E10839" s="202"/>
      <c r="U10839" s="204"/>
    </row>
    <row r="10840" spans="2:21" x14ac:dyDescent="0.2">
      <c r="B10840" s="203"/>
      <c r="C10840" s="237"/>
      <c r="D10840" s="202"/>
      <c r="E10840" s="202"/>
      <c r="U10840" s="204"/>
    </row>
    <row r="10841" spans="2:21" x14ac:dyDescent="0.2">
      <c r="B10841" s="203"/>
      <c r="C10841" s="237"/>
      <c r="D10841" s="202"/>
      <c r="E10841" s="202"/>
      <c r="U10841" s="204"/>
    </row>
    <row r="10842" spans="2:21" x14ac:dyDescent="0.2">
      <c r="B10842" s="203"/>
      <c r="C10842" s="237"/>
      <c r="D10842" s="202"/>
      <c r="E10842" s="202"/>
      <c r="U10842" s="204"/>
    </row>
    <row r="10843" spans="2:21" x14ac:dyDescent="0.2">
      <c r="B10843" s="203"/>
      <c r="C10843" s="237"/>
      <c r="D10843" s="202"/>
      <c r="E10843" s="202"/>
      <c r="U10843" s="204"/>
    </row>
    <row r="10844" spans="2:21" x14ac:dyDescent="0.2">
      <c r="B10844" s="203"/>
      <c r="C10844" s="237"/>
      <c r="D10844" s="202"/>
      <c r="E10844" s="202"/>
      <c r="U10844" s="204"/>
    </row>
    <row r="10845" spans="2:21" x14ac:dyDescent="0.2">
      <c r="B10845" s="203"/>
      <c r="C10845" s="237"/>
      <c r="D10845" s="202"/>
      <c r="E10845" s="202"/>
      <c r="U10845" s="204"/>
    </row>
    <row r="10846" spans="2:21" x14ac:dyDescent="0.2">
      <c r="B10846" s="203"/>
      <c r="C10846" s="237"/>
      <c r="D10846" s="202"/>
      <c r="E10846" s="202"/>
      <c r="U10846" s="204"/>
    </row>
    <row r="10847" spans="2:21" x14ac:dyDescent="0.2">
      <c r="B10847" s="203"/>
      <c r="C10847" s="237"/>
      <c r="D10847" s="202"/>
      <c r="E10847" s="202"/>
      <c r="U10847" s="204"/>
    </row>
    <row r="10848" spans="2:21" x14ac:dyDescent="0.2">
      <c r="B10848" s="203"/>
      <c r="C10848" s="237"/>
      <c r="D10848" s="202"/>
      <c r="E10848" s="202"/>
      <c r="U10848" s="204"/>
    </row>
    <row r="10849" spans="2:21" x14ac:dyDescent="0.2">
      <c r="B10849" s="203"/>
      <c r="C10849" s="237"/>
      <c r="D10849" s="202"/>
      <c r="E10849" s="202"/>
      <c r="U10849" s="204"/>
    </row>
    <row r="10850" spans="2:21" x14ac:dyDescent="0.2">
      <c r="B10850" s="203"/>
      <c r="C10850" s="237"/>
      <c r="D10850" s="202"/>
      <c r="E10850" s="202"/>
      <c r="U10850" s="204"/>
    </row>
    <row r="10851" spans="2:21" x14ac:dyDescent="0.2">
      <c r="B10851" s="203"/>
      <c r="C10851" s="237"/>
      <c r="D10851" s="202"/>
      <c r="E10851" s="202"/>
      <c r="U10851" s="204"/>
    </row>
    <row r="10852" spans="2:21" x14ac:dyDescent="0.2">
      <c r="B10852" s="203"/>
      <c r="C10852" s="237"/>
      <c r="D10852" s="202"/>
      <c r="E10852" s="202"/>
      <c r="U10852" s="204"/>
    </row>
    <row r="10853" spans="2:21" x14ac:dyDescent="0.2">
      <c r="B10853" s="203"/>
      <c r="C10853" s="237"/>
      <c r="D10853" s="202"/>
      <c r="E10853" s="202"/>
      <c r="U10853" s="204"/>
    </row>
    <row r="10854" spans="2:21" x14ac:dyDescent="0.2">
      <c r="B10854" s="203"/>
      <c r="C10854" s="237"/>
      <c r="D10854" s="202"/>
      <c r="E10854" s="202"/>
      <c r="U10854" s="204"/>
    </row>
    <row r="10855" spans="2:21" x14ac:dyDescent="0.2">
      <c r="B10855" s="203"/>
      <c r="C10855" s="237"/>
      <c r="D10855" s="202"/>
      <c r="E10855" s="202"/>
      <c r="U10855" s="204"/>
    </row>
    <row r="10856" spans="2:21" x14ac:dyDescent="0.2">
      <c r="B10856" s="203"/>
      <c r="C10856" s="237"/>
      <c r="D10856" s="202"/>
      <c r="E10856" s="202"/>
      <c r="U10856" s="204"/>
    </row>
    <row r="10857" spans="2:21" x14ac:dyDescent="0.2">
      <c r="B10857" s="203"/>
      <c r="C10857" s="237"/>
      <c r="D10857" s="202"/>
      <c r="E10857" s="202"/>
      <c r="U10857" s="204"/>
    </row>
    <row r="10858" spans="2:21" x14ac:dyDescent="0.2">
      <c r="B10858" s="203"/>
      <c r="C10858" s="237"/>
      <c r="D10858" s="202"/>
      <c r="E10858" s="202"/>
      <c r="U10858" s="204"/>
    </row>
    <row r="10859" spans="2:21" x14ac:dyDescent="0.2">
      <c r="B10859" s="203"/>
      <c r="C10859" s="237"/>
      <c r="D10859" s="202"/>
      <c r="E10859" s="202"/>
      <c r="U10859" s="204"/>
    </row>
    <row r="10860" spans="2:21" x14ac:dyDescent="0.2">
      <c r="B10860" s="203"/>
      <c r="C10860" s="237"/>
      <c r="D10860" s="202"/>
      <c r="E10860" s="202"/>
      <c r="U10860" s="204"/>
    </row>
    <row r="10861" spans="2:21" x14ac:dyDescent="0.2">
      <c r="B10861" s="203"/>
      <c r="C10861" s="237"/>
      <c r="D10861" s="202"/>
      <c r="E10861" s="202"/>
      <c r="U10861" s="204"/>
    </row>
    <row r="10862" spans="2:21" x14ac:dyDescent="0.2">
      <c r="B10862" s="203"/>
      <c r="C10862" s="237"/>
      <c r="D10862" s="202"/>
      <c r="E10862" s="202"/>
      <c r="U10862" s="204"/>
    </row>
    <row r="10863" spans="2:21" x14ac:dyDescent="0.2">
      <c r="B10863" s="203"/>
      <c r="C10863" s="237"/>
      <c r="D10863" s="202"/>
      <c r="E10863" s="202"/>
      <c r="U10863" s="204"/>
    </row>
    <row r="10864" spans="2:21" x14ac:dyDescent="0.2">
      <c r="B10864" s="203"/>
      <c r="C10864" s="237"/>
      <c r="D10864" s="202"/>
      <c r="E10864" s="202"/>
      <c r="U10864" s="204"/>
    </row>
    <row r="10865" spans="2:21" x14ac:dyDescent="0.2">
      <c r="B10865" s="203"/>
      <c r="C10865" s="237"/>
      <c r="D10865" s="202"/>
      <c r="E10865" s="202"/>
      <c r="U10865" s="204"/>
    </row>
    <row r="10866" spans="2:21" x14ac:dyDescent="0.2">
      <c r="B10866" s="203"/>
      <c r="C10866" s="237"/>
      <c r="D10866" s="202"/>
      <c r="E10866" s="202"/>
      <c r="U10866" s="204"/>
    </row>
    <row r="10867" spans="2:21" x14ac:dyDescent="0.2">
      <c r="B10867" s="203"/>
      <c r="C10867" s="237"/>
      <c r="D10867" s="202"/>
      <c r="E10867" s="202"/>
      <c r="U10867" s="204"/>
    </row>
    <row r="10868" spans="2:21" x14ac:dyDescent="0.2">
      <c r="B10868" s="203"/>
      <c r="C10868" s="237"/>
      <c r="D10868" s="202"/>
      <c r="E10868" s="202"/>
      <c r="U10868" s="204"/>
    </row>
    <row r="10869" spans="2:21" x14ac:dyDescent="0.2">
      <c r="B10869" s="203"/>
      <c r="C10869" s="237"/>
      <c r="D10869" s="202"/>
      <c r="E10869" s="202"/>
      <c r="U10869" s="204"/>
    </row>
    <row r="10870" spans="2:21" x14ac:dyDescent="0.2">
      <c r="B10870" s="203"/>
      <c r="C10870" s="237"/>
      <c r="D10870" s="202"/>
      <c r="E10870" s="202"/>
      <c r="U10870" s="204"/>
    </row>
    <row r="10871" spans="2:21" x14ac:dyDescent="0.2">
      <c r="B10871" s="203"/>
      <c r="C10871" s="237"/>
      <c r="D10871" s="202"/>
      <c r="E10871" s="202"/>
      <c r="U10871" s="204"/>
    </row>
    <row r="10872" spans="2:21" x14ac:dyDescent="0.2">
      <c r="B10872" s="203"/>
      <c r="C10872" s="237"/>
      <c r="D10872" s="202"/>
      <c r="E10872" s="202"/>
      <c r="U10872" s="204"/>
    </row>
    <row r="10873" spans="2:21" x14ac:dyDescent="0.2">
      <c r="B10873" s="203"/>
      <c r="C10873" s="237"/>
      <c r="D10873" s="202"/>
      <c r="E10873" s="202"/>
      <c r="U10873" s="204"/>
    </row>
    <row r="10874" spans="2:21" x14ac:dyDescent="0.2">
      <c r="B10874" s="203"/>
      <c r="C10874" s="237"/>
      <c r="D10874" s="202"/>
      <c r="E10874" s="202"/>
      <c r="U10874" s="204"/>
    </row>
    <row r="10875" spans="2:21" x14ac:dyDescent="0.2">
      <c r="B10875" s="203"/>
      <c r="C10875" s="237"/>
      <c r="D10875" s="202"/>
      <c r="E10875" s="202"/>
      <c r="U10875" s="204"/>
    </row>
    <row r="10876" spans="2:21" x14ac:dyDescent="0.2">
      <c r="B10876" s="203"/>
      <c r="C10876" s="237"/>
      <c r="D10876" s="202"/>
      <c r="E10876" s="202"/>
      <c r="U10876" s="204"/>
    </row>
    <row r="10877" spans="2:21" x14ac:dyDescent="0.2">
      <c r="B10877" s="203"/>
      <c r="C10877" s="237"/>
      <c r="D10877" s="202"/>
      <c r="E10877" s="202"/>
      <c r="U10877" s="204"/>
    </row>
    <row r="10878" spans="2:21" x14ac:dyDescent="0.2">
      <c r="B10878" s="203"/>
      <c r="C10878" s="237"/>
      <c r="D10878" s="202"/>
      <c r="E10878" s="202"/>
      <c r="U10878" s="204"/>
    </row>
    <row r="10879" spans="2:21" x14ac:dyDescent="0.2">
      <c r="B10879" s="203"/>
      <c r="C10879" s="237"/>
      <c r="D10879" s="202"/>
      <c r="E10879" s="202"/>
      <c r="U10879" s="204"/>
    </row>
    <row r="10880" spans="2:21" x14ac:dyDescent="0.2">
      <c r="B10880" s="203"/>
      <c r="C10880" s="237"/>
      <c r="D10880" s="202"/>
      <c r="E10880" s="202"/>
      <c r="U10880" s="204"/>
    </row>
    <row r="10881" spans="2:21" x14ac:dyDescent="0.2">
      <c r="B10881" s="203"/>
      <c r="C10881" s="237"/>
      <c r="D10881" s="202"/>
      <c r="E10881" s="202"/>
      <c r="U10881" s="204"/>
    </row>
    <row r="10882" spans="2:21" x14ac:dyDescent="0.2">
      <c r="B10882" s="203"/>
      <c r="C10882" s="237"/>
      <c r="D10882" s="202"/>
      <c r="E10882" s="202"/>
      <c r="U10882" s="204"/>
    </row>
    <row r="10883" spans="2:21" x14ac:dyDescent="0.2">
      <c r="B10883" s="203"/>
      <c r="C10883" s="237"/>
      <c r="D10883" s="202"/>
      <c r="E10883" s="202"/>
      <c r="U10883" s="204"/>
    </row>
    <row r="10884" spans="2:21" x14ac:dyDescent="0.2">
      <c r="B10884" s="203"/>
      <c r="C10884" s="237"/>
      <c r="D10884" s="202"/>
      <c r="E10884" s="202"/>
      <c r="U10884" s="204"/>
    </row>
    <row r="10885" spans="2:21" x14ac:dyDescent="0.2">
      <c r="B10885" s="203"/>
      <c r="C10885" s="237"/>
      <c r="D10885" s="202"/>
      <c r="E10885" s="202"/>
      <c r="U10885" s="204"/>
    </row>
    <row r="10886" spans="2:21" x14ac:dyDescent="0.2">
      <c r="B10886" s="203"/>
      <c r="C10886" s="237"/>
      <c r="D10886" s="202"/>
      <c r="E10886" s="202"/>
      <c r="U10886" s="204"/>
    </row>
    <row r="10887" spans="2:21" x14ac:dyDescent="0.2">
      <c r="B10887" s="203"/>
      <c r="C10887" s="237"/>
      <c r="D10887" s="202"/>
      <c r="E10887" s="202"/>
      <c r="U10887" s="204"/>
    </row>
    <row r="10888" spans="2:21" x14ac:dyDescent="0.2">
      <c r="B10888" s="203"/>
      <c r="C10888" s="237"/>
      <c r="D10888" s="202"/>
      <c r="E10888" s="202"/>
      <c r="U10888" s="204"/>
    </row>
    <row r="10889" spans="2:21" x14ac:dyDescent="0.2">
      <c r="B10889" s="203"/>
      <c r="C10889" s="237"/>
      <c r="D10889" s="202"/>
      <c r="E10889" s="202"/>
      <c r="U10889" s="204"/>
    </row>
    <row r="10890" spans="2:21" x14ac:dyDescent="0.2">
      <c r="B10890" s="203"/>
      <c r="C10890" s="237"/>
      <c r="D10890" s="202"/>
      <c r="E10890" s="202"/>
      <c r="U10890" s="204"/>
    </row>
    <row r="10891" spans="2:21" x14ac:dyDescent="0.2">
      <c r="B10891" s="203"/>
      <c r="C10891" s="237"/>
      <c r="D10891" s="202"/>
      <c r="E10891" s="202"/>
      <c r="U10891" s="204"/>
    </row>
    <row r="10892" spans="2:21" x14ac:dyDescent="0.2">
      <c r="B10892" s="203"/>
      <c r="C10892" s="237"/>
      <c r="D10892" s="202"/>
      <c r="E10892" s="202"/>
      <c r="U10892" s="204"/>
    </row>
    <row r="10893" spans="2:21" x14ac:dyDescent="0.2">
      <c r="B10893" s="203"/>
      <c r="C10893" s="237"/>
      <c r="D10893" s="202"/>
      <c r="E10893" s="202"/>
      <c r="U10893" s="204"/>
    </row>
    <row r="10894" spans="2:21" x14ac:dyDescent="0.2">
      <c r="B10894" s="203"/>
      <c r="C10894" s="237"/>
      <c r="D10894" s="202"/>
      <c r="E10894" s="202"/>
      <c r="U10894" s="204"/>
    </row>
    <row r="10895" spans="2:21" x14ac:dyDescent="0.2">
      <c r="B10895" s="203"/>
      <c r="C10895" s="237"/>
      <c r="D10895" s="202"/>
      <c r="E10895" s="202"/>
      <c r="U10895" s="204"/>
    </row>
    <row r="10896" spans="2:21" x14ac:dyDescent="0.2">
      <c r="B10896" s="203"/>
      <c r="C10896" s="237"/>
      <c r="D10896" s="202"/>
      <c r="E10896" s="202"/>
      <c r="U10896" s="204"/>
    </row>
    <row r="10897" spans="2:21" x14ac:dyDescent="0.2">
      <c r="B10897" s="203"/>
      <c r="C10897" s="237"/>
      <c r="D10897" s="202"/>
      <c r="E10897" s="202"/>
      <c r="U10897" s="204"/>
    </row>
    <row r="10898" spans="2:21" x14ac:dyDescent="0.2">
      <c r="B10898" s="203"/>
      <c r="C10898" s="237"/>
      <c r="D10898" s="202"/>
      <c r="E10898" s="202"/>
      <c r="U10898" s="204"/>
    </row>
    <row r="10899" spans="2:21" x14ac:dyDescent="0.2">
      <c r="B10899" s="203"/>
      <c r="C10899" s="237"/>
      <c r="D10899" s="202"/>
      <c r="E10899" s="202"/>
      <c r="U10899" s="204"/>
    </row>
    <row r="10900" spans="2:21" x14ac:dyDescent="0.2">
      <c r="B10900" s="203"/>
      <c r="C10900" s="237"/>
      <c r="D10900" s="202"/>
      <c r="E10900" s="202"/>
      <c r="U10900" s="204"/>
    </row>
    <row r="10901" spans="2:21" x14ac:dyDescent="0.2">
      <c r="B10901" s="203"/>
      <c r="C10901" s="237"/>
      <c r="D10901" s="202"/>
      <c r="E10901" s="202"/>
      <c r="U10901" s="204"/>
    </row>
    <row r="10902" spans="2:21" x14ac:dyDescent="0.2">
      <c r="B10902" s="203"/>
      <c r="C10902" s="237"/>
      <c r="D10902" s="202"/>
      <c r="E10902" s="202"/>
      <c r="U10902" s="204"/>
    </row>
    <row r="10903" spans="2:21" x14ac:dyDescent="0.2">
      <c r="B10903" s="203"/>
      <c r="C10903" s="237"/>
      <c r="D10903" s="202"/>
      <c r="E10903" s="202"/>
      <c r="U10903" s="204"/>
    </row>
    <row r="10904" spans="2:21" x14ac:dyDescent="0.2">
      <c r="B10904" s="203"/>
      <c r="C10904" s="237"/>
      <c r="D10904" s="202"/>
      <c r="E10904" s="202"/>
      <c r="U10904" s="204"/>
    </row>
    <row r="10905" spans="2:21" x14ac:dyDescent="0.2">
      <c r="B10905" s="203"/>
      <c r="C10905" s="237"/>
      <c r="D10905" s="202"/>
      <c r="E10905" s="202"/>
      <c r="U10905" s="204"/>
    </row>
    <row r="10906" spans="2:21" x14ac:dyDescent="0.2">
      <c r="B10906" s="203"/>
      <c r="C10906" s="237"/>
      <c r="D10906" s="202"/>
      <c r="E10906" s="202"/>
      <c r="U10906" s="204"/>
    </row>
    <row r="10907" spans="2:21" x14ac:dyDescent="0.2">
      <c r="B10907" s="203"/>
      <c r="C10907" s="237"/>
      <c r="D10907" s="202"/>
      <c r="E10907" s="202"/>
      <c r="U10907" s="204"/>
    </row>
    <row r="10908" spans="2:21" x14ac:dyDescent="0.2">
      <c r="B10908" s="203"/>
      <c r="C10908" s="237"/>
      <c r="D10908" s="202"/>
      <c r="E10908" s="202"/>
      <c r="U10908" s="204"/>
    </row>
    <row r="10909" spans="2:21" x14ac:dyDescent="0.2">
      <c r="B10909" s="203"/>
      <c r="C10909" s="237"/>
      <c r="D10909" s="202"/>
      <c r="E10909" s="202"/>
      <c r="U10909" s="204"/>
    </row>
    <row r="10910" spans="2:21" x14ac:dyDescent="0.2">
      <c r="B10910" s="203"/>
      <c r="C10910" s="237"/>
      <c r="D10910" s="202"/>
      <c r="E10910" s="202"/>
      <c r="U10910" s="204"/>
    </row>
    <row r="10911" spans="2:21" x14ac:dyDescent="0.2">
      <c r="B10911" s="203"/>
      <c r="C10911" s="237"/>
      <c r="D10911" s="202"/>
      <c r="E10911" s="202"/>
      <c r="U10911" s="204"/>
    </row>
    <row r="10912" spans="2:21" x14ac:dyDescent="0.2">
      <c r="B10912" s="203"/>
      <c r="C10912" s="237"/>
      <c r="D10912" s="202"/>
      <c r="E10912" s="202"/>
      <c r="U10912" s="204"/>
    </row>
    <row r="10913" spans="2:21" x14ac:dyDescent="0.2">
      <c r="B10913" s="203"/>
      <c r="C10913" s="237"/>
      <c r="D10913" s="202"/>
      <c r="E10913" s="202"/>
      <c r="U10913" s="204"/>
    </row>
    <row r="10914" spans="2:21" x14ac:dyDescent="0.2">
      <c r="B10914" s="203"/>
      <c r="C10914" s="237"/>
      <c r="D10914" s="202"/>
      <c r="E10914" s="202"/>
      <c r="U10914" s="204"/>
    </row>
    <row r="10915" spans="2:21" x14ac:dyDescent="0.2">
      <c r="B10915" s="203"/>
      <c r="C10915" s="237"/>
      <c r="D10915" s="202"/>
      <c r="E10915" s="202"/>
      <c r="U10915" s="204"/>
    </row>
    <row r="10916" spans="2:21" x14ac:dyDescent="0.2">
      <c r="B10916" s="203"/>
      <c r="C10916" s="237"/>
      <c r="D10916" s="202"/>
      <c r="E10916" s="202"/>
      <c r="U10916" s="204"/>
    </row>
    <row r="10917" spans="2:21" x14ac:dyDescent="0.2">
      <c r="B10917" s="203"/>
      <c r="C10917" s="237"/>
      <c r="D10917" s="202"/>
      <c r="E10917" s="202"/>
      <c r="U10917" s="204"/>
    </row>
    <row r="10918" spans="2:21" x14ac:dyDescent="0.2">
      <c r="B10918" s="203"/>
      <c r="C10918" s="237"/>
      <c r="D10918" s="202"/>
      <c r="E10918" s="202"/>
      <c r="U10918" s="204"/>
    </row>
    <row r="10919" spans="2:21" x14ac:dyDescent="0.2">
      <c r="B10919" s="203"/>
      <c r="C10919" s="237"/>
      <c r="D10919" s="202"/>
      <c r="E10919" s="202"/>
      <c r="U10919" s="204"/>
    </row>
    <row r="10920" spans="2:21" x14ac:dyDescent="0.2">
      <c r="B10920" s="203"/>
      <c r="C10920" s="237"/>
      <c r="D10920" s="202"/>
      <c r="E10920" s="202"/>
      <c r="U10920" s="204"/>
    </row>
    <row r="10921" spans="2:21" x14ac:dyDescent="0.2">
      <c r="B10921" s="203"/>
      <c r="C10921" s="237"/>
      <c r="D10921" s="202"/>
      <c r="E10921" s="202"/>
      <c r="U10921" s="204"/>
    </row>
    <row r="10922" spans="2:21" x14ac:dyDescent="0.2">
      <c r="B10922" s="203"/>
      <c r="C10922" s="237"/>
      <c r="D10922" s="202"/>
      <c r="E10922" s="202"/>
      <c r="U10922" s="204"/>
    </row>
    <row r="10923" spans="2:21" x14ac:dyDescent="0.2">
      <c r="B10923" s="203"/>
      <c r="C10923" s="237"/>
      <c r="D10923" s="202"/>
      <c r="E10923" s="202"/>
      <c r="U10923" s="204"/>
    </row>
    <row r="10924" spans="2:21" x14ac:dyDescent="0.2">
      <c r="B10924" s="203"/>
      <c r="C10924" s="237"/>
      <c r="D10924" s="202"/>
      <c r="E10924" s="202"/>
      <c r="U10924" s="204"/>
    </row>
    <row r="10925" spans="2:21" x14ac:dyDescent="0.2">
      <c r="B10925" s="203"/>
      <c r="C10925" s="237"/>
      <c r="D10925" s="202"/>
      <c r="E10925" s="202"/>
      <c r="U10925" s="204"/>
    </row>
    <row r="10926" spans="2:21" x14ac:dyDescent="0.2">
      <c r="B10926" s="203"/>
      <c r="C10926" s="237"/>
      <c r="D10926" s="202"/>
      <c r="E10926" s="202"/>
      <c r="U10926" s="204"/>
    </row>
    <row r="10927" spans="2:21" x14ac:dyDescent="0.2">
      <c r="B10927" s="203"/>
      <c r="C10927" s="237"/>
      <c r="D10927" s="202"/>
      <c r="E10927" s="202"/>
      <c r="U10927" s="204"/>
    </row>
    <row r="10928" spans="2:21" x14ac:dyDescent="0.2">
      <c r="B10928" s="203"/>
      <c r="C10928" s="237"/>
      <c r="D10928" s="202"/>
      <c r="E10928" s="202"/>
      <c r="U10928" s="204"/>
    </row>
    <row r="10929" spans="2:21" x14ac:dyDescent="0.2">
      <c r="B10929" s="203"/>
      <c r="C10929" s="237"/>
      <c r="D10929" s="202"/>
      <c r="E10929" s="202"/>
      <c r="U10929" s="204"/>
    </row>
    <row r="10930" spans="2:21" x14ac:dyDescent="0.2">
      <c r="B10930" s="203"/>
      <c r="C10930" s="237"/>
      <c r="D10930" s="202"/>
      <c r="E10930" s="202"/>
      <c r="U10930" s="204"/>
    </row>
    <row r="10931" spans="2:21" x14ac:dyDescent="0.2">
      <c r="B10931" s="203"/>
      <c r="C10931" s="237"/>
      <c r="D10931" s="202"/>
      <c r="E10931" s="202"/>
      <c r="U10931" s="204"/>
    </row>
    <row r="10932" spans="2:21" x14ac:dyDescent="0.2">
      <c r="B10932" s="203"/>
      <c r="C10932" s="237"/>
      <c r="D10932" s="202"/>
      <c r="E10932" s="202"/>
      <c r="U10932" s="204"/>
    </row>
    <row r="10933" spans="2:21" x14ac:dyDescent="0.2">
      <c r="B10933" s="203"/>
      <c r="C10933" s="237"/>
      <c r="D10933" s="202"/>
      <c r="E10933" s="202"/>
      <c r="U10933" s="204"/>
    </row>
    <row r="10934" spans="2:21" x14ac:dyDescent="0.2">
      <c r="B10934" s="203"/>
      <c r="C10934" s="237"/>
      <c r="D10934" s="202"/>
      <c r="E10934" s="202"/>
      <c r="U10934" s="204"/>
    </row>
    <row r="10935" spans="2:21" x14ac:dyDescent="0.2">
      <c r="B10935" s="203"/>
      <c r="C10935" s="237"/>
      <c r="D10935" s="202"/>
      <c r="E10935" s="202"/>
      <c r="U10935" s="204"/>
    </row>
    <row r="10936" spans="2:21" x14ac:dyDescent="0.2">
      <c r="B10936" s="203"/>
      <c r="C10936" s="237"/>
      <c r="D10936" s="202"/>
      <c r="E10936" s="202"/>
      <c r="U10936" s="204"/>
    </row>
    <row r="10937" spans="2:21" x14ac:dyDescent="0.2">
      <c r="B10937" s="203"/>
      <c r="C10937" s="237"/>
      <c r="D10937" s="202"/>
      <c r="E10937" s="202"/>
      <c r="U10937" s="204"/>
    </row>
    <row r="10938" spans="2:21" x14ac:dyDescent="0.2">
      <c r="B10938" s="203"/>
      <c r="C10938" s="237"/>
      <c r="D10938" s="202"/>
      <c r="E10938" s="202"/>
      <c r="U10938" s="204"/>
    </row>
    <row r="10939" spans="2:21" x14ac:dyDescent="0.2">
      <c r="B10939" s="203"/>
      <c r="C10939" s="237"/>
      <c r="D10939" s="202"/>
      <c r="E10939" s="202"/>
      <c r="U10939" s="204"/>
    </row>
    <row r="10940" spans="2:21" x14ac:dyDescent="0.2">
      <c r="B10940" s="203"/>
      <c r="C10940" s="237"/>
      <c r="D10940" s="202"/>
      <c r="E10940" s="202"/>
      <c r="U10940" s="204"/>
    </row>
    <row r="10941" spans="2:21" x14ac:dyDescent="0.2">
      <c r="B10941" s="203"/>
      <c r="C10941" s="237"/>
      <c r="D10941" s="202"/>
      <c r="E10941" s="202"/>
      <c r="U10941" s="204"/>
    </row>
    <row r="10942" spans="2:21" x14ac:dyDescent="0.2">
      <c r="B10942" s="203"/>
      <c r="C10942" s="237"/>
      <c r="D10942" s="202"/>
      <c r="E10942" s="202"/>
      <c r="U10942" s="204"/>
    </row>
    <row r="10943" spans="2:21" x14ac:dyDescent="0.2">
      <c r="B10943" s="203"/>
      <c r="C10943" s="237"/>
      <c r="D10943" s="202"/>
      <c r="E10943" s="202"/>
      <c r="U10943" s="204"/>
    </row>
    <row r="10944" spans="2:21" x14ac:dyDescent="0.2">
      <c r="B10944" s="203"/>
      <c r="C10944" s="237"/>
      <c r="D10944" s="202"/>
      <c r="E10944" s="202"/>
      <c r="U10944" s="204"/>
    </row>
    <row r="10945" spans="2:21" x14ac:dyDescent="0.2">
      <c r="B10945" s="203"/>
      <c r="C10945" s="237"/>
      <c r="D10945" s="202"/>
      <c r="E10945" s="202"/>
      <c r="U10945" s="204"/>
    </row>
    <row r="10946" spans="2:21" x14ac:dyDescent="0.2">
      <c r="B10946" s="203"/>
      <c r="C10946" s="237"/>
      <c r="D10946" s="202"/>
      <c r="E10946" s="202"/>
      <c r="U10946" s="204"/>
    </row>
    <row r="10947" spans="2:21" x14ac:dyDescent="0.2">
      <c r="B10947" s="203"/>
      <c r="C10947" s="237"/>
      <c r="D10947" s="202"/>
      <c r="E10947" s="202"/>
      <c r="U10947" s="204"/>
    </row>
    <row r="10948" spans="2:21" x14ac:dyDescent="0.2">
      <c r="B10948" s="203"/>
      <c r="C10948" s="237"/>
      <c r="D10948" s="202"/>
      <c r="E10948" s="202"/>
      <c r="U10948" s="204"/>
    </row>
    <row r="10949" spans="2:21" x14ac:dyDescent="0.2">
      <c r="B10949" s="203"/>
      <c r="C10949" s="237"/>
      <c r="D10949" s="202"/>
      <c r="E10949" s="202"/>
      <c r="U10949" s="204"/>
    </row>
    <row r="10950" spans="2:21" x14ac:dyDescent="0.2">
      <c r="B10950" s="203"/>
      <c r="C10950" s="237"/>
      <c r="D10950" s="202"/>
      <c r="E10950" s="202"/>
      <c r="U10950" s="204"/>
    </row>
    <row r="10951" spans="2:21" x14ac:dyDescent="0.2">
      <c r="B10951" s="203"/>
      <c r="C10951" s="237"/>
      <c r="D10951" s="202"/>
      <c r="E10951" s="202"/>
      <c r="U10951" s="204"/>
    </row>
    <row r="10952" spans="2:21" x14ac:dyDescent="0.2">
      <c r="B10952" s="203"/>
      <c r="C10952" s="237"/>
      <c r="D10952" s="202"/>
      <c r="E10952" s="202"/>
      <c r="U10952" s="204"/>
    </row>
    <row r="10953" spans="2:21" x14ac:dyDescent="0.2">
      <c r="B10953" s="203"/>
      <c r="C10953" s="237"/>
      <c r="D10953" s="202"/>
      <c r="E10953" s="202"/>
      <c r="U10953" s="204"/>
    </row>
    <row r="10954" spans="2:21" x14ac:dyDescent="0.2">
      <c r="B10954" s="203"/>
      <c r="C10954" s="237"/>
      <c r="D10954" s="202"/>
      <c r="E10954" s="202"/>
      <c r="U10954" s="204"/>
    </row>
    <row r="10955" spans="2:21" x14ac:dyDescent="0.2">
      <c r="B10955" s="203"/>
      <c r="C10955" s="237"/>
      <c r="D10955" s="202"/>
      <c r="E10955" s="202"/>
      <c r="U10955" s="204"/>
    </row>
    <row r="10956" spans="2:21" x14ac:dyDescent="0.2">
      <c r="B10956" s="203"/>
      <c r="C10956" s="237"/>
      <c r="D10956" s="202"/>
      <c r="E10956" s="202"/>
      <c r="U10956" s="204"/>
    </row>
    <row r="10957" spans="2:21" x14ac:dyDescent="0.2">
      <c r="B10957" s="203"/>
      <c r="C10957" s="237"/>
      <c r="D10957" s="202"/>
      <c r="E10957" s="202"/>
      <c r="U10957" s="204"/>
    </row>
    <row r="10958" spans="2:21" x14ac:dyDescent="0.2">
      <c r="B10958" s="203"/>
      <c r="C10958" s="237"/>
      <c r="D10958" s="202"/>
      <c r="E10958" s="202"/>
      <c r="U10958" s="204"/>
    </row>
    <row r="10959" spans="2:21" x14ac:dyDescent="0.2">
      <c r="B10959" s="203"/>
      <c r="C10959" s="237"/>
      <c r="D10959" s="202"/>
      <c r="E10959" s="202"/>
      <c r="U10959" s="204"/>
    </row>
    <row r="10960" spans="2:21" x14ac:dyDescent="0.2">
      <c r="B10960" s="203"/>
      <c r="C10960" s="237"/>
      <c r="D10960" s="202"/>
      <c r="E10960" s="202"/>
      <c r="U10960" s="204"/>
    </row>
    <row r="10961" spans="2:21" x14ac:dyDescent="0.2">
      <c r="B10961" s="203"/>
      <c r="C10961" s="237"/>
      <c r="D10961" s="202"/>
      <c r="E10961" s="202"/>
      <c r="U10961" s="204"/>
    </row>
    <row r="10962" spans="2:21" x14ac:dyDescent="0.2">
      <c r="B10962" s="203"/>
      <c r="C10962" s="237"/>
      <c r="D10962" s="202"/>
      <c r="E10962" s="202"/>
      <c r="U10962" s="204"/>
    </row>
    <row r="10963" spans="2:21" x14ac:dyDescent="0.2">
      <c r="B10963" s="203"/>
      <c r="C10963" s="237"/>
      <c r="D10963" s="202"/>
      <c r="E10963" s="202"/>
      <c r="U10963" s="204"/>
    </row>
    <row r="10964" spans="2:21" x14ac:dyDescent="0.2">
      <c r="B10964" s="203"/>
      <c r="C10964" s="237"/>
      <c r="D10964" s="202"/>
      <c r="E10964" s="202"/>
      <c r="U10964" s="204"/>
    </row>
    <row r="10965" spans="2:21" x14ac:dyDescent="0.2">
      <c r="B10965" s="203"/>
      <c r="C10965" s="237"/>
      <c r="D10965" s="202"/>
      <c r="E10965" s="202"/>
      <c r="U10965" s="204"/>
    </row>
    <row r="10966" spans="2:21" x14ac:dyDescent="0.2">
      <c r="B10966" s="203"/>
      <c r="C10966" s="237"/>
      <c r="D10966" s="202"/>
      <c r="E10966" s="202"/>
      <c r="U10966" s="204"/>
    </row>
    <row r="10967" spans="2:21" x14ac:dyDescent="0.2">
      <c r="B10967" s="203"/>
      <c r="C10967" s="237"/>
      <c r="D10967" s="202"/>
      <c r="E10967" s="202"/>
      <c r="U10967" s="204"/>
    </row>
    <row r="10968" spans="2:21" x14ac:dyDescent="0.2">
      <c r="B10968" s="203"/>
      <c r="C10968" s="237"/>
      <c r="D10968" s="202"/>
      <c r="E10968" s="202"/>
      <c r="U10968" s="204"/>
    </row>
    <row r="10969" spans="2:21" x14ac:dyDescent="0.2">
      <c r="B10969" s="203"/>
      <c r="C10969" s="237"/>
      <c r="D10969" s="202"/>
      <c r="E10969" s="202"/>
      <c r="U10969" s="204"/>
    </row>
    <row r="10970" spans="2:21" x14ac:dyDescent="0.2">
      <c r="B10970" s="203"/>
      <c r="C10970" s="237"/>
      <c r="D10970" s="202"/>
      <c r="E10970" s="202"/>
      <c r="U10970" s="204"/>
    </row>
    <row r="10971" spans="2:21" x14ac:dyDescent="0.2">
      <c r="B10971" s="203"/>
      <c r="C10971" s="237"/>
      <c r="D10971" s="202"/>
      <c r="E10971" s="202"/>
      <c r="U10971" s="204"/>
    </row>
    <row r="10972" spans="2:21" x14ac:dyDescent="0.2">
      <c r="B10972" s="203"/>
      <c r="C10972" s="237"/>
      <c r="D10972" s="202"/>
      <c r="E10972" s="202"/>
      <c r="U10972" s="204"/>
    </row>
    <row r="10973" spans="2:21" x14ac:dyDescent="0.2">
      <c r="B10973" s="203"/>
      <c r="C10973" s="237"/>
      <c r="D10973" s="202"/>
      <c r="E10973" s="202"/>
      <c r="U10973" s="204"/>
    </row>
    <row r="10974" spans="2:21" x14ac:dyDescent="0.2">
      <c r="B10974" s="203"/>
      <c r="C10974" s="237"/>
      <c r="D10974" s="202"/>
      <c r="E10974" s="202"/>
      <c r="U10974" s="204"/>
    </row>
    <row r="10975" spans="2:21" x14ac:dyDescent="0.2">
      <c r="B10975" s="203"/>
      <c r="C10975" s="237"/>
      <c r="D10975" s="202"/>
      <c r="E10975" s="202"/>
      <c r="U10975" s="204"/>
    </row>
    <row r="10976" spans="2:21" x14ac:dyDescent="0.2">
      <c r="B10976" s="203"/>
      <c r="C10976" s="237"/>
      <c r="D10976" s="202"/>
      <c r="E10976" s="202"/>
      <c r="U10976" s="204"/>
    </row>
    <row r="10977" spans="2:21" x14ac:dyDescent="0.2">
      <c r="B10977" s="203"/>
      <c r="C10977" s="237"/>
      <c r="D10977" s="202"/>
      <c r="E10977" s="202"/>
      <c r="U10977" s="204"/>
    </row>
    <row r="10978" spans="2:21" x14ac:dyDescent="0.2">
      <c r="B10978" s="203"/>
      <c r="C10978" s="237"/>
      <c r="D10978" s="202"/>
      <c r="E10978" s="202"/>
      <c r="U10978" s="204"/>
    </row>
    <row r="10979" spans="2:21" x14ac:dyDescent="0.2">
      <c r="B10979" s="203"/>
      <c r="C10979" s="237"/>
      <c r="D10979" s="202"/>
      <c r="E10979" s="202"/>
      <c r="U10979" s="204"/>
    </row>
    <row r="10980" spans="2:21" x14ac:dyDescent="0.2">
      <c r="B10980" s="203"/>
      <c r="C10980" s="237"/>
      <c r="D10980" s="202"/>
      <c r="E10980" s="202"/>
      <c r="U10980" s="204"/>
    </row>
    <row r="10981" spans="2:21" x14ac:dyDescent="0.2">
      <c r="B10981" s="203"/>
      <c r="C10981" s="237"/>
      <c r="D10981" s="202"/>
      <c r="E10981" s="202"/>
      <c r="U10981" s="204"/>
    </row>
    <row r="10982" spans="2:21" x14ac:dyDescent="0.2">
      <c r="B10982" s="203"/>
      <c r="C10982" s="237"/>
      <c r="D10982" s="202"/>
      <c r="E10982" s="202"/>
      <c r="U10982" s="204"/>
    </row>
    <row r="10983" spans="2:21" x14ac:dyDescent="0.2">
      <c r="B10983" s="203"/>
      <c r="C10983" s="237"/>
      <c r="D10983" s="202"/>
      <c r="E10983" s="202"/>
      <c r="U10983" s="204"/>
    </row>
    <row r="10984" spans="2:21" x14ac:dyDescent="0.2">
      <c r="B10984" s="203"/>
      <c r="C10984" s="237"/>
      <c r="D10984" s="202"/>
      <c r="E10984" s="202"/>
      <c r="U10984" s="204"/>
    </row>
    <row r="10985" spans="2:21" x14ac:dyDescent="0.2">
      <c r="B10985" s="203"/>
      <c r="C10985" s="237"/>
      <c r="D10985" s="202"/>
      <c r="E10985" s="202"/>
      <c r="U10985" s="204"/>
    </row>
    <row r="10986" spans="2:21" x14ac:dyDescent="0.2">
      <c r="B10986" s="203"/>
      <c r="C10986" s="237"/>
      <c r="D10986" s="202"/>
      <c r="E10986" s="202"/>
      <c r="U10986" s="204"/>
    </row>
    <row r="10987" spans="2:21" x14ac:dyDescent="0.2">
      <c r="B10987" s="203"/>
      <c r="C10987" s="237"/>
      <c r="D10987" s="202"/>
      <c r="E10987" s="202"/>
      <c r="U10987" s="204"/>
    </row>
    <row r="10988" spans="2:21" x14ac:dyDescent="0.2">
      <c r="B10988" s="203"/>
      <c r="C10988" s="237"/>
      <c r="D10988" s="202"/>
      <c r="E10988" s="202"/>
      <c r="U10988" s="204"/>
    </row>
    <row r="10989" spans="2:21" x14ac:dyDescent="0.2">
      <c r="B10989" s="203"/>
      <c r="C10989" s="237"/>
      <c r="D10989" s="202"/>
      <c r="E10989" s="202"/>
      <c r="U10989" s="204"/>
    </row>
    <row r="10990" spans="2:21" x14ac:dyDescent="0.2">
      <c r="B10990" s="203"/>
      <c r="C10990" s="237"/>
      <c r="D10990" s="202"/>
      <c r="E10990" s="202"/>
      <c r="U10990" s="204"/>
    </row>
    <row r="10991" spans="2:21" x14ac:dyDescent="0.2">
      <c r="B10991" s="203"/>
      <c r="C10991" s="237"/>
      <c r="D10991" s="202"/>
      <c r="E10991" s="202"/>
      <c r="U10991" s="204"/>
    </row>
    <row r="10992" spans="2:21" x14ac:dyDescent="0.2">
      <c r="B10992" s="203"/>
      <c r="C10992" s="237"/>
      <c r="D10992" s="202"/>
      <c r="E10992" s="202"/>
      <c r="U10992" s="204"/>
    </row>
    <row r="10993" spans="2:21" x14ac:dyDescent="0.2">
      <c r="B10993" s="203"/>
      <c r="C10993" s="237"/>
      <c r="D10993" s="202"/>
      <c r="E10993" s="202"/>
      <c r="U10993" s="204"/>
    </row>
    <row r="10994" spans="2:21" x14ac:dyDescent="0.2">
      <c r="B10994" s="203"/>
      <c r="C10994" s="237"/>
      <c r="D10994" s="202"/>
      <c r="E10994" s="202"/>
      <c r="U10994" s="204"/>
    </row>
    <row r="10995" spans="2:21" x14ac:dyDescent="0.2">
      <c r="B10995" s="203"/>
      <c r="C10995" s="237"/>
      <c r="D10995" s="202"/>
      <c r="E10995" s="202"/>
      <c r="U10995" s="204"/>
    </row>
    <row r="10996" spans="2:21" x14ac:dyDescent="0.2">
      <c r="B10996" s="203"/>
      <c r="C10996" s="237"/>
      <c r="D10996" s="202"/>
      <c r="E10996" s="202"/>
      <c r="U10996" s="204"/>
    </row>
    <row r="10997" spans="2:21" x14ac:dyDescent="0.2">
      <c r="B10997" s="203"/>
      <c r="C10997" s="237"/>
      <c r="D10997" s="202"/>
      <c r="E10997" s="202"/>
      <c r="U10997" s="204"/>
    </row>
    <row r="10998" spans="2:21" x14ac:dyDescent="0.2">
      <c r="B10998" s="203"/>
      <c r="C10998" s="237"/>
      <c r="D10998" s="202"/>
      <c r="E10998" s="202"/>
      <c r="U10998" s="204"/>
    </row>
    <row r="10999" spans="2:21" x14ac:dyDescent="0.2">
      <c r="B10999" s="203"/>
      <c r="C10999" s="237"/>
      <c r="D10999" s="202"/>
      <c r="E10999" s="202"/>
      <c r="U10999" s="204"/>
    </row>
    <row r="11000" spans="2:21" x14ac:dyDescent="0.2">
      <c r="B11000" s="203"/>
      <c r="C11000" s="237"/>
      <c r="D11000" s="202"/>
      <c r="E11000" s="202"/>
      <c r="U11000" s="204"/>
    </row>
    <row r="11001" spans="2:21" x14ac:dyDescent="0.2">
      <c r="B11001" s="203"/>
      <c r="C11001" s="237"/>
      <c r="D11001" s="202"/>
      <c r="E11001" s="202"/>
      <c r="U11001" s="204"/>
    </row>
    <row r="11002" spans="2:21" x14ac:dyDescent="0.2">
      <c r="B11002" s="203"/>
      <c r="C11002" s="237"/>
      <c r="D11002" s="202"/>
      <c r="E11002" s="202"/>
      <c r="U11002" s="204"/>
    </row>
    <row r="11003" spans="2:21" x14ac:dyDescent="0.2">
      <c r="B11003" s="203"/>
      <c r="C11003" s="237"/>
      <c r="D11003" s="202"/>
      <c r="E11003" s="202"/>
      <c r="U11003" s="204"/>
    </row>
    <row r="11004" spans="2:21" x14ac:dyDescent="0.2">
      <c r="B11004" s="203"/>
      <c r="C11004" s="237"/>
      <c r="D11004" s="202"/>
      <c r="E11004" s="202"/>
      <c r="U11004" s="204"/>
    </row>
    <row r="11005" spans="2:21" x14ac:dyDescent="0.2">
      <c r="B11005" s="203"/>
      <c r="C11005" s="237"/>
      <c r="D11005" s="202"/>
      <c r="E11005" s="202"/>
      <c r="U11005" s="204"/>
    </row>
    <row r="11006" spans="2:21" x14ac:dyDescent="0.2">
      <c r="B11006" s="203"/>
      <c r="C11006" s="237"/>
      <c r="D11006" s="202"/>
      <c r="E11006" s="202"/>
      <c r="U11006" s="204"/>
    </row>
    <row r="11007" spans="2:21" x14ac:dyDescent="0.2">
      <c r="B11007" s="203"/>
      <c r="C11007" s="237"/>
      <c r="D11007" s="202"/>
      <c r="E11007" s="202"/>
      <c r="U11007" s="204"/>
    </row>
    <row r="11008" spans="2:21" x14ac:dyDescent="0.2">
      <c r="B11008" s="203"/>
      <c r="C11008" s="237"/>
      <c r="D11008" s="202"/>
      <c r="E11008" s="202"/>
      <c r="U11008" s="204"/>
    </row>
    <row r="11009" spans="2:21" x14ac:dyDescent="0.2">
      <c r="B11009" s="203"/>
      <c r="C11009" s="237"/>
      <c r="D11009" s="202"/>
      <c r="E11009" s="202"/>
      <c r="U11009" s="204"/>
    </row>
    <row r="11010" spans="2:21" x14ac:dyDescent="0.2">
      <c r="B11010" s="203"/>
      <c r="C11010" s="237"/>
      <c r="D11010" s="202"/>
      <c r="E11010" s="202"/>
      <c r="U11010" s="204"/>
    </row>
    <row r="11011" spans="2:21" x14ac:dyDescent="0.2">
      <c r="B11011" s="203"/>
      <c r="C11011" s="237"/>
      <c r="D11011" s="202"/>
      <c r="E11011" s="202"/>
      <c r="U11011" s="204"/>
    </row>
    <row r="11012" spans="2:21" x14ac:dyDescent="0.2">
      <c r="B11012" s="203"/>
      <c r="C11012" s="237"/>
      <c r="D11012" s="202"/>
      <c r="E11012" s="202"/>
      <c r="U11012" s="204"/>
    </row>
    <row r="11013" spans="2:21" x14ac:dyDescent="0.2">
      <c r="B11013" s="203"/>
      <c r="C11013" s="237"/>
      <c r="D11013" s="202"/>
      <c r="E11013" s="202"/>
      <c r="U11013" s="204"/>
    </row>
    <row r="11014" spans="2:21" x14ac:dyDescent="0.2">
      <c r="B11014" s="203"/>
      <c r="C11014" s="237"/>
      <c r="D11014" s="202"/>
      <c r="E11014" s="202"/>
      <c r="U11014" s="204"/>
    </row>
    <row r="11015" spans="2:21" x14ac:dyDescent="0.2">
      <c r="B11015" s="203"/>
      <c r="C11015" s="237"/>
      <c r="D11015" s="202"/>
      <c r="E11015" s="202"/>
      <c r="U11015" s="204"/>
    </row>
    <row r="11016" spans="2:21" x14ac:dyDescent="0.2">
      <c r="B11016" s="203"/>
      <c r="C11016" s="237"/>
      <c r="D11016" s="202"/>
      <c r="E11016" s="202"/>
      <c r="U11016" s="204"/>
    </row>
    <row r="11017" spans="2:21" x14ac:dyDescent="0.2">
      <c r="B11017" s="203"/>
      <c r="C11017" s="237"/>
      <c r="D11017" s="202"/>
      <c r="E11017" s="202"/>
      <c r="U11017" s="204"/>
    </row>
    <row r="11018" spans="2:21" x14ac:dyDescent="0.2">
      <c r="B11018" s="203"/>
      <c r="C11018" s="237"/>
      <c r="D11018" s="202"/>
      <c r="E11018" s="202"/>
      <c r="U11018" s="204"/>
    </row>
    <row r="11019" spans="2:21" x14ac:dyDescent="0.2">
      <c r="B11019" s="203"/>
      <c r="C11019" s="237"/>
      <c r="D11019" s="202"/>
      <c r="E11019" s="202"/>
      <c r="U11019" s="204"/>
    </row>
    <row r="11020" spans="2:21" x14ac:dyDescent="0.2">
      <c r="B11020" s="203"/>
      <c r="C11020" s="237"/>
      <c r="D11020" s="202"/>
      <c r="E11020" s="202"/>
      <c r="U11020" s="204"/>
    </row>
    <row r="11021" spans="2:21" x14ac:dyDescent="0.2">
      <c r="B11021" s="203"/>
      <c r="C11021" s="237"/>
      <c r="D11021" s="202"/>
      <c r="E11021" s="202"/>
      <c r="U11021" s="204"/>
    </row>
    <row r="11022" spans="2:21" x14ac:dyDescent="0.2">
      <c r="B11022" s="203"/>
      <c r="C11022" s="237"/>
      <c r="D11022" s="202"/>
      <c r="E11022" s="202"/>
      <c r="U11022" s="204"/>
    </row>
    <row r="11023" spans="2:21" x14ac:dyDescent="0.2">
      <c r="B11023" s="203"/>
      <c r="C11023" s="237"/>
      <c r="D11023" s="202"/>
      <c r="E11023" s="202"/>
      <c r="U11023" s="204"/>
    </row>
    <row r="11024" spans="2:21" x14ac:dyDescent="0.2">
      <c r="B11024" s="203"/>
      <c r="C11024" s="237"/>
      <c r="D11024" s="202"/>
      <c r="E11024" s="202"/>
      <c r="U11024" s="204"/>
    </row>
    <row r="11025" spans="2:21" x14ac:dyDescent="0.2">
      <c r="B11025" s="203"/>
      <c r="C11025" s="237"/>
      <c r="D11025" s="202"/>
      <c r="E11025" s="202"/>
      <c r="U11025" s="204"/>
    </row>
    <row r="11026" spans="2:21" x14ac:dyDescent="0.2">
      <c r="B11026" s="203"/>
      <c r="C11026" s="237"/>
      <c r="D11026" s="202"/>
      <c r="E11026" s="202"/>
      <c r="U11026" s="204"/>
    </row>
    <row r="11027" spans="2:21" x14ac:dyDescent="0.2">
      <c r="B11027" s="203"/>
      <c r="C11027" s="237"/>
      <c r="D11027" s="202"/>
      <c r="E11027" s="202"/>
      <c r="U11027" s="204"/>
    </row>
    <row r="11028" spans="2:21" x14ac:dyDescent="0.2">
      <c r="B11028" s="203"/>
      <c r="C11028" s="237"/>
      <c r="D11028" s="202"/>
      <c r="E11028" s="202"/>
      <c r="U11028" s="204"/>
    </row>
    <row r="11029" spans="2:21" x14ac:dyDescent="0.2">
      <c r="B11029" s="203"/>
      <c r="C11029" s="237"/>
      <c r="D11029" s="202"/>
      <c r="E11029" s="202"/>
      <c r="U11029" s="204"/>
    </row>
    <row r="11030" spans="2:21" x14ac:dyDescent="0.2">
      <c r="B11030" s="203"/>
      <c r="C11030" s="237"/>
      <c r="D11030" s="202"/>
      <c r="E11030" s="202"/>
      <c r="U11030" s="204"/>
    </row>
    <row r="11031" spans="2:21" x14ac:dyDescent="0.2">
      <c r="B11031" s="203"/>
      <c r="C11031" s="237"/>
      <c r="D11031" s="202"/>
      <c r="E11031" s="202"/>
      <c r="U11031" s="204"/>
    </row>
    <row r="11032" spans="2:21" x14ac:dyDescent="0.2">
      <c r="B11032" s="203"/>
      <c r="C11032" s="237"/>
      <c r="D11032" s="202"/>
      <c r="E11032" s="202"/>
      <c r="U11032" s="204"/>
    </row>
    <row r="11033" spans="2:21" x14ac:dyDescent="0.2">
      <c r="B11033" s="203"/>
      <c r="C11033" s="237"/>
      <c r="D11033" s="202"/>
      <c r="E11033" s="202"/>
      <c r="U11033" s="204"/>
    </row>
    <row r="11034" spans="2:21" x14ac:dyDescent="0.2">
      <c r="B11034" s="203"/>
      <c r="C11034" s="237"/>
      <c r="D11034" s="202"/>
      <c r="E11034" s="202"/>
      <c r="U11034" s="204"/>
    </row>
    <row r="11035" spans="2:21" x14ac:dyDescent="0.2">
      <c r="B11035" s="203"/>
      <c r="C11035" s="237"/>
      <c r="D11035" s="202"/>
      <c r="E11035" s="202"/>
      <c r="U11035" s="204"/>
    </row>
    <row r="11036" spans="2:21" x14ac:dyDescent="0.2">
      <c r="B11036" s="203"/>
      <c r="C11036" s="237"/>
      <c r="D11036" s="202"/>
      <c r="E11036" s="202"/>
      <c r="U11036" s="204"/>
    </row>
    <row r="11037" spans="2:21" x14ac:dyDescent="0.2">
      <c r="B11037" s="203"/>
      <c r="C11037" s="237"/>
      <c r="D11037" s="202"/>
      <c r="E11037" s="202"/>
      <c r="U11037" s="204"/>
    </row>
    <row r="11038" spans="2:21" x14ac:dyDescent="0.2">
      <c r="B11038" s="203"/>
      <c r="C11038" s="237"/>
      <c r="D11038" s="202"/>
      <c r="E11038" s="202"/>
      <c r="U11038" s="204"/>
    </row>
    <row r="11039" spans="2:21" x14ac:dyDescent="0.2">
      <c r="B11039" s="203"/>
      <c r="C11039" s="237"/>
      <c r="D11039" s="202"/>
      <c r="E11039" s="202"/>
      <c r="U11039" s="204"/>
    </row>
    <row r="11040" spans="2:21" x14ac:dyDescent="0.2">
      <c r="B11040" s="203"/>
      <c r="C11040" s="237"/>
      <c r="D11040" s="202"/>
      <c r="E11040" s="202"/>
      <c r="U11040" s="204"/>
    </row>
    <row r="11041" spans="2:21" x14ac:dyDescent="0.2">
      <c r="B11041" s="203"/>
      <c r="C11041" s="237"/>
      <c r="D11041" s="202"/>
      <c r="E11041" s="202"/>
      <c r="U11041" s="204"/>
    </row>
    <row r="11042" spans="2:21" x14ac:dyDescent="0.2">
      <c r="B11042" s="203"/>
      <c r="C11042" s="237"/>
      <c r="D11042" s="202"/>
      <c r="E11042" s="202"/>
      <c r="U11042" s="204"/>
    </row>
    <row r="11043" spans="2:21" x14ac:dyDescent="0.2">
      <c r="B11043" s="203"/>
      <c r="C11043" s="237"/>
      <c r="D11043" s="202"/>
      <c r="E11043" s="202"/>
      <c r="U11043" s="204"/>
    </row>
    <row r="11044" spans="2:21" x14ac:dyDescent="0.2">
      <c r="B11044" s="203"/>
      <c r="C11044" s="237"/>
      <c r="D11044" s="202"/>
      <c r="E11044" s="202"/>
      <c r="U11044" s="204"/>
    </row>
    <row r="11045" spans="2:21" x14ac:dyDescent="0.2">
      <c r="B11045" s="203"/>
      <c r="C11045" s="237"/>
      <c r="D11045" s="202"/>
      <c r="E11045" s="202"/>
      <c r="U11045" s="204"/>
    </row>
    <row r="11046" spans="2:21" x14ac:dyDescent="0.2">
      <c r="B11046" s="203"/>
      <c r="C11046" s="237"/>
      <c r="D11046" s="202"/>
      <c r="E11046" s="202"/>
      <c r="U11046" s="204"/>
    </row>
    <row r="11047" spans="2:21" x14ac:dyDescent="0.2">
      <c r="B11047" s="203"/>
      <c r="C11047" s="237"/>
      <c r="D11047" s="202"/>
      <c r="E11047" s="202"/>
      <c r="U11047" s="204"/>
    </row>
    <row r="11048" spans="2:21" x14ac:dyDescent="0.2">
      <c r="B11048" s="203"/>
      <c r="C11048" s="237"/>
      <c r="D11048" s="202"/>
      <c r="E11048" s="202"/>
      <c r="U11048" s="204"/>
    </row>
    <row r="11049" spans="2:21" x14ac:dyDescent="0.2">
      <c r="B11049" s="203"/>
      <c r="C11049" s="237"/>
      <c r="D11049" s="202"/>
      <c r="E11049" s="202"/>
      <c r="U11049" s="204"/>
    </row>
    <row r="11050" spans="2:21" x14ac:dyDescent="0.2">
      <c r="B11050" s="203"/>
      <c r="C11050" s="237"/>
      <c r="D11050" s="202"/>
      <c r="E11050" s="202"/>
      <c r="U11050" s="204"/>
    </row>
    <row r="11051" spans="2:21" x14ac:dyDescent="0.2">
      <c r="B11051" s="203"/>
      <c r="C11051" s="237"/>
      <c r="D11051" s="202"/>
      <c r="E11051" s="202"/>
      <c r="U11051" s="204"/>
    </row>
    <row r="11052" spans="2:21" x14ac:dyDescent="0.2">
      <c r="B11052" s="203"/>
      <c r="C11052" s="237"/>
      <c r="D11052" s="202"/>
      <c r="E11052" s="202"/>
      <c r="U11052" s="204"/>
    </row>
    <row r="11053" spans="2:21" x14ac:dyDescent="0.2">
      <c r="B11053" s="203"/>
      <c r="C11053" s="237"/>
      <c r="D11053" s="202"/>
      <c r="E11053" s="202"/>
      <c r="U11053" s="204"/>
    </row>
    <row r="11054" spans="2:21" x14ac:dyDescent="0.2">
      <c r="B11054" s="203"/>
      <c r="C11054" s="237"/>
      <c r="D11054" s="202"/>
      <c r="E11054" s="202"/>
      <c r="U11054" s="204"/>
    </row>
    <row r="11055" spans="2:21" x14ac:dyDescent="0.2">
      <c r="B11055" s="203"/>
      <c r="C11055" s="237"/>
      <c r="D11055" s="202"/>
      <c r="E11055" s="202"/>
      <c r="U11055" s="204"/>
    </row>
    <row r="11056" spans="2:21" x14ac:dyDescent="0.2">
      <c r="B11056" s="203"/>
      <c r="C11056" s="237"/>
      <c r="D11056" s="202"/>
      <c r="E11056" s="202"/>
      <c r="U11056" s="204"/>
    </row>
    <row r="11057" spans="2:21" x14ac:dyDescent="0.2">
      <c r="B11057" s="203"/>
      <c r="C11057" s="237"/>
      <c r="D11057" s="202"/>
      <c r="E11057" s="202"/>
      <c r="U11057" s="204"/>
    </row>
    <row r="11058" spans="2:21" x14ac:dyDescent="0.2">
      <c r="B11058" s="203"/>
      <c r="C11058" s="237"/>
      <c r="D11058" s="202"/>
      <c r="E11058" s="202"/>
      <c r="U11058" s="204"/>
    </row>
    <row r="11059" spans="2:21" x14ac:dyDescent="0.2">
      <c r="B11059" s="203"/>
      <c r="C11059" s="237"/>
      <c r="D11059" s="202"/>
      <c r="E11059" s="202"/>
      <c r="U11059" s="204"/>
    </row>
    <row r="11060" spans="2:21" x14ac:dyDescent="0.2">
      <c r="B11060" s="203"/>
      <c r="C11060" s="237"/>
      <c r="D11060" s="202"/>
      <c r="E11060" s="202"/>
      <c r="U11060" s="204"/>
    </row>
    <row r="11061" spans="2:21" x14ac:dyDescent="0.2">
      <c r="B11061" s="203"/>
      <c r="C11061" s="237"/>
      <c r="D11061" s="202"/>
      <c r="E11061" s="202"/>
      <c r="U11061" s="204"/>
    </row>
    <row r="11062" spans="2:21" x14ac:dyDescent="0.2">
      <c r="B11062" s="203"/>
      <c r="C11062" s="237"/>
      <c r="D11062" s="202"/>
      <c r="E11062" s="202"/>
      <c r="U11062" s="204"/>
    </row>
    <row r="11063" spans="2:21" x14ac:dyDescent="0.2">
      <c r="B11063" s="203"/>
      <c r="C11063" s="237"/>
      <c r="D11063" s="202"/>
      <c r="E11063" s="202"/>
      <c r="U11063" s="204"/>
    </row>
    <row r="11064" spans="2:21" x14ac:dyDescent="0.2">
      <c r="B11064" s="203"/>
      <c r="C11064" s="237"/>
      <c r="D11064" s="202"/>
      <c r="E11064" s="202"/>
      <c r="U11064" s="204"/>
    </row>
    <row r="11065" spans="2:21" x14ac:dyDescent="0.2">
      <c r="B11065" s="203"/>
      <c r="C11065" s="237"/>
      <c r="D11065" s="202"/>
      <c r="E11065" s="202"/>
      <c r="U11065" s="204"/>
    </row>
    <row r="11066" spans="2:21" x14ac:dyDescent="0.2">
      <c r="B11066" s="203"/>
      <c r="C11066" s="237"/>
      <c r="D11066" s="202"/>
      <c r="E11066" s="202"/>
      <c r="U11066" s="204"/>
    </row>
    <row r="11067" spans="2:21" x14ac:dyDescent="0.2">
      <c r="B11067" s="203"/>
      <c r="C11067" s="237"/>
      <c r="D11067" s="202"/>
      <c r="E11067" s="202"/>
      <c r="U11067" s="204"/>
    </row>
    <row r="11068" spans="2:21" x14ac:dyDescent="0.2">
      <c r="B11068" s="203"/>
      <c r="C11068" s="237"/>
      <c r="D11068" s="202"/>
      <c r="E11068" s="202"/>
      <c r="U11068" s="204"/>
    </row>
    <row r="11069" spans="2:21" x14ac:dyDescent="0.2">
      <c r="B11069" s="203"/>
      <c r="C11069" s="237"/>
      <c r="D11069" s="202"/>
      <c r="E11069" s="202"/>
      <c r="U11069" s="204"/>
    </row>
    <row r="11070" spans="2:21" x14ac:dyDescent="0.2">
      <c r="B11070" s="203"/>
      <c r="C11070" s="237"/>
      <c r="D11070" s="202"/>
      <c r="E11070" s="202"/>
      <c r="U11070" s="204"/>
    </row>
    <row r="11071" spans="2:21" x14ac:dyDescent="0.2">
      <c r="B11071" s="203"/>
      <c r="C11071" s="237"/>
      <c r="D11071" s="202"/>
      <c r="E11071" s="202"/>
      <c r="U11071" s="204"/>
    </row>
    <row r="11072" spans="2:21" x14ac:dyDescent="0.2">
      <c r="B11072" s="203"/>
      <c r="C11072" s="237"/>
      <c r="D11072" s="202"/>
      <c r="E11072" s="202"/>
      <c r="U11072" s="204"/>
    </row>
    <row r="11073" spans="2:21" x14ac:dyDescent="0.2">
      <c r="B11073" s="203"/>
      <c r="C11073" s="237"/>
      <c r="D11073" s="202"/>
      <c r="E11073" s="202"/>
      <c r="U11073" s="204"/>
    </row>
    <row r="11074" spans="2:21" x14ac:dyDescent="0.2">
      <c r="B11074" s="203"/>
      <c r="C11074" s="237"/>
      <c r="D11074" s="202"/>
      <c r="E11074" s="202"/>
      <c r="U11074" s="204"/>
    </row>
    <row r="11075" spans="2:21" x14ac:dyDescent="0.2">
      <c r="B11075" s="203"/>
      <c r="C11075" s="237"/>
      <c r="D11075" s="202"/>
      <c r="E11075" s="202"/>
      <c r="U11075" s="204"/>
    </row>
    <row r="11076" spans="2:21" x14ac:dyDescent="0.2">
      <c r="B11076" s="203"/>
      <c r="C11076" s="237"/>
      <c r="D11076" s="202"/>
      <c r="E11076" s="202"/>
      <c r="U11076" s="204"/>
    </row>
    <row r="11077" spans="2:21" x14ac:dyDescent="0.2">
      <c r="B11077" s="203"/>
      <c r="C11077" s="237"/>
      <c r="D11077" s="202"/>
      <c r="E11077" s="202"/>
      <c r="U11077" s="204"/>
    </row>
    <row r="11078" spans="2:21" x14ac:dyDescent="0.2">
      <c r="B11078" s="203"/>
      <c r="C11078" s="237"/>
      <c r="D11078" s="202"/>
      <c r="E11078" s="202"/>
      <c r="U11078" s="204"/>
    </row>
    <row r="11079" spans="2:21" x14ac:dyDescent="0.2">
      <c r="B11079" s="203"/>
      <c r="C11079" s="237"/>
      <c r="D11079" s="202"/>
      <c r="E11079" s="202"/>
      <c r="U11079" s="204"/>
    </row>
    <row r="11080" spans="2:21" x14ac:dyDescent="0.2">
      <c r="B11080" s="203"/>
      <c r="C11080" s="237"/>
      <c r="D11080" s="202"/>
      <c r="E11080" s="202"/>
      <c r="U11080" s="204"/>
    </row>
    <row r="11081" spans="2:21" x14ac:dyDescent="0.2">
      <c r="B11081" s="203"/>
      <c r="C11081" s="237"/>
      <c r="D11081" s="202"/>
      <c r="E11081" s="202"/>
      <c r="U11081" s="204"/>
    </row>
    <row r="11082" spans="2:21" x14ac:dyDescent="0.2">
      <c r="B11082" s="203"/>
      <c r="C11082" s="237"/>
      <c r="D11082" s="202"/>
      <c r="E11082" s="202"/>
      <c r="U11082" s="204"/>
    </row>
    <row r="11083" spans="2:21" x14ac:dyDescent="0.2">
      <c r="B11083" s="203"/>
      <c r="C11083" s="237"/>
      <c r="D11083" s="202"/>
      <c r="E11083" s="202"/>
      <c r="U11083" s="204"/>
    </row>
    <row r="11084" spans="2:21" x14ac:dyDescent="0.2">
      <c r="B11084" s="203"/>
      <c r="C11084" s="237"/>
      <c r="D11084" s="202"/>
      <c r="E11084" s="202"/>
      <c r="U11084" s="204"/>
    </row>
    <row r="11085" spans="2:21" x14ac:dyDescent="0.2">
      <c r="B11085" s="203"/>
      <c r="C11085" s="237"/>
      <c r="D11085" s="202"/>
      <c r="E11085" s="202"/>
      <c r="U11085" s="204"/>
    </row>
    <row r="11086" spans="2:21" x14ac:dyDescent="0.2">
      <c r="B11086" s="203"/>
      <c r="C11086" s="237"/>
      <c r="D11086" s="202"/>
      <c r="E11086" s="202"/>
      <c r="U11086" s="204"/>
    </row>
    <row r="11087" spans="2:21" x14ac:dyDescent="0.2">
      <c r="B11087" s="203"/>
      <c r="C11087" s="237"/>
      <c r="D11087" s="202"/>
      <c r="E11087" s="202"/>
      <c r="U11087" s="204"/>
    </row>
    <row r="11088" spans="2:21" x14ac:dyDescent="0.2">
      <c r="B11088" s="203"/>
      <c r="C11088" s="237"/>
      <c r="D11088" s="202"/>
      <c r="E11088" s="202"/>
      <c r="U11088" s="204"/>
    </row>
    <row r="11089" spans="2:21" x14ac:dyDescent="0.2">
      <c r="B11089" s="203"/>
      <c r="C11089" s="237"/>
      <c r="D11089" s="202"/>
      <c r="E11089" s="202"/>
      <c r="U11089" s="204"/>
    </row>
    <row r="11090" spans="2:21" x14ac:dyDescent="0.2">
      <c r="B11090" s="203"/>
      <c r="C11090" s="237"/>
      <c r="D11090" s="202"/>
      <c r="E11090" s="202"/>
      <c r="U11090" s="204"/>
    </row>
    <row r="11091" spans="2:21" x14ac:dyDescent="0.2">
      <c r="B11091" s="203"/>
      <c r="C11091" s="237"/>
      <c r="D11091" s="202"/>
      <c r="E11091" s="202"/>
      <c r="U11091" s="204"/>
    </row>
    <row r="11092" spans="2:21" x14ac:dyDescent="0.2">
      <c r="B11092" s="203"/>
      <c r="C11092" s="237"/>
      <c r="D11092" s="202"/>
      <c r="E11092" s="202"/>
      <c r="U11092" s="204"/>
    </row>
    <row r="11093" spans="2:21" x14ac:dyDescent="0.2">
      <c r="B11093" s="203"/>
      <c r="C11093" s="237"/>
      <c r="D11093" s="202"/>
      <c r="E11093" s="202"/>
      <c r="U11093" s="204"/>
    </row>
    <row r="11094" spans="2:21" x14ac:dyDescent="0.2">
      <c r="B11094" s="203"/>
      <c r="C11094" s="237"/>
      <c r="D11094" s="202"/>
      <c r="E11094" s="202"/>
      <c r="U11094" s="204"/>
    </row>
    <row r="11095" spans="2:21" x14ac:dyDescent="0.2">
      <c r="B11095" s="203"/>
      <c r="C11095" s="237"/>
      <c r="D11095" s="202"/>
      <c r="E11095" s="202"/>
      <c r="U11095" s="204"/>
    </row>
    <row r="11096" spans="2:21" x14ac:dyDescent="0.2">
      <c r="B11096" s="203"/>
      <c r="C11096" s="237"/>
      <c r="D11096" s="202"/>
      <c r="E11096" s="202"/>
      <c r="U11096" s="204"/>
    </row>
    <row r="11097" spans="2:21" x14ac:dyDescent="0.2">
      <c r="B11097" s="203"/>
      <c r="C11097" s="237"/>
      <c r="D11097" s="202"/>
      <c r="E11097" s="202"/>
      <c r="U11097" s="204"/>
    </row>
    <row r="11098" spans="2:21" x14ac:dyDescent="0.2">
      <c r="B11098" s="203"/>
      <c r="C11098" s="237"/>
      <c r="D11098" s="202"/>
      <c r="E11098" s="202"/>
      <c r="U11098" s="204"/>
    </row>
    <row r="11099" spans="2:21" x14ac:dyDescent="0.2">
      <c r="B11099" s="203"/>
      <c r="C11099" s="237"/>
      <c r="D11099" s="202"/>
      <c r="E11099" s="202"/>
      <c r="U11099" s="204"/>
    </row>
    <row r="11100" spans="2:21" x14ac:dyDescent="0.2">
      <c r="B11100" s="203"/>
      <c r="C11100" s="237"/>
      <c r="D11100" s="202"/>
      <c r="E11100" s="202"/>
      <c r="U11100" s="204"/>
    </row>
    <row r="11101" spans="2:21" x14ac:dyDescent="0.2">
      <c r="B11101" s="203"/>
      <c r="C11101" s="237"/>
      <c r="D11101" s="202"/>
      <c r="E11101" s="202"/>
      <c r="U11101" s="204"/>
    </row>
    <row r="11102" spans="2:21" x14ac:dyDescent="0.2">
      <c r="B11102" s="203"/>
      <c r="C11102" s="237"/>
      <c r="D11102" s="202"/>
      <c r="E11102" s="202"/>
      <c r="U11102" s="204"/>
    </row>
    <row r="11103" spans="2:21" x14ac:dyDescent="0.2">
      <c r="B11103" s="203"/>
      <c r="C11103" s="237"/>
      <c r="D11103" s="202"/>
      <c r="E11103" s="202"/>
      <c r="U11103" s="204"/>
    </row>
    <row r="11104" spans="2:21" x14ac:dyDescent="0.2">
      <c r="B11104" s="203"/>
      <c r="C11104" s="237"/>
      <c r="D11104" s="202"/>
      <c r="E11104" s="202"/>
      <c r="U11104" s="204"/>
    </row>
    <row r="11105" spans="2:21" x14ac:dyDescent="0.2">
      <c r="B11105" s="203"/>
      <c r="C11105" s="237"/>
      <c r="D11105" s="202"/>
      <c r="E11105" s="202"/>
      <c r="U11105" s="204"/>
    </row>
    <row r="11106" spans="2:21" x14ac:dyDescent="0.2">
      <c r="B11106" s="203"/>
      <c r="C11106" s="237"/>
      <c r="D11106" s="202"/>
      <c r="E11106" s="202"/>
      <c r="U11106" s="204"/>
    </row>
    <row r="11107" spans="2:21" x14ac:dyDescent="0.2">
      <c r="B11107" s="203"/>
      <c r="C11107" s="237"/>
      <c r="D11107" s="202"/>
      <c r="E11107" s="202"/>
      <c r="U11107" s="204"/>
    </row>
    <row r="11108" spans="2:21" x14ac:dyDescent="0.2">
      <c r="B11108" s="203"/>
      <c r="C11108" s="237"/>
      <c r="D11108" s="202"/>
      <c r="E11108" s="202"/>
      <c r="U11108" s="204"/>
    </row>
    <row r="11109" spans="2:21" x14ac:dyDescent="0.2">
      <c r="B11109" s="203"/>
      <c r="C11109" s="237"/>
      <c r="D11109" s="202"/>
      <c r="E11109" s="202"/>
      <c r="U11109" s="204"/>
    </row>
    <row r="11110" spans="2:21" x14ac:dyDescent="0.2">
      <c r="B11110" s="203"/>
      <c r="C11110" s="237"/>
      <c r="D11110" s="202"/>
      <c r="E11110" s="202"/>
      <c r="U11110" s="204"/>
    </row>
    <row r="11111" spans="2:21" x14ac:dyDescent="0.2">
      <c r="B11111" s="203"/>
      <c r="C11111" s="237"/>
      <c r="D11111" s="202"/>
      <c r="E11111" s="202"/>
      <c r="U11111" s="204"/>
    </row>
    <row r="11112" spans="2:21" x14ac:dyDescent="0.2">
      <c r="B11112" s="203"/>
      <c r="C11112" s="237"/>
      <c r="D11112" s="202"/>
      <c r="E11112" s="202"/>
      <c r="U11112" s="204"/>
    </row>
    <row r="11113" spans="2:21" x14ac:dyDescent="0.2">
      <c r="B11113" s="203"/>
      <c r="C11113" s="237"/>
      <c r="D11113" s="202"/>
      <c r="E11113" s="202"/>
      <c r="U11113" s="204"/>
    </row>
    <row r="11114" spans="2:21" x14ac:dyDescent="0.2">
      <c r="B11114" s="203"/>
      <c r="C11114" s="237"/>
      <c r="D11114" s="202"/>
      <c r="E11114" s="202"/>
      <c r="U11114" s="204"/>
    </row>
    <row r="11115" spans="2:21" x14ac:dyDescent="0.2">
      <c r="B11115" s="203"/>
      <c r="C11115" s="237"/>
      <c r="D11115" s="202"/>
      <c r="E11115" s="202"/>
      <c r="U11115" s="204"/>
    </row>
    <row r="11116" spans="2:21" x14ac:dyDescent="0.2">
      <c r="B11116" s="203"/>
      <c r="C11116" s="237"/>
      <c r="D11116" s="202"/>
      <c r="E11116" s="202"/>
      <c r="U11116" s="204"/>
    </row>
    <row r="11117" spans="2:21" x14ac:dyDescent="0.2">
      <c r="B11117" s="203"/>
      <c r="C11117" s="237"/>
      <c r="D11117" s="202"/>
      <c r="E11117" s="202"/>
      <c r="U11117" s="204"/>
    </row>
    <row r="11118" spans="2:21" x14ac:dyDescent="0.2">
      <c r="B11118" s="203"/>
      <c r="C11118" s="237"/>
      <c r="D11118" s="202"/>
      <c r="E11118" s="202"/>
      <c r="U11118" s="204"/>
    </row>
    <row r="11119" spans="2:21" x14ac:dyDescent="0.2">
      <c r="B11119" s="203"/>
      <c r="C11119" s="237"/>
      <c r="D11119" s="202"/>
      <c r="E11119" s="202"/>
      <c r="U11119" s="204"/>
    </row>
    <row r="11120" spans="2:21" x14ac:dyDescent="0.2">
      <c r="B11120" s="203"/>
      <c r="C11120" s="237"/>
      <c r="D11120" s="202"/>
      <c r="E11120" s="202"/>
      <c r="U11120" s="204"/>
    </row>
    <row r="11121" spans="2:21" x14ac:dyDescent="0.2">
      <c r="B11121" s="203"/>
      <c r="C11121" s="237"/>
      <c r="D11121" s="202"/>
      <c r="E11121" s="202"/>
      <c r="U11121" s="204"/>
    </row>
    <row r="11122" spans="2:21" x14ac:dyDescent="0.2">
      <c r="B11122" s="203"/>
      <c r="C11122" s="237"/>
      <c r="D11122" s="202"/>
      <c r="E11122" s="202"/>
      <c r="U11122" s="204"/>
    </row>
    <row r="11123" spans="2:21" x14ac:dyDescent="0.2">
      <c r="B11123" s="203"/>
      <c r="C11123" s="237"/>
      <c r="D11123" s="202"/>
      <c r="E11123" s="202"/>
      <c r="U11123" s="204"/>
    </row>
    <row r="11124" spans="2:21" x14ac:dyDescent="0.2">
      <c r="B11124" s="203"/>
      <c r="C11124" s="237"/>
      <c r="D11124" s="202"/>
      <c r="E11124" s="202"/>
      <c r="U11124" s="204"/>
    </row>
    <row r="11125" spans="2:21" x14ac:dyDescent="0.2">
      <c r="B11125" s="203"/>
      <c r="C11125" s="237"/>
      <c r="D11125" s="202"/>
      <c r="E11125" s="202"/>
      <c r="U11125" s="204"/>
    </row>
    <row r="11126" spans="2:21" x14ac:dyDescent="0.2">
      <c r="B11126" s="203"/>
      <c r="C11126" s="237"/>
      <c r="D11126" s="202"/>
      <c r="E11126" s="202"/>
      <c r="U11126" s="204"/>
    </row>
    <row r="11127" spans="2:21" x14ac:dyDescent="0.2">
      <c r="B11127" s="203"/>
      <c r="C11127" s="237"/>
      <c r="D11127" s="202"/>
      <c r="E11127" s="202"/>
      <c r="U11127" s="204"/>
    </row>
    <row r="11128" spans="2:21" x14ac:dyDescent="0.2">
      <c r="B11128" s="203"/>
      <c r="C11128" s="237"/>
      <c r="D11128" s="202"/>
      <c r="E11128" s="202"/>
      <c r="U11128" s="204"/>
    </row>
    <row r="11129" spans="2:21" x14ac:dyDescent="0.2">
      <c r="B11129" s="203"/>
      <c r="C11129" s="237"/>
      <c r="D11129" s="202"/>
      <c r="E11129" s="202"/>
      <c r="U11129" s="204"/>
    </row>
    <row r="11130" spans="2:21" x14ac:dyDescent="0.2">
      <c r="B11130" s="203"/>
      <c r="C11130" s="237"/>
      <c r="D11130" s="202"/>
      <c r="E11130" s="202"/>
      <c r="U11130" s="204"/>
    </row>
    <row r="11131" spans="2:21" x14ac:dyDescent="0.2">
      <c r="B11131" s="203"/>
      <c r="C11131" s="237"/>
      <c r="D11131" s="202"/>
      <c r="E11131" s="202"/>
      <c r="U11131" s="204"/>
    </row>
    <row r="11132" spans="2:21" x14ac:dyDescent="0.2">
      <c r="B11132" s="203"/>
      <c r="C11132" s="237"/>
      <c r="D11132" s="202"/>
      <c r="E11132" s="202"/>
      <c r="U11132" s="204"/>
    </row>
    <row r="11133" spans="2:21" x14ac:dyDescent="0.2">
      <c r="B11133" s="203"/>
      <c r="C11133" s="237"/>
      <c r="D11133" s="202"/>
      <c r="E11133" s="202"/>
      <c r="U11133" s="204"/>
    </row>
    <row r="11134" spans="2:21" x14ac:dyDescent="0.2">
      <c r="B11134" s="203"/>
      <c r="C11134" s="237"/>
      <c r="D11134" s="202"/>
      <c r="E11134" s="202"/>
      <c r="U11134" s="204"/>
    </row>
    <row r="11135" spans="2:21" x14ac:dyDescent="0.2">
      <c r="B11135" s="203"/>
      <c r="C11135" s="237"/>
      <c r="D11135" s="202"/>
      <c r="E11135" s="202"/>
      <c r="U11135" s="204"/>
    </row>
    <row r="11136" spans="2:21" x14ac:dyDescent="0.2">
      <c r="B11136" s="203"/>
      <c r="C11136" s="237"/>
      <c r="D11136" s="202"/>
      <c r="E11136" s="202"/>
      <c r="U11136" s="204"/>
    </row>
    <row r="11137" spans="2:21" x14ac:dyDescent="0.2">
      <c r="B11137" s="203"/>
      <c r="C11137" s="237"/>
      <c r="D11137" s="202"/>
      <c r="E11137" s="202"/>
      <c r="U11137" s="204"/>
    </row>
    <row r="11138" spans="2:21" x14ac:dyDescent="0.2">
      <c r="B11138" s="203"/>
      <c r="C11138" s="237"/>
      <c r="D11138" s="202"/>
      <c r="E11138" s="202"/>
      <c r="U11138" s="204"/>
    </row>
    <row r="11139" spans="2:21" x14ac:dyDescent="0.2">
      <c r="B11139" s="203"/>
      <c r="C11139" s="237"/>
      <c r="D11139" s="202"/>
      <c r="E11139" s="202"/>
      <c r="U11139" s="204"/>
    </row>
    <row r="11140" spans="2:21" x14ac:dyDescent="0.2">
      <c r="B11140" s="203"/>
      <c r="C11140" s="237"/>
      <c r="D11140" s="202"/>
      <c r="E11140" s="202"/>
      <c r="U11140" s="204"/>
    </row>
    <row r="11141" spans="2:21" x14ac:dyDescent="0.2">
      <c r="B11141" s="203"/>
      <c r="C11141" s="237"/>
      <c r="D11141" s="202"/>
      <c r="E11141" s="202"/>
      <c r="U11141" s="204"/>
    </row>
    <row r="11142" spans="2:21" x14ac:dyDescent="0.2">
      <c r="B11142" s="203"/>
      <c r="C11142" s="237"/>
      <c r="D11142" s="202"/>
      <c r="E11142" s="202"/>
      <c r="U11142" s="204"/>
    </row>
    <row r="11143" spans="2:21" x14ac:dyDescent="0.2">
      <c r="B11143" s="203"/>
      <c r="C11143" s="237"/>
      <c r="D11143" s="202"/>
      <c r="E11143" s="202"/>
      <c r="U11143" s="204"/>
    </row>
    <row r="11144" spans="2:21" x14ac:dyDescent="0.2">
      <c r="B11144" s="203"/>
      <c r="C11144" s="237"/>
      <c r="D11144" s="202"/>
      <c r="E11144" s="202"/>
      <c r="U11144" s="204"/>
    </row>
    <row r="11145" spans="2:21" x14ac:dyDescent="0.2">
      <c r="B11145" s="203"/>
      <c r="C11145" s="237"/>
      <c r="D11145" s="202"/>
      <c r="E11145" s="202"/>
      <c r="U11145" s="204"/>
    </row>
    <row r="11146" spans="2:21" x14ac:dyDescent="0.2">
      <c r="B11146" s="203"/>
      <c r="C11146" s="237"/>
      <c r="D11146" s="202"/>
      <c r="E11146" s="202"/>
      <c r="U11146" s="204"/>
    </row>
    <row r="11147" spans="2:21" x14ac:dyDescent="0.2">
      <c r="B11147" s="203"/>
      <c r="C11147" s="237"/>
      <c r="D11147" s="202"/>
      <c r="E11147" s="202"/>
      <c r="U11147" s="204"/>
    </row>
    <row r="11148" spans="2:21" x14ac:dyDescent="0.2">
      <c r="B11148" s="203"/>
      <c r="C11148" s="237"/>
      <c r="D11148" s="202"/>
      <c r="E11148" s="202"/>
      <c r="U11148" s="204"/>
    </row>
    <row r="11149" spans="2:21" x14ac:dyDescent="0.2">
      <c r="B11149" s="203"/>
      <c r="C11149" s="237"/>
      <c r="D11149" s="202"/>
      <c r="E11149" s="202"/>
      <c r="U11149" s="204"/>
    </row>
    <row r="11150" spans="2:21" x14ac:dyDescent="0.2">
      <c r="B11150" s="203"/>
      <c r="C11150" s="237"/>
      <c r="D11150" s="202"/>
      <c r="E11150" s="202"/>
      <c r="U11150" s="204"/>
    </row>
    <row r="11151" spans="2:21" x14ac:dyDescent="0.2">
      <c r="B11151" s="203"/>
      <c r="C11151" s="237"/>
      <c r="D11151" s="202"/>
      <c r="E11151" s="202"/>
      <c r="U11151" s="204"/>
    </row>
    <row r="11152" spans="2:21" x14ac:dyDescent="0.2">
      <c r="B11152" s="203"/>
      <c r="C11152" s="237"/>
      <c r="D11152" s="202"/>
      <c r="E11152" s="202"/>
      <c r="U11152" s="204"/>
    </row>
    <row r="11153" spans="2:21" x14ac:dyDescent="0.2">
      <c r="B11153" s="203"/>
      <c r="C11153" s="237"/>
      <c r="D11153" s="202"/>
      <c r="E11153" s="202"/>
      <c r="U11153" s="204"/>
    </row>
    <row r="11154" spans="2:21" x14ac:dyDescent="0.2">
      <c r="B11154" s="203"/>
      <c r="C11154" s="237"/>
      <c r="D11154" s="202"/>
      <c r="E11154" s="202"/>
      <c r="U11154" s="204"/>
    </row>
    <row r="11155" spans="2:21" x14ac:dyDescent="0.2">
      <c r="B11155" s="203"/>
      <c r="C11155" s="237"/>
      <c r="D11155" s="202"/>
      <c r="E11155" s="202"/>
      <c r="U11155" s="204"/>
    </row>
    <row r="11156" spans="2:21" x14ac:dyDescent="0.2">
      <c r="B11156" s="203"/>
      <c r="C11156" s="237"/>
      <c r="D11156" s="202"/>
      <c r="E11156" s="202"/>
      <c r="U11156" s="204"/>
    </row>
    <row r="11157" spans="2:21" x14ac:dyDescent="0.2">
      <c r="B11157" s="203"/>
      <c r="C11157" s="237"/>
      <c r="D11157" s="202"/>
      <c r="E11157" s="202"/>
      <c r="U11157" s="204"/>
    </row>
    <row r="11158" spans="2:21" x14ac:dyDescent="0.2">
      <c r="B11158" s="203"/>
      <c r="C11158" s="237"/>
      <c r="D11158" s="202"/>
      <c r="E11158" s="202"/>
      <c r="U11158" s="204"/>
    </row>
    <row r="11159" spans="2:21" x14ac:dyDescent="0.2">
      <c r="B11159" s="203"/>
      <c r="C11159" s="237"/>
      <c r="D11159" s="202"/>
      <c r="E11159" s="202"/>
      <c r="U11159" s="204"/>
    </row>
    <row r="11160" spans="2:21" x14ac:dyDescent="0.2">
      <c r="B11160" s="203"/>
      <c r="C11160" s="237"/>
      <c r="D11160" s="202"/>
      <c r="E11160" s="202"/>
      <c r="U11160" s="204"/>
    </row>
    <row r="11161" spans="2:21" x14ac:dyDescent="0.2">
      <c r="B11161" s="203"/>
      <c r="C11161" s="237"/>
      <c r="D11161" s="202"/>
      <c r="E11161" s="202"/>
      <c r="U11161" s="204"/>
    </row>
    <row r="11162" spans="2:21" x14ac:dyDescent="0.2">
      <c r="B11162" s="203"/>
      <c r="C11162" s="237"/>
      <c r="D11162" s="202"/>
      <c r="E11162" s="202"/>
      <c r="U11162" s="204"/>
    </row>
    <row r="11163" spans="2:21" x14ac:dyDescent="0.2">
      <c r="B11163" s="203"/>
      <c r="C11163" s="237"/>
      <c r="D11163" s="202"/>
      <c r="E11163" s="202"/>
      <c r="U11163" s="204"/>
    </row>
    <row r="11164" spans="2:21" x14ac:dyDescent="0.2">
      <c r="B11164" s="203"/>
      <c r="C11164" s="237"/>
      <c r="D11164" s="202"/>
      <c r="E11164" s="202"/>
      <c r="U11164" s="204"/>
    </row>
    <row r="11165" spans="2:21" x14ac:dyDescent="0.2">
      <c r="B11165" s="203"/>
      <c r="C11165" s="237"/>
      <c r="D11165" s="202"/>
      <c r="E11165" s="202"/>
      <c r="U11165" s="204"/>
    </row>
    <row r="11166" spans="2:21" x14ac:dyDescent="0.2">
      <c r="B11166" s="203"/>
      <c r="C11166" s="237"/>
      <c r="D11166" s="202"/>
      <c r="E11166" s="202"/>
      <c r="U11166" s="204"/>
    </row>
    <row r="11167" spans="2:21" x14ac:dyDescent="0.2">
      <c r="B11167" s="203"/>
      <c r="C11167" s="237"/>
      <c r="D11167" s="202"/>
      <c r="E11167" s="202"/>
      <c r="U11167" s="204"/>
    </row>
    <row r="11168" spans="2:21" x14ac:dyDescent="0.2">
      <c r="B11168" s="203"/>
      <c r="C11168" s="237"/>
      <c r="D11168" s="202"/>
      <c r="E11168" s="202"/>
      <c r="U11168" s="204"/>
    </row>
    <row r="11169" spans="2:21" x14ac:dyDescent="0.2">
      <c r="B11169" s="203"/>
      <c r="C11169" s="237"/>
      <c r="D11169" s="202"/>
      <c r="E11169" s="202"/>
      <c r="U11169" s="204"/>
    </row>
    <row r="11170" spans="2:21" x14ac:dyDescent="0.2">
      <c r="B11170" s="203"/>
      <c r="C11170" s="237"/>
      <c r="D11170" s="202"/>
      <c r="E11170" s="202"/>
      <c r="U11170" s="204"/>
    </row>
    <row r="11171" spans="2:21" x14ac:dyDescent="0.2">
      <c r="B11171" s="203"/>
      <c r="C11171" s="237"/>
      <c r="D11171" s="202"/>
      <c r="E11171" s="202"/>
      <c r="U11171" s="204"/>
    </row>
    <row r="11172" spans="2:21" x14ac:dyDescent="0.2">
      <c r="B11172" s="203"/>
      <c r="C11172" s="237"/>
      <c r="D11172" s="202"/>
      <c r="E11172" s="202"/>
      <c r="U11172" s="204"/>
    </row>
    <row r="11173" spans="2:21" x14ac:dyDescent="0.2">
      <c r="B11173" s="203"/>
      <c r="C11173" s="237"/>
      <c r="D11173" s="202"/>
      <c r="E11173" s="202"/>
      <c r="U11173" s="204"/>
    </row>
    <row r="11174" spans="2:21" x14ac:dyDescent="0.2">
      <c r="B11174" s="203"/>
      <c r="C11174" s="237"/>
      <c r="D11174" s="202"/>
      <c r="E11174" s="202"/>
      <c r="U11174" s="204"/>
    </row>
    <row r="11175" spans="2:21" x14ac:dyDescent="0.2">
      <c r="B11175" s="203"/>
      <c r="C11175" s="237"/>
      <c r="D11175" s="202"/>
      <c r="E11175" s="202"/>
      <c r="U11175" s="204"/>
    </row>
    <row r="11176" spans="2:21" x14ac:dyDescent="0.2">
      <c r="B11176" s="203"/>
      <c r="C11176" s="237"/>
      <c r="D11176" s="202"/>
      <c r="E11176" s="202"/>
      <c r="U11176" s="204"/>
    </row>
    <row r="11177" spans="2:21" x14ac:dyDescent="0.2">
      <c r="B11177" s="203"/>
      <c r="C11177" s="237"/>
      <c r="D11177" s="202"/>
      <c r="E11177" s="202"/>
      <c r="U11177" s="204"/>
    </row>
    <row r="11178" spans="2:21" x14ac:dyDescent="0.2">
      <c r="B11178" s="203"/>
      <c r="C11178" s="237"/>
      <c r="D11178" s="202"/>
      <c r="E11178" s="202"/>
      <c r="U11178" s="204"/>
    </row>
    <row r="11179" spans="2:21" x14ac:dyDescent="0.2">
      <c r="B11179" s="203"/>
      <c r="C11179" s="237"/>
      <c r="D11179" s="202"/>
      <c r="E11179" s="202"/>
      <c r="U11179" s="204"/>
    </row>
    <row r="11180" spans="2:21" x14ac:dyDescent="0.2">
      <c r="B11180" s="203"/>
      <c r="C11180" s="237"/>
      <c r="D11180" s="202"/>
      <c r="E11180" s="202"/>
      <c r="U11180" s="204"/>
    </row>
    <row r="11181" spans="2:21" x14ac:dyDescent="0.2">
      <c r="B11181" s="203"/>
      <c r="C11181" s="237"/>
      <c r="D11181" s="202"/>
      <c r="E11181" s="202"/>
      <c r="U11181" s="204"/>
    </row>
    <row r="11182" spans="2:21" x14ac:dyDescent="0.2">
      <c r="B11182" s="203"/>
      <c r="C11182" s="237"/>
      <c r="D11182" s="202"/>
      <c r="E11182" s="202"/>
      <c r="U11182" s="204"/>
    </row>
    <row r="11183" spans="2:21" x14ac:dyDescent="0.2">
      <c r="B11183" s="203"/>
      <c r="C11183" s="237"/>
      <c r="D11183" s="202"/>
      <c r="E11183" s="202"/>
      <c r="U11183" s="204"/>
    </row>
    <row r="11184" spans="2:21" x14ac:dyDescent="0.2">
      <c r="B11184" s="203"/>
      <c r="C11184" s="237"/>
      <c r="D11184" s="202"/>
      <c r="E11184" s="202"/>
      <c r="U11184" s="204"/>
    </row>
    <row r="11185" spans="2:21" x14ac:dyDescent="0.2">
      <c r="B11185" s="203"/>
      <c r="C11185" s="237"/>
      <c r="D11185" s="202"/>
      <c r="E11185" s="202"/>
      <c r="U11185" s="204"/>
    </row>
    <row r="11186" spans="2:21" x14ac:dyDescent="0.2">
      <c r="B11186" s="203"/>
      <c r="C11186" s="237"/>
      <c r="D11186" s="202"/>
      <c r="E11186" s="202"/>
      <c r="U11186" s="204"/>
    </row>
    <row r="11187" spans="2:21" x14ac:dyDescent="0.2">
      <c r="B11187" s="203"/>
      <c r="C11187" s="237"/>
      <c r="D11187" s="202"/>
      <c r="E11187" s="202"/>
      <c r="U11187" s="204"/>
    </row>
    <row r="11188" spans="2:21" x14ac:dyDescent="0.2">
      <c r="B11188" s="203"/>
      <c r="C11188" s="237"/>
      <c r="D11188" s="202"/>
      <c r="E11188" s="202"/>
      <c r="U11188" s="204"/>
    </row>
    <row r="11189" spans="2:21" x14ac:dyDescent="0.2">
      <c r="B11189" s="203"/>
      <c r="C11189" s="237"/>
      <c r="D11189" s="202"/>
      <c r="E11189" s="202"/>
      <c r="U11189" s="204"/>
    </row>
    <row r="11190" spans="2:21" x14ac:dyDescent="0.2">
      <c r="B11190" s="203"/>
      <c r="C11190" s="237"/>
      <c r="D11190" s="202"/>
      <c r="E11190" s="202"/>
      <c r="U11190" s="204"/>
    </row>
    <row r="11191" spans="2:21" x14ac:dyDescent="0.2">
      <c r="B11191" s="203"/>
      <c r="C11191" s="237"/>
      <c r="D11191" s="202"/>
      <c r="E11191" s="202"/>
      <c r="U11191" s="204"/>
    </row>
    <row r="11192" spans="2:21" x14ac:dyDescent="0.2">
      <c r="B11192" s="203"/>
      <c r="C11192" s="237"/>
      <c r="D11192" s="202"/>
      <c r="E11192" s="202"/>
      <c r="U11192" s="204"/>
    </row>
    <row r="11193" spans="2:21" x14ac:dyDescent="0.2">
      <c r="B11193" s="203"/>
      <c r="C11193" s="237"/>
      <c r="D11193" s="202"/>
      <c r="E11193" s="202"/>
      <c r="U11193" s="204"/>
    </row>
    <row r="11194" spans="2:21" x14ac:dyDescent="0.2">
      <c r="B11194" s="203"/>
      <c r="C11194" s="237"/>
      <c r="D11194" s="202"/>
      <c r="E11194" s="202"/>
      <c r="U11194" s="204"/>
    </row>
    <row r="11195" spans="2:21" x14ac:dyDescent="0.2">
      <c r="B11195" s="203"/>
      <c r="C11195" s="237"/>
      <c r="D11195" s="202"/>
      <c r="E11195" s="202"/>
      <c r="U11195" s="204"/>
    </row>
    <row r="11196" spans="2:21" x14ac:dyDescent="0.2">
      <c r="B11196" s="203"/>
      <c r="C11196" s="237"/>
      <c r="D11196" s="202"/>
      <c r="E11196" s="202"/>
      <c r="U11196" s="204"/>
    </row>
    <row r="11197" spans="2:21" x14ac:dyDescent="0.2">
      <c r="B11197" s="203"/>
      <c r="C11197" s="237"/>
      <c r="D11197" s="202"/>
      <c r="E11197" s="202"/>
      <c r="U11197" s="204"/>
    </row>
    <row r="11198" spans="2:21" x14ac:dyDescent="0.2">
      <c r="B11198" s="203"/>
      <c r="C11198" s="237"/>
      <c r="D11198" s="202"/>
      <c r="E11198" s="202"/>
      <c r="U11198" s="204"/>
    </row>
    <row r="11199" spans="2:21" x14ac:dyDescent="0.2">
      <c r="B11199" s="203"/>
      <c r="C11199" s="237"/>
      <c r="D11199" s="202"/>
      <c r="E11199" s="202"/>
      <c r="U11199" s="204"/>
    </row>
    <row r="11200" spans="2:21" x14ac:dyDescent="0.2">
      <c r="B11200" s="203"/>
      <c r="C11200" s="237"/>
      <c r="D11200" s="202"/>
      <c r="E11200" s="202"/>
      <c r="U11200" s="204"/>
    </row>
    <row r="11201" spans="2:21" x14ac:dyDescent="0.2">
      <c r="B11201" s="203"/>
      <c r="C11201" s="237"/>
      <c r="D11201" s="202"/>
      <c r="E11201" s="202"/>
      <c r="U11201" s="204"/>
    </row>
    <row r="11202" spans="2:21" x14ac:dyDescent="0.2">
      <c r="B11202" s="203"/>
      <c r="C11202" s="237"/>
      <c r="D11202" s="202"/>
      <c r="E11202" s="202"/>
      <c r="U11202" s="204"/>
    </row>
    <row r="11203" spans="2:21" x14ac:dyDescent="0.2">
      <c r="B11203" s="203"/>
      <c r="C11203" s="237"/>
      <c r="D11203" s="202"/>
      <c r="E11203" s="202"/>
      <c r="U11203" s="204"/>
    </row>
    <row r="11204" spans="2:21" x14ac:dyDescent="0.2">
      <c r="B11204" s="203"/>
      <c r="C11204" s="237"/>
      <c r="D11204" s="202"/>
      <c r="E11204" s="202"/>
      <c r="U11204" s="204"/>
    </row>
    <row r="11205" spans="2:21" x14ac:dyDescent="0.2">
      <c r="B11205" s="203"/>
      <c r="C11205" s="237"/>
      <c r="D11205" s="202"/>
      <c r="E11205" s="202"/>
      <c r="U11205" s="204"/>
    </row>
    <row r="11206" spans="2:21" x14ac:dyDescent="0.2">
      <c r="B11206" s="203"/>
      <c r="C11206" s="237"/>
      <c r="D11206" s="202"/>
      <c r="E11206" s="202"/>
      <c r="U11206" s="204"/>
    </row>
    <row r="11207" spans="2:21" x14ac:dyDescent="0.2">
      <c r="B11207" s="203"/>
      <c r="C11207" s="237"/>
      <c r="D11207" s="202"/>
      <c r="E11207" s="202"/>
      <c r="U11207" s="204"/>
    </row>
    <row r="11208" spans="2:21" x14ac:dyDescent="0.2">
      <c r="B11208" s="203"/>
      <c r="C11208" s="237"/>
      <c r="D11208" s="202"/>
      <c r="E11208" s="202"/>
      <c r="U11208" s="204"/>
    </row>
    <row r="11209" spans="2:21" x14ac:dyDescent="0.2">
      <c r="B11209" s="203"/>
      <c r="C11209" s="237"/>
      <c r="D11209" s="202"/>
      <c r="E11209" s="202"/>
      <c r="U11209" s="204"/>
    </row>
    <row r="11210" spans="2:21" x14ac:dyDescent="0.2">
      <c r="B11210" s="203"/>
      <c r="C11210" s="237"/>
      <c r="D11210" s="202"/>
      <c r="E11210" s="202"/>
      <c r="U11210" s="204"/>
    </row>
    <row r="11211" spans="2:21" x14ac:dyDescent="0.2">
      <c r="B11211" s="203"/>
      <c r="C11211" s="237"/>
      <c r="D11211" s="202"/>
      <c r="E11211" s="202"/>
      <c r="U11211" s="204"/>
    </row>
    <row r="11212" spans="2:21" x14ac:dyDescent="0.2">
      <c r="B11212" s="203"/>
      <c r="C11212" s="237"/>
      <c r="D11212" s="202"/>
      <c r="E11212" s="202"/>
      <c r="U11212" s="204"/>
    </row>
    <row r="11213" spans="2:21" x14ac:dyDescent="0.2">
      <c r="B11213" s="203"/>
      <c r="C11213" s="237"/>
      <c r="D11213" s="202"/>
      <c r="E11213" s="202"/>
      <c r="U11213" s="204"/>
    </row>
    <row r="11214" spans="2:21" x14ac:dyDescent="0.2">
      <c r="B11214" s="203"/>
      <c r="C11214" s="237"/>
      <c r="D11214" s="202"/>
      <c r="E11214" s="202"/>
      <c r="U11214" s="204"/>
    </row>
    <row r="11215" spans="2:21" x14ac:dyDescent="0.2">
      <c r="B11215" s="203"/>
      <c r="C11215" s="237"/>
      <c r="D11215" s="202"/>
      <c r="E11215" s="202"/>
      <c r="U11215" s="204"/>
    </row>
    <row r="11216" spans="2:21" x14ac:dyDescent="0.2">
      <c r="B11216" s="203"/>
      <c r="C11216" s="237"/>
      <c r="D11216" s="202"/>
      <c r="E11216" s="202"/>
      <c r="U11216" s="204"/>
    </row>
    <row r="11217" spans="2:21" x14ac:dyDescent="0.2">
      <c r="B11217" s="203"/>
      <c r="C11217" s="237"/>
      <c r="D11217" s="202"/>
      <c r="E11217" s="202"/>
      <c r="U11217" s="204"/>
    </row>
    <row r="11218" spans="2:21" x14ac:dyDescent="0.2">
      <c r="B11218" s="203"/>
      <c r="C11218" s="237"/>
      <c r="D11218" s="202"/>
      <c r="E11218" s="202"/>
      <c r="U11218" s="204"/>
    </row>
    <row r="11219" spans="2:21" x14ac:dyDescent="0.2">
      <c r="B11219" s="203"/>
      <c r="C11219" s="237"/>
      <c r="D11219" s="202"/>
      <c r="E11219" s="202"/>
      <c r="U11219" s="204"/>
    </row>
    <row r="11220" spans="2:21" x14ac:dyDescent="0.2">
      <c r="B11220" s="203"/>
      <c r="C11220" s="237"/>
      <c r="D11220" s="202"/>
      <c r="E11220" s="202"/>
      <c r="U11220" s="204"/>
    </row>
    <row r="11221" spans="2:21" x14ac:dyDescent="0.2">
      <c r="B11221" s="203"/>
      <c r="C11221" s="237"/>
      <c r="D11221" s="202"/>
      <c r="E11221" s="202"/>
      <c r="U11221" s="204"/>
    </row>
    <row r="11222" spans="2:21" x14ac:dyDescent="0.2">
      <c r="B11222" s="203"/>
      <c r="C11222" s="237"/>
      <c r="D11222" s="202"/>
      <c r="E11222" s="202"/>
      <c r="U11222" s="204"/>
    </row>
    <row r="11223" spans="2:21" x14ac:dyDescent="0.2">
      <c r="B11223" s="203"/>
      <c r="C11223" s="237"/>
      <c r="D11223" s="202"/>
      <c r="E11223" s="202"/>
      <c r="U11223" s="204"/>
    </row>
    <row r="11224" spans="2:21" x14ac:dyDescent="0.2">
      <c r="B11224" s="203"/>
      <c r="C11224" s="237"/>
      <c r="D11224" s="202"/>
      <c r="E11224" s="202"/>
      <c r="U11224" s="204"/>
    </row>
    <row r="11225" spans="2:21" x14ac:dyDescent="0.2">
      <c r="B11225" s="203"/>
      <c r="C11225" s="237"/>
      <c r="D11225" s="202"/>
      <c r="E11225" s="202"/>
      <c r="U11225" s="204"/>
    </row>
    <row r="11226" spans="2:21" x14ac:dyDescent="0.2">
      <c r="B11226" s="203"/>
      <c r="C11226" s="237"/>
      <c r="D11226" s="202"/>
      <c r="E11226" s="202"/>
      <c r="U11226" s="204"/>
    </row>
    <row r="11227" spans="2:21" x14ac:dyDescent="0.2">
      <c r="B11227" s="203"/>
      <c r="C11227" s="237"/>
      <c r="D11227" s="202"/>
      <c r="E11227" s="202"/>
      <c r="U11227" s="204"/>
    </row>
    <row r="11228" spans="2:21" x14ac:dyDescent="0.2">
      <c r="B11228" s="203"/>
      <c r="C11228" s="237"/>
      <c r="D11228" s="202"/>
      <c r="E11228" s="202"/>
      <c r="U11228" s="204"/>
    </row>
    <row r="11229" spans="2:21" x14ac:dyDescent="0.2">
      <c r="B11229" s="203"/>
      <c r="C11229" s="237"/>
      <c r="D11229" s="202"/>
      <c r="E11229" s="202"/>
      <c r="U11229" s="204"/>
    </row>
    <row r="11230" spans="2:21" x14ac:dyDescent="0.2">
      <c r="B11230" s="203"/>
      <c r="C11230" s="237"/>
      <c r="D11230" s="202"/>
      <c r="E11230" s="202"/>
      <c r="U11230" s="204"/>
    </row>
    <row r="11231" spans="2:21" x14ac:dyDescent="0.2">
      <c r="B11231" s="203"/>
      <c r="C11231" s="237"/>
      <c r="D11231" s="202"/>
      <c r="E11231" s="202"/>
      <c r="U11231" s="204"/>
    </row>
    <row r="11232" spans="2:21" x14ac:dyDescent="0.2">
      <c r="B11232" s="203"/>
      <c r="C11232" s="237"/>
      <c r="D11232" s="202"/>
      <c r="E11232" s="202"/>
      <c r="U11232" s="204"/>
    </row>
    <row r="11233" spans="2:21" x14ac:dyDescent="0.2">
      <c r="B11233" s="203"/>
      <c r="C11233" s="237"/>
      <c r="D11233" s="202"/>
      <c r="E11233" s="202"/>
      <c r="U11233" s="204"/>
    </row>
    <row r="11234" spans="2:21" x14ac:dyDescent="0.2">
      <c r="B11234" s="203"/>
      <c r="C11234" s="237"/>
      <c r="D11234" s="202"/>
      <c r="E11234" s="202"/>
      <c r="U11234" s="204"/>
    </row>
    <row r="11235" spans="2:21" x14ac:dyDescent="0.2">
      <c r="B11235" s="203"/>
      <c r="C11235" s="237"/>
      <c r="D11235" s="202"/>
      <c r="E11235" s="202"/>
      <c r="U11235" s="204"/>
    </row>
    <row r="11236" spans="2:21" x14ac:dyDescent="0.2">
      <c r="B11236" s="203"/>
      <c r="C11236" s="237"/>
      <c r="D11236" s="202"/>
      <c r="E11236" s="202"/>
      <c r="U11236" s="204"/>
    </row>
    <row r="11237" spans="2:21" x14ac:dyDescent="0.2">
      <c r="B11237" s="203"/>
      <c r="C11237" s="237"/>
      <c r="D11237" s="202"/>
      <c r="E11237" s="202"/>
      <c r="U11237" s="204"/>
    </row>
    <row r="11238" spans="2:21" x14ac:dyDescent="0.2">
      <c r="B11238" s="203"/>
      <c r="C11238" s="237"/>
      <c r="D11238" s="202"/>
      <c r="E11238" s="202"/>
      <c r="U11238" s="204"/>
    </row>
    <row r="11239" spans="2:21" x14ac:dyDescent="0.2">
      <c r="B11239" s="203"/>
      <c r="C11239" s="237"/>
      <c r="D11239" s="202"/>
      <c r="E11239" s="202"/>
      <c r="U11239" s="204"/>
    </row>
    <row r="11240" spans="2:21" x14ac:dyDescent="0.2">
      <c r="B11240" s="203"/>
      <c r="C11240" s="237"/>
      <c r="D11240" s="202"/>
      <c r="E11240" s="202"/>
      <c r="U11240" s="204"/>
    </row>
    <row r="11241" spans="2:21" x14ac:dyDescent="0.2">
      <c r="B11241" s="203"/>
      <c r="C11241" s="237"/>
      <c r="D11241" s="202"/>
      <c r="E11241" s="202"/>
      <c r="U11241" s="204"/>
    </row>
    <row r="11242" spans="2:21" x14ac:dyDescent="0.2">
      <c r="B11242" s="203"/>
      <c r="C11242" s="237"/>
      <c r="D11242" s="202"/>
      <c r="E11242" s="202"/>
      <c r="U11242" s="204"/>
    </row>
    <row r="11243" spans="2:21" x14ac:dyDescent="0.2">
      <c r="B11243" s="203"/>
      <c r="C11243" s="237"/>
      <c r="D11243" s="202"/>
      <c r="E11243" s="202"/>
      <c r="U11243" s="204"/>
    </row>
    <row r="11244" spans="2:21" x14ac:dyDescent="0.2">
      <c r="B11244" s="203"/>
      <c r="C11244" s="237"/>
      <c r="D11244" s="202"/>
      <c r="E11244" s="202"/>
      <c r="U11244" s="204"/>
    </row>
    <row r="11245" spans="2:21" x14ac:dyDescent="0.2">
      <c r="B11245" s="203"/>
      <c r="C11245" s="237"/>
      <c r="D11245" s="202"/>
      <c r="E11245" s="202"/>
      <c r="U11245" s="204"/>
    </row>
    <row r="11246" spans="2:21" x14ac:dyDescent="0.2">
      <c r="B11246" s="203"/>
      <c r="C11246" s="237"/>
      <c r="D11246" s="202"/>
      <c r="E11246" s="202"/>
      <c r="U11246" s="204"/>
    </row>
    <row r="11247" spans="2:21" x14ac:dyDescent="0.2">
      <c r="B11247" s="203"/>
      <c r="C11247" s="237"/>
      <c r="D11247" s="202"/>
      <c r="E11247" s="202"/>
      <c r="U11247" s="204"/>
    </row>
    <row r="11248" spans="2:21" x14ac:dyDescent="0.2">
      <c r="B11248" s="203"/>
      <c r="C11248" s="237"/>
      <c r="D11248" s="202"/>
      <c r="E11248" s="202"/>
      <c r="U11248" s="204"/>
    </row>
    <row r="11249" spans="2:21" x14ac:dyDescent="0.2">
      <c r="B11249" s="203"/>
      <c r="C11249" s="237"/>
      <c r="D11249" s="202"/>
      <c r="E11249" s="202"/>
      <c r="U11249" s="204"/>
    </row>
    <row r="11250" spans="2:21" x14ac:dyDescent="0.2">
      <c r="B11250" s="203"/>
      <c r="C11250" s="237"/>
      <c r="D11250" s="202"/>
      <c r="E11250" s="202"/>
      <c r="U11250" s="204"/>
    </row>
    <row r="11251" spans="2:21" x14ac:dyDescent="0.2">
      <c r="B11251" s="203"/>
      <c r="C11251" s="237"/>
      <c r="D11251" s="202"/>
      <c r="E11251" s="202"/>
      <c r="U11251" s="204"/>
    </row>
    <row r="11252" spans="2:21" x14ac:dyDescent="0.2">
      <c r="B11252" s="203"/>
      <c r="C11252" s="237"/>
      <c r="D11252" s="202"/>
      <c r="E11252" s="202"/>
      <c r="U11252" s="204"/>
    </row>
    <row r="11253" spans="2:21" x14ac:dyDescent="0.2">
      <c r="B11253" s="203"/>
      <c r="C11253" s="237"/>
      <c r="D11253" s="202"/>
      <c r="E11253" s="202"/>
      <c r="U11253" s="204"/>
    </row>
    <row r="11254" spans="2:21" x14ac:dyDescent="0.2">
      <c r="B11254" s="203"/>
      <c r="C11254" s="237"/>
      <c r="D11254" s="202"/>
      <c r="E11254" s="202"/>
      <c r="U11254" s="204"/>
    </row>
    <row r="11255" spans="2:21" x14ac:dyDescent="0.2">
      <c r="B11255" s="203"/>
      <c r="C11255" s="237"/>
      <c r="D11255" s="202"/>
      <c r="E11255" s="202"/>
      <c r="U11255" s="204"/>
    </row>
    <row r="11256" spans="2:21" x14ac:dyDescent="0.2">
      <c r="B11256" s="203"/>
      <c r="C11256" s="237"/>
      <c r="D11256" s="202"/>
      <c r="E11256" s="202"/>
      <c r="U11256" s="204"/>
    </row>
    <row r="11257" spans="2:21" x14ac:dyDescent="0.2">
      <c r="B11257" s="203"/>
      <c r="C11257" s="237"/>
      <c r="D11257" s="202"/>
      <c r="E11257" s="202"/>
      <c r="U11257" s="204"/>
    </row>
    <row r="11258" spans="2:21" x14ac:dyDescent="0.2">
      <c r="B11258" s="203"/>
      <c r="C11258" s="237"/>
      <c r="D11258" s="202"/>
      <c r="E11258" s="202"/>
      <c r="U11258" s="204"/>
    </row>
    <row r="11259" spans="2:21" x14ac:dyDescent="0.2">
      <c r="B11259" s="203"/>
      <c r="C11259" s="237"/>
      <c r="D11259" s="202"/>
      <c r="E11259" s="202"/>
      <c r="U11259" s="204"/>
    </row>
    <row r="11260" spans="2:21" x14ac:dyDescent="0.2">
      <c r="B11260" s="203"/>
      <c r="C11260" s="237"/>
      <c r="D11260" s="202"/>
      <c r="E11260" s="202"/>
      <c r="U11260" s="204"/>
    </row>
    <row r="11261" spans="2:21" x14ac:dyDescent="0.2">
      <c r="B11261" s="203"/>
      <c r="C11261" s="237"/>
      <c r="D11261" s="202"/>
      <c r="E11261" s="202"/>
      <c r="U11261" s="204"/>
    </row>
    <row r="11262" spans="2:21" x14ac:dyDescent="0.2">
      <c r="B11262" s="203"/>
      <c r="C11262" s="237"/>
      <c r="D11262" s="202"/>
      <c r="E11262" s="202"/>
      <c r="U11262" s="204"/>
    </row>
    <row r="11263" spans="2:21" x14ac:dyDescent="0.2">
      <c r="B11263" s="203"/>
      <c r="C11263" s="237"/>
      <c r="D11263" s="202"/>
      <c r="E11263" s="202"/>
      <c r="U11263" s="204"/>
    </row>
    <row r="11264" spans="2:21" x14ac:dyDescent="0.2">
      <c r="B11264" s="203"/>
      <c r="C11264" s="237"/>
      <c r="D11264" s="202"/>
      <c r="E11264" s="202"/>
      <c r="U11264" s="204"/>
    </row>
    <row r="11265" spans="2:21" x14ac:dyDescent="0.2">
      <c r="B11265" s="203"/>
      <c r="C11265" s="237"/>
      <c r="D11265" s="202"/>
      <c r="E11265" s="202"/>
      <c r="U11265" s="204"/>
    </row>
    <row r="11266" spans="2:21" x14ac:dyDescent="0.2">
      <c r="B11266" s="203"/>
      <c r="C11266" s="237"/>
      <c r="D11266" s="202"/>
      <c r="E11266" s="202"/>
      <c r="U11266" s="204"/>
    </row>
    <row r="11267" spans="2:21" x14ac:dyDescent="0.2">
      <c r="B11267" s="203"/>
      <c r="C11267" s="237"/>
      <c r="D11267" s="202"/>
      <c r="E11267" s="202"/>
      <c r="U11267" s="204"/>
    </row>
    <row r="11268" spans="2:21" x14ac:dyDescent="0.2">
      <c r="B11268" s="203"/>
      <c r="C11268" s="237"/>
      <c r="D11268" s="202"/>
      <c r="E11268" s="202"/>
      <c r="U11268" s="204"/>
    </row>
    <row r="11269" spans="2:21" x14ac:dyDescent="0.2">
      <c r="B11269" s="203"/>
      <c r="C11269" s="237"/>
      <c r="D11269" s="202"/>
      <c r="E11269" s="202"/>
      <c r="U11269" s="204"/>
    </row>
    <row r="11270" spans="2:21" x14ac:dyDescent="0.2">
      <c r="B11270" s="203"/>
      <c r="C11270" s="237"/>
      <c r="D11270" s="202"/>
      <c r="E11270" s="202"/>
      <c r="U11270" s="204"/>
    </row>
    <row r="11271" spans="2:21" x14ac:dyDescent="0.2">
      <c r="B11271" s="203"/>
      <c r="C11271" s="237"/>
      <c r="D11271" s="202"/>
      <c r="E11271" s="202"/>
      <c r="U11271" s="204"/>
    </row>
    <row r="11272" spans="2:21" x14ac:dyDescent="0.2">
      <c r="B11272" s="203"/>
      <c r="C11272" s="237"/>
      <c r="D11272" s="202"/>
      <c r="E11272" s="202"/>
      <c r="U11272" s="204"/>
    </row>
    <row r="11273" spans="2:21" x14ac:dyDescent="0.2">
      <c r="B11273" s="203"/>
      <c r="C11273" s="237"/>
      <c r="D11273" s="202"/>
      <c r="E11273" s="202"/>
      <c r="U11273" s="204"/>
    </row>
    <row r="11274" spans="2:21" x14ac:dyDescent="0.2">
      <c r="B11274" s="203"/>
      <c r="C11274" s="237"/>
      <c r="D11274" s="202"/>
      <c r="E11274" s="202"/>
      <c r="U11274" s="204"/>
    </row>
    <row r="11275" spans="2:21" x14ac:dyDescent="0.2">
      <c r="B11275" s="203"/>
      <c r="C11275" s="237"/>
      <c r="D11275" s="202"/>
      <c r="E11275" s="202"/>
      <c r="U11275" s="204"/>
    </row>
    <row r="11276" spans="2:21" x14ac:dyDescent="0.2">
      <c r="B11276" s="203"/>
      <c r="C11276" s="237"/>
      <c r="D11276" s="202"/>
      <c r="E11276" s="202"/>
      <c r="U11276" s="204"/>
    </row>
    <row r="11277" spans="2:21" x14ac:dyDescent="0.2">
      <c r="B11277" s="203"/>
      <c r="C11277" s="237"/>
      <c r="D11277" s="202"/>
      <c r="E11277" s="202"/>
      <c r="U11277" s="204"/>
    </row>
    <row r="11278" spans="2:21" x14ac:dyDescent="0.2">
      <c r="B11278" s="203"/>
      <c r="C11278" s="237"/>
      <c r="D11278" s="202"/>
      <c r="E11278" s="202"/>
      <c r="U11278" s="204"/>
    </row>
    <row r="11279" spans="2:21" x14ac:dyDescent="0.2">
      <c r="B11279" s="203"/>
      <c r="C11279" s="237"/>
      <c r="D11279" s="202"/>
      <c r="E11279" s="202"/>
      <c r="U11279" s="204"/>
    </row>
    <row r="11280" spans="2:21" x14ac:dyDescent="0.2">
      <c r="B11280" s="203"/>
      <c r="C11280" s="237"/>
      <c r="D11280" s="202"/>
      <c r="E11280" s="202"/>
      <c r="U11280" s="204"/>
    </row>
    <row r="11281" spans="2:21" x14ac:dyDescent="0.2">
      <c r="B11281" s="203"/>
      <c r="C11281" s="237"/>
      <c r="D11281" s="202"/>
      <c r="E11281" s="202"/>
      <c r="U11281" s="204"/>
    </row>
    <row r="11282" spans="2:21" x14ac:dyDescent="0.2">
      <c r="B11282" s="203"/>
      <c r="C11282" s="237"/>
      <c r="D11282" s="202"/>
      <c r="E11282" s="202"/>
      <c r="U11282" s="204"/>
    </row>
    <row r="11283" spans="2:21" x14ac:dyDescent="0.2">
      <c r="B11283" s="203"/>
      <c r="C11283" s="237"/>
      <c r="D11283" s="202"/>
      <c r="E11283" s="202"/>
      <c r="U11283" s="204"/>
    </row>
    <row r="11284" spans="2:21" x14ac:dyDescent="0.2">
      <c r="B11284" s="203"/>
      <c r="C11284" s="237"/>
      <c r="D11284" s="202"/>
      <c r="E11284" s="202"/>
      <c r="U11284" s="204"/>
    </row>
    <row r="11285" spans="2:21" x14ac:dyDescent="0.2">
      <c r="B11285" s="203"/>
      <c r="C11285" s="237"/>
      <c r="D11285" s="202"/>
      <c r="E11285" s="202"/>
      <c r="U11285" s="204"/>
    </row>
    <row r="11286" spans="2:21" x14ac:dyDescent="0.2">
      <c r="B11286" s="203"/>
      <c r="C11286" s="237"/>
      <c r="D11286" s="202"/>
      <c r="E11286" s="202"/>
      <c r="U11286" s="204"/>
    </row>
    <row r="11287" spans="2:21" x14ac:dyDescent="0.2">
      <c r="B11287" s="203"/>
      <c r="C11287" s="237"/>
      <c r="D11287" s="202"/>
      <c r="E11287" s="202"/>
      <c r="U11287" s="204"/>
    </row>
    <row r="11288" spans="2:21" x14ac:dyDescent="0.2">
      <c r="B11288" s="203"/>
      <c r="C11288" s="237"/>
      <c r="D11288" s="202"/>
      <c r="E11288" s="202"/>
      <c r="U11288" s="204"/>
    </row>
    <row r="11289" spans="2:21" x14ac:dyDescent="0.2">
      <c r="B11289" s="203"/>
      <c r="C11289" s="237"/>
      <c r="D11289" s="202"/>
      <c r="E11289" s="202"/>
      <c r="U11289" s="204"/>
    </row>
    <row r="11290" spans="2:21" x14ac:dyDescent="0.2">
      <c r="B11290" s="203"/>
      <c r="C11290" s="237"/>
      <c r="D11290" s="202"/>
      <c r="E11290" s="202"/>
      <c r="U11290" s="204"/>
    </row>
    <row r="11291" spans="2:21" x14ac:dyDescent="0.2">
      <c r="B11291" s="203"/>
      <c r="C11291" s="237"/>
      <c r="D11291" s="202"/>
      <c r="E11291" s="202"/>
      <c r="U11291" s="204"/>
    </row>
    <row r="11292" spans="2:21" x14ac:dyDescent="0.2">
      <c r="B11292" s="203"/>
      <c r="C11292" s="237"/>
      <c r="D11292" s="202"/>
      <c r="E11292" s="202"/>
      <c r="U11292" s="204"/>
    </row>
    <row r="11293" spans="2:21" x14ac:dyDescent="0.2">
      <c r="B11293" s="203"/>
      <c r="C11293" s="237"/>
      <c r="D11293" s="202"/>
      <c r="E11293" s="202"/>
      <c r="U11293" s="204"/>
    </row>
    <row r="11294" spans="2:21" x14ac:dyDescent="0.2">
      <c r="B11294" s="203"/>
      <c r="C11294" s="237"/>
      <c r="D11294" s="202"/>
      <c r="E11294" s="202"/>
      <c r="U11294" s="204"/>
    </row>
    <row r="11295" spans="2:21" x14ac:dyDescent="0.2">
      <c r="B11295" s="203"/>
      <c r="C11295" s="237"/>
      <c r="D11295" s="202"/>
      <c r="E11295" s="202"/>
      <c r="U11295" s="204"/>
    </row>
    <row r="11296" spans="2:21" x14ac:dyDescent="0.2">
      <c r="B11296" s="203"/>
      <c r="C11296" s="237"/>
      <c r="D11296" s="202"/>
      <c r="E11296" s="202"/>
      <c r="U11296" s="204"/>
    </row>
    <row r="11297" spans="2:21" x14ac:dyDescent="0.2">
      <c r="B11297" s="203"/>
      <c r="C11297" s="237"/>
      <c r="D11297" s="202"/>
      <c r="E11297" s="202"/>
      <c r="U11297" s="204"/>
    </row>
    <row r="11298" spans="2:21" x14ac:dyDescent="0.2">
      <c r="B11298" s="203"/>
      <c r="C11298" s="237"/>
      <c r="D11298" s="202"/>
      <c r="E11298" s="202"/>
      <c r="U11298" s="204"/>
    </row>
    <row r="11299" spans="2:21" x14ac:dyDescent="0.2">
      <c r="B11299" s="203"/>
      <c r="C11299" s="237"/>
      <c r="D11299" s="202"/>
      <c r="E11299" s="202"/>
      <c r="U11299" s="204"/>
    </row>
    <row r="11300" spans="2:21" x14ac:dyDescent="0.2">
      <c r="B11300" s="203"/>
      <c r="C11300" s="237"/>
      <c r="D11300" s="202"/>
      <c r="E11300" s="202"/>
      <c r="U11300" s="204"/>
    </row>
    <row r="11301" spans="2:21" x14ac:dyDescent="0.2">
      <c r="B11301" s="203"/>
      <c r="C11301" s="237"/>
      <c r="D11301" s="202"/>
      <c r="E11301" s="202"/>
      <c r="U11301" s="204"/>
    </row>
    <row r="11302" spans="2:21" x14ac:dyDescent="0.2">
      <c r="B11302" s="203"/>
      <c r="C11302" s="237"/>
      <c r="D11302" s="202"/>
      <c r="E11302" s="202"/>
      <c r="U11302" s="204"/>
    </row>
    <row r="11303" spans="2:21" x14ac:dyDescent="0.2">
      <c r="B11303" s="203"/>
      <c r="C11303" s="237"/>
      <c r="D11303" s="202"/>
      <c r="E11303" s="202"/>
      <c r="U11303" s="204"/>
    </row>
    <row r="11304" spans="2:21" x14ac:dyDescent="0.2">
      <c r="B11304" s="203"/>
      <c r="C11304" s="237"/>
      <c r="D11304" s="202"/>
      <c r="E11304" s="202"/>
      <c r="U11304" s="204"/>
    </row>
    <row r="11305" spans="2:21" x14ac:dyDescent="0.2">
      <c r="B11305" s="203"/>
      <c r="C11305" s="237"/>
      <c r="D11305" s="202"/>
      <c r="E11305" s="202"/>
      <c r="U11305" s="204"/>
    </row>
    <row r="11306" spans="2:21" x14ac:dyDescent="0.2">
      <c r="B11306" s="203"/>
      <c r="C11306" s="237"/>
      <c r="D11306" s="202"/>
      <c r="E11306" s="202"/>
      <c r="U11306" s="204"/>
    </row>
    <row r="11307" spans="2:21" x14ac:dyDescent="0.2">
      <c r="B11307" s="203"/>
      <c r="C11307" s="237"/>
      <c r="D11307" s="202"/>
      <c r="E11307" s="202"/>
      <c r="U11307" s="204"/>
    </row>
    <row r="11308" spans="2:21" x14ac:dyDescent="0.2">
      <c r="B11308" s="203"/>
      <c r="C11308" s="237"/>
      <c r="D11308" s="202"/>
      <c r="E11308" s="202"/>
      <c r="U11308" s="204"/>
    </row>
    <row r="11309" spans="2:21" x14ac:dyDescent="0.2">
      <c r="B11309" s="203"/>
      <c r="C11309" s="237"/>
      <c r="D11309" s="202"/>
      <c r="E11309" s="202"/>
      <c r="U11309" s="204"/>
    </row>
    <row r="11310" spans="2:21" x14ac:dyDescent="0.2">
      <c r="B11310" s="203"/>
      <c r="C11310" s="237"/>
      <c r="D11310" s="202"/>
      <c r="E11310" s="202"/>
      <c r="U11310" s="204"/>
    </row>
    <row r="11311" spans="2:21" x14ac:dyDescent="0.2">
      <c r="B11311" s="203"/>
      <c r="C11311" s="237"/>
      <c r="D11311" s="202"/>
      <c r="E11311" s="202"/>
      <c r="U11311" s="204"/>
    </row>
    <row r="11312" spans="2:21" x14ac:dyDescent="0.2">
      <c r="B11312" s="203"/>
      <c r="C11312" s="237"/>
      <c r="D11312" s="202"/>
      <c r="E11312" s="202"/>
      <c r="U11312" s="204"/>
    </row>
    <row r="11313" spans="2:21" x14ac:dyDescent="0.2">
      <c r="B11313" s="203"/>
      <c r="C11313" s="237"/>
      <c r="D11313" s="202"/>
      <c r="E11313" s="202"/>
      <c r="U11313" s="204"/>
    </row>
    <row r="11314" spans="2:21" x14ac:dyDescent="0.2">
      <c r="B11314" s="203"/>
      <c r="C11314" s="237"/>
      <c r="D11314" s="202"/>
      <c r="E11314" s="202"/>
      <c r="U11314" s="204"/>
    </row>
    <row r="11315" spans="2:21" x14ac:dyDescent="0.2">
      <c r="B11315" s="203"/>
      <c r="C11315" s="237"/>
      <c r="D11315" s="202"/>
      <c r="E11315" s="202"/>
      <c r="U11315" s="204"/>
    </row>
    <row r="11316" spans="2:21" x14ac:dyDescent="0.2">
      <c r="B11316" s="203"/>
      <c r="C11316" s="237"/>
      <c r="D11316" s="202"/>
      <c r="E11316" s="202"/>
      <c r="U11316" s="204"/>
    </row>
    <row r="11317" spans="2:21" x14ac:dyDescent="0.2">
      <c r="B11317" s="203"/>
      <c r="C11317" s="237"/>
      <c r="D11317" s="202"/>
      <c r="E11317" s="202"/>
      <c r="U11317" s="204"/>
    </row>
    <row r="11318" spans="2:21" x14ac:dyDescent="0.2">
      <c r="B11318" s="203"/>
      <c r="C11318" s="237"/>
      <c r="D11318" s="202"/>
      <c r="E11318" s="202"/>
      <c r="U11318" s="204"/>
    </row>
    <row r="11319" spans="2:21" x14ac:dyDescent="0.2">
      <c r="B11319" s="203"/>
      <c r="C11319" s="237"/>
      <c r="D11319" s="202"/>
      <c r="E11319" s="202"/>
      <c r="U11319" s="204"/>
    </row>
    <row r="11320" spans="2:21" x14ac:dyDescent="0.2">
      <c r="B11320" s="203"/>
      <c r="C11320" s="237"/>
      <c r="D11320" s="202"/>
      <c r="E11320" s="202"/>
      <c r="U11320" s="204"/>
    </row>
    <row r="11321" spans="2:21" x14ac:dyDescent="0.2">
      <c r="B11321" s="203"/>
      <c r="C11321" s="237"/>
      <c r="D11321" s="202"/>
      <c r="E11321" s="202"/>
      <c r="U11321" s="204"/>
    </row>
    <row r="11322" spans="2:21" x14ac:dyDescent="0.2">
      <c r="B11322" s="203"/>
      <c r="C11322" s="237"/>
      <c r="D11322" s="202"/>
      <c r="E11322" s="202"/>
      <c r="U11322" s="204"/>
    </row>
    <row r="11323" spans="2:21" x14ac:dyDescent="0.2">
      <c r="B11323" s="203"/>
      <c r="C11323" s="237"/>
      <c r="D11323" s="202"/>
      <c r="E11323" s="202"/>
      <c r="U11323" s="204"/>
    </row>
    <row r="11324" spans="2:21" x14ac:dyDescent="0.2">
      <c r="B11324" s="203"/>
      <c r="C11324" s="237"/>
      <c r="D11324" s="202"/>
      <c r="E11324" s="202"/>
      <c r="U11324" s="204"/>
    </row>
    <row r="11325" spans="2:21" x14ac:dyDescent="0.2">
      <c r="B11325" s="203"/>
      <c r="C11325" s="237"/>
      <c r="D11325" s="202"/>
      <c r="E11325" s="202"/>
      <c r="U11325" s="204"/>
    </row>
    <row r="11326" spans="2:21" x14ac:dyDescent="0.2">
      <c r="B11326" s="203"/>
      <c r="C11326" s="237"/>
      <c r="D11326" s="202"/>
      <c r="E11326" s="202"/>
      <c r="U11326" s="204"/>
    </row>
    <row r="11327" spans="2:21" x14ac:dyDescent="0.2">
      <c r="B11327" s="203"/>
      <c r="C11327" s="237"/>
      <c r="D11327" s="202"/>
      <c r="E11327" s="202"/>
      <c r="U11327" s="204"/>
    </row>
    <row r="11328" spans="2:21" x14ac:dyDescent="0.2">
      <c r="B11328" s="203"/>
      <c r="C11328" s="237"/>
      <c r="D11328" s="202"/>
      <c r="E11328" s="202"/>
      <c r="U11328" s="204"/>
    </row>
    <row r="11329" spans="2:21" x14ac:dyDescent="0.2">
      <c r="B11329" s="203"/>
      <c r="C11329" s="237"/>
      <c r="D11329" s="202"/>
      <c r="E11329" s="202"/>
      <c r="U11329" s="204"/>
    </row>
    <row r="11330" spans="2:21" x14ac:dyDescent="0.2">
      <c r="B11330" s="203"/>
      <c r="C11330" s="237"/>
      <c r="D11330" s="202"/>
      <c r="E11330" s="202"/>
      <c r="U11330" s="204"/>
    </row>
    <row r="11331" spans="2:21" x14ac:dyDescent="0.2">
      <c r="B11331" s="203"/>
      <c r="C11331" s="237"/>
      <c r="D11331" s="202"/>
      <c r="E11331" s="202"/>
      <c r="U11331" s="204"/>
    </row>
    <row r="11332" spans="2:21" x14ac:dyDescent="0.2">
      <c r="B11332" s="203"/>
      <c r="C11332" s="237"/>
      <c r="D11332" s="202"/>
      <c r="E11332" s="202"/>
      <c r="U11332" s="204"/>
    </row>
    <row r="11333" spans="2:21" x14ac:dyDescent="0.2">
      <c r="B11333" s="203"/>
      <c r="C11333" s="237"/>
      <c r="D11333" s="202"/>
      <c r="E11333" s="202"/>
      <c r="U11333" s="204"/>
    </row>
    <row r="11334" spans="2:21" x14ac:dyDescent="0.2">
      <c r="B11334" s="203"/>
      <c r="C11334" s="237"/>
      <c r="D11334" s="202"/>
      <c r="E11334" s="202"/>
      <c r="U11334" s="204"/>
    </row>
    <row r="11335" spans="2:21" x14ac:dyDescent="0.2">
      <c r="B11335" s="203"/>
      <c r="C11335" s="237"/>
      <c r="D11335" s="202"/>
      <c r="E11335" s="202"/>
      <c r="U11335" s="204"/>
    </row>
    <row r="11336" spans="2:21" x14ac:dyDescent="0.2">
      <c r="B11336" s="203"/>
      <c r="C11336" s="237"/>
      <c r="D11336" s="202"/>
      <c r="E11336" s="202"/>
      <c r="U11336" s="204"/>
    </row>
    <row r="11337" spans="2:21" x14ac:dyDescent="0.2">
      <c r="B11337" s="203"/>
      <c r="C11337" s="237"/>
      <c r="D11337" s="202"/>
      <c r="E11337" s="202"/>
      <c r="U11337" s="204"/>
    </row>
    <row r="11338" spans="2:21" x14ac:dyDescent="0.2">
      <c r="B11338" s="203"/>
      <c r="C11338" s="237"/>
      <c r="D11338" s="202"/>
      <c r="E11338" s="202"/>
      <c r="U11338" s="204"/>
    </row>
    <row r="11339" spans="2:21" x14ac:dyDescent="0.2">
      <c r="B11339" s="203"/>
      <c r="C11339" s="237"/>
      <c r="D11339" s="202"/>
      <c r="E11339" s="202"/>
      <c r="U11339" s="204"/>
    </row>
    <row r="11340" spans="2:21" x14ac:dyDescent="0.2">
      <c r="B11340" s="203"/>
      <c r="C11340" s="237"/>
      <c r="D11340" s="202"/>
      <c r="E11340" s="202"/>
      <c r="U11340" s="204"/>
    </row>
    <row r="11341" spans="2:21" x14ac:dyDescent="0.2">
      <c r="B11341" s="203"/>
      <c r="C11341" s="237"/>
      <c r="D11341" s="202"/>
      <c r="E11341" s="202"/>
      <c r="U11341" s="204"/>
    </row>
    <row r="11342" spans="2:21" x14ac:dyDescent="0.2">
      <c r="B11342" s="203"/>
      <c r="C11342" s="237"/>
      <c r="D11342" s="202"/>
      <c r="E11342" s="202"/>
      <c r="U11342" s="204"/>
    </row>
    <row r="11343" spans="2:21" x14ac:dyDescent="0.2">
      <c r="B11343" s="203"/>
      <c r="C11343" s="237"/>
      <c r="D11343" s="202"/>
      <c r="E11343" s="202"/>
      <c r="U11343" s="204"/>
    </row>
    <row r="11344" spans="2:21" x14ac:dyDescent="0.2">
      <c r="B11344" s="203"/>
      <c r="C11344" s="237"/>
      <c r="D11344" s="202"/>
      <c r="E11344" s="202"/>
      <c r="U11344" s="204"/>
    </row>
    <row r="11345" spans="2:21" x14ac:dyDescent="0.2">
      <c r="B11345" s="203"/>
      <c r="C11345" s="237"/>
      <c r="D11345" s="202"/>
      <c r="E11345" s="202"/>
      <c r="U11345" s="204"/>
    </row>
    <row r="11346" spans="2:21" x14ac:dyDescent="0.2">
      <c r="B11346" s="203"/>
      <c r="C11346" s="237"/>
      <c r="D11346" s="202"/>
      <c r="E11346" s="202"/>
      <c r="U11346" s="204"/>
    </row>
    <row r="11347" spans="2:21" x14ac:dyDescent="0.2">
      <c r="B11347" s="203"/>
      <c r="C11347" s="237"/>
      <c r="D11347" s="202"/>
      <c r="E11347" s="202"/>
      <c r="U11347" s="204"/>
    </row>
    <row r="11348" spans="2:21" x14ac:dyDescent="0.2">
      <c r="B11348" s="203"/>
      <c r="C11348" s="237"/>
      <c r="D11348" s="202"/>
      <c r="E11348" s="202"/>
      <c r="U11348" s="204"/>
    </row>
    <row r="11349" spans="2:21" x14ac:dyDescent="0.2">
      <c r="B11349" s="203"/>
      <c r="C11349" s="237"/>
      <c r="D11349" s="202"/>
      <c r="E11349" s="202"/>
      <c r="U11349" s="204"/>
    </row>
    <row r="11350" spans="2:21" x14ac:dyDescent="0.2">
      <c r="B11350" s="203"/>
      <c r="C11350" s="237"/>
      <c r="D11350" s="202"/>
      <c r="E11350" s="202"/>
      <c r="U11350" s="204"/>
    </row>
    <row r="11351" spans="2:21" x14ac:dyDescent="0.2">
      <c r="B11351" s="203"/>
      <c r="C11351" s="237"/>
      <c r="D11351" s="202"/>
      <c r="E11351" s="202"/>
      <c r="U11351" s="204"/>
    </row>
    <row r="11352" spans="2:21" x14ac:dyDescent="0.2">
      <c r="B11352" s="203"/>
      <c r="C11352" s="237"/>
      <c r="D11352" s="202"/>
      <c r="E11352" s="202"/>
      <c r="U11352" s="204"/>
    </row>
    <row r="11353" spans="2:21" x14ac:dyDescent="0.2">
      <c r="B11353" s="203"/>
      <c r="C11353" s="237"/>
      <c r="D11353" s="202"/>
      <c r="E11353" s="202"/>
      <c r="U11353" s="204"/>
    </row>
    <row r="11354" spans="2:21" x14ac:dyDescent="0.2">
      <c r="B11354" s="203"/>
      <c r="C11354" s="237"/>
      <c r="D11354" s="202"/>
      <c r="E11354" s="202"/>
      <c r="U11354" s="204"/>
    </row>
    <row r="11355" spans="2:21" x14ac:dyDescent="0.2">
      <c r="B11355" s="203"/>
      <c r="C11355" s="237"/>
      <c r="D11355" s="202"/>
      <c r="E11355" s="202"/>
      <c r="U11355" s="204"/>
    </row>
    <row r="11356" spans="2:21" x14ac:dyDescent="0.2">
      <c r="B11356" s="203"/>
      <c r="C11356" s="237"/>
      <c r="D11356" s="202"/>
      <c r="E11356" s="202"/>
      <c r="U11356" s="204"/>
    </row>
    <row r="11357" spans="2:21" x14ac:dyDescent="0.2">
      <c r="B11357" s="203"/>
      <c r="C11357" s="237"/>
      <c r="D11357" s="202"/>
      <c r="E11357" s="202"/>
      <c r="U11357" s="204"/>
    </row>
    <row r="11358" spans="2:21" x14ac:dyDescent="0.2">
      <c r="B11358" s="203"/>
      <c r="C11358" s="237"/>
      <c r="D11358" s="202"/>
      <c r="E11358" s="202"/>
      <c r="U11358" s="204"/>
    </row>
    <row r="11359" spans="2:21" x14ac:dyDescent="0.2">
      <c r="B11359" s="203"/>
      <c r="C11359" s="237"/>
      <c r="D11359" s="202"/>
      <c r="E11359" s="202"/>
      <c r="U11359" s="204"/>
    </row>
    <row r="11360" spans="2:21" x14ac:dyDescent="0.2">
      <c r="B11360" s="203"/>
      <c r="C11360" s="237"/>
      <c r="D11360" s="202"/>
      <c r="E11360" s="202"/>
      <c r="U11360" s="204"/>
    </row>
    <row r="11361" spans="2:21" x14ac:dyDescent="0.2">
      <c r="B11361" s="203"/>
      <c r="C11361" s="237"/>
      <c r="D11361" s="202"/>
      <c r="E11361" s="202"/>
      <c r="U11361" s="204"/>
    </row>
    <row r="11362" spans="2:21" x14ac:dyDescent="0.2">
      <c r="B11362" s="203"/>
      <c r="C11362" s="237"/>
      <c r="D11362" s="202"/>
      <c r="E11362" s="202"/>
      <c r="U11362" s="204"/>
    </row>
    <row r="11363" spans="2:21" x14ac:dyDescent="0.2">
      <c r="B11363" s="203"/>
      <c r="C11363" s="237"/>
      <c r="D11363" s="202"/>
      <c r="E11363" s="202"/>
      <c r="U11363" s="204"/>
    </row>
    <row r="11364" spans="2:21" x14ac:dyDescent="0.2">
      <c r="B11364" s="203"/>
      <c r="C11364" s="237"/>
      <c r="D11364" s="202"/>
      <c r="E11364" s="202"/>
      <c r="U11364" s="204"/>
    </row>
    <row r="11365" spans="2:21" x14ac:dyDescent="0.2">
      <c r="B11365" s="203"/>
      <c r="C11365" s="237"/>
      <c r="D11365" s="202"/>
      <c r="E11365" s="202"/>
      <c r="U11365" s="204"/>
    </row>
    <row r="11366" spans="2:21" x14ac:dyDescent="0.2">
      <c r="B11366" s="203"/>
      <c r="C11366" s="237"/>
      <c r="D11366" s="202"/>
      <c r="E11366" s="202"/>
      <c r="U11366" s="204"/>
    </row>
    <row r="11367" spans="2:21" x14ac:dyDescent="0.2">
      <c r="B11367" s="203"/>
      <c r="C11367" s="237"/>
      <c r="D11367" s="202"/>
      <c r="E11367" s="202"/>
      <c r="U11367" s="204"/>
    </row>
    <row r="11368" spans="2:21" x14ac:dyDescent="0.2">
      <c r="B11368" s="203"/>
      <c r="C11368" s="237"/>
      <c r="D11368" s="202"/>
      <c r="E11368" s="202"/>
      <c r="U11368" s="204"/>
    </row>
    <row r="11369" spans="2:21" x14ac:dyDescent="0.2">
      <c r="B11369" s="203"/>
      <c r="C11369" s="237"/>
      <c r="D11369" s="202"/>
      <c r="E11369" s="202"/>
      <c r="U11369" s="204"/>
    </row>
    <row r="11370" spans="2:21" x14ac:dyDescent="0.2">
      <c r="B11370" s="203"/>
      <c r="C11370" s="237"/>
      <c r="D11370" s="202"/>
      <c r="E11370" s="202"/>
      <c r="U11370" s="204"/>
    </row>
    <row r="11371" spans="2:21" x14ac:dyDescent="0.2">
      <c r="B11371" s="203"/>
      <c r="C11371" s="237"/>
      <c r="D11371" s="202"/>
      <c r="E11371" s="202"/>
      <c r="U11371" s="204"/>
    </row>
    <row r="11372" spans="2:21" x14ac:dyDescent="0.2">
      <c r="B11372" s="203"/>
      <c r="C11372" s="237"/>
      <c r="D11372" s="202"/>
      <c r="E11372" s="202"/>
      <c r="U11372" s="204"/>
    </row>
    <row r="11373" spans="2:21" x14ac:dyDescent="0.2">
      <c r="B11373" s="203"/>
      <c r="C11373" s="237"/>
      <c r="D11373" s="202"/>
      <c r="E11373" s="202"/>
      <c r="U11373" s="204"/>
    </row>
    <row r="11374" spans="2:21" x14ac:dyDescent="0.2">
      <c r="B11374" s="203"/>
      <c r="C11374" s="237"/>
      <c r="D11374" s="202"/>
      <c r="E11374" s="202"/>
      <c r="U11374" s="204"/>
    </row>
    <row r="11375" spans="2:21" x14ac:dyDescent="0.2">
      <c r="B11375" s="203"/>
      <c r="C11375" s="237"/>
      <c r="D11375" s="202"/>
      <c r="E11375" s="202"/>
      <c r="U11375" s="204"/>
    </row>
    <row r="11376" spans="2:21" x14ac:dyDescent="0.2">
      <c r="B11376" s="203"/>
      <c r="C11376" s="237"/>
      <c r="D11376" s="202"/>
      <c r="E11376" s="202"/>
      <c r="U11376" s="204"/>
    </row>
    <row r="11377" spans="2:21" x14ac:dyDescent="0.2">
      <c r="B11377" s="203"/>
      <c r="C11377" s="237"/>
      <c r="D11377" s="202"/>
      <c r="E11377" s="202"/>
      <c r="U11377" s="204"/>
    </row>
    <row r="11378" spans="2:21" x14ac:dyDescent="0.2">
      <c r="B11378" s="203"/>
      <c r="C11378" s="237"/>
      <c r="D11378" s="202"/>
      <c r="E11378" s="202"/>
      <c r="U11378" s="204"/>
    </row>
    <row r="11379" spans="2:21" x14ac:dyDescent="0.2">
      <c r="B11379" s="203"/>
      <c r="C11379" s="237"/>
      <c r="D11379" s="202"/>
      <c r="E11379" s="202"/>
      <c r="U11379" s="204"/>
    </row>
    <row r="11380" spans="2:21" x14ac:dyDescent="0.2">
      <c r="B11380" s="203"/>
      <c r="C11380" s="237"/>
      <c r="D11380" s="202"/>
      <c r="E11380" s="202"/>
      <c r="U11380" s="204"/>
    </row>
    <row r="11381" spans="2:21" x14ac:dyDescent="0.2">
      <c r="B11381" s="203"/>
      <c r="C11381" s="237"/>
      <c r="D11381" s="202"/>
      <c r="E11381" s="202"/>
      <c r="U11381" s="204"/>
    </row>
    <row r="11382" spans="2:21" x14ac:dyDescent="0.2">
      <c r="B11382" s="203"/>
      <c r="C11382" s="237"/>
      <c r="D11382" s="202"/>
      <c r="E11382" s="202"/>
      <c r="U11382" s="204"/>
    </row>
    <row r="11383" spans="2:21" x14ac:dyDescent="0.2">
      <c r="B11383" s="203"/>
      <c r="C11383" s="237"/>
      <c r="D11383" s="202"/>
      <c r="E11383" s="202"/>
      <c r="U11383" s="204"/>
    </row>
    <row r="11384" spans="2:21" x14ac:dyDescent="0.2">
      <c r="B11384" s="203"/>
      <c r="C11384" s="237"/>
      <c r="D11384" s="202"/>
      <c r="E11384" s="202"/>
      <c r="U11384" s="204"/>
    </row>
    <row r="11385" spans="2:21" x14ac:dyDescent="0.2">
      <c r="B11385" s="203"/>
      <c r="C11385" s="237"/>
      <c r="D11385" s="202"/>
      <c r="E11385" s="202"/>
      <c r="U11385" s="204"/>
    </row>
    <row r="11386" spans="2:21" x14ac:dyDescent="0.2">
      <c r="B11386" s="203"/>
      <c r="C11386" s="237"/>
      <c r="D11386" s="202"/>
      <c r="E11386" s="202"/>
      <c r="U11386" s="204"/>
    </row>
    <row r="11387" spans="2:21" x14ac:dyDescent="0.2">
      <c r="B11387" s="203"/>
      <c r="C11387" s="237"/>
      <c r="D11387" s="202"/>
      <c r="E11387" s="202"/>
      <c r="U11387" s="204"/>
    </row>
    <row r="11388" spans="2:21" x14ac:dyDescent="0.2">
      <c r="B11388" s="203"/>
      <c r="C11388" s="237"/>
      <c r="D11388" s="202"/>
      <c r="E11388" s="202"/>
      <c r="U11388" s="204"/>
    </row>
    <row r="11389" spans="2:21" x14ac:dyDescent="0.2">
      <c r="B11389" s="203"/>
      <c r="C11389" s="237"/>
      <c r="D11389" s="202"/>
      <c r="E11389" s="202"/>
      <c r="U11389" s="204"/>
    </row>
    <row r="11390" spans="2:21" x14ac:dyDescent="0.2">
      <c r="B11390" s="203"/>
      <c r="C11390" s="237"/>
      <c r="D11390" s="202"/>
      <c r="E11390" s="202"/>
      <c r="U11390" s="204"/>
    </row>
    <row r="11391" spans="2:21" x14ac:dyDescent="0.2">
      <c r="B11391" s="203"/>
      <c r="C11391" s="237"/>
      <c r="D11391" s="202"/>
      <c r="E11391" s="202"/>
      <c r="U11391" s="204"/>
    </row>
    <row r="11392" spans="2:21" x14ac:dyDescent="0.2">
      <c r="B11392" s="203"/>
      <c r="C11392" s="237"/>
      <c r="D11392" s="202"/>
      <c r="E11392" s="202"/>
      <c r="U11392" s="204"/>
    </row>
    <row r="11393" spans="2:21" x14ac:dyDescent="0.2">
      <c r="B11393" s="203"/>
      <c r="C11393" s="237"/>
      <c r="D11393" s="202"/>
      <c r="E11393" s="202"/>
      <c r="U11393" s="204"/>
    </row>
    <row r="11394" spans="2:21" x14ac:dyDescent="0.2">
      <c r="B11394" s="203"/>
      <c r="C11394" s="237"/>
      <c r="D11394" s="202"/>
      <c r="E11394" s="202"/>
      <c r="U11394" s="204"/>
    </row>
    <row r="11395" spans="2:21" x14ac:dyDescent="0.2">
      <c r="B11395" s="203"/>
      <c r="C11395" s="237"/>
      <c r="D11395" s="202"/>
      <c r="E11395" s="202"/>
      <c r="U11395" s="204"/>
    </row>
    <row r="11396" spans="2:21" x14ac:dyDescent="0.2">
      <c r="B11396" s="203"/>
      <c r="C11396" s="237"/>
      <c r="D11396" s="202"/>
      <c r="E11396" s="202"/>
      <c r="U11396" s="204"/>
    </row>
    <row r="11397" spans="2:21" x14ac:dyDescent="0.2">
      <c r="B11397" s="203"/>
      <c r="C11397" s="237"/>
      <c r="D11397" s="202"/>
      <c r="E11397" s="202"/>
      <c r="U11397" s="204"/>
    </row>
    <row r="11398" spans="2:21" x14ac:dyDescent="0.2">
      <c r="B11398" s="203"/>
      <c r="C11398" s="237"/>
      <c r="D11398" s="202"/>
      <c r="E11398" s="202"/>
      <c r="U11398" s="204"/>
    </row>
    <row r="11399" spans="2:21" x14ac:dyDescent="0.2">
      <c r="B11399" s="203"/>
      <c r="C11399" s="237"/>
      <c r="D11399" s="202"/>
      <c r="E11399" s="202"/>
      <c r="U11399" s="204"/>
    </row>
    <row r="11400" spans="2:21" x14ac:dyDescent="0.2">
      <c r="B11400" s="203"/>
      <c r="C11400" s="237"/>
      <c r="D11400" s="202"/>
      <c r="E11400" s="202"/>
      <c r="U11400" s="204"/>
    </row>
    <row r="11401" spans="2:21" x14ac:dyDescent="0.2">
      <c r="B11401" s="203"/>
      <c r="C11401" s="237"/>
      <c r="D11401" s="202"/>
      <c r="E11401" s="202"/>
      <c r="U11401" s="204"/>
    </row>
    <row r="11402" spans="2:21" x14ac:dyDescent="0.2">
      <c r="B11402" s="203"/>
      <c r="C11402" s="237"/>
      <c r="D11402" s="202"/>
      <c r="E11402" s="202"/>
      <c r="U11402" s="204"/>
    </row>
    <row r="11403" spans="2:21" x14ac:dyDescent="0.2">
      <c r="B11403" s="203"/>
      <c r="C11403" s="237"/>
      <c r="D11403" s="202"/>
      <c r="E11403" s="202"/>
      <c r="U11403" s="204"/>
    </row>
    <row r="11404" spans="2:21" x14ac:dyDescent="0.2">
      <c r="B11404" s="203"/>
      <c r="C11404" s="237"/>
      <c r="D11404" s="202"/>
      <c r="E11404" s="202"/>
      <c r="U11404" s="204"/>
    </row>
    <row r="11405" spans="2:21" x14ac:dyDescent="0.2">
      <c r="B11405" s="203"/>
      <c r="C11405" s="237"/>
      <c r="D11405" s="202"/>
      <c r="E11405" s="202"/>
      <c r="U11405" s="204"/>
    </row>
    <row r="11406" spans="2:21" x14ac:dyDescent="0.2">
      <c r="B11406" s="203"/>
      <c r="C11406" s="237"/>
      <c r="D11406" s="202"/>
      <c r="E11406" s="202"/>
      <c r="U11406" s="204"/>
    </row>
    <row r="11407" spans="2:21" x14ac:dyDescent="0.2">
      <c r="B11407" s="203"/>
      <c r="C11407" s="237"/>
      <c r="D11407" s="202"/>
      <c r="E11407" s="202"/>
      <c r="U11407" s="204"/>
    </row>
    <row r="11408" spans="2:21" x14ac:dyDescent="0.2">
      <c r="B11408" s="203"/>
      <c r="C11408" s="237"/>
      <c r="D11408" s="202"/>
      <c r="E11408" s="202"/>
      <c r="U11408" s="204"/>
    </row>
    <row r="11409" spans="2:21" x14ac:dyDescent="0.2">
      <c r="B11409" s="203"/>
      <c r="C11409" s="237"/>
      <c r="D11409" s="202"/>
      <c r="E11409" s="202"/>
      <c r="U11409" s="204"/>
    </row>
    <row r="11410" spans="2:21" x14ac:dyDescent="0.2">
      <c r="B11410" s="203"/>
      <c r="C11410" s="237"/>
      <c r="D11410" s="202"/>
      <c r="E11410" s="202"/>
      <c r="U11410" s="204"/>
    </row>
    <row r="11411" spans="2:21" x14ac:dyDescent="0.2">
      <c r="B11411" s="203"/>
      <c r="C11411" s="237"/>
      <c r="D11411" s="202"/>
      <c r="E11411" s="202"/>
      <c r="U11411" s="204"/>
    </row>
    <row r="11412" spans="2:21" x14ac:dyDescent="0.2">
      <c r="B11412" s="203"/>
      <c r="C11412" s="237"/>
      <c r="D11412" s="202"/>
      <c r="E11412" s="202"/>
      <c r="U11412" s="204"/>
    </row>
    <row r="11413" spans="2:21" x14ac:dyDescent="0.2">
      <c r="B11413" s="203"/>
      <c r="C11413" s="237"/>
      <c r="D11413" s="202"/>
      <c r="E11413" s="202"/>
      <c r="U11413" s="204"/>
    </row>
    <row r="11414" spans="2:21" x14ac:dyDescent="0.2">
      <c r="B11414" s="203"/>
      <c r="C11414" s="237"/>
      <c r="D11414" s="202"/>
      <c r="E11414" s="202"/>
      <c r="U11414" s="204"/>
    </row>
    <row r="11415" spans="2:21" x14ac:dyDescent="0.2">
      <c r="B11415" s="203"/>
      <c r="C11415" s="237"/>
      <c r="D11415" s="202"/>
      <c r="E11415" s="202"/>
      <c r="U11415" s="204"/>
    </row>
    <row r="11416" spans="2:21" x14ac:dyDescent="0.2">
      <c r="B11416" s="203"/>
      <c r="C11416" s="237"/>
      <c r="D11416" s="202"/>
      <c r="E11416" s="202"/>
      <c r="U11416" s="204"/>
    </row>
    <row r="11417" spans="2:21" x14ac:dyDescent="0.2">
      <c r="B11417" s="203"/>
      <c r="C11417" s="237"/>
      <c r="D11417" s="202"/>
      <c r="E11417" s="202"/>
      <c r="U11417" s="204"/>
    </row>
    <row r="11418" spans="2:21" x14ac:dyDescent="0.2">
      <c r="B11418" s="203"/>
      <c r="C11418" s="237"/>
      <c r="D11418" s="202"/>
      <c r="E11418" s="202"/>
      <c r="U11418" s="204"/>
    </row>
    <row r="11419" spans="2:21" x14ac:dyDescent="0.2">
      <c r="B11419" s="203"/>
      <c r="C11419" s="237"/>
      <c r="D11419" s="202"/>
      <c r="E11419" s="202"/>
      <c r="U11419" s="204"/>
    </row>
    <row r="11420" spans="2:21" x14ac:dyDescent="0.2">
      <c r="B11420" s="203"/>
      <c r="C11420" s="237"/>
      <c r="D11420" s="202"/>
      <c r="E11420" s="202"/>
      <c r="U11420" s="204"/>
    </row>
    <row r="11421" spans="2:21" x14ac:dyDescent="0.2">
      <c r="B11421" s="203"/>
      <c r="C11421" s="237"/>
      <c r="D11421" s="202"/>
      <c r="E11421" s="202"/>
      <c r="U11421" s="204"/>
    </row>
    <row r="11422" spans="2:21" x14ac:dyDescent="0.2">
      <c r="B11422" s="203"/>
      <c r="C11422" s="237"/>
      <c r="D11422" s="202"/>
      <c r="E11422" s="202"/>
      <c r="U11422" s="204"/>
    </row>
    <row r="11423" spans="2:21" x14ac:dyDescent="0.2">
      <c r="B11423" s="203"/>
      <c r="C11423" s="237"/>
      <c r="D11423" s="202"/>
      <c r="E11423" s="202"/>
      <c r="U11423" s="204"/>
    </row>
    <row r="11424" spans="2:21" x14ac:dyDescent="0.2">
      <c r="B11424" s="203"/>
      <c r="C11424" s="237"/>
      <c r="D11424" s="202"/>
      <c r="E11424" s="202"/>
      <c r="U11424" s="204"/>
    </row>
    <row r="11425" spans="2:21" x14ac:dyDescent="0.2">
      <c r="B11425" s="203"/>
      <c r="C11425" s="237"/>
      <c r="D11425" s="202"/>
      <c r="E11425" s="202"/>
      <c r="U11425" s="204"/>
    </row>
    <row r="11426" spans="2:21" x14ac:dyDescent="0.2">
      <c r="B11426" s="203"/>
      <c r="C11426" s="237"/>
      <c r="D11426" s="202"/>
      <c r="E11426" s="202"/>
      <c r="U11426" s="204"/>
    </row>
    <row r="11427" spans="2:21" x14ac:dyDescent="0.2">
      <c r="B11427" s="203"/>
      <c r="C11427" s="237"/>
      <c r="D11427" s="202"/>
      <c r="E11427" s="202"/>
      <c r="U11427" s="204"/>
    </row>
    <row r="11428" spans="2:21" x14ac:dyDescent="0.2">
      <c r="B11428" s="203"/>
      <c r="C11428" s="237"/>
      <c r="D11428" s="202"/>
      <c r="E11428" s="202"/>
      <c r="U11428" s="204"/>
    </row>
    <row r="11429" spans="2:21" x14ac:dyDescent="0.2">
      <c r="B11429" s="203"/>
      <c r="C11429" s="237"/>
      <c r="D11429" s="202"/>
      <c r="E11429" s="202"/>
      <c r="U11429" s="204"/>
    </row>
    <row r="11430" spans="2:21" x14ac:dyDescent="0.2">
      <c r="B11430" s="203"/>
      <c r="C11430" s="237"/>
      <c r="D11430" s="202"/>
      <c r="E11430" s="202"/>
      <c r="U11430" s="204"/>
    </row>
    <row r="11431" spans="2:21" x14ac:dyDescent="0.2">
      <c r="B11431" s="203"/>
      <c r="C11431" s="237"/>
      <c r="D11431" s="202"/>
      <c r="E11431" s="202"/>
      <c r="U11431" s="204"/>
    </row>
    <row r="11432" spans="2:21" x14ac:dyDescent="0.2">
      <c r="B11432" s="203"/>
      <c r="C11432" s="237"/>
      <c r="D11432" s="202"/>
      <c r="E11432" s="202"/>
      <c r="U11432" s="204"/>
    </row>
    <row r="11433" spans="2:21" x14ac:dyDescent="0.2">
      <c r="B11433" s="203"/>
      <c r="C11433" s="237"/>
      <c r="D11433" s="202"/>
      <c r="E11433" s="202"/>
      <c r="U11433" s="204"/>
    </row>
    <row r="11434" spans="2:21" x14ac:dyDescent="0.2">
      <c r="B11434" s="203"/>
      <c r="C11434" s="237"/>
      <c r="D11434" s="202"/>
      <c r="E11434" s="202"/>
      <c r="U11434" s="204"/>
    </row>
    <row r="11435" spans="2:21" x14ac:dyDescent="0.2">
      <c r="B11435" s="203"/>
      <c r="C11435" s="237"/>
      <c r="D11435" s="202"/>
      <c r="E11435" s="202"/>
      <c r="U11435" s="204"/>
    </row>
    <row r="11436" spans="2:21" x14ac:dyDescent="0.2">
      <c r="B11436" s="203"/>
      <c r="C11436" s="237"/>
      <c r="D11436" s="202"/>
      <c r="E11436" s="202"/>
      <c r="U11436" s="204"/>
    </row>
    <row r="11437" spans="2:21" x14ac:dyDescent="0.2">
      <c r="B11437" s="203"/>
      <c r="C11437" s="237"/>
      <c r="D11437" s="202"/>
      <c r="E11437" s="202"/>
      <c r="U11437" s="204"/>
    </row>
    <row r="11438" spans="2:21" x14ac:dyDescent="0.2">
      <c r="B11438" s="203"/>
      <c r="C11438" s="237"/>
      <c r="D11438" s="202"/>
      <c r="E11438" s="202"/>
      <c r="U11438" s="204"/>
    </row>
    <row r="11439" spans="2:21" x14ac:dyDescent="0.2">
      <c r="B11439" s="203"/>
      <c r="C11439" s="237"/>
      <c r="D11439" s="202"/>
      <c r="E11439" s="202"/>
      <c r="U11439" s="204"/>
    </row>
    <row r="11440" spans="2:21" x14ac:dyDescent="0.2">
      <c r="B11440" s="203"/>
      <c r="C11440" s="237"/>
      <c r="D11440" s="202"/>
      <c r="E11440" s="202"/>
      <c r="U11440" s="204"/>
    </row>
    <row r="11441" spans="2:21" x14ac:dyDescent="0.2">
      <c r="B11441" s="203"/>
      <c r="C11441" s="237"/>
      <c r="D11441" s="202"/>
      <c r="E11441" s="202"/>
      <c r="U11441" s="204"/>
    </row>
    <row r="11442" spans="2:21" x14ac:dyDescent="0.2">
      <c r="B11442" s="203"/>
      <c r="C11442" s="237"/>
      <c r="D11442" s="202"/>
      <c r="E11442" s="202"/>
      <c r="U11442" s="204"/>
    </row>
    <row r="11443" spans="2:21" x14ac:dyDescent="0.2">
      <c r="B11443" s="203"/>
      <c r="C11443" s="237"/>
      <c r="D11443" s="202"/>
      <c r="E11443" s="202"/>
      <c r="U11443" s="204"/>
    </row>
    <row r="11444" spans="2:21" x14ac:dyDescent="0.2">
      <c r="B11444" s="203"/>
      <c r="C11444" s="237"/>
      <c r="D11444" s="202"/>
      <c r="E11444" s="202"/>
      <c r="U11444" s="204"/>
    </row>
    <row r="11445" spans="2:21" x14ac:dyDescent="0.2">
      <c r="B11445" s="203"/>
      <c r="C11445" s="237"/>
      <c r="D11445" s="202"/>
      <c r="E11445" s="202"/>
      <c r="U11445" s="204"/>
    </row>
    <row r="11446" spans="2:21" x14ac:dyDescent="0.2">
      <c r="B11446" s="203"/>
      <c r="C11446" s="237"/>
      <c r="D11446" s="202"/>
      <c r="E11446" s="202"/>
      <c r="U11446" s="204"/>
    </row>
    <row r="11447" spans="2:21" x14ac:dyDescent="0.2">
      <c r="B11447" s="203"/>
      <c r="C11447" s="237"/>
      <c r="D11447" s="202"/>
      <c r="E11447" s="202"/>
      <c r="U11447" s="204"/>
    </row>
    <row r="11448" spans="2:21" x14ac:dyDescent="0.2">
      <c r="B11448" s="203"/>
      <c r="C11448" s="237"/>
      <c r="D11448" s="202"/>
      <c r="E11448" s="202"/>
      <c r="U11448" s="204"/>
    </row>
    <row r="11449" spans="2:21" x14ac:dyDescent="0.2">
      <c r="B11449" s="203"/>
      <c r="C11449" s="237"/>
      <c r="D11449" s="202"/>
      <c r="E11449" s="202"/>
      <c r="U11449" s="204"/>
    </row>
    <row r="11450" spans="2:21" x14ac:dyDescent="0.2">
      <c r="B11450" s="203"/>
      <c r="C11450" s="237"/>
      <c r="D11450" s="202"/>
      <c r="E11450" s="202"/>
      <c r="U11450" s="204"/>
    </row>
    <row r="11451" spans="2:21" x14ac:dyDescent="0.2">
      <c r="B11451" s="203"/>
      <c r="C11451" s="237"/>
      <c r="D11451" s="202"/>
      <c r="E11451" s="202"/>
      <c r="U11451" s="204"/>
    </row>
    <row r="11452" spans="2:21" x14ac:dyDescent="0.2">
      <c r="B11452" s="203"/>
      <c r="C11452" s="237"/>
      <c r="D11452" s="202"/>
      <c r="E11452" s="202"/>
      <c r="U11452" s="204"/>
    </row>
    <row r="11453" spans="2:21" x14ac:dyDescent="0.2">
      <c r="B11453" s="203"/>
      <c r="C11453" s="237"/>
      <c r="D11453" s="202"/>
      <c r="E11453" s="202"/>
      <c r="U11453" s="204"/>
    </row>
    <row r="11454" spans="2:21" x14ac:dyDescent="0.2">
      <c r="B11454" s="203"/>
      <c r="C11454" s="237"/>
      <c r="D11454" s="202"/>
      <c r="E11454" s="202"/>
      <c r="U11454" s="204"/>
    </row>
    <row r="11455" spans="2:21" x14ac:dyDescent="0.2">
      <c r="B11455" s="203"/>
      <c r="C11455" s="237"/>
      <c r="D11455" s="202"/>
      <c r="E11455" s="202"/>
      <c r="U11455" s="204"/>
    </row>
    <row r="11456" spans="2:21" x14ac:dyDescent="0.2">
      <c r="B11456" s="203"/>
      <c r="C11456" s="237"/>
      <c r="D11456" s="202"/>
      <c r="E11456" s="202"/>
      <c r="U11456" s="204"/>
    </row>
    <row r="11457" spans="2:21" x14ac:dyDescent="0.2">
      <c r="B11457" s="203"/>
      <c r="C11457" s="237"/>
      <c r="D11457" s="202"/>
      <c r="E11457" s="202"/>
      <c r="U11457" s="204"/>
    </row>
    <row r="11458" spans="2:21" x14ac:dyDescent="0.2">
      <c r="B11458" s="203"/>
      <c r="C11458" s="237"/>
      <c r="D11458" s="202"/>
      <c r="E11458" s="202"/>
      <c r="U11458" s="204"/>
    </row>
    <row r="11459" spans="2:21" x14ac:dyDescent="0.2">
      <c r="B11459" s="203"/>
      <c r="C11459" s="237"/>
      <c r="D11459" s="202"/>
      <c r="E11459" s="202"/>
      <c r="U11459" s="204"/>
    </row>
    <row r="11460" spans="2:21" x14ac:dyDescent="0.2">
      <c r="B11460" s="203"/>
      <c r="C11460" s="237"/>
      <c r="D11460" s="202"/>
      <c r="E11460" s="202"/>
      <c r="U11460" s="204"/>
    </row>
    <row r="11461" spans="2:21" x14ac:dyDescent="0.2">
      <c r="B11461" s="203"/>
      <c r="C11461" s="237"/>
      <c r="D11461" s="202"/>
      <c r="E11461" s="202"/>
      <c r="U11461" s="204"/>
    </row>
    <row r="11462" spans="2:21" x14ac:dyDescent="0.2">
      <c r="B11462" s="203"/>
      <c r="C11462" s="237"/>
      <c r="D11462" s="202"/>
      <c r="E11462" s="202"/>
      <c r="U11462" s="204"/>
    </row>
    <row r="11463" spans="2:21" x14ac:dyDescent="0.2">
      <c r="B11463" s="203"/>
      <c r="C11463" s="237"/>
      <c r="D11463" s="202"/>
      <c r="E11463" s="202"/>
      <c r="U11463" s="204"/>
    </row>
    <row r="11464" spans="2:21" x14ac:dyDescent="0.2">
      <c r="B11464" s="203"/>
      <c r="C11464" s="237"/>
      <c r="D11464" s="202"/>
      <c r="E11464" s="202"/>
      <c r="U11464" s="204"/>
    </row>
    <row r="11465" spans="2:21" x14ac:dyDescent="0.2">
      <c r="B11465" s="203"/>
      <c r="C11465" s="237"/>
      <c r="D11465" s="202"/>
      <c r="E11465" s="202"/>
      <c r="U11465" s="204"/>
    </row>
    <row r="11466" spans="2:21" x14ac:dyDescent="0.2">
      <c r="B11466" s="203"/>
      <c r="C11466" s="237"/>
      <c r="D11466" s="202"/>
      <c r="E11466" s="202"/>
      <c r="U11466" s="204"/>
    </row>
    <row r="11467" spans="2:21" x14ac:dyDescent="0.2">
      <c r="B11467" s="203"/>
      <c r="C11467" s="237"/>
      <c r="D11467" s="202"/>
      <c r="E11467" s="202"/>
      <c r="U11467" s="204"/>
    </row>
    <row r="11468" spans="2:21" x14ac:dyDescent="0.2">
      <c r="B11468" s="203"/>
      <c r="C11468" s="237"/>
      <c r="D11468" s="202"/>
      <c r="E11468" s="202"/>
      <c r="U11468" s="204"/>
    </row>
    <row r="11469" spans="2:21" x14ac:dyDescent="0.2">
      <c r="B11469" s="203"/>
      <c r="C11469" s="237"/>
      <c r="D11469" s="202"/>
      <c r="E11469" s="202"/>
      <c r="U11469" s="204"/>
    </row>
    <row r="11470" spans="2:21" x14ac:dyDescent="0.2">
      <c r="B11470" s="203"/>
      <c r="C11470" s="237"/>
      <c r="D11470" s="202"/>
      <c r="E11470" s="202"/>
      <c r="U11470" s="204"/>
    </row>
    <row r="11471" spans="2:21" x14ac:dyDescent="0.2">
      <c r="B11471" s="203"/>
      <c r="C11471" s="237"/>
      <c r="D11471" s="202"/>
      <c r="E11471" s="202"/>
      <c r="U11471" s="204"/>
    </row>
    <row r="11472" spans="2:21" x14ac:dyDescent="0.2">
      <c r="B11472" s="203"/>
      <c r="C11472" s="237"/>
      <c r="D11472" s="202"/>
      <c r="E11472" s="202"/>
      <c r="U11472" s="204"/>
    </row>
    <row r="11473" spans="2:21" x14ac:dyDescent="0.2">
      <c r="B11473" s="203"/>
      <c r="C11473" s="237"/>
      <c r="D11473" s="202"/>
      <c r="E11473" s="202"/>
      <c r="U11473" s="204"/>
    </row>
    <row r="11474" spans="2:21" x14ac:dyDescent="0.2">
      <c r="B11474" s="203"/>
      <c r="C11474" s="237"/>
      <c r="D11474" s="202"/>
      <c r="E11474" s="202"/>
      <c r="U11474" s="204"/>
    </row>
    <row r="11475" spans="2:21" x14ac:dyDescent="0.2">
      <c r="B11475" s="203"/>
      <c r="C11475" s="237"/>
      <c r="D11475" s="202"/>
      <c r="E11475" s="202"/>
      <c r="U11475" s="204"/>
    </row>
    <row r="11476" spans="2:21" x14ac:dyDescent="0.2">
      <c r="B11476" s="203"/>
      <c r="C11476" s="237"/>
      <c r="D11476" s="202"/>
      <c r="E11476" s="202"/>
      <c r="U11476" s="204"/>
    </row>
    <row r="11477" spans="2:21" x14ac:dyDescent="0.2">
      <c r="B11477" s="203"/>
      <c r="C11477" s="237"/>
      <c r="D11477" s="202"/>
      <c r="E11477" s="202"/>
      <c r="U11477" s="204"/>
    </row>
    <row r="11478" spans="2:21" x14ac:dyDescent="0.2">
      <c r="B11478" s="203"/>
      <c r="C11478" s="237"/>
      <c r="D11478" s="202"/>
      <c r="E11478" s="202"/>
      <c r="U11478" s="204"/>
    </row>
    <row r="11479" spans="2:21" x14ac:dyDescent="0.2">
      <c r="B11479" s="203"/>
      <c r="C11479" s="237"/>
      <c r="D11479" s="202"/>
      <c r="E11479" s="202"/>
      <c r="U11479" s="204"/>
    </row>
    <row r="11480" spans="2:21" x14ac:dyDescent="0.2">
      <c r="B11480" s="203"/>
      <c r="C11480" s="237"/>
      <c r="D11480" s="202"/>
      <c r="E11480" s="202"/>
      <c r="U11480" s="204"/>
    </row>
    <row r="11481" spans="2:21" x14ac:dyDescent="0.2">
      <c r="B11481" s="203"/>
      <c r="C11481" s="237"/>
      <c r="D11481" s="202"/>
      <c r="E11481" s="202"/>
      <c r="U11481" s="204"/>
    </row>
    <row r="11482" spans="2:21" x14ac:dyDescent="0.2">
      <c r="B11482" s="203"/>
      <c r="C11482" s="237"/>
      <c r="D11482" s="202"/>
      <c r="E11482" s="202"/>
      <c r="U11482" s="204"/>
    </row>
    <row r="11483" spans="2:21" x14ac:dyDescent="0.2">
      <c r="B11483" s="203"/>
      <c r="C11483" s="237"/>
      <c r="D11483" s="202"/>
      <c r="E11483" s="202"/>
      <c r="U11483" s="204"/>
    </row>
    <row r="11484" spans="2:21" x14ac:dyDescent="0.2">
      <c r="B11484" s="203"/>
      <c r="C11484" s="237"/>
      <c r="D11484" s="202"/>
      <c r="E11484" s="202"/>
      <c r="U11484" s="204"/>
    </row>
    <row r="11485" spans="2:21" x14ac:dyDescent="0.2">
      <c r="B11485" s="203"/>
      <c r="C11485" s="237"/>
      <c r="D11485" s="202"/>
      <c r="E11485" s="202"/>
      <c r="U11485" s="204"/>
    </row>
    <row r="11486" spans="2:21" x14ac:dyDescent="0.2">
      <c r="B11486" s="203"/>
      <c r="C11486" s="237"/>
      <c r="D11486" s="202"/>
      <c r="E11486" s="202"/>
      <c r="U11486" s="204"/>
    </row>
    <row r="11487" spans="2:21" x14ac:dyDescent="0.2">
      <c r="B11487" s="203"/>
      <c r="C11487" s="237"/>
      <c r="D11487" s="202"/>
      <c r="E11487" s="202"/>
      <c r="U11487" s="204"/>
    </row>
    <row r="11488" spans="2:21" x14ac:dyDescent="0.2">
      <c r="B11488" s="203"/>
      <c r="C11488" s="237"/>
      <c r="D11488" s="202"/>
      <c r="E11488" s="202"/>
      <c r="U11488" s="204"/>
    </row>
    <row r="11489" spans="2:21" x14ac:dyDescent="0.2">
      <c r="B11489" s="203"/>
      <c r="C11489" s="237"/>
      <c r="D11489" s="202"/>
      <c r="E11489" s="202"/>
      <c r="U11489" s="204"/>
    </row>
    <row r="11490" spans="2:21" x14ac:dyDescent="0.2">
      <c r="B11490" s="203"/>
      <c r="C11490" s="237"/>
      <c r="D11490" s="202"/>
      <c r="E11490" s="202"/>
      <c r="U11490" s="204"/>
    </row>
    <row r="11491" spans="2:21" x14ac:dyDescent="0.2">
      <c r="B11491" s="203"/>
      <c r="C11491" s="237"/>
      <c r="D11491" s="202"/>
      <c r="E11491" s="202"/>
      <c r="U11491" s="204"/>
    </row>
    <row r="11492" spans="2:21" x14ac:dyDescent="0.2">
      <c r="B11492" s="203"/>
      <c r="C11492" s="237"/>
      <c r="D11492" s="202"/>
      <c r="E11492" s="202"/>
      <c r="U11492" s="204"/>
    </row>
    <row r="11493" spans="2:21" x14ac:dyDescent="0.2">
      <c r="B11493" s="203"/>
      <c r="C11493" s="237"/>
      <c r="D11493" s="202"/>
      <c r="E11493" s="202"/>
      <c r="U11493" s="204"/>
    </row>
    <row r="11494" spans="2:21" x14ac:dyDescent="0.2">
      <c r="B11494" s="203"/>
      <c r="C11494" s="237"/>
      <c r="D11494" s="202"/>
      <c r="E11494" s="202"/>
      <c r="U11494" s="204"/>
    </row>
    <row r="11495" spans="2:21" x14ac:dyDescent="0.2">
      <c r="B11495" s="203"/>
      <c r="C11495" s="237"/>
      <c r="D11495" s="202"/>
      <c r="E11495" s="202"/>
      <c r="U11495" s="204"/>
    </row>
    <row r="11496" spans="2:21" x14ac:dyDescent="0.2">
      <c r="B11496" s="203"/>
      <c r="C11496" s="237"/>
      <c r="D11496" s="202"/>
      <c r="E11496" s="202"/>
      <c r="U11496" s="204"/>
    </row>
    <row r="11497" spans="2:21" x14ac:dyDescent="0.2">
      <c r="B11497" s="203"/>
      <c r="C11497" s="237"/>
      <c r="D11497" s="202"/>
      <c r="E11497" s="202"/>
      <c r="U11497" s="204"/>
    </row>
    <row r="11498" spans="2:21" x14ac:dyDescent="0.2">
      <c r="B11498" s="203"/>
      <c r="C11498" s="237"/>
      <c r="D11498" s="202"/>
      <c r="E11498" s="202"/>
      <c r="U11498" s="204"/>
    </row>
    <row r="11499" spans="2:21" x14ac:dyDescent="0.2">
      <c r="B11499" s="203"/>
      <c r="C11499" s="237"/>
      <c r="D11499" s="202"/>
      <c r="E11499" s="202"/>
      <c r="U11499" s="204"/>
    </row>
    <row r="11500" spans="2:21" x14ac:dyDescent="0.2">
      <c r="B11500" s="203"/>
      <c r="C11500" s="237"/>
      <c r="D11500" s="202"/>
      <c r="E11500" s="202"/>
      <c r="U11500" s="204"/>
    </row>
    <row r="11501" spans="2:21" x14ac:dyDescent="0.2">
      <c r="B11501" s="203"/>
      <c r="C11501" s="237"/>
      <c r="D11501" s="202"/>
      <c r="E11501" s="202"/>
      <c r="U11501" s="204"/>
    </row>
    <row r="11502" spans="2:21" x14ac:dyDescent="0.2">
      <c r="B11502" s="203"/>
      <c r="C11502" s="237"/>
      <c r="D11502" s="202"/>
      <c r="E11502" s="202"/>
      <c r="U11502" s="204"/>
    </row>
    <row r="11503" spans="2:21" x14ac:dyDescent="0.2">
      <c r="B11503" s="203"/>
      <c r="C11503" s="237"/>
      <c r="D11503" s="202"/>
      <c r="E11503" s="202"/>
      <c r="U11503" s="204"/>
    </row>
    <row r="11504" spans="2:21" x14ac:dyDescent="0.2">
      <c r="B11504" s="203"/>
      <c r="C11504" s="237"/>
      <c r="D11504" s="202"/>
      <c r="E11504" s="202"/>
      <c r="U11504" s="204"/>
    </row>
    <row r="11505" spans="2:21" x14ac:dyDescent="0.2">
      <c r="B11505" s="203"/>
      <c r="C11505" s="237"/>
      <c r="D11505" s="202"/>
      <c r="E11505" s="202"/>
      <c r="U11505" s="204"/>
    </row>
    <row r="11506" spans="2:21" x14ac:dyDescent="0.2">
      <c r="B11506" s="203"/>
      <c r="C11506" s="237"/>
      <c r="D11506" s="202"/>
      <c r="E11506" s="202"/>
      <c r="U11506" s="204"/>
    </row>
    <row r="11507" spans="2:21" x14ac:dyDescent="0.2">
      <c r="B11507" s="203"/>
      <c r="C11507" s="237"/>
      <c r="D11507" s="202"/>
      <c r="E11507" s="202"/>
      <c r="U11507" s="204"/>
    </row>
    <row r="11508" spans="2:21" x14ac:dyDescent="0.2">
      <c r="B11508" s="203"/>
      <c r="C11508" s="237"/>
      <c r="D11508" s="202"/>
      <c r="E11508" s="202"/>
      <c r="U11508" s="204"/>
    </row>
    <row r="11509" spans="2:21" x14ac:dyDescent="0.2">
      <c r="B11509" s="203"/>
      <c r="C11509" s="237"/>
      <c r="D11509" s="202"/>
      <c r="E11509" s="202"/>
      <c r="U11509" s="204"/>
    </row>
    <row r="11510" spans="2:21" x14ac:dyDescent="0.2">
      <c r="B11510" s="203"/>
      <c r="C11510" s="237"/>
      <c r="D11510" s="202"/>
      <c r="E11510" s="202"/>
      <c r="U11510" s="204"/>
    </row>
    <row r="11511" spans="2:21" x14ac:dyDescent="0.2">
      <c r="B11511" s="203"/>
      <c r="C11511" s="237"/>
      <c r="D11511" s="202"/>
      <c r="E11511" s="202"/>
      <c r="U11511" s="204"/>
    </row>
    <row r="11512" spans="2:21" x14ac:dyDescent="0.2">
      <c r="B11512" s="203"/>
      <c r="C11512" s="237"/>
      <c r="D11512" s="202"/>
      <c r="E11512" s="202"/>
      <c r="U11512" s="204"/>
    </row>
    <row r="11513" spans="2:21" x14ac:dyDescent="0.2">
      <c r="B11513" s="203"/>
      <c r="C11513" s="237"/>
      <c r="D11513" s="202"/>
      <c r="E11513" s="202"/>
      <c r="U11513" s="204"/>
    </row>
    <row r="11514" spans="2:21" x14ac:dyDescent="0.2">
      <c r="B11514" s="203"/>
      <c r="C11514" s="237"/>
      <c r="D11514" s="202"/>
      <c r="E11514" s="202"/>
      <c r="U11514" s="204"/>
    </row>
    <row r="11515" spans="2:21" x14ac:dyDescent="0.2">
      <c r="B11515" s="203"/>
      <c r="C11515" s="237"/>
      <c r="D11515" s="202"/>
      <c r="E11515" s="202"/>
      <c r="U11515" s="204"/>
    </row>
    <row r="11516" spans="2:21" x14ac:dyDescent="0.2">
      <c r="B11516" s="203"/>
      <c r="C11516" s="237"/>
      <c r="D11516" s="202"/>
      <c r="E11516" s="202"/>
      <c r="U11516" s="204"/>
    </row>
    <row r="11517" spans="2:21" x14ac:dyDescent="0.2">
      <c r="B11517" s="203"/>
      <c r="C11517" s="237"/>
      <c r="D11517" s="202"/>
      <c r="E11517" s="202"/>
      <c r="U11517" s="204"/>
    </row>
    <row r="11518" spans="2:21" x14ac:dyDescent="0.2">
      <c r="B11518" s="203"/>
      <c r="C11518" s="237"/>
      <c r="D11518" s="202"/>
      <c r="E11518" s="202"/>
      <c r="U11518" s="204"/>
    </row>
    <row r="11519" spans="2:21" x14ac:dyDescent="0.2">
      <c r="B11519" s="203"/>
      <c r="C11519" s="237"/>
      <c r="D11519" s="202"/>
      <c r="E11519" s="202"/>
      <c r="U11519" s="204"/>
    </row>
    <row r="11520" spans="2:21" x14ac:dyDescent="0.2">
      <c r="B11520" s="203"/>
      <c r="C11520" s="237"/>
      <c r="D11520" s="202"/>
      <c r="E11520" s="202"/>
      <c r="U11520" s="204"/>
    </row>
    <row r="11521" spans="2:21" x14ac:dyDescent="0.2">
      <c r="B11521" s="203"/>
      <c r="C11521" s="237"/>
      <c r="D11521" s="202"/>
      <c r="E11521" s="202"/>
      <c r="U11521" s="204"/>
    </row>
    <row r="11522" spans="2:21" x14ac:dyDescent="0.2">
      <c r="B11522" s="203"/>
      <c r="C11522" s="237"/>
      <c r="D11522" s="202"/>
      <c r="E11522" s="202"/>
      <c r="U11522" s="204"/>
    </row>
    <row r="11523" spans="2:21" x14ac:dyDescent="0.2">
      <c r="B11523" s="203"/>
      <c r="C11523" s="237"/>
      <c r="D11523" s="202"/>
      <c r="E11523" s="202"/>
      <c r="U11523" s="204"/>
    </row>
    <row r="11524" spans="2:21" x14ac:dyDescent="0.2">
      <c r="B11524" s="203"/>
      <c r="C11524" s="237"/>
      <c r="D11524" s="202"/>
      <c r="E11524" s="202"/>
      <c r="U11524" s="204"/>
    </row>
    <row r="11525" spans="2:21" x14ac:dyDescent="0.2">
      <c r="B11525" s="203"/>
      <c r="C11525" s="237"/>
      <c r="D11525" s="202"/>
      <c r="E11525" s="202"/>
      <c r="U11525" s="204"/>
    </row>
    <row r="11526" spans="2:21" x14ac:dyDescent="0.2">
      <c r="B11526" s="203"/>
      <c r="C11526" s="237"/>
      <c r="D11526" s="202"/>
      <c r="E11526" s="202"/>
      <c r="U11526" s="204"/>
    </row>
    <row r="11527" spans="2:21" x14ac:dyDescent="0.2">
      <c r="B11527" s="203"/>
      <c r="C11527" s="237"/>
      <c r="D11527" s="202"/>
      <c r="E11527" s="202"/>
      <c r="U11527" s="204"/>
    </row>
    <row r="11528" spans="2:21" x14ac:dyDescent="0.2">
      <c r="B11528" s="203"/>
      <c r="C11528" s="237"/>
      <c r="D11528" s="202"/>
      <c r="E11528" s="202"/>
      <c r="U11528" s="204"/>
    </row>
    <row r="11529" spans="2:21" x14ac:dyDescent="0.2">
      <c r="B11529" s="203"/>
      <c r="C11529" s="237"/>
      <c r="D11529" s="202"/>
      <c r="E11529" s="202"/>
      <c r="U11529" s="204"/>
    </row>
    <row r="11530" spans="2:21" x14ac:dyDescent="0.2">
      <c r="B11530" s="203"/>
      <c r="C11530" s="237"/>
      <c r="D11530" s="202"/>
      <c r="E11530" s="202"/>
      <c r="U11530" s="204"/>
    </row>
    <row r="11531" spans="2:21" x14ac:dyDescent="0.2">
      <c r="B11531" s="203"/>
      <c r="C11531" s="237"/>
      <c r="D11531" s="202"/>
      <c r="E11531" s="202"/>
      <c r="U11531" s="204"/>
    </row>
    <row r="11532" spans="2:21" x14ac:dyDescent="0.2">
      <c r="B11532" s="203"/>
      <c r="C11532" s="237"/>
      <c r="D11532" s="202"/>
      <c r="E11532" s="202"/>
      <c r="U11532" s="204"/>
    </row>
    <row r="11533" spans="2:21" x14ac:dyDescent="0.2">
      <c r="B11533" s="203"/>
      <c r="C11533" s="237"/>
      <c r="D11533" s="202"/>
      <c r="E11533" s="202"/>
      <c r="U11533" s="204"/>
    </row>
    <row r="11534" spans="2:21" x14ac:dyDescent="0.2">
      <c r="B11534" s="203"/>
      <c r="C11534" s="237"/>
      <c r="D11534" s="202"/>
      <c r="E11534" s="202"/>
      <c r="U11534" s="204"/>
    </row>
    <row r="11535" spans="2:21" x14ac:dyDescent="0.2">
      <c r="B11535" s="203"/>
      <c r="C11535" s="237"/>
      <c r="D11535" s="202"/>
      <c r="E11535" s="202"/>
      <c r="U11535" s="204"/>
    </row>
    <row r="11536" spans="2:21" x14ac:dyDescent="0.2">
      <c r="B11536" s="203"/>
      <c r="C11536" s="237"/>
      <c r="D11536" s="202"/>
      <c r="E11536" s="202"/>
      <c r="U11536" s="204"/>
    </row>
    <row r="11537" spans="2:21" x14ac:dyDescent="0.2">
      <c r="B11537" s="203"/>
      <c r="C11537" s="237"/>
      <c r="D11537" s="202"/>
      <c r="E11537" s="202"/>
      <c r="U11537" s="204"/>
    </row>
    <row r="11538" spans="2:21" x14ac:dyDescent="0.2">
      <c r="B11538" s="203"/>
      <c r="C11538" s="237"/>
      <c r="D11538" s="202"/>
      <c r="E11538" s="202"/>
      <c r="U11538" s="204"/>
    </row>
    <row r="11539" spans="2:21" x14ac:dyDescent="0.2">
      <c r="B11539" s="203"/>
      <c r="C11539" s="237"/>
      <c r="D11539" s="202"/>
      <c r="E11539" s="202"/>
      <c r="U11539" s="204"/>
    </row>
    <row r="11540" spans="2:21" x14ac:dyDescent="0.2">
      <c r="B11540" s="203"/>
      <c r="C11540" s="237"/>
      <c r="D11540" s="202"/>
      <c r="E11540" s="202"/>
      <c r="U11540" s="204"/>
    </row>
    <row r="11541" spans="2:21" x14ac:dyDescent="0.2">
      <c r="B11541" s="203"/>
      <c r="C11541" s="237"/>
      <c r="D11541" s="202"/>
      <c r="E11541" s="202"/>
      <c r="U11541" s="204"/>
    </row>
    <row r="11542" spans="2:21" x14ac:dyDescent="0.2">
      <c r="B11542" s="203"/>
      <c r="C11542" s="237"/>
      <c r="D11542" s="202"/>
      <c r="E11542" s="202"/>
      <c r="U11542" s="204"/>
    </row>
    <row r="11543" spans="2:21" x14ac:dyDescent="0.2">
      <c r="B11543" s="203"/>
      <c r="C11543" s="237"/>
      <c r="D11543" s="202"/>
      <c r="E11543" s="202"/>
      <c r="U11543" s="204"/>
    </row>
    <row r="11544" spans="2:21" x14ac:dyDescent="0.2">
      <c r="B11544" s="203"/>
      <c r="C11544" s="237"/>
      <c r="D11544" s="202"/>
      <c r="E11544" s="202"/>
      <c r="U11544" s="204"/>
    </row>
    <row r="11545" spans="2:21" x14ac:dyDescent="0.2">
      <c r="B11545" s="203"/>
      <c r="C11545" s="237"/>
      <c r="D11545" s="202"/>
      <c r="E11545" s="202"/>
      <c r="U11545" s="204"/>
    </row>
    <row r="11546" spans="2:21" x14ac:dyDescent="0.2">
      <c r="B11546" s="203"/>
      <c r="C11546" s="237"/>
      <c r="D11546" s="202"/>
      <c r="E11546" s="202"/>
      <c r="U11546" s="204"/>
    </row>
    <row r="11547" spans="2:21" x14ac:dyDescent="0.2">
      <c r="B11547" s="203"/>
      <c r="C11547" s="237"/>
      <c r="D11547" s="202"/>
      <c r="E11547" s="202"/>
      <c r="U11547" s="204"/>
    </row>
    <row r="11548" spans="2:21" x14ac:dyDescent="0.2">
      <c r="B11548" s="203"/>
      <c r="C11548" s="237"/>
      <c r="D11548" s="202"/>
      <c r="E11548" s="202"/>
      <c r="U11548" s="204"/>
    </row>
    <row r="11549" spans="2:21" x14ac:dyDescent="0.2">
      <c r="B11549" s="203"/>
      <c r="C11549" s="237"/>
      <c r="D11549" s="202"/>
      <c r="E11549" s="202"/>
      <c r="U11549" s="204"/>
    </row>
    <row r="11550" spans="2:21" x14ac:dyDescent="0.2">
      <c r="B11550" s="203"/>
      <c r="C11550" s="237"/>
      <c r="D11550" s="202"/>
      <c r="E11550" s="202"/>
      <c r="U11550" s="204"/>
    </row>
    <row r="11551" spans="2:21" x14ac:dyDescent="0.2">
      <c r="B11551" s="203"/>
      <c r="C11551" s="237"/>
      <c r="D11551" s="202"/>
      <c r="E11551" s="202"/>
      <c r="U11551" s="204"/>
    </row>
    <row r="11552" spans="2:21" x14ac:dyDescent="0.2">
      <c r="B11552" s="203"/>
      <c r="C11552" s="237"/>
      <c r="D11552" s="202"/>
      <c r="E11552" s="202"/>
      <c r="U11552" s="204"/>
    </row>
    <row r="11553" spans="2:21" x14ac:dyDescent="0.2">
      <c r="B11553" s="203"/>
      <c r="C11553" s="237"/>
      <c r="D11553" s="202"/>
      <c r="E11553" s="202"/>
      <c r="U11553" s="204"/>
    </row>
    <row r="11554" spans="2:21" x14ac:dyDescent="0.2">
      <c r="B11554" s="203"/>
      <c r="C11554" s="237"/>
      <c r="D11554" s="202"/>
      <c r="E11554" s="202"/>
      <c r="U11554" s="204"/>
    </row>
    <row r="11555" spans="2:21" x14ac:dyDescent="0.2">
      <c r="B11555" s="203"/>
      <c r="C11555" s="237"/>
      <c r="D11555" s="202"/>
      <c r="E11555" s="202"/>
      <c r="U11555" s="204"/>
    </row>
    <row r="11556" spans="2:21" x14ac:dyDescent="0.2">
      <c r="B11556" s="203"/>
      <c r="C11556" s="237"/>
      <c r="D11556" s="202"/>
      <c r="E11556" s="202"/>
      <c r="U11556" s="204"/>
    </row>
    <row r="11557" spans="2:21" x14ac:dyDescent="0.2">
      <c r="B11557" s="203"/>
      <c r="C11557" s="237"/>
      <c r="D11557" s="202"/>
      <c r="E11557" s="202"/>
      <c r="U11557" s="204"/>
    </row>
    <row r="11558" spans="2:21" x14ac:dyDescent="0.2">
      <c r="B11558" s="203"/>
      <c r="C11558" s="237"/>
      <c r="D11558" s="202"/>
      <c r="E11558" s="202"/>
      <c r="U11558" s="204"/>
    </row>
    <row r="11559" spans="2:21" x14ac:dyDescent="0.2">
      <c r="B11559" s="203"/>
      <c r="C11559" s="237"/>
      <c r="D11559" s="202"/>
      <c r="E11559" s="202"/>
      <c r="U11559" s="204"/>
    </row>
    <row r="11560" spans="2:21" x14ac:dyDescent="0.2">
      <c r="B11560" s="203"/>
      <c r="C11560" s="237"/>
      <c r="D11560" s="202"/>
      <c r="E11560" s="202"/>
      <c r="U11560" s="204"/>
    </row>
    <row r="11561" spans="2:21" x14ac:dyDescent="0.2">
      <c r="B11561" s="203"/>
      <c r="C11561" s="237"/>
      <c r="D11561" s="202"/>
      <c r="E11561" s="202"/>
      <c r="U11561" s="204"/>
    </row>
    <row r="11562" spans="2:21" x14ac:dyDescent="0.2">
      <c r="B11562" s="203"/>
      <c r="C11562" s="237"/>
      <c r="D11562" s="202"/>
      <c r="E11562" s="202"/>
      <c r="U11562" s="204"/>
    </row>
    <row r="11563" spans="2:21" x14ac:dyDescent="0.2">
      <c r="B11563" s="203"/>
      <c r="C11563" s="237"/>
      <c r="D11563" s="202"/>
      <c r="E11563" s="202"/>
      <c r="U11563" s="204"/>
    </row>
    <row r="11564" spans="2:21" x14ac:dyDescent="0.2">
      <c r="B11564" s="203"/>
      <c r="C11564" s="237"/>
      <c r="D11564" s="202"/>
      <c r="E11564" s="202"/>
      <c r="U11564" s="204"/>
    </row>
    <row r="11565" spans="2:21" x14ac:dyDescent="0.2">
      <c r="B11565" s="203"/>
      <c r="C11565" s="237"/>
      <c r="D11565" s="202"/>
      <c r="E11565" s="202"/>
      <c r="U11565" s="204"/>
    </row>
    <row r="11566" spans="2:21" x14ac:dyDescent="0.2">
      <c r="B11566" s="203"/>
      <c r="C11566" s="237"/>
      <c r="D11566" s="202"/>
      <c r="E11566" s="202"/>
      <c r="U11566" s="204"/>
    </row>
    <row r="11567" spans="2:21" x14ac:dyDescent="0.2">
      <c r="B11567" s="203"/>
      <c r="C11567" s="237"/>
      <c r="D11567" s="202"/>
      <c r="E11567" s="202"/>
      <c r="U11567" s="204"/>
    </row>
    <row r="11568" spans="2:21" x14ac:dyDescent="0.2">
      <c r="B11568" s="203"/>
      <c r="C11568" s="237"/>
      <c r="D11568" s="202"/>
      <c r="E11568" s="202"/>
      <c r="U11568" s="204"/>
    </row>
    <row r="11569" spans="2:21" x14ac:dyDescent="0.2">
      <c r="B11569" s="203"/>
      <c r="C11569" s="237"/>
      <c r="D11569" s="202"/>
      <c r="E11569" s="202"/>
      <c r="U11569" s="204"/>
    </row>
    <row r="11570" spans="2:21" x14ac:dyDescent="0.2">
      <c r="B11570" s="203"/>
      <c r="C11570" s="237"/>
      <c r="D11570" s="202"/>
      <c r="E11570" s="202"/>
      <c r="U11570" s="204"/>
    </row>
    <row r="11571" spans="2:21" x14ac:dyDescent="0.2">
      <c r="B11571" s="203"/>
      <c r="C11571" s="237"/>
      <c r="D11571" s="202"/>
      <c r="E11571" s="202"/>
      <c r="U11571" s="204"/>
    </row>
    <row r="11572" spans="2:21" x14ac:dyDescent="0.2">
      <c r="B11572" s="203"/>
      <c r="C11572" s="237"/>
      <c r="D11572" s="202"/>
      <c r="E11572" s="202"/>
      <c r="U11572" s="204"/>
    </row>
    <row r="11573" spans="2:21" x14ac:dyDescent="0.2">
      <c r="B11573" s="203"/>
      <c r="C11573" s="237"/>
      <c r="D11573" s="202"/>
      <c r="E11573" s="202"/>
      <c r="U11573" s="204"/>
    </row>
    <row r="11574" spans="2:21" x14ac:dyDescent="0.2">
      <c r="B11574" s="203"/>
      <c r="C11574" s="237"/>
      <c r="D11574" s="202"/>
      <c r="E11574" s="202"/>
      <c r="U11574" s="204"/>
    </row>
    <row r="11575" spans="2:21" x14ac:dyDescent="0.2">
      <c r="B11575" s="203"/>
      <c r="C11575" s="237"/>
      <c r="D11575" s="202"/>
      <c r="E11575" s="202"/>
      <c r="U11575" s="204"/>
    </row>
    <row r="11576" spans="2:21" x14ac:dyDescent="0.2">
      <c r="B11576" s="203"/>
      <c r="C11576" s="237"/>
      <c r="D11576" s="202"/>
      <c r="E11576" s="202"/>
      <c r="U11576" s="204"/>
    </row>
    <row r="11577" spans="2:21" x14ac:dyDescent="0.2">
      <c r="B11577" s="203"/>
      <c r="C11577" s="237"/>
      <c r="D11577" s="202"/>
      <c r="E11577" s="202"/>
      <c r="U11577" s="204"/>
    </row>
    <row r="11578" spans="2:21" x14ac:dyDescent="0.2">
      <c r="B11578" s="203"/>
      <c r="C11578" s="237"/>
      <c r="D11578" s="202"/>
      <c r="E11578" s="202"/>
      <c r="U11578" s="204"/>
    </row>
    <row r="11579" spans="2:21" x14ac:dyDescent="0.2">
      <c r="B11579" s="203"/>
      <c r="C11579" s="237"/>
      <c r="D11579" s="202"/>
      <c r="E11579" s="202"/>
      <c r="U11579" s="204"/>
    </row>
    <row r="11580" spans="2:21" x14ac:dyDescent="0.2">
      <c r="B11580" s="203"/>
      <c r="C11580" s="237"/>
      <c r="D11580" s="202"/>
      <c r="E11580" s="202"/>
      <c r="U11580" s="204"/>
    </row>
    <row r="11581" spans="2:21" x14ac:dyDescent="0.2">
      <c r="B11581" s="203"/>
      <c r="C11581" s="237"/>
      <c r="D11581" s="202"/>
      <c r="E11581" s="202"/>
      <c r="U11581" s="204"/>
    </row>
    <row r="11582" spans="2:21" x14ac:dyDescent="0.2">
      <c r="B11582" s="203"/>
      <c r="C11582" s="237"/>
      <c r="D11582" s="202"/>
      <c r="E11582" s="202"/>
      <c r="U11582" s="204"/>
    </row>
    <row r="11583" spans="2:21" x14ac:dyDescent="0.2">
      <c r="B11583" s="203"/>
      <c r="C11583" s="237"/>
      <c r="D11583" s="202"/>
      <c r="E11583" s="202"/>
      <c r="U11583" s="204"/>
    </row>
    <row r="11584" spans="2:21" x14ac:dyDescent="0.2">
      <c r="B11584" s="203"/>
      <c r="C11584" s="237"/>
      <c r="D11584" s="202"/>
      <c r="E11584" s="202"/>
      <c r="U11584" s="204"/>
    </row>
    <row r="11585" spans="2:21" x14ac:dyDescent="0.2">
      <c r="B11585" s="203"/>
      <c r="C11585" s="237"/>
      <c r="D11585" s="202"/>
      <c r="E11585" s="202"/>
      <c r="U11585" s="204"/>
    </row>
    <row r="11586" spans="2:21" x14ac:dyDescent="0.2">
      <c r="B11586" s="203"/>
      <c r="C11586" s="237"/>
      <c r="D11586" s="202"/>
      <c r="E11586" s="202"/>
      <c r="U11586" s="204"/>
    </row>
    <row r="11587" spans="2:21" x14ac:dyDescent="0.2">
      <c r="B11587" s="203"/>
      <c r="C11587" s="237"/>
      <c r="D11587" s="202"/>
      <c r="E11587" s="202"/>
      <c r="U11587" s="204"/>
    </row>
    <row r="11588" spans="2:21" x14ac:dyDescent="0.2">
      <c r="B11588" s="203"/>
      <c r="C11588" s="237"/>
      <c r="D11588" s="202"/>
      <c r="E11588" s="202"/>
      <c r="U11588" s="204"/>
    </row>
    <row r="11589" spans="2:21" x14ac:dyDescent="0.2">
      <c r="B11589" s="203"/>
      <c r="C11589" s="237"/>
      <c r="D11589" s="202"/>
      <c r="E11589" s="202"/>
      <c r="U11589" s="204"/>
    </row>
    <row r="11590" spans="2:21" x14ac:dyDescent="0.2">
      <c r="B11590" s="203"/>
      <c r="C11590" s="237"/>
      <c r="D11590" s="202"/>
      <c r="E11590" s="202"/>
      <c r="U11590" s="204"/>
    </row>
    <row r="11591" spans="2:21" x14ac:dyDescent="0.2">
      <c r="B11591" s="203"/>
      <c r="C11591" s="237"/>
      <c r="D11591" s="202"/>
      <c r="E11591" s="202"/>
      <c r="U11591" s="204"/>
    </row>
    <row r="11592" spans="2:21" x14ac:dyDescent="0.2">
      <c r="B11592" s="203"/>
      <c r="C11592" s="237"/>
      <c r="D11592" s="202"/>
      <c r="E11592" s="202"/>
      <c r="U11592" s="204"/>
    </row>
    <row r="11593" spans="2:21" x14ac:dyDescent="0.2">
      <c r="B11593" s="203"/>
      <c r="C11593" s="237"/>
      <c r="D11593" s="202"/>
      <c r="E11593" s="202"/>
      <c r="U11593" s="204"/>
    </row>
    <row r="11594" spans="2:21" x14ac:dyDescent="0.2">
      <c r="B11594" s="203"/>
      <c r="C11594" s="237"/>
      <c r="D11594" s="202"/>
      <c r="E11594" s="202"/>
      <c r="U11594" s="204"/>
    </row>
    <row r="11595" spans="2:21" x14ac:dyDescent="0.2">
      <c r="B11595" s="203"/>
      <c r="C11595" s="237"/>
      <c r="D11595" s="202"/>
      <c r="E11595" s="202"/>
      <c r="U11595" s="204"/>
    </row>
    <row r="11596" spans="2:21" x14ac:dyDescent="0.2">
      <c r="B11596" s="203"/>
      <c r="C11596" s="237"/>
      <c r="D11596" s="202"/>
      <c r="E11596" s="202"/>
      <c r="U11596" s="204"/>
    </row>
    <row r="11597" spans="2:21" x14ac:dyDescent="0.2">
      <c r="B11597" s="203"/>
      <c r="C11597" s="237"/>
      <c r="D11597" s="202"/>
      <c r="E11597" s="202"/>
      <c r="U11597" s="204"/>
    </row>
    <row r="11598" spans="2:21" x14ac:dyDescent="0.2">
      <c r="B11598" s="203"/>
      <c r="C11598" s="237"/>
      <c r="D11598" s="202"/>
      <c r="E11598" s="202"/>
      <c r="U11598" s="204"/>
    </row>
    <row r="11599" spans="2:21" x14ac:dyDescent="0.2">
      <c r="B11599" s="203"/>
      <c r="C11599" s="237"/>
      <c r="D11599" s="202"/>
      <c r="E11599" s="202"/>
      <c r="U11599" s="204"/>
    </row>
    <row r="11600" spans="2:21" x14ac:dyDescent="0.2">
      <c r="B11600" s="203"/>
      <c r="C11600" s="237"/>
      <c r="D11600" s="202"/>
      <c r="E11600" s="202"/>
      <c r="U11600" s="204"/>
    </row>
    <row r="11601" spans="2:21" x14ac:dyDescent="0.2">
      <c r="B11601" s="203"/>
      <c r="C11601" s="237"/>
      <c r="D11601" s="202"/>
      <c r="E11601" s="202"/>
      <c r="U11601" s="204"/>
    </row>
    <row r="11602" spans="2:21" x14ac:dyDescent="0.2">
      <c r="B11602" s="203"/>
      <c r="C11602" s="237"/>
      <c r="D11602" s="202"/>
      <c r="E11602" s="202"/>
      <c r="U11602" s="204"/>
    </row>
    <row r="11603" spans="2:21" x14ac:dyDescent="0.2">
      <c r="B11603" s="203"/>
      <c r="C11603" s="237"/>
      <c r="D11603" s="202"/>
      <c r="E11603" s="202"/>
      <c r="U11603" s="204"/>
    </row>
    <row r="11604" spans="2:21" x14ac:dyDescent="0.2">
      <c r="B11604" s="203"/>
      <c r="C11604" s="237"/>
      <c r="D11604" s="202"/>
      <c r="E11604" s="202"/>
      <c r="U11604" s="204"/>
    </row>
    <row r="11605" spans="2:21" x14ac:dyDescent="0.2">
      <c r="B11605" s="203"/>
      <c r="C11605" s="237"/>
      <c r="D11605" s="202"/>
      <c r="E11605" s="202"/>
      <c r="U11605" s="204"/>
    </row>
    <row r="11606" spans="2:21" x14ac:dyDescent="0.2">
      <c r="B11606" s="203"/>
      <c r="C11606" s="237"/>
      <c r="D11606" s="202"/>
      <c r="E11606" s="202"/>
      <c r="U11606" s="204"/>
    </row>
    <row r="11607" spans="2:21" x14ac:dyDescent="0.2">
      <c r="B11607" s="203"/>
      <c r="C11607" s="237"/>
      <c r="D11607" s="202"/>
      <c r="E11607" s="202"/>
      <c r="U11607" s="204"/>
    </row>
    <row r="11608" spans="2:21" x14ac:dyDescent="0.2">
      <c r="B11608" s="203"/>
      <c r="C11608" s="237"/>
      <c r="D11608" s="202"/>
      <c r="E11608" s="202"/>
      <c r="U11608" s="204"/>
    </row>
    <row r="11609" spans="2:21" x14ac:dyDescent="0.2">
      <c r="B11609" s="203"/>
      <c r="C11609" s="237"/>
      <c r="D11609" s="202"/>
      <c r="E11609" s="202"/>
      <c r="U11609" s="204"/>
    </row>
    <row r="11610" spans="2:21" x14ac:dyDescent="0.2">
      <c r="B11610" s="203"/>
      <c r="C11610" s="237"/>
      <c r="D11610" s="202"/>
      <c r="E11610" s="202"/>
      <c r="U11610" s="204"/>
    </row>
    <row r="11611" spans="2:21" x14ac:dyDescent="0.2">
      <c r="B11611" s="203"/>
      <c r="C11611" s="237"/>
      <c r="D11611" s="202"/>
      <c r="E11611" s="202"/>
      <c r="U11611" s="204"/>
    </row>
    <row r="11612" spans="2:21" x14ac:dyDescent="0.2">
      <c r="B11612" s="203"/>
      <c r="C11612" s="237"/>
      <c r="D11612" s="202"/>
      <c r="E11612" s="202"/>
      <c r="U11612" s="204"/>
    </row>
    <row r="11613" spans="2:21" x14ac:dyDescent="0.2">
      <c r="B11613" s="203"/>
      <c r="C11613" s="237"/>
      <c r="D11613" s="202"/>
      <c r="E11613" s="202"/>
      <c r="U11613" s="204"/>
    </row>
    <row r="11614" spans="2:21" x14ac:dyDescent="0.2">
      <c r="B11614" s="203"/>
      <c r="C11614" s="237"/>
      <c r="D11614" s="202"/>
      <c r="E11614" s="202"/>
      <c r="U11614" s="204"/>
    </row>
    <row r="11615" spans="2:21" x14ac:dyDescent="0.2">
      <c r="B11615" s="203"/>
      <c r="C11615" s="237"/>
      <c r="D11615" s="202"/>
      <c r="E11615" s="202"/>
      <c r="U11615" s="204"/>
    </row>
    <row r="11616" spans="2:21" x14ac:dyDescent="0.2">
      <c r="B11616" s="203"/>
      <c r="C11616" s="237"/>
      <c r="D11616" s="202"/>
      <c r="E11616" s="202"/>
      <c r="U11616" s="204"/>
    </row>
    <row r="11617" spans="2:21" x14ac:dyDescent="0.2">
      <c r="B11617" s="203"/>
      <c r="C11617" s="237"/>
      <c r="D11617" s="202"/>
      <c r="E11617" s="202"/>
      <c r="U11617" s="204"/>
    </row>
    <row r="11618" spans="2:21" x14ac:dyDescent="0.2">
      <c r="B11618" s="203"/>
      <c r="C11618" s="237"/>
      <c r="D11618" s="202"/>
      <c r="E11618" s="202"/>
      <c r="U11618" s="204"/>
    </row>
    <row r="11619" spans="2:21" x14ac:dyDescent="0.2">
      <c r="B11619" s="203"/>
      <c r="C11619" s="237"/>
      <c r="D11619" s="202"/>
      <c r="E11619" s="202"/>
      <c r="U11619" s="204"/>
    </row>
    <row r="11620" spans="2:21" x14ac:dyDescent="0.2">
      <c r="B11620" s="203"/>
      <c r="C11620" s="237"/>
      <c r="D11620" s="202"/>
      <c r="E11620" s="202"/>
      <c r="U11620" s="204"/>
    </row>
    <row r="11621" spans="2:21" x14ac:dyDescent="0.2">
      <c r="B11621" s="203"/>
      <c r="C11621" s="237"/>
      <c r="D11621" s="202"/>
      <c r="E11621" s="202"/>
      <c r="U11621" s="204"/>
    </row>
    <row r="11622" spans="2:21" x14ac:dyDescent="0.2">
      <c r="B11622" s="203"/>
      <c r="C11622" s="237"/>
      <c r="D11622" s="202"/>
      <c r="E11622" s="202"/>
      <c r="U11622" s="204"/>
    </row>
    <row r="11623" spans="2:21" x14ac:dyDescent="0.2">
      <c r="B11623" s="203"/>
      <c r="C11623" s="237"/>
      <c r="D11623" s="202"/>
      <c r="E11623" s="202"/>
      <c r="U11623" s="204"/>
    </row>
    <row r="11624" spans="2:21" x14ac:dyDescent="0.2">
      <c r="B11624" s="203"/>
      <c r="C11624" s="237"/>
      <c r="D11624" s="202"/>
      <c r="E11624" s="202"/>
      <c r="U11624" s="204"/>
    </row>
    <row r="11625" spans="2:21" x14ac:dyDescent="0.2">
      <c r="B11625" s="203"/>
      <c r="C11625" s="237"/>
      <c r="D11625" s="202"/>
      <c r="E11625" s="202"/>
      <c r="U11625" s="204"/>
    </row>
    <row r="11626" spans="2:21" x14ac:dyDescent="0.2">
      <c r="B11626" s="203"/>
      <c r="C11626" s="237"/>
      <c r="D11626" s="202"/>
      <c r="E11626" s="202"/>
      <c r="U11626" s="204"/>
    </row>
    <row r="11627" spans="2:21" x14ac:dyDescent="0.2">
      <c r="B11627" s="203"/>
      <c r="C11627" s="237"/>
      <c r="D11627" s="202"/>
      <c r="E11627" s="202"/>
      <c r="U11627" s="204"/>
    </row>
    <row r="11628" spans="2:21" x14ac:dyDescent="0.2">
      <c r="B11628" s="203"/>
      <c r="C11628" s="237"/>
      <c r="D11628" s="202"/>
      <c r="E11628" s="202"/>
      <c r="U11628" s="204"/>
    </row>
    <row r="11629" spans="2:21" x14ac:dyDescent="0.2">
      <c r="B11629" s="203"/>
      <c r="C11629" s="237"/>
      <c r="D11629" s="202"/>
      <c r="E11629" s="202"/>
      <c r="U11629" s="204"/>
    </row>
    <row r="11630" spans="2:21" x14ac:dyDescent="0.2">
      <c r="B11630" s="203"/>
      <c r="C11630" s="237"/>
      <c r="D11630" s="202"/>
      <c r="E11630" s="202"/>
      <c r="U11630" s="204"/>
    </row>
    <row r="11631" spans="2:21" x14ac:dyDescent="0.2">
      <c r="B11631" s="203"/>
      <c r="C11631" s="237"/>
      <c r="D11631" s="202"/>
      <c r="E11631" s="202"/>
      <c r="U11631" s="204"/>
    </row>
    <row r="11632" spans="2:21" x14ac:dyDescent="0.2">
      <c r="B11632" s="203"/>
      <c r="C11632" s="237"/>
      <c r="D11632" s="202"/>
      <c r="E11632" s="202"/>
      <c r="U11632" s="204"/>
    </row>
    <row r="11633" spans="2:21" x14ac:dyDescent="0.2">
      <c r="B11633" s="203"/>
      <c r="C11633" s="237"/>
      <c r="D11633" s="202"/>
      <c r="E11633" s="202"/>
      <c r="U11633" s="204"/>
    </row>
    <row r="11634" spans="2:21" x14ac:dyDescent="0.2">
      <c r="B11634" s="203"/>
      <c r="C11634" s="237"/>
      <c r="D11634" s="202"/>
      <c r="E11634" s="202"/>
      <c r="U11634" s="204"/>
    </row>
    <row r="11635" spans="2:21" x14ac:dyDescent="0.2">
      <c r="B11635" s="203"/>
      <c r="C11635" s="237"/>
      <c r="D11635" s="202"/>
      <c r="E11635" s="202"/>
      <c r="U11635" s="204"/>
    </row>
    <row r="11636" spans="2:21" x14ac:dyDescent="0.2">
      <c r="B11636" s="203"/>
      <c r="C11636" s="237"/>
      <c r="D11636" s="202"/>
      <c r="E11636" s="202"/>
      <c r="U11636" s="204"/>
    </row>
    <row r="11637" spans="2:21" x14ac:dyDescent="0.2">
      <c r="B11637" s="203"/>
      <c r="C11637" s="237"/>
      <c r="D11637" s="202"/>
      <c r="E11637" s="202"/>
      <c r="U11637" s="204"/>
    </row>
    <row r="11638" spans="2:21" x14ac:dyDescent="0.2">
      <c r="B11638" s="203"/>
      <c r="C11638" s="237"/>
      <c r="D11638" s="202"/>
      <c r="E11638" s="202"/>
      <c r="U11638" s="204"/>
    </row>
    <row r="11639" spans="2:21" x14ac:dyDescent="0.2">
      <c r="B11639" s="203"/>
      <c r="C11639" s="237"/>
      <c r="D11639" s="202"/>
      <c r="E11639" s="202"/>
      <c r="U11639" s="204"/>
    </row>
    <row r="11640" spans="2:21" x14ac:dyDescent="0.2">
      <c r="B11640" s="203"/>
      <c r="C11640" s="237"/>
      <c r="D11640" s="202"/>
      <c r="E11640" s="202"/>
      <c r="U11640" s="204"/>
    </row>
    <row r="11641" spans="2:21" x14ac:dyDescent="0.2">
      <c r="B11641" s="203"/>
      <c r="C11641" s="237"/>
      <c r="D11641" s="202"/>
      <c r="E11641" s="202"/>
      <c r="U11641" s="204"/>
    </row>
    <row r="11642" spans="2:21" x14ac:dyDescent="0.2">
      <c r="B11642" s="203"/>
      <c r="C11642" s="237"/>
      <c r="D11642" s="202"/>
      <c r="E11642" s="202"/>
      <c r="U11642" s="204"/>
    </row>
    <row r="11643" spans="2:21" x14ac:dyDescent="0.2">
      <c r="B11643" s="203"/>
      <c r="C11643" s="237"/>
      <c r="D11643" s="202"/>
      <c r="E11643" s="202"/>
      <c r="U11643" s="204"/>
    </row>
    <row r="11644" spans="2:21" x14ac:dyDescent="0.2">
      <c r="B11644" s="203"/>
      <c r="C11644" s="237"/>
      <c r="D11644" s="202"/>
      <c r="E11644" s="202"/>
      <c r="U11644" s="204"/>
    </row>
    <row r="11645" spans="2:21" x14ac:dyDescent="0.2">
      <c r="B11645" s="203"/>
      <c r="C11645" s="237"/>
      <c r="D11645" s="202"/>
      <c r="E11645" s="202"/>
      <c r="U11645" s="204"/>
    </row>
    <row r="11646" spans="2:21" x14ac:dyDescent="0.2">
      <c r="B11646" s="203"/>
      <c r="C11646" s="237"/>
      <c r="D11646" s="202"/>
      <c r="E11646" s="202"/>
      <c r="U11646" s="204"/>
    </row>
    <row r="11647" spans="2:21" x14ac:dyDescent="0.2">
      <c r="B11647" s="203"/>
      <c r="C11647" s="237"/>
      <c r="D11647" s="202"/>
      <c r="E11647" s="202"/>
      <c r="U11647" s="204"/>
    </row>
    <row r="11648" spans="2:21" x14ac:dyDescent="0.2">
      <c r="B11648" s="203"/>
      <c r="C11648" s="237"/>
      <c r="D11648" s="202"/>
      <c r="E11648" s="202"/>
      <c r="U11648" s="204"/>
    </row>
    <row r="11649" spans="2:21" x14ac:dyDescent="0.2">
      <c r="B11649" s="203"/>
      <c r="C11649" s="237"/>
      <c r="D11649" s="202"/>
      <c r="E11649" s="202"/>
      <c r="U11649" s="204"/>
    </row>
    <row r="11650" spans="2:21" x14ac:dyDescent="0.2">
      <c r="B11650" s="203"/>
      <c r="C11650" s="237"/>
      <c r="D11650" s="202"/>
      <c r="E11650" s="202"/>
      <c r="U11650" s="204"/>
    </row>
    <row r="11651" spans="2:21" x14ac:dyDescent="0.2">
      <c r="B11651" s="203"/>
      <c r="C11651" s="237"/>
      <c r="D11651" s="202"/>
      <c r="E11651" s="202"/>
      <c r="U11651" s="204"/>
    </row>
    <row r="11652" spans="2:21" x14ac:dyDescent="0.2">
      <c r="B11652" s="203"/>
      <c r="C11652" s="237"/>
      <c r="D11652" s="202"/>
      <c r="E11652" s="202"/>
      <c r="U11652" s="204"/>
    </row>
    <row r="11653" spans="2:21" x14ac:dyDescent="0.2">
      <c r="B11653" s="203"/>
      <c r="C11653" s="237"/>
      <c r="D11653" s="202"/>
      <c r="E11653" s="202"/>
      <c r="U11653" s="204"/>
    </row>
    <row r="11654" spans="2:21" x14ac:dyDescent="0.2">
      <c r="B11654" s="203"/>
      <c r="C11654" s="237"/>
      <c r="D11654" s="202"/>
      <c r="E11654" s="202"/>
      <c r="U11654" s="204"/>
    </row>
    <row r="11655" spans="2:21" x14ac:dyDescent="0.2">
      <c r="B11655" s="203"/>
      <c r="C11655" s="237"/>
      <c r="D11655" s="202"/>
      <c r="E11655" s="202"/>
      <c r="U11655" s="204"/>
    </row>
    <row r="11656" spans="2:21" x14ac:dyDescent="0.2">
      <c r="B11656" s="203"/>
      <c r="C11656" s="237"/>
      <c r="D11656" s="202"/>
      <c r="E11656" s="202"/>
      <c r="U11656" s="204"/>
    </row>
    <row r="11657" spans="2:21" x14ac:dyDescent="0.2">
      <c r="B11657" s="203"/>
      <c r="C11657" s="237"/>
      <c r="D11657" s="202"/>
      <c r="E11657" s="202"/>
      <c r="U11657" s="204"/>
    </row>
    <row r="11658" spans="2:21" x14ac:dyDescent="0.2">
      <c r="B11658" s="203"/>
      <c r="C11658" s="237"/>
      <c r="D11658" s="202"/>
      <c r="E11658" s="202"/>
      <c r="U11658" s="204"/>
    </row>
    <row r="11659" spans="2:21" x14ac:dyDescent="0.2">
      <c r="B11659" s="203"/>
      <c r="C11659" s="237"/>
      <c r="D11659" s="202"/>
      <c r="E11659" s="202"/>
      <c r="U11659" s="204"/>
    </row>
    <row r="11660" spans="2:21" x14ac:dyDescent="0.2">
      <c r="B11660" s="203"/>
      <c r="C11660" s="237"/>
      <c r="D11660" s="202"/>
      <c r="E11660" s="202"/>
      <c r="U11660" s="204"/>
    </row>
    <row r="11661" spans="2:21" x14ac:dyDescent="0.2">
      <c r="B11661" s="203"/>
      <c r="C11661" s="237"/>
      <c r="D11661" s="202"/>
      <c r="E11661" s="202"/>
      <c r="U11661" s="204"/>
    </row>
    <row r="11662" spans="2:21" x14ac:dyDescent="0.2">
      <c r="B11662" s="203"/>
      <c r="C11662" s="237"/>
      <c r="D11662" s="202"/>
      <c r="E11662" s="202"/>
      <c r="U11662" s="204"/>
    </row>
    <row r="11663" spans="2:21" x14ac:dyDescent="0.2">
      <c r="B11663" s="203"/>
      <c r="C11663" s="237"/>
      <c r="D11663" s="202"/>
      <c r="E11663" s="202"/>
      <c r="U11663" s="204"/>
    </row>
    <row r="11664" spans="2:21" x14ac:dyDescent="0.2">
      <c r="B11664" s="203"/>
      <c r="C11664" s="237"/>
      <c r="D11664" s="202"/>
      <c r="E11664" s="202"/>
      <c r="U11664" s="204"/>
    </row>
    <row r="11665" spans="2:21" x14ac:dyDescent="0.2">
      <c r="B11665" s="203"/>
      <c r="C11665" s="237"/>
      <c r="D11665" s="202"/>
      <c r="E11665" s="202"/>
      <c r="U11665" s="204"/>
    </row>
    <row r="11666" spans="2:21" x14ac:dyDescent="0.2">
      <c r="B11666" s="203"/>
      <c r="C11666" s="237"/>
      <c r="D11666" s="202"/>
      <c r="E11666" s="202"/>
      <c r="U11666" s="204"/>
    </row>
    <row r="11667" spans="2:21" x14ac:dyDescent="0.2">
      <c r="B11667" s="203"/>
      <c r="C11667" s="237"/>
      <c r="D11667" s="202"/>
      <c r="E11667" s="202"/>
      <c r="U11667" s="204"/>
    </row>
    <row r="11668" spans="2:21" x14ac:dyDescent="0.2">
      <c r="B11668" s="203"/>
      <c r="C11668" s="237"/>
      <c r="D11668" s="202"/>
      <c r="E11668" s="202"/>
      <c r="U11668" s="204"/>
    </row>
    <row r="11669" spans="2:21" x14ac:dyDescent="0.2">
      <c r="B11669" s="203"/>
      <c r="C11669" s="237"/>
      <c r="D11669" s="202"/>
      <c r="E11669" s="202"/>
      <c r="U11669" s="204"/>
    </row>
    <row r="11670" spans="2:21" x14ac:dyDescent="0.2">
      <c r="B11670" s="203"/>
      <c r="C11670" s="237"/>
      <c r="D11670" s="202"/>
      <c r="E11670" s="202"/>
      <c r="U11670" s="204"/>
    </row>
    <row r="11671" spans="2:21" x14ac:dyDescent="0.2">
      <c r="B11671" s="203"/>
      <c r="C11671" s="237"/>
      <c r="D11671" s="202"/>
      <c r="E11671" s="202"/>
      <c r="U11671" s="204"/>
    </row>
    <row r="11672" spans="2:21" x14ac:dyDescent="0.2">
      <c r="B11672" s="203"/>
      <c r="C11672" s="237"/>
      <c r="D11672" s="202"/>
      <c r="E11672" s="202"/>
      <c r="U11672" s="204"/>
    </row>
    <row r="11673" spans="2:21" x14ac:dyDescent="0.2">
      <c r="B11673" s="203"/>
      <c r="C11673" s="237"/>
      <c r="D11673" s="202"/>
      <c r="E11673" s="202"/>
      <c r="U11673" s="204"/>
    </row>
    <row r="11674" spans="2:21" x14ac:dyDescent="0.2">
      <c r="B11674" s="203"/>
      <c r="C11674" s="237"/>
      <c r="D11674" s="202"/>
      <c r="E11674" s="202"/>
      <c r="U11674" s="204"/>
    </row>
    <row r="11675" spans="2:21" x14ac:dyDescent="0.2">
      <c r="B11675" s="203"/>
      <c r="C11675" s="237"/>
      <c r="D11675" s="202"/>
      <c r="E11675" s="202"/>
      <c r="U11675" s="204"/>
    </row>
    <row r="11676" spans="2:21" x14ac:dyDescent="0.2">
      <c r="B11676" s="203"/>
      <c r="C11676" s="237"/>
      <c r="D11676" s="202"/>
      <c r="E11676" s="202"/>
      <c r="U11676" s="204"/>
    </row>
    <row r="11677" spans="2:21" x14ac:dyDescent="0.2">
      <c r="B11677" s="203"/>
      <c r="C11677" s="237"/>
      <c r="D11677" s="202"/>
      <c r="E11677" s="202"/>
      <c r="U11677" s="204"/>
    </row>
    <row r="11678" spans="2:21" x14ac:dyDescent="0.2">
      <c r="B11678" s="203"/>
      <c r="C11678" s="237"/>
      <c r="D11678" s="202"/>
      <c r="E11678" s="202"/>
      <c r="U11678" s="204"/>
    </row>
    <row r="11679" spans="2:21" x14ac:dyDescent="0.2">
      <c r="B11679" s="203"/>
      <c r="C11679" s="237"/>
      <c r="D11679" s="202"/>
      <c r="E11679" s="202"/>
      <c r="U11679" s="204"/>
    </row>
    <row r="11680" spans="2:21" x14ac:dyDescent="0.2">
      <c r="B11680" s="203"/>
      <c r="C11680" s="237"/>
      <c r="D11680" s="202"/>
      <c r="E11680" s="202"/>
      <c r="U11680" s="204"/>
    </row>
    <row r="11681" spans="2:21" x14ac:dyDescent="0.2">
      <c r="B11681" s="203"/>
      <c r="C11681" s="237"/>
      <c r="D11681" s="202"/>
      <c r="E11681" s="202"/>
      <c r="U11681" s="204"/>
    </row>
    <row r="11682" spans="2:21" x14ac:dyDescent="0.2">
      <c r="B11682" s="203"/>
      <c r="C11682" s="237"/>
      <c r="D11682" s="202"/>
      <c r="E11682" s="202"/>
      <c r="U11682" s="204"/>
    </row>
    <row r="11683" spans="2:21" x14ac:dyDescent="0.2">
      <c r="B11683" s="203"/>
      <c r="C11683" s="237"/>
      <c r="D11683" s="202"/>
      <c r="E11683" s="202"/>
      <c r="U11683" s="204"/>
    </row>
    <row r="11684" spans="2:21" x14ac:dyDescent="0.2">
      <c r="B11684" s="203"/>
      <c r="C11684" s="237"/>
      <c r="D11684" s="202"/>
      <c r="E11684" s="202"/>
      <c r="U11684" s="204"/>
    </row>
    <row r="11685" spans="2:21" x14ac:dyDescent="0.2">
      <c r="B11685" s="203"/>
      <c r="C11685" s="237"/>
      <c r="D11685" s="202"/>
      <c r="E11685" s="202"/>
      <c r="U11685" s="204"/>
    </row>
    <row r="11686" spans="2:21" x14ac:dyDescent="0.2">
      <c r="B11686" s="203"/>
      <c r="C11686" s="237"/>
      <c r="D11686" s="202"/>
      <c r="E11686" s="202"/>
      <c r="U11686" s="204"/>
    </row>
    <row r="11687" spans="2:21" x14ac:dyDescent="0.2">
      <c r="B11687" s="203"/>
      <c r="C11687" s="237"/>
      <c r="D11687" s="202"/>
      <c r="E11687" s="202"/>
      <c r="U11687" s="204"/>
    </row>
    <row r="11688" spans="2:21" x14ac:dyDescent="0.2">
      <c r="B11688" s="203"/>
      <c r="C11688" s="237"/>
      <c r="D11688" s="202"/>
      <c r="E11688" s="202"/>
      <c r="U11688" s="204"/>
    </row>
    <row r="11689" spans="2:21" x14ac:dyDescent="0.2">
      <c r="B11689" s="203"/>
      <c r="C11689" s="237"/>
      <c r="D11689" s="202"/>
      <c r="E11689" s="202"/>
      <c r="U11689" s="204"/>
    </row>
    <row r="11690" spans="2:21" x14ac:dyDescent="0.2">
      <c r="B11690" s="203"/>
      <c r="C11690" s="237"/>
      <c r="D11690" s="202"/>
      <c r="E11690" s="202"/>
      <c r="U11690" s="204"/>
    </row>
    <row r="11691" spans="2:21" x14ac:dyDescent="0.2">
      <c r="B11691" s="203"/>
      <c r="C11691" s="237"/>
      <c r="D11691" s="202"/>
      <c r="E11691" s="202"/>
      <c r="U11691" s="204"/>
    </row>
    <row r="11692" spans="2:21" x14ac:dyDescent="0.2">
      <c r="B11692" s="203"/>
      <c r="C11692" s="237"/>
      <c r="D11692" s="202"/>
      <c r="E11692" s="202"/>
      <c r="U11692" s="204"/>
    </row>
    <row r="11693" spans="2:21" x14ac:dyDescent="0.2">
      <c r="B11693" s="203"/>
      <c r="C11693" s="237"/>
      <c r="D11693" s="202"/>
      <c r="E11693" s="202"/>
      <c r="U11693" s="204"/>
    </row>
    <row r="11694" spans="2:21" x14ac:dyDescent="0.2">
      <c r="B11694" s="203"/>
      <c r="C11694" s="237"/>
      <c r="D11694" s="202"/>
      <c r="E11694" s="202"/>
      <c r="U11694" s="204"/>
    </row>
    <row r="11695" spans="2:21" x14ac:dyDescent="0.2">
      <c r="B11695" s="203"/>
      <c r="C11695" s="237"/>
      <c r="D11695" s="202"/>
      <c r="E11695" s="202"/>
      <c r="U11695" s="204"/>
    </row>
    <row r="11696" spans="2:21" x14ac:dyDescent="0.2">
      <c r="B11696" s="203"/>
      <c r="C11696" s="237"/>
      <c r="D11696" s="202"/>
      <c r="E11696" s="202"/>
      <c r="U11696" s="204"/>
    </row>
    <row r="11697" spans="2:21" x14ac:dyDescent="0.2">
      <c r="B11697" s="203"/>
      <c r="C11697" s="237"/>
      <c r="D11697" s="202"/>
      <c r="E11697" s="202"/>
      <c r="U11697" s="204"/>
    </row>
    <row r="11698" spans="2:21" x14ac:dyDescent="0.2">
      <c r="B11698" s="203"/>
      <c r="C11698" s="237"/>
      <c r="D11698" s="202"/>
      <c r="E11698" s="202"/>
      <c r="U11698" s="204"/>
    </row>
    <row r="11699" spans="2:21" x14ac:dyDescent="0.2">
      <c r="B11699" s="203"/>
      <c r="C11699" s="237"/>
      <c r="D11699" s="202"/>
      <c r="E11699" s="202"/>
      <c r="U11699" s="204"/>
    </row>
    <row r="11700" spans="2:21" x14ac:dyDescent="0.2">
      <c r="B11700" s="203"/>
      <c r="C11700" s="237"/>
      <c r="D11700" s="202"/>
      <c r="E11700" s="202"/>
      <c r="U11700" s="204"/>
    </row>
    <row r="11701" spans="2:21" x14ac:dyDescent="0.2">
      <c r="B11701" s="203"/>
      <c r="C11701" s="237"/>
      <c r="D11701" s="202"/>
      <c r="E11701" s="202"/>
      <c r="U11701" s="204"/>
    </row>
    <row r="11702" spans="2:21" x14ac:dyDescent="0.2">
      <c r="B11702" s="203"/>
      <c r="C11702" s="237"/>
      <c r="D11702" s="202"/>
      <c r="E11702" s="202"/>
      <c r="U11702" s="204"/>
    </row>
    <row r="11703" spans="2:21" x14ac:dyDescent="0.2">
      <c r="B11703" s="203"/>
      <c r="C11703" s="237"/>
      <c r="D11703" s="202"/>
      <c r="E11703" s="202"/>
      <c r="U11703" s="204"/>
    </row>
    <row r="11704" spans="2:21" x14ac:dyDescent="0.2">
      <c r="B11704" s="203"/>
      <c r="C11704" s="237"/>
      <c r="D11704" s="202"/>
      <c r="E11704" s="202"/>
      <c r="U11704" s="204"/>
    </row>
    <row r="11705" spans="2:21" x14ac:dyDescent="0.2">
      <c r="B11705" s="203"/>
      <c r="C11705" s="237"/>
      <c r="D11705" s="202"/>
      <c r="E11705" s="202"/>
      <c r="U11705" s="204"/>
    </row>
    <row r="11706" spans="2:21" x14ac:dyDescent="0.2">
      <c r="B11706" s="203"/>
      <c r="C11706" s="237"/>
      <c r="D11706" s="202"/>
      <c r="E11706" s="202"/>
      <c r="U11706" s="204"/>
    </row>
    <row r="11707" spans="2:21" x14ac:dyDescent="0.2">
      <c r="B11707" s="203"/>
      <c r="C11707" s="237"/>
      <c r="D11707" s="202"/>
      <c r="E11707" s="202"/>
      <c r="U11707" s="204"/>
    </row>
    <row r="11708" spans="2:21" x14ac:dyDescent="0.2">
      <c r="B11708" s="203"/>
      <c r="C11708" s="237"/>
      <c r="D11708" s="202"/>
      <c r="E11708" s="202"/>
      <c r="U11708" s="204"/>
    </row>
    <row r="11709" spans="2:21" x14ac:dyDescent="0.2">
      <c r="B11709" s="203"/>
      <c r="C11709" s="237"/>
      <c r="D11709" s="202"/>
      <c r="E11709" s="202"/>
      <c r="U11709" s="204"/>
    </row>
    <row r="11710" spans="2:21" x14ac:dyDescent="0.2">
      <c r="B11710" s="203"/>
      <c r="C11710" s="237"/>
      <c r="D11710" s="202"/>
      <c r="E11710" s="202"/>
      <c r="U11710" s="204"/>
    </row>
    <row r="11711" spans="2:21" x14ac:dyDescent="0.2">
      <c r="B11711" s="203"/>
      <c r="C11711" s="237"/>
      <c r="D11711" s="202"/>
      <c r="E11711" s="202"/>
      <c r="U11711" s="204"/>
    </row>
    <row r="11712" spans="2:21" x14ac:dyDescent="0.2">
      <c r="B11712" s="203"/>
      <c r="C11712" s="237"/>
      <c r="D11712" s="202"/>
      <c r="E11712" s="202"/>
      <c r="U11712" s="204"/>
    </row>
    <row r="11713" spans="2:21" x14ac:dyDescent="0.2">
      <c r="B11713" s="203"/>
      <c r="C11713" s="237"/>
      <c r="D11713" s="202"/>
      <c r="E11713" s="202"/>
      <c r="U11713" s="204"/>
    </row>
    <row r="11714" spans="2:21" x14ac:dyDescent="0.2">
      <c r="B11714" s="203"/>
      <c r="C11714" s="237"/>
      <c r="D11714" s="202"/>
      <c r="E11714" s="202"/>
      <c r="U11714" s="204"/>
    </row>
    <row r="11715" spans="2:21" x14ac:dyDescent="0.2">
      <c r="B11715" s="203"/>
      <c r="C11715" s="237"/>
      <c r="D11715" s="202"/>
      <c r="E11715" s="202"/>
      <c r="U11715" s="204"/>
    </row>
    <row r="11716" spans="2:21" x14ac:dyDescent="0.2">
      <c r="B11716" s="203"/>
      <c r="C11716" s="237"/>
      <c r="D11716" s="202"/>
      <c r="E11716" s="202"/>
      <c r="U11716" s="204"/>
    </row>
    <row r="11717" spans="2:21" x14ac:dyDescent="0.2">
      <c r="B11717" s="203"/>
      <c r="C11717" s="237"/>
      <c r="D11717" s="202"/>
      <c r="E11717" s="202"/>
      <c r="U11717" s="204"/>
    </row>
    <row r="11718" spans="2:21" x14ac:dyDescent="0.2">
      <c r="B11718" s="203"/>
      <c r="C11718" s="237"/>
      <c r="D11718" s="202"/>
      <c r="E11718" s="202"/>
      <c r="U11718" s="204"/>
    </row>
    <row r="11719" spans="2:21" x14ac:dyDescent="0.2">
      <c r="B11719" s="203"/>
      <c r="C11719" s="237"/>
      <c r="D11719" s="202"/>
      <c r="E11719" s="202"/>
      <c r="U11719" s="204"/>
    </row>
    <row r="11720" spans="2:21" x14ac:dyDescent="0.2">
      <c r="B11720" s="203"/>
      <c r="C11720" s="237"/>
      <c r="D11720" s="202"/>
      <c r="E11720" s="202"/>
      <c r="U11720" s="204"/>
    </row>
    <row r="11721" spans="2:21" x14ac:dyDescent="0.2">
      <c r="B11721" s="203"/>
      <c r="C11721" s="237"/>
      <c r="D11721" s="202"/>
      <c r="E11721" s="202"/>
      <c r="U11721" s="204"/>
    </row>
    <row r="11722" spans="2:21" x14ac:dyDescent="0.2">
      <c r="B11722" s="203"/>
      <c r="C11722" s="237"/>
      <c r="D11722" s="202"/>
      <c r="E11722" s="202"/>
      <c r="U11722" s="204"/>
    </row>
    <row r="11723" spans="2:21" x14ac:dyDescent="0.2">
      <c r="B11723" s="203"/>
      <c r="C11723" s="237"/>
      <c r="D11723" s="202"/>
      <c r="E11723" s="202"/>
      <c r="U11723" s="204"/>
    </row>
    <row r="11724" spans="2:21" x14ac:dyDescent="0.2">
      <c r="B11724" s="203"/>
      <c r="C11724" s="237"/>
      <c r="D11724" s="202"/>
      <c r="E11724" s="202"/>
      <c r="U11724" s="204"/>
    </row>
    <row r="11725" spans="2:21" x14ac:dyDescent="0.2">
      <c r="B11725" s="203"/>
      <c r="C11725" s="237"/>
      <c r="D11725" s="202"/>
      <c r="E11725" s="202"/>
      <c r="U11725" s="204"/>
    </row>
    <row r="11726" spans="2:21" x14ac:dyDescent="0.2">
      <c r="B11726" s="203"/>
      <c r="C11726" s="237"/>
      <c r="D11726" s="202"/>
      <c r="E11726" s="202"/>
      <c r="U11726" s="204"/>
    </row>
    <row r="11727" spans="2:21" x14ac:dyDescent="0.2">
      <c r="B11727" s="203"/>
      <c r="C11727" s="237"/>
      <c r="D11727" s="202"/>
      <c r="E11727" s="202"/>
      <c r="U11727" s="204"/>
    </row>
    <row r="11728" spans="2:21" x14ac:dyDescent="0.2">
      <c r="B11728" s="203"/>
      <c r="C11728" s="237"/>
      <c r="D11728" s="202"/>
      <c r="E11728" s="202"/>
      <c r="U11728" s="204"/>
    </row>
    <row r="11729" spans="2:21" x14ac:dyDescent="0.2">
      <c r="B11729" s="203"/>
      <c r="C11729" s="237"/>
      <c r="D11729" s="202"/>
      <c r="E11729" s="202"/>
      <c r="U11729" s="204"/>
    </row>
    <row r="11730" spans="2:21" x14ac:dyDescent="0.2">
      <c r="B11730" s="203"/>
      <c r="C11730" s="237"/>
      <c r="D11730" s="202"/>
      <c r="E11730" s="202"/>
      <c r="U11730" s="204"/>
    </row>
    <row r="11731" spans="2:21" x14ac:dyDescent="0.2">
      <c r="B11731" s="203"/>
      <c r="C11731" s="237"/>
      <c r="D11731" s="202"/>
      <c r="E11731" s="202"/>
      <c r="U11731" s="204"/>
    </row>
    <row r="11732" spans="2:21" x14ac:dyDescent="0.2">
      <c r="B11732" s="203"/>
      <c r="C11732" s="237"/>
      <c r="D11732" s="202"/>
      <c r="E11732" s="202"/>
      <c r="U11732" s="204"/>
    </row>
    <row r="11733" spans="2:21" x14ac:dyDescent="0.2">
      <c r="B11733" s="203"/>
      <c r="C11733" s="237"/>
      <c r="D11733" s="202"/>
      <c r="E11733" s="202"/>
      <c r="U11733" s="204"/>
    </row>
    <row r="11734" spans="2:21" x14ac:dyDescent="0.2">
      <c r="B11734" s="203"/>
      <c r="C11734" s="237"/>
      <c r="D11734" s="202"/>
      <c r="E11734" s="202"/>
      <c r="U11734" s="204"/>
    </row>
    <row r="11735" spans="2:21" x14ac:dyDescent="0.2">
      <c r="B11735" s="203"/>
      <c r="C11735" s="237"/>
      <c r="D11735" s="202"/>
      <c r="E11735" s="202"/>
      <c r="U11735" s="204"/>
    </row>
    <row r="11736" spans="2:21" x14ac:dyDescent="0.2">
      <c r="B11736" s="203"/>
      <c r="C11736" s="237"/>
      <c r="D11736" s="202"/>
      <c r="E11736" s="202"/>
      <c r="U11736" s="204"/>
    </row>
    <row r="11737" spans="2:21" x14ac:dyDescent="0.2">
      <c r="B11737" s="203"/>
      <c r="C11737" s="237"/>
      <c r="D11737" s="202"/>
      <c r="E11737" s="202"/>
      <c r="U11737" s="204"/>
    </row>
    <row r="11738" spans="2:21" x14ac:dyDescent="0.2">
      <c r="B11738" s="203"/>
      <c r="C11738" s="237"/>
      <c r="D11738" s="202"/>
      <c r="E11738" s="202"/>
      <c r="U11738" s="204"/>
    </row>
    <row r="11739" spans="2:21" x14ac:dyDescent="0.2">
      <c r="B11739" s="203"/>
      <c r="C11739" s="237"/>
      <c r="D11739" s="202"/>
      <c r="E11739" s="202"/>
      <c r="U11739" s="204"/>
    </row>
    <row r="11740" spans="2:21" x14ac:dyDescent="0.2">
      <c r="B11740" s="203"/>
      <c r="C11740" s="237"/>
      <c r="D11740" s="202"/>
      <c r="E11740" s="202"/>
      <c r="U11740" s="204"/>
    </row>
    <row r="11741" spans="2:21" x14ac:dyDescent="0.2">
      <c r="B11741" s="203"/>
      <c r="C11741" s="237"/>
      <c r="D11741" s="202"/>
      <c r="E11741" s="202"/>
      <c r="U11741" s="204"/>
    </row>
    <row r="11742" spans="2:21" x14ac:dyDescent="0.2">
      <c r="B11742" s="203"/>
      <c r="C11742" s="237"/>
      <c r="D11742" s="202"/>
      <c r="E11742" s="202"/>
      <c r="U11742" s="204"/>
    </row>
    <row r="11743" spans="2:21" x14ac:dyDescent="0.2">
      <c r="B11743" s="203"/>
      <c r="C11743" s="237"/>
      <c r="D11743" s="202"/>
      <c r="E11743" s="202"/>
      <c r="U11743" s="204"/>
    </row>
    <row r="11744" spans="2:21" x14ac:dyDescent="0.2">
      <c r="B11744" s="203"/>
      <c r="C11744" s="237"/>
      <c r="D11744" s="202"/>
      <c r="E11744" s="202"/>
      <c r="U11744" s="204"/>
    </row>
    <row r="11745" spans="2:21" x14ac:dyDescent="0.2">
      <c r="B11745" s="203"/>
      <c r="C11745" s="237"/>
      <c r="D11745" s="202"/>
      <c r="E11745" s="202"/>
      <c r="U11745" s="204"/>
    </row>
    <row r="11746" spans="2:21" x14ac:dyDescent="0.2">
      <c r="B11746" s="203"/>
      <c r="C11746" s="237"/>
      <c r="D11746" s="202"/>
      <c r="E11746" s="202"/>
      <c r="U11746" s="204"/>
    </row>
    <row r="11747" spans="2:21" x14ac:dyDescent="0.2">
      <c r="B11747" s="203"/>
      <c r="C11747" s="237"/>
      <c r="D11747" s="202"/>
      <c r="E11747" s="202"/>
      <c r="U11747" s="204"/>
    </row>
    <row r="11748" spans="2:21" x14ac:dyDescent="0.2">
      <c r="B11748" s="203"/>
      <c r="C11748" s="237"/>
      <c r="D11748" s="202"/>
      <c r="E11748" s="202"/>
      <c r="U11748" s="204"/>
    </row>
    <row r="11749" spans="2:21" x14ac:dyDescent="0.2">
      <c r="B11749" s="203"/>
      <c r="C11749" s="237"/>
      <c r="D11749" s="202"/>
      <c r="E11749" s="202"/>
      <c r="U11749" s="204"/>
    </row>
    <row r="11750" spans="2:21" x14ac:dyDescent="0.2">
      <c r="B11750" s="203"/>
      <c r="C11750" s="237"/>
      <c r="D11750" s="202"/>
      <c r="E11750" s="202"/>
      <c r="U11750" s="204"/>
    </row>
    <row r="11751" spans="2:21" x14ac:dyDescent="0.2">
      <c r="B11751" s="203"/>
      <c r="C11751" s="237"/>
      <c r="D11751" s="202"/>
      <c r="E11751" s="202"/>
      <c r="U11751" s="204"/>
    </row>
    <row r="11752" spans="2:21" x14ac:dyDescent="0.2">
      <c r="B11752" s="203"/>
      <c r="C11752" s="237"/>
      <c r="D11752" s="202"/>
      <c r="E11752" s="202"/>
      <c r="U11752" s="204"/>
    </row>
    <row r="11753" spans="2:21" x14ac:dyDescent="0.2">
      <c r="B11753" s="203"/>
      <c r="C11753" s="237"/>
      <c r="D11753" s="202"/>
      <c r="E11753" s="202"/>
      <c r="U11753" s="204"/>
    </row>
    <row r="11754" spans="2:21" x14ac:dyDescent="0.2">
      <c r="B11754" s="203"/>
      <c r="C11754" s="237"/>
      <c r="D11754" s="202"/>
      <c r="E11754" s="202"/>
      <c r="U11754" s="204"/>
    </row>
    <row r="11755" spans="2:21" x14ac:dyDescent="0.2">
      <c r="B11755" s="203"/>
      <c r="C11755" s="237"/>
      <c r="D11755" s="202"/>
      <c r="E11755" s="202"/>
      <c r="U11755" s="204"/>
    </row>
    <row r="11756" spans="2:21" x14ac:dyDescent="0.2">
      <c r="B11756" s="203"/>
      <c r="C11756" s="237"/>
      <c r="D11756" s="202"/>
      <c r="E11756" s="202"/>
      <c r="U11756" s="204"/>
    </row>
    <row r="11757" spans="2:21" x14ac:dyDescent="0.2">
      <c r="B11757" s="203"/>
      <c r="C11757" s="237"/>
      <c r="D11757" s="202"/>
      <c r="E11757" s="202"/>
      <c r="U11757" s="204"/>
    </row>
    <row r="11758" spans="2:21" x14ac:dyDescent="0.2">
      <c r="B11758" s="203"/>
      <c r="C11758" s="237"/>
      <c r="D11758" s="202"/>
      <c r="E11758" s="202"/>
      <c r="U11758" s="204"/>
    </row>
    <row r="11759" spans="2:21" x14ac:dyDescent="0.2">
      <c r="B11759" s="203"/>
      <c r="C11759" s="237"/>
      <c r="D11759" s="202"/>
      <c r="E11759" s="202"/>
      <c r="U11759" s="204"/>
    </row>
    <row r="11760" spans="2:21" x14ac:dyDescent="0.2">
      <c r="B11760" s="203"/>
      <c r="C11760" s="237"/>
      <c r="D11760" s="202"/>
      <c r="E11760" s="202"/>
      <c r="U11760" s="204"/>
    </row>
    <row r="11761" spans="2:21" x14ac:dyDescent="0.2">
      <c r="B11761" s="203"/>
      <c r="C11761" s="237"/>
      <c r="D11761" s="202"/>
      <c r="E11761" s="202"/>
      <c r="U11761" s="204"/>
    </row>
    <row r="11762" spans="2:21" x14ac:dyDescent="0.2">
      <c r="B11762" s="203"/>
      <c r="C11762" s="237"/>
      <c r="D11762" s="202"/>
      <c r="E11762" s="202"/>
      <c r="U11762" s="204"/>
    </row>
    <row r="11763" spans="2:21" x14ac:dyDescent="0.2">
      <c r="B11763" s="203"/>
      <c r="C11763" s="237"/>
      <c r="D11763" s="202"/>
      <c r="E11763" s="202"/>
      <c r="U11763" s="204"/>
    </row>
    <row r="11764" spans="2:21" x14ac:dyDescent="0.2">
      <c r="B11764" s="203"/>
      <c r="C11764" s="237"/>
      <c r="D11764" s="202"/>
      <c r="E11764" s="202"/>
      <c r="U11764" s="204"/>
    </row>
    <row r="11765" spans="2:21" x14ac:dyDescent="0.2">
      <c r="B11765" s="203"/>
      <c r="C11765" s="237"/>
      <c r="D11765" s="202"/>
      <c r="E11765" s="202"/>
      <c r="U11765" s="204"/>
    </row>
    <row r="11766" spans="2:21" x14ac:dyDescent="0.2">
      <c r="B11766" s="203"/>
      <c r="C11766" s="237"/>
      <c r="D11766" s="202"/>
      <c r="E11766" s="202"/>
      <c r="U11766" s="204"/>
    </row>
    <row r="11767" spans="2:21" x14ac:dyDescent="0.2">
      <c r="B11767" s="203"/>
      <c r="C11767" s="237"/>
      <c r="D11767" s="202"/>
      <c r="E11767" s="202"/>
      <c r="U11767" s="204"/>
    </row>
    <row r="11768" spans="2:21" x14ac:dyDescent="0.2">
      <c r="B11768" s="203"/>
      <c r="C11768" s="237"/>
      <c r="D11768" s="202"/>
      <c r="E11768" s="202"/>
      <c r="U11768" s="204"/>
    </row>
    <row r="11769" spans="2:21" x14ac:dyDescent="0.2">
      <c r="B11769" s="203"/>
      <c r="C11769" s="237"/>
      <c r="D11769" s="202"/>
      <c r="E11769" s="202"/>
      <c r="U11769" s="204"/>
    </row>
    <row r="11770" spans="2:21" x14ac:dyDescent="0.2">
      <c r="B11770" s="203"/>
      <c r="C11770" s="237"/>
      <c r="D11770" s="202"/>
      <c r="E11770" s="202"/>
      <c r="U11770" s="204"/>
    </row>
    <row r="11771" spans="2:21" x14ac:dyDescent="0.2">
      <c r="B11771" s="203"/>
      <c r="C11771" s="237"/>
      <c r="D11771" s="202"/>
      <c r="E11771" s="202"/>
      <c r="U11771" s="204"/>
    </row>
    <row r="11772" spans="2:21" x14ac:dyDescent="0.2">
      <c r="B11772" s="203"/>
      <c r="C11772" s="237"/>
      <c r="D11772" s="202"/>
      <c r="E11772" s="202"/>
      <c r="U11772" s="204"/>
    </row>
    <row r="11773" spans="2:21" x14ac:dyDescent="0.2">
      <c r="B11773" s="203"/>
      <c r="C11773" s="237"/>
      <c r="D11773" s="202"/>
      <c r="E11773" s="202"/>
      <c r="U11773" s="204"/>
    </row>
    <row r="11774" spans="2:21" x14ac:dyDescent="0.2">
      <c r="B11774" s="203"/>
      <c r="C11774" s="237"/>
      <c r="D11774" s="202"/>
      <c r="E11774" s="202"/>
      <c r="U11774" s="204"/>
    </row>
    <row r="11775" spans="2:21" x14ac:dyDescent="0.2">
      <c r="B11775" s="203"/>
      <c r="C11775" s="237"/>
      <c r="D11775" s="202"/>
      <c r="E11775" s="202"/>
      <c r="U11775" s="204"/>
    </row>
    <row r="11776" spans="2:21" x14ac:dyDescent="0.2">
      <c r="B11776" s="203"/>
      <c r="C11776" s="237"/>
      <c r="D11776" s="202"/>
      <c r="E11776" s="202"/>
      <c r="U11776" s="204"/>
    </row>
    <row r="11777" spans="2:21" x14ac:dyDescent="0.2">
      <c r="B11777" s="203"/>
      <c r="C11777" s="237"/>
      <c r="D11777" s="202"/>
      <c r="E11777" s="202"/>
      <c r="U11777" s="204"/>
    </row>
    <row r="11778" spans="2:21" x14ac:dyDescent="0.2">
      <c r="B11778" s="203"/>
      <c r="C11778" s="237"/>
      <c r="D11778" s="202"/>
      <c r="E11778" s="202"/>
      <c r="U11778" s="204"/>
    </row>
    <row r="11779" spans="2:21" x14ac:dyDescent="0.2">
      <c r="B11779" s="203"/>
      <c r="C11779" s="237"/>
      <c r="D11779" s="202"/>
      <c r="E11779" s="202"/>
      <c r="U11779" s="204"/>
    </row>
    <row r="11780" spans="2:21" x14ac:dyDescent="0.2">
      <c r="B11780" s="203"/>
      <c r="C11780" s="237"/>
      <c r="D11780" s="202"/>
      <c r="E11780" s="202"/>
      <c r="U11780" s="204"/>
    </row>
    <row r="11781" spans="2:21" x14ac:dyDescent="0.2">
      <c r="B11781" s="203"/>
      <c r="C11781" s="237"/>
      <c r="D11781" s="202"/>
      <c r="E11781" s="202"/>
      <c r="U11781" s="204"/>
    </row>
    <row r="11782" spans="2:21" x14ac:dyDescent="0.2">
      <c r="B11782" s="203"/>
      <c r="C11782" s="237"/>
      <c r="D11782" s="202"/>
      <c r="E11782" s="202"/>
      <c r="U11782" s="204"/>
    </row>
    <row r="11783" spans="2:21" x14ac:dyDescent="0.2">
      <c r="B11783" s="203"/>
      <c r="C11783" s="237"/>
      <c r="D11783" s="202"/>
      <c r="E11783" s="202"/>
      <c r="U11783" s="204"/>
    </row>
    <row r="11784" spans="2:21" x14ac:dyDescent="0.2">
      <c r="B11784" s="203"/>
      <c r="C11784" s="237"/>
      <c r="D11784" s="202"/>
      <c r="E11784" s="202"/>
      <c r="U11784" s="204"/>
    </row>
    <row r="11785" spans="2:21" x14ac:dyDescent="0.2">
      <c r="B11785" s="203"/>
      <c r="C11785" s="237"/>
      <c r="D11785" s="202"/>
      <c r="E11785" s="202"/>
      <c r="U11785" s="204"/>
    </row>
    <row r="11786" spans="2:21" x14ac:dyDescent="0.2">
      <c r="B11786" s="203"/>
      <c r="C11786" s="237"/>
      <c r="D11786" s="202"/>
      <c r="E11786" s="202"/>
      <c r="U11786" s="204"/>
    </row>
    <row r="11787" spans="2:21" x14ac:dyDescent="0.2">
      <c r="B11787" s="203"/>
      <c r="C11787" s="237"/>
      <c r="D11787" s="202"/>
      <c r="E11787" s="202"/>
      <c r="U11787" s="204"/>
    </row>
    <row r="11788" spans="2:21" x14ac:dyDescent="0.2">
      <c r="B11788" s="203"/>
      <c r="C11788" s="237"/>
      <c r="D11788" s="202"/>
      <c r="E11788" s="202"/>
      <c r="U11788" s="204"/>
    </row>
    <row r="11789" spans="2:21" x14ac:dyDescent="0.2">
      <c r="B11789" s="203"/>
      <c r="C11789" s="237"/>
      <c r="D11789" s="202"/>
      <c r="E11789" s="202"/>
      <c r="U11789" s="204"/>
    </row>
    <row r="11790" spans="2:21" x14ac:dyDescent="0.2">
      <c r="B11790" s="203"/>
      <c r="C11790" s="237"/>
      <c r="D11790" s="202"/>
      <c r="E11790" s="202"/>
      <c r="U11790" s="204"/>
    </row>
    <row r="11791" spans="2:21" x14ac:dyDescent="0.2">
      <c r="B11791" s="203"/>
      <c r="C11791" s="237"/>
      <c r="D11791" s="202"/>
      <c r="E11791" s="202"/>
      <c r="U11791" s="204"/>
    </row>
    <row r="11792" spans="2:21" x14ac:dyDescent="0.2">
      <c r="B11792" s="203"/>
      <c r="C11792" s="237"/>
      <c r="D11792" s="202"/>
      <c r="E11792" s="202"/>
      <c r="U11792" s="204"/>
    </row>
    <row r="11793" spans="2:21" x14ac:dyDescent="0.2">
      <c r="B11793" s="203"/>
      <c r="C11793" s="237"/>
      <c r="D11793" s="202"/>
      <c r="E11793" s="202"/>
      <c r="U11793" s="204"/>
    </row>
    <row r="11794" spans="2:21" x14ac:dyDescent="0.2">
      <c r="B11794" s="203"/>
      <c r="C11794" s="237"/>
      <c r="D11794" s="202"/>
      <c r="E11794" s="202"/>
      <c r="U11794" s="204"/>
    </row>
    <row r="11795" spans="2:21" x14ac:dyDescent="0.2">
      <c r="B11795" s="203"/>
      <c r="C11795" s="237"/>
      <c r="D11795" s="202"/>
      <c r="E11795" s="202"/>
      <c r="U11795" s="204"/>
    </row>
    <row r="11796" spans="2:21" x14ac:dyDescent="0.2">
      <c r="B11796" s="203"/>
      <c r="C11796" s="237"/>
      <c r="D11796" s="202"/>
      <c r="E11796" s="202"/>
      <c r="U11796" s="204"/>
    </row>
    <row r="11797" spans="2:21" x14ac:dyDescent="0.2">
      <c r="B11797" s="203"/>
      <c r="C11797" s="237"/>
      <c r="D11797" s="202"/>
      <c r="E11797" s="202"/>
      <c r="U11797" s="204"/>
    </row>
    <row r="11798" spans="2:21" x14ac:dyDescent="0.2">
      <c r="B11798" s="203"/>
      <c r="C11798" s="237"/>
      <c r="D11798" s="202"/>
      <c r="E11798" s="202"/>
      <c r="U11798" s="204"/>
    </row>
    <row r="11799" spans="2:21" x14ac:dyDescent="0.2">
      <c r="B11799" s="203"/>
      <c r="C11799" s="237"/>
      <c r="D11799" s="202"/>
      <c r="E11799" s="202"/>
      <c r="U11799" s="204"/>
    </row>
    <row r="11800" spans="2:21" x14ac:dyDescent="0.2">
      <c r="B11800" s="203"/>
      <c r="C11800" s="237"/>
      <c r="D11800" s="202"/>
      <c r="E11800" s="202"/>
      <c r="U11800" s="204"/>
    </row>
    <row r="11801" spans="2:21" x14ac:dyDescent="0.2">
      <c r="B11801" s="203"/>
      <c r="C11801" s="237"/>
      <c r="D11801" s="202"/>
      <c r="E11801" s="202"/>
      <c r="U11801" s="204"/>
    </row>
    <row r="11802" spans="2:21" x14ac:dyDescent="0.2">
      <c r="B11802" s="203"/>
      <c r="C11802" s="237"/>
      <c r="D11802" s="202"/>
      <c r="E11802" s="202"/>
      <c r="U11802" s="204"/>
    </row>
    <row r="11803" spans="2:21" x14ac:dyDescent="0.2">
      <c r="B11803" s="203"/>
      <c r="C11803" s="237"/>
      <c r="D11803" s="202"/>
      <c r="E11803" s="202"/>
      <c r="U11803" s="204"/>
    </row>
    <row r="11804" spans="2:21" x14ac:dyDescent="0.2">
      <c r="B11804" s="203"/>
      <c r="C11804" s="237"/>
      <c r="D11804" s="202"/>
      <c r="E11804" s="202"/>
      <c r="U11804" s="204"/>
    </row>
    <row r="11805" spans="2:21" x14ac:dyDescent="0.2">
      <c r="B11805" s="203"/>
      <c r="C11805" s="237"/>
      <c r="D11805" s="202"/>
      <c r="E11805" s="202"/>
      <c r="U11805" s="204"/>
    </row>
    <row r="11806" spans="2:21" x14ac:dyDescent="0.2">
      <c r="B11806" s="203"/>
      <c r="C11806" s="237"/>
      <c r="D11806" s="202"/>
      <c r="E11806" s="202"/>
      <c r="U11806" s="204"/>
    </row>
    <row r="11807" spans="2:21" x14ac:dyDescent="0.2">
      <c r="B11807" s="203"/>
      <c r="C11807" s="237"/>
      <c r="D11807" s="202"/>
      <c r="E11807" s="202"/>
      <c r="U11807" s="204"/>
    </row>
    <row r="11808" spans="2:21" x14ac:dyDescent="0.2">
      <c r="B11808" s="203"/>
      <c r="C11808" s="237"/>
      <c r="D11808" s="202"/>
      <c r="E11808" s="202"/>
      <c r="U11808" s="204"/>
    </row>
    <row r="11809" spans="2:21" x14ac:dyDescent="0.2">
      <c r="B11809" s="203"/>
      <c r="C11809" s="237"/>
      <c r="D11809" s="202"/>
      <c r="E11809" s="202"/>
      <c r="U11809" s="204"/>
    </row>
    <row r="11810" spans="2:21" x14ac:dyDescent="0.2">
      <c r="B11810" s="203"/>
      <c r="C11810" s="237"/>
      <c r="D11810" s="202"/>
      <c r="E11810" s="202"/>
      <c r="U11810" s="204"/>
    </row>
    <row r="11811" spans="2:21" x14ac:dyDescent="0.2">
      <c r="B11811" s="203"/>
      <c r="C11811" s="237"/>
      <c r="D11811" s="202"/>
      <c r="E11811" s="202"/>
      <c r="U11811" s="204"/>
    </row>
    <row r="11812" spans="2:21" x14ac:dyDescent="0.2">
      <c r="B11812" s="203"/>
      <c r="C11812" s="237"/>
      <c r="D11812" s="202"/>
      <c r="E11812" s="202"/>
      <c r="U11812" s="204"/>
    </row>
    <row r="11813" spans="2:21" x14ac:dyDescent="0.2">
      <c r="B11813" s="203"/>
      <c r="C11813" s="237"/>
      <c r="D11813" s="202"/>
      <c r="E11813" s="202"/>
      <c r="U11813" s="204"/>
    </row>
    <row r="11814" spans="2:21" x14ac:dyDescent="0.2">
      <c r="B11814" s="203"/>
      <c r="C11814" s="237"/>
      <c r="D11814" s="202"/>
      <c r="E11814" s="202"/>
      <c r="U11814" s="204"/>
    </row>
    <row r="11815" spans="2:21" x14ac:dyDescent="0.2">
      <c r="B11815" s="203"/>
      <c r="C11815" s="237"/>
      <c r="D11815" s="202"/>
      <c r="E11815" s="202"/>
      <c r="U11815" s="204"/>
    </row>
    <row r="11816" spans="2:21" x14ac:dyDescent="0.2">
      <c r="B11816" s="203"/>
      <c r="C11816" s="237"/>
      <c r="D11816" s="202"/>
      <c r="E11816" s="202"/>
      <c r="U11816" s="204"/>
    </row>
    <row r="11817" spans="2:21" x14ac:dyDescent="0.2">
      <c r="B11817" s="203"/>
      <c r="C11817" s="237"/>
      <c r="D11817" s="202"/>
      <c r="E11817" s="202"/>
      <c r="U11817" s="204"/>
    </row>
    <row r="11818" spans="2:21" x14ac:dyDescent="0.2">
      <c r="B11818" s="203"/>
      <c r="C11818" s="237"/>
      <c r="D11818" s="202"/>
      <c r="E11818" s="202"/>
      <c r="U11818" s="204"/>
    </row>
    <row r="11819" spans="2:21" x14ac:dyDescent="0.2">
      <c r="B11819" s="203"/>
      <c r="C11819" s="237"/>
      <c r="D11819" s="202"/>
      <c r="E11819" s="202"/>
      <c r="U11819" s="204"/>
    </row>
    <row r="11820" spans="2:21" x14ac:dyDescent="0.2">
      <c r="B11820" s="203"/>
      <c r="C11820" s="237"/>
      <c r="D11820" s="202"/>
      <c r="E11820" s="202"/>
      <c r="U11820" s="204"/>
    </row>
    <row r="11821" spans="2:21" x14ac:dyDescent="0.2">
      <c r="B11821" s="203"/>
      <c r="C11821" s="237"/>
      <c r="D11821" s="202"/>
      <c r="E11821" s="202"/>
      <c r="U11821" s="204"/>
    </row>
    <row r="11822" spans="2:21" x14ac:dyDescent="0.2">
      <c r="B11822" s="203"/>
      <c r="C11822" s="237"/>
      <c r="D11822" s="202"/>
      <c r="E11822" s="202"/>
      <c r="U11822" s="204"/>
    </row>
    <row r="11823" spans="2:21" x14ac:dyDescent="0.2">
      <c r="B11823" s="203"/>
      <c r="C11823" s="237"/>
      <c r="D11823" s="202"/>
      <c r="E11823" s="202"/>
      <c r="U11823" s="204"/>
    </row>
    <row r="11824" spans="2:21" x14ac:dyDescent="0.2">
      <c r="B11824" s="203"/>
      <c r="C11824" s="237"/>
      <c r="D11824" s="202"/>
      <c r="E11824" s="202"/>
      <c r="U11824" s="204"/>
    </row>
    <row r="11825" spans="2:21" x14ac:dyDescent="0.2">
      <c r="B11825" s="203"/>
      <c r="C11825" s="237"/>
      <c r="D11825" s="202"/>
      <c r="E11825" s="202"/>
      <c r="U11825" s="204"/>
    </row>
    <row r="11826" spans="2:21" x14ac:dyDescent="0.2">
      <c r="B11826" s="203"/>
      <c r="C11826" s="237"/>
      <c r="D11826" s="202"/>
      <c r="E11826" s="202"/>
      <c r="U11826" s="204"/>
    </row>
    <row r="11827" spans="2:21" x14ac:dyDescent="0.2">
      <c r="B11827" s="203"/>
      <c r="C11827" s="237"/>
      <c r="D11827" s="202"/>
      <c r="E11827" s="202"/>
      <c r="U11827" s="204"/>
    </row>
    <row r="11828" spans="2:21" x14ac:dyDescent="0.2">
      <c r="B11828" s="203"/>
      <c r="C11828" s="237"/>
      <c r="D11828" s="202"/>
      <c r="E11828" s="202"/>
      <c r="U11828" s="204"/>
    </row>
    <row r="11829" spans="2:21" x14ac:dyDescent="0.2">
      <c r="B11829" s="203"/>
      <c r="C11829" s="237"/>
      <c r="D11829" s="202"/>
      <c r="E11829" s="202"/>
      <c r="U11829" s="204"/>
    </row>
    <row r="11830" spans="2:21" x14ac:dyDescent="0.2">
      <c r="B11830" s="203"/>
      <c r="C11830" s="237"/>
      <c r="D11830" s="202"/>
      <c r="E11830" s="202"/>
      <c r="U11830" s="204"/>
    </row>
    <row r="11831" spans="2:21" x14ac:dyDescent="0.2">
      <c r="B11831" s="203"/>
      <c r="C11831" s="237"/>
      <c r="D11831" s="202"/>
      <c r="E11831" s="202"/>
      <c r="U11831" s="204"/>
    </row>
    <row r="11832" spans="2:21" x14ac:dyDescent="0.2">
      <c r="B11832" s="203"/>
      <c r="C11832" s="237"/>
      <c r="D11832" s="202"/>
      <c r="E11832" s="202"/>
      <c r="U11832" s="204"/>
    </row>
    <row r="11833" spans="2:21" x14ac:dyDescent="0.2">
      <c r="B11833" s="203"/>
      <c r="C11833" s="237"/>
      <c r="D11833" s="202"/>
      <c r="E11833" s="202"/>
      <c r="U11833" s="204"/>
    </row>
    <row r="11834" spans="2:21" x14ac:dyDescent="0.2">
      <c r="B11834" s="203"/>
      <c r="C11834" s="237"/>
      <c r="D11834" s="202"/>
      <c r="E11834" s="202"/>
      <c r="U11834" s="204"/>
    </row>
    <row r="11835" spans="2:21" x14ac:dyDescent="0.2">
      <c r="B11835" s="203"/>
      <c r="C11835" s="237"/>
      <c r="D11835" s="202"/>
      <c r="E11835" s="202"/>
      <c r="U11835" s="204"/>
    </row>
    <row r="11836" spans="2:21" x14ac:dyDescent="0.2">
      <c r="B11836" s="203"/>
      <c r="C11836" s="237"/>
      <c r="D11836" s="202"/>
      <c r="E11836" s="202"/>
      <c r="U11836" s="204"/>
    </row>
    <row r="11837" spans="2:21" x14ac:dyDescent="0.2">
      <c r="B11837" s="203"/>
      <c r="C11837" s="237"/>
      <c r="D11837" s="202"/>
      <c r="E11837" s="202"/>
      <c r="U11837" s="204"/>
    </row>
    <row r="11838" spans="2:21" x14ac:dyDescent="0.2">
      <c r="B11838" s="203"/>
      <c r="C11838" s="237"/>
      <c r="D11838" s="202"/>
      <c r="E11838" s="202"/>
      <c r="U11838" s="204"/>
    </row>
    <row r="11839" spans="2:21" x14ac:dyDescent="0.2">
      <c r="B11839" s="203"/>
      <c r="C11839" s="237"/>
      <c r="D11839" s="202"/>
      <c r="E11839" s="202"/>
      <c r="U11839" s="204"/>
    </row>
    <row r="11840" spans="2:21" x14ac:dyDescent="0.2">
      <c r="B11840" s="203"/>
      <c r="C11840" s="237"/>
      <c r="D11840" s="202"/>
      <c r="E11840" s="202"/>
      <c r="U11840" s="204"/>
    </row>
    <row r="11841" spans="2:21" x14ac:dyDescent="0.2">
      <c r="B11841" s="203"/>
      <c r="C11841" s="237"/>
      <c r="D11841" s="202"/>
      <c r="E11841" s="202"/>
      <c r="U11841" s="204"/>
    </row>
    <row r="11842" spans="2:21" x14ac:dyDescent="0.2">
      <c r="B11842" s="203"/>
      <c r="C11842" s="237"/>
      <c r="D11842" s="202"/>
      <c r="E11842" s="202"/>
      <c r="U11842" s="204"/>
    </row>
    <row r="11843" spans="2:21" x14ac:dyDescent="0.2">
      <c r="B11843" s="203"/>
      <c r="C11843" s="237"/>
      <c r="D11843" s="202"/>
      <c r="E11843" s="202"/>
      <c r="U11843" s="204"/>
    </row>
    <row r="11844" spans="2:21" x14ac:dyDescent="0.2">
      <c r="B11844" s="203"/>
      <c r="C11844" s="237"/>
      <c r="D11844" s="202"/>
      <c r="E11844" s="202"/>
      <c r="U11844" s="204"/>
    </row>
    <row r="11845" spans="2:21" x14ac:dyDescent="0.2">
      <c r="B11845" s="203"/>
      <c r="C11845" s="237"/>
      <c r="D11845" s="202"/>
      <c r="E11845" s="202"/>
      <c r="U11845" s="204"/>
    </row>
    <row r="11846" spans="2:21" x14ac:dyDescent="0.2">
      <c r="B11846" s="203"/>
      <c r="C11846" s="237"/>
      <c r="D11846" s="202"/>
      <c r="E11846" s="202"/>
      <c r="U11846" s="204"/>
    </row>
    <row r="11847" spans="2:21" x14ac:dyDescent="0.2">
      <c r="B11847" s="203"/>
      <c r="C11847" s="237"/>
      <c r="D11847" s="202"/>
      <c r="E11847" s="202"/>
      <c r="U11847" s="204"/>
    </row>
    <row r="11848" spans="2:21" x14ac:dyDescent="0.2">
      <c r="B11848" s="203"/>
      <c r="C11848" s="237"/>
      <c r="D11848" s="202"/>
      <c r="E11848" s="202"/>
      <c r="U11848" s="204"/>
    </row>
    <row r="11849" spans="2:21" x14ac:dyDescent="0.2">
      <c r="B11849" s="203"/>
      <c r="C11849" s="237"/>
      <c r="D11849" s="202"/>
      <c r="E11849" s="202"/>
      <c r="U11849" s="204"/>
    </row>
    <row r="11850" spans="2:21" x14ac:dyDescent="0.2">
      <c r="B11850" s="203"/>
      <c r="C11850" s="237"/>
      <c r="D11850" s="202"/>
      <c r="E11850" s="202"/>
      <c r="U11850" s="204"/>
    </row>
    <row r="11851" spans="2:21" x14ac:dyDescent="0.2">
      <c r="B11851" s="203"/>
      <c r="C11851" s="237"/>
      <c r="D11851" s="202"/>
      <c r="E11851" s="202"/>
      <c r="U11851" s="204"/>
    </row>
    <row r="11852" spans="2:21" x14ac:dyDescent="0.2">
      <c r="B11852" s="203"/>
      <c r="C11852" s="237"/>
      <c r="D11852" s="202"/>
      <c r="E11852" s="202"/>
      <c r="U11852" s="204"/>
    </row>
    <row r="11853" spans="2:21" x14ac:dyDescent="0.2">
      <c r="B11853" s="203"/>
      <c r="C11853" s="237"/>
      <c r="D11853" s="202"/>
      <c r="E11853" s="202"/>
      <c r="U11853" s="204"/>
    </row>
    <row r="11854" spans="2:21" x14ac:dyDescent="0.2">
      <c r="B11854" s="203"/>
      <c r="C11854" s="237"/>
      <c r="D11854" s="202"/>
      <c r="E11854" s="202"/>
      <c r="U11854" s="204"/>
    </row>
    <row r="11855" spans="2:21" x14ac:dyDescent="0.2">
      <c r="B11855" s="203"/>
      <c r="C11855" s="237"/>
      <c r="D11855" s="202"/>
      <c r="E11855" s="202"/>
      <c r="U11855" s="204"/>
    </row>
    <row r="11856" spans="2:21" x14ac:dyDescent="0.2">
      <c r="B11856" s="203"/>
      <c r="C11856" s="237"/>
      <c r="D11856" s="202"/>
      <c r="E11856" s="202"/>
      <c r="U11856" s="204"/>
    </row>
    <row r="11857" spans="2:21" x14ac:dyDescent="0.2">
      <c r="B11857" s="203"/>
      <c r="C11857" s="237"/>
      <c r="D11857" s="202"/>
      <c r="E11857" s="202"/>
      <c r="U11857" s="204"/>
    </row>
    <row r="11858" spans="2:21" x14ac:dyDescent="0.2">
      <c r="B11858" s="203"/>
      <c r="C11858" s="237"/>
      <c r="D11858" s="202"/>
      <c r="E11858" s="202"/>
      <c r="U11858" s="204"/>
    </row>
    <row r="11859" spans="2:21" x14ac:dyDescent="0.2">
      <c r="B11859" s="203"/>
      <c r="C11859" s="237"/>
      <c r="D11859" s="202"/>
      <c r="E11859" s="202"/>
      <c r="U11859" s="204"/>
    </row>
    <row r="11860" spans="2:21" x14ac:dyDescent="0.2">
      <c r="B11860" s="203"/>
      <c r="C11860" s="237"/>
      <c r="D11860" s="202"/>
      <c r="E11860" s="202"/>
      <c r="U11860" s="204"/>
    </row>
    <row r="11861" spans="2:21" x14ac:dyDescent="0.2">
      <c r="B11861" s="203"/>
      <c r="C11861" s="237"/>
      <c r="D11861" s="202"/>
      <c r="E11861" s="202"/>
      <c r="U11861" s="204"/>
    </row>
    <row r="11862" spans="2:21" x14ac:dyDescent="0.2">
      <c r="B11862" s="203"/>
      <c r="C11862" s="237"/>
      <c r="D11862" s="202"/>
      <c r="E11862" s="202"/>
      <c r="U11862" s="204"/>
    </row>
    <row r="11863" spans="2:21" x14ac:dyDescent="0.2">
      <c r="B11863" s="203"/>
      <c r="C11863" s="237"/>
      <c r="D11863" s="202"/>
      <c r="E11863" s="202"/>
      <c r="U11863" s="204"/>
    </row>
    <row r="11864" spans="2:21" x14ac:dyDescent="0.2">
      <c r="B11864" s="203"/>
      <c r="C11864" s="237"/>
      <c r="D11864" s="202"/>
      <c r="E11864" s="202"/>
      <c r="U11864" s="204"/>
    </row>
    <row r="11865" spans="2:21" x14ac:dyDescent="0.2">
      <c r="B11865" s="203"/>
      <c r="C11865" s="237"/>
      <c r="D11865" s="202"/>
      <c r="E11865" s="202"/>
      <c r="U11865" s="204"/>
    </row>
    <row r="11866" spans="2:21" x14ac:dyDescent="0.2">
      <c r="B11866" s="203"/>
      <c r="C11866" s="237"/>
      <c r="D11866" s="202"/>
      <c r="E11866" s="202"/>
      <c r="U11866" s="204"/>
    </row>
    <row r="11867" spans="2:21" x14ac:dyDescent="0.2">
      <c r="B11867" s="203"/>
      <c r="C11867" s="237"/>
      <c r="D11867" s="202"/>
      <c r="E11867" s="202"/>
      <c r="U11867" s="204"/>
    </row>
    <row r="11868" spans="2:21" x14ac:dyDescent="0.2">
      <c r="B11868" s="203"/>
      <c r="C11868" s="237"/>
      <c r="D11868" s="202"/>
      <c r="E11868" s="202"/>
      <c r="U11868" s="204"/>
    </row>
    <row r="11869" spans="2:21" x14ac:dyDescent="0.2">
      <c r="B11869" s="203"/>
      <c r="C11869" s="237"/>
      <c r="D11869" s="202"/>
      <c r="E11869" s="202"/>
      <c r="U11869" s="204"/>
    </row>
    <row r="11870" spans="2:21" x14ac:dyDescent="0.2">
      <c r="B11870" s="203"/>
      <c r="C11870" s="237"/>
      <c r="D11870" s="202"/>
      <c r="E11870" s="202"/>
      <c r="U11870" s="204"/>
    </row>
    <row r="11871" spans="2:21" x14ac:dyDescent="0.2">
      <c r="B11871" s="203"/>
      <c r="C11871" s="237"/>
      <c r="D11871" s="202"/>
      <c r="E11871" s="202"/>
      <c r="U11871" s="204"/>
    </row>
    <row r="11872" spans="2:21" x14ac:dyDescent="0.2">
      <c r="B11872" s="203"/>
      <c r="C11872" s="237"/>
      <c r="D11872" s="202"/>
      <c r="E11872" s="202"/>
      <c r="U11872" s="204"/>
    </row>
    <row r="11873" spans="2:21" x14ac:dyDescent="0.2">
      <c r="B11873" s="203"/>
      <c r="C11873" s="237"/>
      <c r="D11873" s="202"/>
      <c r="E11873" s="202"/>
      <c r="U11873" s="204"/>
    </row>
    <row r="11874" spans="2:21" x14ac:dyDescent="0.2">
      <c r="B11874" s="203"/>
      <c r="C11874" s="237"/>
      <c r="D11874" s="202"/>
      <c r="E11874" s="202"/>
      <c r="U11874" s="204"/>
    </row>
    <row r="11875" spans="2:21" x14ac:dyDescent="0.2">
      <c r="B11875" s="203"/>
      <c r="C11875" s="237"/>
      <c r="D11875" s="202"/>
      <c r="E11875" s="202"/>
      <c r="U11875" s="204"/>
    </row>
    <row r="11876" spans="2:21" x14ac:dyDescent="0.2">
      <c r="B11876" s="203"/>
      <c r="C11876" s="237"/>
      <c r="D11876" s="202"/>
      <c r="E11876" s="202"/>
      <c r="U11876" s="204"/>
    </row>
    <row r="11877" spans="2:21" x14ac:dyDescent="0.2">
      <c r="B11877" s="203"/>
      <c r="C11877" s="237"/>
      <c r="D11877" s="202"/>
      <c r="E11877" s="202"/>
      <c r="U11877" s="204"/>
    </row>
    <row r="11878" spans="2:21" x14ac:dyDescent="0.2">
      <c r="B11878" s="203"/>
      <c r="C11878" s="237"/>
      <c r="D11878" s="202"/>
      <c r="E11878" s="202"/>
      <c r="U11878" s="204"/>
    </row>
    <row r="11879" spans="2:21" x14ac:dyDescent="0.2">
      <c r="B11879" s="203"/>
      <c r="C11879" s="237"/>
      <c r="D11879" s="202"/>
      <c r="E11879" s="202"/>
      <c r="U11879" s="204"/>
    </row>
    <row r="11880" spans="2:21" x14ac:dyDescent="0.2">
      <c r="B11880" s="203"/>
      <c r="C11880" s="237"/>
      <c r="D11880" s="202"/>
      <c r="E11880" s="202"/>
      <c r="U11880" s="204"/>
    </row>
    <row r="11881" spans="2:21" x14ac:dyDescent="0.2">
      <c r="B11881" s="203"/>
      <c r="C11881" s="237"/>
      <c r="D11881" s="202"/>
      <c r="E11881" s="202"/>
      <c r="U11881" s="204"/>
    </row>
    <row r="11882" spans="2:21" x14ac:dyDescent="0.2">
      <c r="B11882" s="203"/>
      <c r="C11882" s="237"/>
      <c r="D11882" s="202"/>
      <c r="E11882" s="202"/>
      <c r="U11882" s="204"/>
    </row>
    <row r="11883" spans="2:21" x14ac:dyDescent="0.2">
      <c r="B11883" s="203"/>
      <c r="C11883" s="237"/>
      <c r="D11883" s="202"/>
      <c r="E11883" s="202"/>
      <c r="U11883" s="204"/>
    </row>
    <row r="11884" spans="2:21" x14ac:dyDescent="0.2">
      <c r="B11884" s="203"/>
      <c r="C11884" s="237"/>
      <c r="D11884" s="202"/>
      <c r="E11884" s="202"/>
      <c r="U11884" s="204"/>
    </row>
    <row r="11885" spans="2:21" x14ac:dyDescent="0.2">
      <c r="B11885" s="203"/>
      <c r="C11885" s="237"/>
      <c r="D11885" s="202"/>
      <c r="E11885" s="202"/>
      <c r="U11885" s="204"/>
    </row>
    <row r="11886" spans="2:21" x14ac:dyDescent="0.2">
      <c r="B11886" s="203"/>
      <c r="C11886" s="237"/>
      <c r="D11886" s="202"/>
      <c r="E11886" s="202"/>
      <c r="U11886" s="204"/>
    </row>
    <row r="11887" spans="2:21" x14ac:dyDescent="0.2">
      <c r="B11887" s="203"/>
      <c r="C11887" s="237"/>
      <c r="D11887" s="202"/>
      <c r="E11887" s="202"/>
      <c r="U11887" s="204"/>
    </row>
    <row r="11888" spans="2:21" x14ac:dyDescent="0.2">
      <c r="B11888" s="203"/>
      <c r="C11888" s="237"/>
      <c r="D11888" s="202"/>
      <c r="E11888" s="202"/>
      <c r="U11888" s="204"/>
    </row>
    <row r="11889" spans="2:21" x14ac:dyDescent="0.2">
      <c r="B11889" s="203"/>
      <c r="C11889" s="237"/>
      <c r="D11889" s="202"/>
      <c r="E11889" s="202"/>
      <c r="U11889" s="204"/>
    </row>
    <row r="11890" spans="2:21" x14ac:dyDescent="0.2">
      <c r="B11890" s="203"/>
      <c r="C11890" s="237"/>
      <c r="D11890" s="202"/>
      <c r="E11890" s="202"/>
      <c r="U11890" s="204"/>
    </row>
    <row r="11891" spans="2:21" x14ac:dyDescent="0.2">
      <c r="B11891" s="203"/>
      <c r="C11891" s="237"/>
      <c r="D11891" s="202"/>
      <c r="E11891" s="202"/>
      <c r="U11891" s="204"/>
    </row>
    <row r="11892" spans="2:21" x14ac:dyDescent="0.2">
      <c r="B11892" s="203"/>
      <c r="C11892" s="237"/>
      <c r="D11892" s="202"/>
      <c r="E11892" s="202"/>
      <c r="U11892" s="204"/>
    </row>
    <row r="11893" spans="2:21" x14ac:dyDescent="0.2">
      <c r="B11893" s="203"/>
      <c r="C11893" s="237"/>
      <c r="D11893" s="202"/>
      <c r="E11893" s="202"/>
      <c r="U11893" s="204"/>
    </row>
    <row r="11894" spans="2:21" x14ac:dyDescent="0.2">
      <c r="B11894" s="203"/>
      <c r="C11894" s="237"/>
      <c r="D11894" s="202"/>
      <c r="E11894" s="202"/>
      <c r="U11894" s="204"/>
    </row>
    <row r="11895" spans="2:21" x14ac:dyDescent="0.2">
      <c r="B11895" s="203"/>
      <c r="C11895" s="237"/>
      <c r="D11895" s="202"/>
      <c r="E11895" s="202"/>
      <c r="U11895" s="204"/>
    </row>
    <row r="11896" spans="2:21" x14ac:dyDescent="0.2">
      <c r="B11896" s="203"/>
      <c r="C11896" s="237"/>
      <c r="D11896" s="202"/>
      <c r="E11896" s="202"/>
      <c r="U11896" s="204"/>
    </row>
    <row r="11897" spans="2:21" x14ac:dyDescent="0.2">
      <c r="B11897" s="203"/>
      <c r="C11897" s="237"/>
      <c r="D11897" s="202"/>
      <c r="E11897" s="202"/>
      <c r="U11897" s="204"/>
    </row>
    <row r="11898" spans="2:21" x14ac:dyDescent="0.2">
      <c r="B11898" s="203"/>
      <c r="C11898" s="237"/>
      <c r="D11898" s="202"/>
      <c r="E11898" s="202"/>
      <c r="U11898" s="204"/>
    </row>
    <row r="11899" spans="2:21" x14ac:dyDescent="0.2">
      <c r="B11899" s="203"/>
      <c r="C11899" s="237"/>
      <c r="D11899" s="202"/>
      <c r="E11899" s="202"/>
      <c r="U11899" s="204"/>
    </row>
    <row r="11900" spans="2:21" x14ac:dyDescent="0.2">
      <c r="B11900" s="203"/>
      <c r="C11900" s="237"/>
      <c r="D11900" s="202"/>
      <c r="E11900" s="202"/>
      <c r="U11900" s="204"/>
    </row>
    <row r="11901" spans="2:21" x14ac:dyDescent="0.2">
      <c r="B11901" s="203"/>
      <c r="C11901" s="237"/>
      <c r="D11901" s="202"/>
      <c r="E11901" s="202"/>
      <c r="U11901" s="204"/>
    </row>
    <row r="11902" spans="2:21" x14ac:dyDescent="0.2">
      <c r="B11902" s="203"/>
      <c r="C11902" s="237"/>
      <c r="D11902" s="202"/>
      <c r="E11902" s="202"/>
      <c r="U11902" s="204"/>
    </row>
    <row r="11903" spans="2:21" x14ac:dyDescent="0.2">
      <c r="B11903" s="203"/>
      <c r="C11903" s="237"/>
      <c r="D11903" s="202"/>
      <c r="E11903" s="202"/>
      <c r="U11903" s="204"/>
    </row>
    <row r="11904" spans="2:21" x14ac:dyDescent="0.2">
      <c r="B11904" s="203"/>
      <c r="C11904" s="237"/>
      <c r="D11904" s="202"/>
      <c r="E11904" s="202"/>
      <c r="U11904" s="204"/>
    </row>
    <row r="11905" spans="2:21" x14ac:dyDescent="0.2">
      <c r="B11905" s="203"/>
      <c r="C11905" s="237"/>
      <c r="D11905" s="202"/>
      <c r="E11905" s="202"/>
      <c r="U11905" s="204"/>
    </row>
    <row r="11906" spans="2:21" x14ac:dyDescent="0.2">
      <c r="B11906" s="203"/>
      <c r="C11906" s="237"/>
      <c r="D11906" s="202"/>
      <c r="E11906" s="202"/>
      <c r="U11906" s="204"/>
    </row>
    <row r="11907" spans="2:21" x14ac:dyDescent="0.2">
      <c r="B11907" s="203"/>
      <c r="C11907" s="237"/>
      <c r="D11907" s="202"/>
      <c r="E11907" s="202"/>
      <c r="U11907" s="204"/>
    </row>
    <row r="11908" spans="2:21" x14ac:dyDescent="0.2">
      <c r="B11908" s="203"/>
      <c r="C11908" s="237"/>
      <c r="D11908" s="202"/>
      <c r="E11908" s="202"/>
      <c r="U11908" s="204"/>
    </row>
    <row r="11909" spans="2:21" x14ac:dyDescent="0.2">
      <c r="B11909" s="203"/>
      <c r="C11909" s="237"/>
      <c r="D11909" s="202"/>
      <c r="E11909" s="202"/>
      <c r="U11909" s="204"/>
    </row>
    <row r="11910" spans="2:21" x14ac:dyDescent="0.2">
      <c r="B11910" s="203"/>
      <c r="C11910" s="237"/>
      <c r="D11910" s="202"/>
      <c r="E11910" s="202"/>
      <c r="U11910" s="204"/>
    </row>
    <row r="11911" spans="2:21" x14ac:dyDescent="0.2">
      <c r="B11911" s="203"/>
      <c r="C11911" s="237"/>
      <c r="D11911" s="202"/>
      <c r="E11911" s="202"/>
      <c r="U11911" s="204"/>
    </row>
    <row r="11912" spans="2:21" x14ac:dyDescent="0.2">
      <c r="B11912" s="203"/>
      <c r="C11912" s="237"/>
      <c r="D11912" s="202"/>
      <c r="E11912" s="202"/>
      <c r="U11912" s="204"/>
    </row>
    <row r="11913" spans="2:21" x14ac:dyDescent="0.2">
      <c r="B11913" s="203"/>
      <c r="C11913" s="237"/>
      <c r="D11913" s="202"/>
      <c r="E11913" s="202"/>
      <c r="U11913" s="204"/>
    </row>
    <row r="11914" spans="2:21" x14ac:dyDescent="0.2">
      <c r="B11914" s="203"/>
      <c r="C11914" s="237"/>
      <c r="D11914" s="202"/>
      <c r="E11914" s="202"/>
      <c r="U11914" s="204"/>
    </row>
    <row r="11915" spans="2:21" x14ac:dyDescent="0.2">
      <c r="B11915" s="203"/>
      <c r="C11915" s="237"/>
      <c r="D11915" s="202"/>
      <c r="E11915" s="202"/>
      <c r="U11915" s="204"/>
    </row>
    <row r="11916" spans="2:21" x14ac:dyDescent="0.2">
      <c r="B11916" s="203"/>
      <c r="C11916" s="237"/>
      <c r="D11916" s="202"/>
      <c r="E11916" s="202"/>
      <c r="U11916" s="204"/>
    </row>
    <row r="11917" spans="2:21" x14ac:dyDescent="0.2">
      <c r="B11917" s="203"/>
      <c r="C11917" s="237"/>
      <c r="D11917" s="202"/>
      <c r="E11917" s="202"/>
      <c r="U11917" s="204"/>
    </row>
    <row r="11918" spans="2:21" x14ac:dyDescent="0.2">
      <c r="B11918" s="203"/>
      <c r="C11918" s="237"/>
      <c r="D11918" s="202"/>
      <c r="E11918" s="202"/>
      <c r="U11918" s="204"/>
    </row>
    <row r="11919" spans="2:21" x14ac:dyDescent="0.2">
      <c r="B11919" s="203"/>
      <c r="C11919" s="237"/>
      <c r="D11919" s="202"/>
      <c r="E11919" s="202"/>
      <c r="U11919" s="204"/>
    </row>
    <row r="11920" spans="2:21" x14ac:dyDescent="0.2">
      <c r="B11920" s="203"/>
      <c r="C11920" s="237"/>
      <c r="D11920" s="202"/>
      <c r="E11920" s="202"/>
      <c r="U11920" s="204"/>
    </row>
    <row r="11921" spans="2:21" x14ac:dyDescent="0.2">
      <c r="B11921" s="203"/>
      <c r="C11921" s="237"/>
      <c r="D11921" s="202"/>
      <c r="E11921" s="202"/>
      <c r="U11921" s="204"/>
    </row>
    <row r="11922" spans="2:21" x14ac:dyDescent="0.2">
      <c r="B11922" s="203"/>
      <c r="C11922" s="237"/>
      <c r="D11922" s="202"/>
      <c r="E11922" s="202"/>
      <c r="U11922" s="204"/>
    </row>
    <row r="11923" spans="2:21" x14ac:dyDescent="0.2">
      <c r="B11923" s="203"/>
      <c r="C11923" s="237"/>
      <c r="D11923" s="202"/>
      <c r="E11923" s="202"/>
      <c r="U11923" s="204"/>
    </row>
    <row r="11924" spans="2:21" x14ac:dyDescent="0.2">
      <c r="B11924" s="203"/>
      <c r="C11924" s="237"/>
      <c r="D11924" s="202"/>
      <c r="E11924" s="202"/>
      <c r="U11924" s="204"/>
    </row>
    <row r="11925" spans="2:21" x14ac:dyDescent="0.2">
      <c r="B11925" s="203"/>
      <c r="C11925" s="237"/>
      <c r="D11925" s="202"/>
      <c r="E11925" s="202"/>
      <c r="U11925" s="204"/>
    </row>
    <row r="11926" spans="2:21" x14ac:dyDescent="0.2">
      <c r="B11926" s="203"/>
      <c r="C11926" s="237"/>
      <c r="D11926" s="202"/>
      <c r="E11926" s="202"/>
      <c r="U11926" s="204"/>
    </row>
    <row r="11927" spans="2:21" x14ac:dyDescent="0.2">
      <c r="B11927" s="203"/>
      <c r="C11927" s="237"/>
      <c r="D11927" s="202"/>
      <c r="E11927" s="202"/>
      <c r="U11927" s="204"/>
    </row>
    <row r="11928" spans="2:21" x14ac:dyDescent="0.2">
      <c r="B11928" s="203"/>
      <c r="C11928" s="237"/>
      <c r="D11928" s="202"/>
      <c r="E11928" s="202"/>
      <c r="U11928" s="204"/>
    </row>
    <row r="11929" spans="2:21" x14ac:dyDescent="0.2">
      <c r="B11929" s="203"/>
      <c r="C11929" s="237"/>
      <c r="D11929" s="202"/>
      <c r="E11929" s="202"/>
      <c r="U11929" s="204"/>
    </row>
    <row r="11930" spans="2:21" x14ac:dyDescent="0.2">
      <c r="B11930" s="203"/>
      <c r="C11930" s="237"/>
      <c r="D11930" s="202"/>
      <c r="E11930" s="202"/>
      <c r="U11930" s="204"/>
    </row>
    <row r="11931" spans="2:21" x14ac:dyDescent="0.2">
      <c r="B11931" s="203"/>
      <c r="C11931" s="237"/>
      <c r="D11931" s="202"/>
      <c r="E11931" s="202"/>
      <c r="U11931" s="204"/>
    </row>
    <row r="11932" spans="2:21" x14ac:dyDescent="0.2">
      <c r="B11932" s="203"/>
      <c r="C11932" s="237"/>
      <c r="D11932" s="202"/>
      <c r="E11932" s="202"/>
      <c r="U11932" s="204"/>
    </row>
    <row r="11933" spans="2:21" x14ac:dyDescent="0.2">
      <c r="B11933" s="203"/>
      <c r="C11933" s="237"/>
      <c r="D11933" s="202"/>
      <c r="E11933" s="202"/>
      <c r="U11933" s="204"/>
    </row>
    <row r="11934" spans="2:21" x14ac:dyDescent="0.2">
      <c r="B11934" s="203"/>
      <c r="C11934" s="237"/>
      <c r="D11934" s="202"/>
      <c r="E11934" s="202"/>
      <c r="U11934" s="204"/>
    </row>
    <row r="11935" spans="2:21" x14ac:dyDescent="0.2">
      <c r="B11935" s="203"/>
      <c r="C11935" s="237"/>
      <c r="D11935" s="202"/>
      <c r="E11935" s="202"/>
      <c r="U11935" s="204"/>
    </row>
    <row r="11936" spans="2:21" x14ac:dyDescent="0.2">
      <c r="B11936" s="203"/>
      <c r="C11936" s="237"/>
      <c r="D11936" s="202"/>
      <c r="E11936" s="202"/>
      <c r="U11936" s="204"/>
    </row>
    <row r="11937" spans="2:21" x14ac:dyDescent="0.2">
      <c r="B11937" s="203"/>
      <c r="C11937" s="237"/>
      <c r="D11937" s="202"/>
      <c r="E11937" s="202"/>
      <c r="U11937" s="204"/>
    </row>
    <row r="11938" spans="2:21" x14ac:dyDescent="0.2">
      <c r="B11938" s="203"/>
      <c r="C11938" s="237"/>
      <c r="D11938" s="202"/>
      <c r="E11938" s="202"/>
      <c r="U11938" s="204"/>
    </row>
    <row r="11939" spans="2:21" x14ac:dyDescent="0.2">
      <c r="B11939" s="203"/>
      <c r="C11939" s="237"/>
      <c r="D11939" s="202"/>
      <c r="E11939" s="202"/>
      <c r="U11939" s="204"/>
    </row>
    <row r="11940" spans="2:21" x14ac:dyDescent="0.2">
      <c r="B11940" s="203"/>
      <c r="C11940" s="237"/>
      <c r="D11940" s="202"/>
      <c r="E11940" s="202"/>
      <c r="U11940" s="204"/>
    </row>
    <row r="11941" spans="2:21" x14ac:dyDescent="0.2">
      <c r="B11941" s="203"/>
      <c r="C11941" s="237"/>
      <c r="D11941" s="202"/>
      <c r="E11941" s="202"/>
      <c r="U11941" s="204"/>
    </row>
    <row r="11942" spans="2:21" x14ac:dyDescent="0.2">
      <c r="B11942" s="203"/>
      <c r="C11942" s="237"/>
      <c r="D11942" s="202"/>
      <c r="E11942" s="202"/>
      <c r="U11942" s="204"/>
    </row>
    <row r="11943" spans="2:21" x14ac:dyDescent="0.2">
      <c r="B11943" s="203"/>
      <c r="C11943" s="237"/>
      <c r="D11943" s="202"/>
      <c r="E11943" s="202"/>
      <c r="U11943" s="204"/>
    </row>
    <row r="11944" spans="2:21" x14ac:dyDescent="0.2">
      <c r="B11944" s="203"/>
      <c r="C11944" s="237"/>
      <c r="D11944" s="202"/>
      <c r="E11944" s="202"/>
      <c r="U11944" s="204"/>
    </row>
    <row r="11945" spans="2:21" x14ac:dyDescent="0.2">
      <c r="B11945" s="203"/>
      <c r="C11945" s="237"/>
      <c r="D11945" s="202"/>
      <c r="E11945" s="202"/>
      <c r="U11945" s="204"/>
    </row>
    <row r="11946" spans="2:21" x14ac:dyDescent="0.2">
      <c r="B11946" s="203"/>
      <c r="C11946" s="237"/>
      <c r="D11946" s="202"/>
      <c r="E11946" s="202"/>
      <c r="U11946" s="204"/>
    </row>
    <row r="11947" spans="2:21" x14ac:dyDescent="0.2">
      <c r="B11947" s="203"/>
      <c r="C11947" s="237"/>
      <c r="D11947" s="202"/>
      <c r="E11947" s="202"/>
      <c r="U11947" s="204"/>
    </row>
    <row r="11948" spans="2:21" x14ac:dyDescent="0.2">
      <c r="B11948" s="203"/>
      <c r="C11948" s="237"/>
      <c r="D11948" s="202"/>
      <c r="E11948" s="202"/>
      <c r="U11948" s="204"/>
    </row>
    <row r="11949" spans="2:21" x14ac:dyDescent="0.2">
      <c r="B11949" s="203"/>
      <c r="C11949" s="237"/>
      <c r="D11949" s="202"/>
      <c r="E11949" s="202"/>
      <c r="U11949" s="204"/>
    </row>
    <row r="11950" spans="2:21" x14ac:dyDescent="0.2">
      <c r="B11950" s="203"/>
      <c r="C11950" s="237"/>
      <c r="D11950" s="202"/>
      <c r="E11950" s="202"/>
      <c r="U11950" s="204"/>
    </row>
    <row r="11951" spans="2:21" x14ac:dyDescent="0.2">
      <c r="B11951" s="203"/>
      <c r="C11951" s="237"/>
      <c r="D11951" s="202"/>
      <c r="E11951" s="202"/>
      <c r="U11951" s="204"/>
    </row>
    <row r="11952" spans="2:21" x14ac:dyDescent="0.2">
      <c r="B11952" s="203"/>
      <c r="C11952" s="237"/>
      <c r="D11952" s="202"/>
      <c r="E11952" s="202"/>
      <c r="U11952" s="204"/>
    </row>
    <row r="11953" spans="2:21" x14ac:dyDescent="0.2">
      <c r="B11953" s="203"/>
      <c r="C11953" s="237"/>
      <c r="D11953" s="202"/>
      <c r="E11953" s="202"/>
      <c r="U11953" s="204"/>
    </row>
    <row r="11954" spans="2:21" x14ac:dyDescent="0.2">
      <c r="B11954" s="203"/>
      <c r="C11954" s="237"/>
      <c r="D11954" s="202"/>
      <c r="E11954" s="202"/>
      <c r="U11954" s="204"/>
    </row>
    <row r="11955" spans="2:21" x14ac:dyDescent="0.2">
      <c r="B11955" s="203"/>
      <c r="C11955" s="237"/>
      <c r="D11955" s="202"/>
      <c r="E11955" s="202"/>
      <c r="U11955" s="204"/>
    </row>
    <row r="11956" spans="2:21" x14ac:dyDescent="0.2">
      <c r="B11956" s="203"/>
      <c r="C11956" s="237"/>
      <c r="D11956" s="202"/>
      <c r="E11956" s="202"/>
      <c r="U11956" s="204"/>
    </row>
    <row r="11957" spans="2:21" x14ac:dyDescent="0.2">
      <c r="B11957" s="203"/>
      <c r="C11957" s="237"/>
      <c r="D11957" s="202"/>
      <c r="E11957" s="202"/>
      <c r="U11957" s="204"/>
    </row>
    <row r="11958" spans="2:21" x14ac:dyDescent="0.2">
      <c r="B11958" s="203"/>
      <c r="C11958" s="237"/>
      <c r="D11958" s="202"/>
      <c r="E11958" s="202"/>
      <c r="U11958" s="204"/>
    </row>
    <row r="11959" spans="2:21" x14ac:dyDescent="0.2">
      <c r="B11959" s="203"/>
      <c r="C11959" s="237"/>
      <c r="D11959" s="202"/>
      <c r="E11959" s="202"/>
      <c r="U11959" s="204"/>
    </row>
    <row r="11960" spans="2:21" x14ac:dyDescent="0.2">
      <c r="B11960" s="203"/>
      <c r="C11960" s="237"/>
      <c r="D11960" s="202"/>
      <c r="E11960" s="202"/>
      <c r="U11960" s="204"/>
    </row>
    <row r="11961" spans="2:21" x14ac:dyDescent="0.2">
      <c r="B11961" s="203"/>
      <c r="C11961" s="237"/>
      <c r="D11961" s="202"/>
      <c r="E11961" s="202"/>
      <c r="U11961" s="204"/>
    </row>
    <row r="11962" spans="2:21" x14ac:dyDescent="0.2">
      <c r="B11962" s="203"/>
      <c r="C11962" s="237"/>
      <c r="D11962" s="202"/>
      <c r="E11962" s="202"/>
      <c r="U11962" s="204"/>
    </row>
    <row r="11963" spans="2:21" x14ac:dyDescent="0.2">
      <c r="B11963" s="203"/>
      <c r="C11963" s="237"/>
      <c r="D11963" s="202"/>
      <c r="E11963" s="202"/>
      <c r="U11963" s="204"/>
    </row>
    <row r="11964" spans="2:21" x14ac:dyDescent="0.2">
      <c r="B11964" s="203"/>
      <c r="C11964" s="237"/>
      <c r="D11964" s="202"/>
      <c r="E11964" s="202"/>
      <c r="U11964" s="204"/>
    </row>
    <row r="11965" spans="2:21" x14ac:dyDescent="0.2">
      <c r="B11965" s="203"/>
      <c r="C11965" s="237"/>
      <c r="D11965" s="202"/>
      <c r="E11965" s="202"/>
      <c r="U11965" s="204"/>
    </row>
    <row r="11966" spans="2:21" x14ac:dyDescent="0.2">
      <c r="B11966" s="203"/>
      <c r="C11966" s="237"/>
      <c r="D11966" s="202"/>
      <c r="E11966" s="202"/>
      <c r="U11966" s="204"/>
    </row>
    <row r="11967" spans="2:21" x14ac:dyDescent="0.2">
      <c r="B11967" s="203"/>
      <c r="C11967" s="237"/>
      <c r="D11967" s="202"/>
      <c r="E11967" s="202"/>
      <c r="U11967" s="204"/>
    </row>
    <row r="11968" spans="2:21" x14ac:dyDescent="0.2">
      <c r="B11968" s="203"/>
      <c r="C11968" s="237"/>
      <c r="D11968" s="202"/>
      <c r="E11968" s="202"/>
      <c r="U11968" s="204"/>
    </row>
    <row r="11969" spans="2:21" x14ac:dyDescent="0.2">
      <c r="B11969" s="203"/>
      <c r="C11969" s="237"/>
      <c r="D11969" s="202"/>
      <c r="E11969" s="202"/>
      <c r="U11969" s="204"/>
    </row>
    <row r="11970" spans="2:21" x14ac:dyDescent="0.2">
      <c r="B11970" s="203"/>
      <c r="C11970" s="237"/>
      <c r="D11970" s="202"/>
      <c r="E11970" s="202"/>
      <c r="U11970" s="204"/>
    </row>
    <row r="11971" spans="2:21" x14ac:dyDescent="0.2">
      <c r="B11971" s="203"/>
      <c r="C11971" s="237"/>
      <c r="D11971" s="202"/>
      <c r="E11971" s="202"/>
      <c r="U11971" s="204"/>
    </row>
    <row r="11972" spans="2:21" x14ac:dyDescent="0.2">
      <c r="B11972" s="203"/>
      <c r="C11972" s="237"/>
      <c r="D11972" s="202"/>
      <c r="E11972" s="202"/>
      <c r="U11972" s="204"/>
    </row>
    <row r="11973" spans="2:21" x14ac:dyDescent="0.2">
      <c r="B11973" s="203"/>
      <c r="C11973" s="237"/>
      <c r="D11973" s="202"/>
      <c r="E11973" s="202"/>
      <c r="U11973" s="204"/>
    </row>
    <row r="11974" spans="2:21" x14ac:dyDescent="0.2">
      <c r="B11974" s="203"/>
      <c r="C11974" s="237"/>
      <c r="D11974" s="202"/>
      <c r="E11974" s="202"/>
      <c r="U11974" s="204"/>
    </row>
    <row r="11975" spans="2:21" x14ac:dyDescent="0.2">
      <c r="B11975" s="203"/>
      <c r="C11975" s="237"/>
      <c r="D11975" s="202"/>
      <c r="E11975" s="202"/>
      <c r="U11975" s="204"/>
    </row>
    <row r="11976" spans="2:21" x14ac:dyDescent="0.2">
      <c r="B11976" s="203"/>
      <c r="C11976" s="237"/>
      <c r="D11976" s="202"/>
      <c r="E11976" s="202"/>
      <c r="U11976" s="204"/>
    </row>
    <row r="11977" spans="2:21" x14ac:dyDescent="0.2">
      <c r="B11977" s="203"/>
      <c r="C11977" s="237"/>
      <c r="D11977" s="202"/>
      <c r="E11977" s="202"/>
      <c r="U11977" s="204"/>
    </row>
    <row r="11978" spans="2:21" x14ac:dyDescent="0.2">
      <c r="B11978" s="203"/>
      <c r="C11978" s="237"/>
      <c r="D11978" s="202"/>
      <c r="E11978" s="202"/>
      <c r="U11978" s="204"/>
    </row>
    <row r="11979" spans="2:21" x14ac:dyDescent="0.2">
      <c r="B11979" s="203"/>
      <c r="C11979" s="237"/>
      <c r="D11979" s="202"/>
      <c r="E11979" s="202"/>
      <c r="U11979" s="204"/>
    </row>
    <row r="11980" spans="2:21" x14ac:dyDescent="0.2">
      <c r="B11980" s="203"/>
      <c r="C11980" s="237"/>
      <c r="D11980" s="202"/>
      <c r="E11980" s="202"/>
      <c r="U11980" s="204"/>
    </row>
    <row r="11981" spans="2:21" x14ac:dyDescent="0.2">
      <c r="B11981" s="203"/>
      <c r="C11981" s="237"/>
      <c r="D11981" s="202"/>
      <c r="E11981" s="202"/>
      <c r="U11981" s="204"/>
    </row>
    <row r="11982" spans="2:21" x14ac:dyDescent="0.2">
      <c r="B11982" s="203"/>
      <c r="C11982" s="237"/>
      <c r="D11982" s="202"/>
      <c r="E11982" s="202"/>
      <c r="U11982" s="204"/>
    </row>
    <row r="11983" spans="2:21" x14ac:dyDescent="0.2">
      <c r="B11983" s="203"/>
      <c r="C11983" s="237"/>
      <c r="D11983" s="202"/>
      <c r="E11983" s="202"/>
      <c r="U11983" s="204"/>
    </row>
    <row r="11984" spans="2:21" x14ac:dyDescent="0.2">
      <c r="B11984" s="203"/>
      <c r="C11984" s="237"/>
      <c r="D11984" s="202"/>
      <c r="E11984" s="202"/>
      <c r="U11984" s="204"/>
    </row>
    <row r="11985" spans="2:21" x14ac:dyDescent="0.2">
      <c r="B11985" s="203"/>
      <c r="C11985" s="237"/>
      <c r="D11985" s="202"/>
      <c r="E11985" s="202"/>
      <c r="U11985" s="204"/>
    </row>
    <row r="11986" spans="2:21" x14ac:dyDescent="0.2">
      <c r="B11986" s="203"/>
      <c r="C11986" s="237"/>
      <c r="D11986" s="202"/>
      <c r="E11986" s="202"/>
      <c r="U11986" s="204"/>
    </row>
    <row r="11987" spans="2:21" x14ac:dyDescent="0.2">
      <c r="B11987" s="203"/>
      <c r="C11987" s="237"/>
      <c r="D11987" s="202"/>
      <c r="E11987" s="202"/>
      <c r="U11987" s="204"/>
    </row>
    <row r="11988" spans="2:21" x14ac:dyDescent="0.2">
      <c r="B11988" s="203"/>
      <c r="C11988" s="237"/>
      <c r="D11988" s="202"/>
      <c r="E11988" s="202"/>
      <c r="U11988" s="204"/>
    </row>
    <row r="11989" spans="2:21" x14ac:dyDescent="0.2">
      <c r="B11989" s="203"/>
      <c r="C11989" s="237"/>
      <c r="D11989" s="202"/>
      <c r="E11989" s="202"/>
      <c r="U11989" s="204"/>
    </row>
    <row r="11990" spans="2:21" x14ac:dyDescent="0.2">
      <c r="B11990" s="203"/>
      <c r="C11990" s="237"/>
      <c r="D11990" s="202"/>
      <c r="E11990" s="202"/>
      <c r="U11990" s="204"/>
    </row>
    <row r="11991" spans="2:21" x14ac:dyDescent="0.2">
      <c r="B11991" s="203"/>
      <c r="C11991" s="237"/>
      <c r="D11991" s="202"/>
      <c r="E11991" s="202"/>
      <c r="U11991" s="204"/>
    </row>
    <row r="11992" spans="2:21" x14ac:dyDescent="0.2">
      <c r="B11992" s="203"/>
      <c r="C11992" s="237"/>
      <c r="D11992" s="202"/>
      <c r="E11992" s="202"/>
      <c r="U11992" s="204"/>
    </row>
    <row r="11993" spans="2:21" x14ac:dyDescent="0.2">
      <c r="B11993" s="203"/>
      <c r="C11993" s="237"/>
      <c r="D11993" s="202"/>
      <c r="E11993" s="202"/>
      <c r="U11993" s="204"/>
    </row>
    <row r="11994" spans="2:21" x14ac:dyDescent="0.2">
      <c r="B11994" s="203"/>
      <c r="C11994" s="237"/>
      <c r="D11994" s="202"/>
      <c r="E11994" s="202"/>
      <c r="U11994" s="204"/>
    </row>
    <row r="11995" spans="2:21" x14ac:dyDescent="0.2">
      <c r="B11995" s="203"/>
      <c r="C11995" s="237"/>
      <c r="D11995" s="202"/>
      <c r="E11995" s="202"/>
      <c r="U11995" s="204"/>
    </row>
    <row r="11996" spans="2:21" x14ac:dyDescent="0.2">
      <c r="B11996" s="203"/>
      <c r="C11996" s="237"/>
      <c r="D11996" s="202"/>
      <c r="E11996" s="202"/>
      <c r="U11996" s="204"/>
    </row>
    <row r="11997" spans="2:21" x14ac:dyDescent="0.2">
      <c r="B11997" s="203"/>
      <c r="C11997" s="237"/>
      <c r="D11997" s="202"/>
      <c r="E11997" s="202"/>
      <c r="U11997" s="204"/>
    </row>
    <row r="11998" spans="2:21" x14ac:dyDescent="0.2">
      <c r="B11998" s="203"/>
      <c r="C11998" s="237"/>
      <c r="D11998" s="202"/>
      <c r="E11998" s="202"/>
      <c r="U11998" s="204"/>
    </row>
    <row r="11999" spans="2:21" x14ac:dyDescent="0.2">
      <c r="B11999" s="203"/>
      <c r="C11999" s="237"/>
      <c r="D11999" s="202"/>
      <c r="E11999" s="202"/>
      <c r="U11999" s="204"/>
    </row>
    <row r="12000" spans="2:21" x14ac:dyDescent="0.2">
      <c r="B12000" s="203"/>
      <c r="C12000" s="237"/>
      <c r="D12000" s="202"/>
      <c r="E12000" s="202"/>
      <c r="U12000" s="204"/>
    </row>
    <row r="12001" spans="2:21" x14ac:dyDescent="0.2">
      <c r="B12001" s="203"/>
      <c r="C12001" s="237"/>
      <c r="D12001" s="202"/>
      <c r="E12001" s="202"/>
      <c r="U12001" s="204"/>
    </row>
    <row r="12002" spans="2:21" x14ac:dyDescent="0.2">
      <c r="B12002" s="203"/>
      <c r="C12002" s="237"/>
      <c r="D12002" s="202"/>
      <c r="E12002" s="202"/>
      <c r="U12002" s="204"/>
    </row>
    <row r="12003" spans="2:21" x14ac:dyDescent="0.2">
      <c r="B12003" s="203"/>
      <c r="C12003" s="237"/>
      <c r="D12003" s="202"/>
      <c r="E12003" s="202"/>
      <c r="U12003" s="204"/>
    </row>
    <row r="12004" spans="2:21" x14ac:dyDescent="0.2">
      <c r="B12004" s="203"/>
      <c r="C12004" s="237"/>
      <c r="D12004" s="202"/>
      <c r="E12004" s="202"/>
      <c r="U12004" s="204"/>
    </row>
    <row r="12005" spans="2:21" x14ac:dyDescent="0.2">
      <c r="B12005" s="203"/>
      <c r="C12005" s="237"/>
      <c r="D12005" s="202"/>
      <c r="E12005" s="202"/>
      <c r="U12005" s="204"/>
    </row>
    <row r="12006" spans="2:21" x14ac:dyDescent="0.2">
      <c r="B12006" s="203"/>
      <c r="C12006" s="237"/>
      <c r="D12006" s="202"/>
      <c r="E12006" s="202"/>
      <c r="U12006" s="204"/>
    </row>
    <row r="12007" spans="2:21" x14ac:dyDescent="0.2">
      <c r="B12007" s="203"/>
      <c r="C12007" s="237"/>
      <c r="D12007" s="202"/>
      <c r="E12007" s="202"/>
      <c r="U12007" s="204"/>
    </row>
    <row r="12008" spans="2:21" x14ac:dyDescent="0.2">
      <c r="B12008" s="203"/>
      <c r="C12008" s="237"/>
      <c r="D12008" s="202"/>
      <c r="E12008" s="202"/>
      <c r="U12008" s="204"/>
    </row>
    <row r="12009" spans="2:21" x14ac:dyDescent="0.2">
      <c r="B12009" s="203"/>
      <c r="C12009" s="237"/>
      <c r="D12009" s="202"/>
      <c r="E12009" s="202"/>
      <c r="U12009" s="204"/>
    </row>
    <row r="12010" spans="2:21" x14ac:dyDescent="0.2">
      <c r="B12010" s="203"/>
      <c r="C12010" s="237"/>
      <c r="D12010" s="202"/>
      <c r="E12010" s="202"/>
      <c r="U12010" s="204"/>
    </row>
    <row r="12011" spans="2:21" x14ac:dyDescent="0.2">
      <c r="B12011" s="203"/>
      <c r="C12011" s="237"/>
      <c r="D12011" s="202"/>
      <c r="E12011" s="202"/>
      <c r="U12011" s="204"/>
    </row>
    <row r="12012" spans="2:21" x14ac:dyDescent="0.2">
      <c r="B12012" s="203"/>
      <c r="C12012" s="237"/>
      <c r="D12012" s="202"/>
      <c r="E12012" s="202"/>
      <c r="U12012" s="204"/>
    </row>
    <row r="12013" spans="2:21" x14ac:dyDescent="0.2">
      <c r="B12013" s="203"/>
      <c r="C12013" s="237"/>
      <c r="D12013" s="202"/>
      <c r="E12013" s="202"/>
      <c r="U12013" s="204"/>
    </row>
    <row r="12014" spans="2:21" x14ac:dyDescent="0.2">
      <c r="B12014" s="203"/>
      <c r="C12014" s="237"/>
      <c r="D12014" s="202"/>
      <c r="E12014" s="202"/>
      <c r="U12014" s="204"/>
    </row>
    <row r="12015" spans="2:21" x14ac:dyDescent="0.2">
      <c r="B12015" s="203"/>
      <c r="C12015" s="237"/>
      <c r="D12015" s="202"/>
      <c r="E12015" s="202"/>
      <c r="U12015" s="204"/>
    </row>
    <row r="12016" spans="2:21" x14ac:dyDescent="0.2">
      <c r="B12016" s="203"/>
      <c r="C12016" s="237"/>
      <c r="D12016" s="202"/>
      <c r="E12016" s="202"/>
      <c r="U12016" s="204"/>
    </row>
    <row r="12017" spans="2:21" x14ac:dyDescent="0.2">
      <c r="B12017" s="203"/>
      <c r="C12017" s="237"/>
      <c r="D12017" s="202"/>
      <c r="E12017" s="202"/>
      <c r="U12017" s="204"/>
    </row>
    <row r="12018" spans="2:21" x14ac:dyDescent="0.2">
      <c r="B12018" s="203"/>
      <c r="C12018" s="237"/>
      <c r="D12018" s="202"/>
      <c r="E12018" s="202"/>
      <c r="U12018" s="204"/>
    </row>
    <row r="12019" spans="2:21" x14ac:dyDescent="0.2">
      <c r="B12019" s="203"/>
      <c r="C12019" s="237"/>
      <c r="D12019" s="202"/>
      <c r="E12019" s="202"/>
      <c r="U12019" s="204"/>
    </row>
    <row r="12020" spans="2:21" x14ac:dyDescent="0.2">
      <c r="B12020" s="203"/>
      <c r="C12020" s="237"/>
      <c r="D12020" s="202"/>
      <c r="E12020" s="202"/>
      <c r="U12020" s="204"/>
    </row>
    <row r="12021" spans="2:21" x14ac:dyDescent="0.2">
      <c r="B12021" s="203"/>
      <c r="C12021" s="237"/>
      <c r="D12021" s="202"/>
      <c r="E12021" s="202"/>
      <c r="U12021" s="204"/>
    </row>
    <row r="12022" spans="2:21" x14ac:dyDescent="0.2">
      <c r="B12022" s="203"/>
      <c r="C12022" s="237"/>
      <c r="D12022" s="202"/>
      <c r="E12022" s="202"/>
      <c r="U12022" s="204"/>
    </row>
    <row r="12023" spans="2:21" x14ac:dyDescent="0.2">
      <c r="B12023" s="203"/>
      <c r="C12023" s="237"/>
      <c r="D12023" s="202"/>
      <c r="E12023" s="202"/>
      <c r="U12023" s="204"/>
    </row>
    <row r="12024" spans="2:21" x14ac:dyDescent="0.2">
      <c r="B12024" s="203"/>
      <c r="C12024" s="237"/>
      <c r="D12024" s="202"/>
      <c r="E12024" s="202"/>
      <c r="U12024" s="204"/>
    </row>
    <row r="12025" spans="2:21" x14ac:dyDescent="0.2">
      <c r="B12025" s="203"/>
      <c r="C12025" s="237"/>
      <c r="D12025" s="202"/>
      <c r="E12025" s="202"/>
      <c r="U12025" s="204"/>
    </row>
    <row r="12026" spans="2:21" x14ac:dyDescent="0.2">
      <c r="B12026" s="203"/>
      <c r="C12026" s="237"/>
      <c r="D12026" s="202"/>
      <c r="E12026" s="202"/>
      <c r="U12026" s="204"/>
    </row>
    <row r="12027" spans="2:21" x14ac:dyDescent="0.2">
      <c r="B12027" s="203"/>
      <c r="C12027" s="237"/>
      <c r="D12027" s="202"/>
      <c r="E12027" s="202"/>
      <c r="U12027" s="204"/>
    </row>
    <row r="12028" spans="2:21" x14ac:dyDescent="0.2">
      <c r="B12028" s="203"/>
      <c r="C12028" s="237"/>
      <c r="D12028" s="202"/>
      <c r="E12028" s="202"/>
      <c r="U12028" s="204"/>
    </row>
    <row r="12029" spans="2:21" x14ac:dyDescent="0.2">
      <c r="B12029" s="203"/>
      <c r="C12029" s="237"/>
      <c r="D12029" s="202"/>
      <c r="E12029" s="202"/>
      <c r="U12029" s="204"/>
    </row>
    <row r="12030" spans="2:21" x14ac:dyDescent="0.2">
      <c r="B12030" s="203"/>
      <c r="C12030" s="237"/>
      <c r="D12030" s="202"/>
      <c r="E12030" s="202"/>
      <c r="U12030" s="204"/>
    </row>
    <row r="12031" spans="2:21" x14ac:dyDescent="0.2">
      <c r="B12031" s="203"/>
      <c r="C12031" s="237"/>
      <c r="D12031" s="202"/>
      <c r="E12031" s="202"/>
      <c r="U12031" s="204"/>
    </row>
    <row r="12032" spans="2:21" x14ac:dyDescent="0.2">
      <c r="B12032" s="203"/>
      <c r="C12032" s="237"/>
      <c r="D12032" s="202"/>
      <c r="E12032" s="202"/>
      <c r="U12032" s="204"/>
    </row>
    <row r="12033" spans="2:21" x14ac:dyDescent="0.2">
      <c r="B12033" s="203"/>
      <c r="C12033" s="237"/>
      <c r="D12033" s="202"/>
      <c r="E12033" s="202"/>
      <c r="U12033" s="204"/>
    </row>
    <row r="12034" spans="2:21" x14ac:dyDescent="0.2">
      <c r="B12034" s="203"/>
      <c r="C12034" s="237"/>
      <c r="D12034" s="202"/>
      <c r="E12034" s="202"/>
      <c r="U12034" s="204"/>
    </row>
    <row r="12035" spans="2:21" x14ac:dyDescent="0.2">
      <c r="B12035" s="203"/>
      <c r="C12035" s="237"/>
      <c r="D12035" s="202"/>
      <c r="E12035" s="202"/>
      <c r="U12035" s="204"/>
    </row>
    <row r="12036" spans="2:21" x14ac:dyDescent="0.2">
      <c r="B12036" s="203"/>
      <c r="C12036" s="237"/>
      <c r="D12036" s="202"/>
      <c r="E12036" s="202"/>
      <c r="U12036" s="204"/>
    </row>
    <row r="12037" spans="2:21" x14ac:dyDescent="0.2">
      <c r="B12037" s="203"/>
      <c r="C12037" s="237"/>
      <c r="D12037" s="202"/>
      <c r="E12037" s="202"/>
      <c r="U12037" s="204"/>
    </row>
    <row r="12038" spans="2:21" x14ac:dyDescent="0.2">
      <c r="B12038" s="203"/>
      <c r="C12038" s="237"/>
      <c r="D12038" s="202"/>
      <c r="E12038" s="202"/>
      <c r="U12038" s="204"/>
    </row>
    <row r="12039" spans="2:21" x14ac:dyDescent="0.2">
      <c r="B12039" s="203"/>
      <c r="C12039" s="237"/>
      <c r="D12039" s="202"/>
      <c r="E12039" s="202"/>
      <c r="U12039" s="204"/>
    </row>
    <row r="12040" spans="2:21" x14ac:dyDescent="0.2">
      <c r="B12040" s="203"/>
      <c r="C12040" s="237"/>
      <c r="D12040" s="202"/>
      <c r="E12040" s="202"/>
      <c r="U12040" s="204"/>
    </row>
    <row r="12041" spans="2:21" x14ac:dyDescent="0.2">
      <c r="B12041" s="203"/>
      <c r="C12041" s="237"/>
      <c r="D12041" s="202"/>
      <c r="E12041" s="202"/>
      <c r="U12041" s="204"/>
    </row>
    <row r="12042" spans="2:21" x14ac:dyDescent="0.2">
      <c r="B12042" s="203"/>
      <c r="C12042" s="237"/>
      <c r="D12042" s="202"/>
      <c r="E12042" s="202"/>
      <c r="U12042" s="204"/>
    </row>
    <row r="12043" spans="2:21" x14ac:dyDescent="0.2">
      <c r="B12043" s="203"/>
      <c r="C12043" s="237"/>
      <c r="D12043" s="202"/>
      <c r="E12043" s="202"/>
      <c r="U12043" s="204"/>
    </row>
    <row r="12044" spans="2:21" x14ac:dyDescent="0.2">
      <c r="B12044" s="203"/>
      <c r="C12044" s="237"/>
      <c r="D12044" s="202"/>
      <c r="E12044" s="202"/>
      <c r="U12044" s="204"/>
    </row>
    <row r="12045" spans="2:21" x14ac:dyDescent="0.2">
      <c r="B12045" s="203"/>
      <c r="C12045" s="237"/>
      <c r="D12045" s="202"/>
      <c r="E12045" s="202"/>
      <c r="U12045" s="204"/>
    </row>
    <row r="12046" spans="2:21" x14ac:dyDescent="0.2">
      <c r="B12046" s="203"/>
      <c r="C12046" s="237"/>
      <c r="D12046" s="202"/>
      <c r="E12046" s="202"/>
      <c r="U12046" s="204"/>
    </row>
    <row r="12047" spans="2:21" x14ac:dyDescent="0.2">
      <c r="B12047" s="203"/>
      <c r="C12047" s="237"/>
      <c r="D12047" s="202"/>
      <c r="E12047" s="202"/>
      <c r="U12047" s="204"/>
    </row>
    <row r="12048" spans="2:21" x14ac:dyDescent="0.2">
      <c r="B12048" s="203"/>
      <c r="C12048" s="237"/>
      <c r="D12048" s="202"/>
      <c r="E12048" s="202"/>
      <c r="U12048" s="204"/>
    </row>
    <row r="12049" spans="2:21" x14ac:dyDescent="0.2">
      <c r="B12049" s="203"/>
      <c r="C12049" s="237"/>
      <c r="D12049" s="202"/>
      <c r="E12049" s="202"/>
      <c r="U12049" s="204"/>
    </row>
    <row r="12050" spans="2:21" x14ac:dyDescent="0.2">
      <c r="B12050" s="203"/>
      <c r="C12050" s="237"/>
      <c r="D12050" s="202"/>
      <c r="E12050" s="202"/>
      <c r="U12050" s="204"/>
    </row>
    <row r="12051" spans="2:21" x14ac:dyDescent="0.2">
      <c r="B12051" s="203"/>
      <c r="C12051" s="237"/>
      <c r="D12051" s="202"/>
      <c r="E12051" s="202"/>
      <c r="U12051" s="204"/>
    </row>
    <row r="12052" spans="2:21" x14ac:dyDescent="0.2">
      <c r="B12052" s="203"/>
      <c r="C12052" s="237"/>
      <c r="D12052" s="202"/>
      <c r="E12052" s="202"/>
      <c r="U12052" s="204"/>
    </row>
    <row r="12053" spans="2:21" x14ac:dyDescent="0.2">
      <c r="B12053" s="203"/>
      <c r="C12053" s="237"/>
      <c r="D12053" s="202"/>
      <c r="E12053" s="202"/>
      <c r="U12053" s="204"/>
    </row>
    <row r="12054" spans="2:21" x14ac:dyDescent="0.2">
      <c r="B12054" s="203"/>
      <c r="C12054" s="237"/>
      <c r="D12054" s="202"/>
      <c r="E12054" s="202"/>
      <c r="U12054" s="204"/>
    </row>
    <row r="12055" spans="2:21" x14ac:dyDescent="0.2">
      <c r="B12055" s="203"/>
      <c r="C12055" s="237"/>
      <c r="D12055" s="202"/>
      <c r="E12055" s="202"/>
      <c r="U12055" s="204"/>
    </row>
    <row r="12056" spans="2:21" x14ac:dyDescent="0.2">
      <c r="B12056" s="203"/>
      <c r="C12056" s="237"/>
      <c r="D12056" s="202"/>
      <c r="E12056" s="202"/>
      <c r="U12056" s="204"/>
    </row>
    <row r="12057" spans="2:21" x14ac:dyDescent="0.2">
      <c r="B12057" s="203"/>
      <c r="C12057" s="237"/>
      <c r="D12057" s="202"/>
      <c r="E12057" s="202"/>
      <c r="U12057" s="204"/>
    </row>
    <row r="12058" spans="2:21" x14ac:dyDescent="0.2">
      <c r="B12058" s="203"/>
      <c r="C12058" s="237"/>
      <c r="D12058" s="202"/>
      <c r="E12058" s="202"/>
      <c r="U12058" s="204"/>
    </row>
    <row r="12059" spans="2:21" x14ac:dyDescent="0.2">
      <c r="B12059" s="203"/>
      <c r="C12059" s="237"/>
      <c r="D12059" s="202"/>
      <c r="E12059" s="202"/>
      <c r="U12059" s="204"/>
    </row>
    <row r="12060" spans="2:21" x14ac:dyDescent="0.2">
      <c r="B12060" s="203"/>
      <c r="C12060" s="237"/>
      <c r="D12060" s="202"/>
      <c r="E12060" s="202"/>
      <c r="U12060" s="204"/>
    </row>
    <row r="12061" spans="2:21" x14ac:dyDescent="0.2">
      <c r="B12061" s="203"/>
      <c r="C12061" s="237"/>
      <c r="D12061" s="202"/>
      <c r="E12061" s="202"/>
      <c r="U12061" s="204"/>
    </row>
    <row r="12062" spans="2:21" x14ac:dyDescent="0.2">
      <c r="B12062" s="203"/>
      <c r="C12062" s="237"/>
      <c r="D12062" s="202"/>
      <c r="E12062" s="202"/>
      <c r="U12062" s="204"/>
    </row>
    <row r="12063" spans="2:21" x14ac:dyDescent="0.2">
      <c r="B12063" s="203"/>
      <c r="C12063" s="237"/>
      <c r="D12063" s="202"/>
      <c r="E12063" s="202"/>
      <c r="U12063" s="204"/>
    </row>
    <row r="12064" spans="2:21" x14ac:dyDescent="0.2">
      <c r="B12064" s="203"/>
      <c r="C12064" s="237"/>
      <c r="D12064" s="202"/>
      <c r="E12064" s="202"/>
      <c r="U12064" s="204"/>
    </row>
    <row r="12065" spans="2:21" x14ac:dyDescent="0.2">
      <c r="B12065" s="203"/>
      <c r="C12065" s="237"/>
      <c r="D12065" s="202"/>
      <c r="E12065" s="202"/>
      <c r="U12065" s="204"/>
    </row>
    <row r="12066" spans="2:21" x14ac:dyDescent="0.2">
      <c r="B12066" s="203"/>
      <c r="C12066" s="237"/>
      <c r="D12066" s="202"/>
      <c r="E12066" s="202"/>
      <c r="U12066" s="204"/>
    </row>
    <row r="12067" spans="2:21" x14ac:dyDescent="0.2">
      <c r="B12067" s="203"/>
      <c r="C12067" s="237"/>
      <c r="D12067" s="202"/>
      <c r="E12067" s="202"/>
      <c r="U12067" s="204"/>
    </row>
    <row r="12068" spans="2:21" x14ac:dyDescent="0.2">
      <c r="B12068" s="203"/>
      <c r="C12068" s="237"/>
      <c r="D12068" s="202"/>
      <c r="E12068" s="202"/>
      <c r="U12068" s="204"/>
    </row>
    <row r="12069" spans="2:21" x14ac:dyDescent="0.2">
      <c r="B12069" s="203"/>
      <c r="C12069" s="237"/>
      <c r="D12069" s="202"/>
      <c r="E12069" s="202"/>
      <c r="U12069" s="204"/>
    </row>
    <row r="12070" spans="2:21" x14ac:dyDescent="0.2">
      <c r="B12070" s="203"/>
      <c r="C12070" s="237"/>
      <c r="D12070" s="202"/>
      <c r="E12070" s="202"/>
      <c r="U12070" s="204"/>
    </row>
    <row r="12071" spans="2:21" x14ac:dyDescent="0.2">
      <c r="B12071" s="203"/>
      <c r="C12071" s="237"/>
      <c r="D12071" s="202"/>
      <c r="E12071" s="202"/>
      <c r="U12071" s="204"/>
    </row>
    <row r="12072" spans="2:21" x14ac:dyDescent="0.2">
      <c r="B12072" s="203"/>
      <c r="C12072" s="237"/>
      <c r="D12072" s="202"/>
      <c r="E12072" s="202"/>
      <c r="U12072" s="204"/>
    </row>
    <row r="12073" spans="2:21" x14ac:dyDescent="0.2">
      <c r="B12073" s="203"/>
      <c r="C12073" s="237"/>
      <c r="D12073" s="202"/>
      <c r="E12073" s="202"/>
      <c r="U12073" s="204"/>
    </row>
    <row r="12074" spans="2:21" x14ac:dyDescent="0.2">
      <c r="B12074" s="203"/>
      <c r="C12074" s="237"/>
      <c r="D12074" s="202"/>
      <c r="E12074" s="202"/>
      <c r="U12074" s="204"/>
    </row>
    <row r="12075" spans="2:21" x14ac:dyDescent="0.2">
      <c r="B12075" s="203"/>
      <c r="C12075" s="237"/>
      <c r="D12075" s="202"/>
      <c r="E12075" s="202"/>
      <c r="U12075" s="204"/>
    </row>
    <row r="12076" spans="2:21" x14ac:dyDescent="0.2">
      <c r="B12076" s="203"/>
      <c r="C12076" s="237"/>
      <c r="D12076" s="202"/>
      <c r="E12076" s="202"/>
      <c r="U12076" s="204"/>
    </row>
    <row r="12077" spans="2:21" x14ac:dyDescent="0.2">
      <c r="B12077" s="203"/>
      <c r="C12077" s="237"/>
      <c r="D12077" s="202"/>
      <c r="E12077" s="202"/>
      <c r="U12077" s="204"/>
    </row>
    <row r="12078" spans="2:21" x14ac:dyDescent="0.2">
      <c r="B12078" s="203"/>
      <c r="C12078" s="237"/>
      <c r="D12078" s="202"/>
      <c r="E12078" s="202"/>
      <c r="U12078" s="204"/>
    </row>
    <row r="12079" spans="2:21" x14ac:dyDescent="0.2">
      <c r="B12079" s="203"/>
      <c r="C12079" s="237"/>
      <c r="D12079" s="202"/>
      <c r="E12079" s="202"/>
      <c r="U12079" s="204"/>
    </row>
    <row r="12080" spans="2:21" x14ac:dyDescent="0.2">
      <c r="B12080" s="203"/>
      <c r="C12080" s="237"/>
      <c r="D12080" s="202"/>
      <c r="E12080" s="202"/>
      <c r="U12080" s="204"/>
    </row>
    <row r="12081" spans="2:21" x14ac:dyDescent="0.2">
      <c r="B12081" s="203"/>
      <c r="C12081" s="237"/>
      <c r="D12081" s="202"/>
      <c r="E12081" s="202"/>
      <c r="U12081" s="204"/>
    </row>
    <row r="12082" spans="2:21" x14ac:dyDescent="0.2">
      <c r="B12082" s="203"/>
      <c r="C12082" s="237"/>
      <c r="D12082" s="202"/>
      <c r="E12082" s="202"/>
      <c r="U12082" s="204"/>
    </row>
    <row r="12083" spans="2:21" x14ac:dyDescent="0.2">
      <c r="B12083" s="203"/>
      <c r="C12083" s="237"/>
      <c r="D12083" s="202"/>
      <c r="E12083" s="202"/>
      <c r="U12083" s="204"/>
    </row>
    <row r="12084" spans="2:21" x14ac:dyDescent="0.2">
      <c r="B12084" s="203"/>
      <c r="C12084" s="237"/>
      <c r="D12084" s="202"/>
      <c r="E12084" s="202"/>
      <c r="U12084" s="204"/>
    </row>
    <row r="12085" spans="2:21" x14ac:dyDescent="0.2">
      <c r="B12085" s="203"/>
      <c r="C12085" s="237"/>
      <c r="D12085" s="202"/>
      <c r="E12085" s="202"/>
      <c r="U12085" s="204"/>
    </row>
    <row r="12086" spans="2:21" x14ac:dyDescent="0.2">
      <c r="B12086" s="203"/>
      <c r="C12086" s="237"/>
      <c r="D12086" s="202"/>
      <c r="E12086" s="202"/>
      <c r="U12086" s="204"/>
    </row>
    <row r="12087" spans="2:21" x14ac:dyDescent="0.2">
      <c r="B12087" s="203"/>
      <c r="C12087" s="237"/>
      <c r="D12087" s="202"/>
      <c r="E12087" s="202"/>
      <c r="U12087" s="204"/>
    </row>
    <row r="12088" spans="2:21" x14ac:dyDescent="0.2">
      <c r="B12088" s="203"/>
      <c r="C12088" s="237"/>
      <c r="D12088" s="202"/>
      <c r="E12088" s="202"/>
      <c r="U12088" s="204"/>
    </row>
    <row r="12089" spans="2:21" x14ac:dyDescent="0.2">
      <c r="B12089" s="203"/>
      <c r="C12089" s="237"/>
      <c r="D12089" s="202"/>
      <c r="E12089" s="202"/>
      <c r="U12089" s="204"/>
    </row>
    <row r="12090" spans="2:21" x14ac:dyDescent="0.2">
      <c r="B12090" s="203"/>
      <c r="C12090" s="237"/>
      <c r="D12090" s="202"/>
      <c r="E12090" s="202"/>
      <c r="U12090" s="204"/>
    </row>
    <row r="12091" spans="2:21" x14ac:dyDescent="0.2">
      <c r="B12091" s="203"/>
      <c r="C12091" s="237"/>
      <c r="D12091" s="202"/>
      <c r="E12091" s="202"/>
      <c r="U12091" s="204"/>
    </row>
    <row r="12092" spans="2:21" x14ac:dyDescent="0.2">
      <c r="B12092" s="203"/>
      <c r="C12092" s="237"/>
      <c r="D12092" s="202"/>
      <c r="E12092" s="202"/>
      <c r="U12092" s="204"/>
    </row>
    <row r="12093" spans="2:21" x14ac:dyDescent="0.2">
      <c r="B12093" s="203"/>
      <c r="C12093" s="237"/>
      <c r="D12093" s="202"/>
      <c r="E12093" s="202"/>
      <c r="U12093" s="204"/>
    </row>
    <row r="12094" spans="2:21" x14ac:dyDescent="0.2">
      <c r="B12094" s="203"/>
      <c r="C12094" s="237"/>
      <c r="D12094" s="202"/>
      <c r="E12094" s="202"/>
      <c r="U12094" s="204"/>
    </row>
    <row r="12095" spans="2:21" x14ac:dyDescent="0.2">
      <c r="B12095" s="203"/>
      <c r="C12095" s="237"/>
      <c r="D12095" s="202"/>
      <c r="E12095" s="202"/>
      <c r="U12095" s="204"/>
    </row>
    <row r="12096" spans="2:21" x14ac:dyDescent="0.2">
      <c r="B12096" s="203"/>
      <c r="C12096" s="237"/>
      <c r="D12096" s="202"/>
      <c r="E12096" s="202"/>
      <c r="U12096" s="204"/>
    </row>
    <row r="12097" spans="2:21" x14ac:dyDescent="0.2">
      <c r="B12097" s="203"/>
      <c r="C12097" s="237"/>
      <c r="D12097" s="202"/>
      <c r="E12097" s="202"/>
      <c r="U12097" s="204"/>
    </row>
    <row r="12098" spans="2:21" x14ac:dyDescent="0.2">
      <c r="B12098" s="203"/>
      <c r="C12098" s="237"/>
      <c r="D12098" s="202"/>
      <c r="E12098" s="202"/>
      <c r="U12098" s="204"/>
    </row>
    <row r="12099" spans="2:21" x14ac:dyDescent="0.2">
      <c r="B12099" s="203"/>
      <c r="C12099" s="237"/>
      <c r="D12099" s="202"/>
      <c r="E12099" s="202"/>
      <c r="U12099" s="204"/>
    </row>
    <row r="12100" spans="2:21" x14ac:dyDescent="0.2">
      <c r="B12100" s="203"/>
      <c r="C12100" s="237"/>
      <c r="D12100" s="202"/>
      <c r="E12100" s="202"/>
      <c r="U12100" s="204"/>
    </row>
    <row r="12101" spans="2:21" x14ac:dyDescent="0.2">
      <c r="B12101" s="203"/>
      <c r="C12101" s="237"/>
      <c r="D12101" s="202"/>
      <c r="E12101" s="202"/>
      <c r="U12101" s="204"/>
    </row>
    <row r="12102" spans="2:21" x14ac:dyDescent="0.2">
      <c r="B12102" s="203"/>
      <c r="C12102" s="237"/>
      <c r="D12102" s="202"/>
      <c r="E12102" s="202"/>
      <c r="U12102" s="204"/>
    </row>
    <row r="12103" spans="2:21" x14ac:dyDescent="0.2">
      <c r="B12103" s="203"/>
      <c r="C12103" s="237"/>
      <c r="D12103" s="202"/>
      <c r="E12103" s="202"/>
      <c r="U12103" s="204"/>
    </row>
    <row r="12104" spans="2:21" x14ac:dyDescent="0.2">
      <c r="B12104" s="203"/>
      <c r="C12104" s="237"/>
      <c r="D12104" s="202"/>
      <c r="E12104" s="202"/>
      <c r="U12104" s="204"/>
    </row>
    <row r="12105" spans="2:21" x14ac:dyDescent="0.2">
      <c r="B12105" s="203"/>
      <c r="C12105" s="237"/>
      <c r="D12105" s="202"/>
      <c r="E12105" s="202"/>
      <c r="U12105" s="204"/>
    </row>
    <row r="12106" spans="2:21" x14ac:dyDescent="0.2">
      <c r="B12106" s="203"/>
      <c r="C12106" s="237"/>
      <c r="D12106" s="202"/>
      <c r="E12106" s="202"/>
      <c r="U12106" s="204"/>
    </row>
    <row r="12107" spans="2:21" x14ac:dyDescent="0.2">
      <c r="B12107" s="203"/>
      <c r="C12107" s="237"/>
      <c r="D12107" s="202"/>
      <c r="E12107" s="202"/>
      <c r="U12107" s="204"/>
    </row>
    <row r="12108" spans="2:21" x14ac:dyDescent="0.2">
      <c r="B12108" s="203"/>
      <c r="C12108" s="237"/>
      <c r="D12108" s="202"/>
      <c r="E12108" s="202"/>
      <c r="U12108" s="204"/>
    </row>
    <row r="12109" spans="2:21" x14ac:dyDescent="0.2">
      <c r="B12109" s="203"/>
      <c r="C12109" s="237"/>
      <c r="D12109" s="202"/>
      <c r="E12109" s="202"/>
      <c r="U12109" s="204"/>
    </row>
    <row r="12110" spans="2:21" x14ac:dyDescent="0.2">
      <c r="B12110" s="203"/>
      <c r="C12110" s="237"/>
      <c r="D12110" s="202"/>
      <c r="E12110" s="202"/>
      <c r="U12110" s="204"/>
    </row>
    <row r="12111" spans="2:21" x14ac:dyDescent="0.2">
      <c r="B12111" s="203"/>
      <c r="C12111" s="237"/>
      <c r="D12111" s="202"/>
      <c r="E12111" s="202"/>
      <c r="U12111" s="204"/>
    </row>
    <row r="12112" spans="2:21" x14ac:dyDescent="0.2">
      <c r="B12112" s="203"/>
      <c r="C12112" s="237"/>
      <c r="D12112" s="202"/>
      <c r="E12112" s="202"/>
      <c r="U12112" s="204"/>
    </row>
    <row r="12113" spans="2:21" x14ac:dyDescent="0.2">
      <c r="B12113" s="203"/>
      <c r="C12113" s="237"/>
      <c r="D12113" s="202"/>
      <c r="E12113" s="202"/>
      <c r="U12113" s="204"/>
    </row>
    <row r="12114" spans="2:21" x14ac:dyDescent="0.2">
      <c r="B12114" s="203"/>
      <c r="C12114" s="237"/>
      <c r="D12114" s="202"/>
      <c r="E12114" s="202"/>
      <c r="U12114" s="204"/>
    </row>
    <row r="12115" spans="2:21" x14ac:dyDescent="0.2">
      <c r="B12115" s="203"/>
      <c r="C12115" s="237"/>
      <c r="D12115" s="202"/>
      <c r="E12115" s="202"/>
      <c r="U12115" s="204"/>
    </row>
    <row r="12116" spans="2:21" x14ac:dyDescent="0.2">
      <c r="B12116" s="203"/>
      <c r="C12116" s="237"/>
      <c r="D12116" s="202"/>
      <c r="E12116" s="202"/>
      <c r="U12116" s="204"/>
    </row>
    <row r="12117" spans="2:21" x14ac:dyDescent="0.2">
      <c r="B12117" s="203"/>
      <c r="C12117" s="237"/>
      <c r="D12117" s="202"/>
      <c r="E12117" s="202"/>
      <c r="U12117" s="204"/>
    </row>
    <row r="12118" spans="2:21" x14ac:dyDescent="0.2">
      <c r="B12118" s="203"/>
      <c r="C12118" s="237"/>
      <c r="D12118" s="202"/>
      <c r="E12118" s="202"/>
      <c r="U12118" s="204"/>
    </row>
    <row r="12119" spans="2:21" x14ac:dyDescent="0.2">
      <c r="B12119" s="203"/>
      <c r="C12119" s="237"/>
      <c r="D12119" s="202"/>
      <c r="E12119" s="202"/>
      <c r="U12119" s="204"/>
    </row>
    <row r="12120" spans="2:21" x14ac:dyDescent="0.2">
      <c r="B12120" s="203"/>
      <c r="C12120" s="237"/>
      <c r="D12120" s="202"/>
      <c r="E12120" s="202"/>
      <c r="U12120" s="204"/>
    </row>
    <row r="12121" spans="2:21" x14ac:dyDescent="0.2">
      <c r="B12121" s="203"/>
      <c r="C12121" s="237"/>
      <c r="D12121" s="202"/>
      <c r="E12121" s="202"/>
      <c r="U12121" s="204"/>
    </row>
    <row r="12122" spans="2:21" x14ac:dyDescent="0.2">
      <c r="B12122" s="203"/>
      <c r="C12122" s="237"/>
      <c r="D12122" s="202"/>
      <c r="E12122" s="202"/>
      <c r="U12122" s="204"/>
    </row>
    <row r="12123" spans="2:21" x14ac:dyDescent="0.2">
      <c r="B12123" s="203"/>
      <c r="C12123" s="237"/>
      <c r="D12123" s="202"/>
      <c r="E12123" s="202"/>
      <c r="U12123" s="204"/>
    </row>
    <row r="12124" spans="2:21" x14ac:dyDescent="0.2">
      <c r="B12124" s="203"/>
      <c r="C12124" s="237"/>
      <c r="D12124" s="202"/>
      <c r="E12124" s="202"/>
      <c r="U12124" s="204"/>
    </row>
    <row r="12125" spans="2:21" x14ac:dyDescent="0.2">
      <c r="B12125" s="203"/>
      <c r="C12125" s="237"/>
      <c r="D12125" s="202"/>
      <c r="E12125" s="202"/>
      <c r="U12125" s="204"/>
    </row>
    <row r="12126" spans="2:21" x14ac:dyDescent="0.2">
      <c r="B12126" s="203"/>
      <c r="C12126" s="237"/>
      <c r="D12126" s="202"/>
      <c r="E12126" s="202"/>
      <c r="U12126" s="204"/>
    </row>
    <row r="12127" spans="2:21" x14ac:dyDescent="0.2">
      <c r="B12127" s="203"/>
      <c r="C12127" s="237"/>
      <c r="D12127" s="202"/>
      <c r="E12127" s="202"/>
      <c r="U12127" s="204"/>
    </row>
    <row r="12128" spans="2:21" x14ac:dyDescent="0.2">
      <c r="B12128" s="203"/>
      <c r="C12128" s="237"/>
      <c r="D12128" s="202"/>
      <c r="E12128" s="202"/>
      <c r="U12128" s="204"/>
    </row>
    <row r="12129" spans="2:21" x14ac:dyDescent="0.2">
      <c r="B12129" s="203"/>
      <c r="C12129" s="237"/>
      <c r="D12129" s="202"/>
      <c r="E12129" s="202"/>
      <c r="U12129" s="204"/>
    </row>
    <row r="12130" spans="2:21" x14ac:dyDescent="0.2">
      <c r="B12130" s="203"/>
      <c r="C12130" s="237"/>
      <c r="D12130" s="202"/>
      <c r="E12130" s="202"/>
      <c r="U12130" s="204"/>
    </row>
    <row r="12131" spans="2:21" x14ac:dyDescent="0.2">
      <c r="B12131" s="203"/>
      <c r="C12131" s="237"/>
      <c r="D12131" s="202"/>
      <c r="E12131" s="202"/>
      <c r="U12131" s="204"/>
    </row>
    <row r="12132" spans="2:21" x14ac:dyDescent="0.2">
      <c r="B12132" s="203"/>
      <c r="C12132" s="237"/>
      <c r="D12132" s="202"/>
      <c r="E12132" s="202"/>
      <c r="U12132" s="204"/>
    </row>
    <row r="12133" spans="2:21" x14ac:dyDescent="0.2">
      <c r="B12133" s="203"/>
      <c r="C12133" s="237"/>
      <c r="D12133" s="202"/>
      <c r="E12133" s="202"/>
      <c r="U12133" s="204"/>
    </row>
    <row r="12134" spans="2:21" x14ac:dyDescent="0.2">
      <c r="B12134" s="203"/>
      <c r="C12134" s="237"/>
      <c r="D12134" s="202"/>
      <c r="E12134" s="202"/>
      <c r="U12134" s="204"/>
    </row>
    <row r="12135" spans="2:21" x14ac:dyDescent="0.2">
      <c r="B12135" s="203"/>
      <c r="C12135" s="237"/>
      <c r="D12135" s="202"/>
      <c r="E12135" s="202"/>
      <c r="U12135" s="204"/>
    </row>
    <row r="12136" spans="2:21" x14ac:dyDescent="0.2">
      <c r="B12136" s="203"/>
      <c r="C12136" s="237"/>
      <c r="D12136" s="202"/>
      <c r="E12136" s="202"/>
      <c r="U12136" s="204"/>
    </row>
    <row r="12137" spans="2:21" x14ac:dyDescent="0.2">
      <c r="B12137" s="203"/>
      <c r="C12137" s="237"/>
      <c r="D12137" s="202"/>
      <c r="E12137" s="202"/>
      <c r="U12137" s="204"/>
    </row>
    <row r="12138" spans="2:21" x14ac:dyDescent="0.2">
      <c r="B12138" s="203"/>
      <c r="C12138" s="237"/>
      <c r="D12138" s="202"/>
      <c r="E12138" s="202"/>
      <c r="U12138" s="204"/>
    </row>
    <row r="12139" spans="2:21" x14ac:dyDescent="0.2">
      <c r="B12139" s="203"/>
      <c r="C12139" s="237"/>
      <c r="D12139" s="202"/>
      <c r="E12139" s="202"/>
      <c r="U12139" s="204"/>
    </row>
    <row r="12140" spans="2:21" x14ac:dyDescent="0.2">
      <c r="B12140" s="203"/>
      <c r="C12140" s="237"/>
      <c r="D12140" s="202"/>
      <c r="E12140" s="202"/>
      <c r="U12140" s="204"/>
    </row>
    <row r="12141" spans="2:21" x14ac:dyDescent="0.2">
      <c r="B12141" s="203"/>
      <c r="C12141" s="237"/>
      <c r="D12141" s="202"/>
      <c r="E12141" s="202"/>
      <c r="U12141" s="204"/>
    </row>
    <row r="12142" spans="2:21" x14ac:dyDescent="0.2">
      <c r="B12142" s="203"/>
      <c r="C12142" s="237"/>
      <c r="D12142" s="202"/>
      <c r="E12142" s="202"/>
      <c r="U12142" s="204"/>
    </row>
    <row r="12143" spans="2:21" x14ac:dyDescent="0.2">
      <c r="B12143" s="203"/>
      <c r="C12143" s="237"/>
      <c r="D12143" s="202"/>
      <c r="E12143" s="202"/>
      <c r="U12143" s="204"/>
    </row>
    <row r="12144" spans="2:21" x14ac:dyDescent="0.2">
      <c r="B12144" s="203"/>
      <c r="C12144" s="237"/>
      <c r="D12144" s="202"/>
      <c r="E12144" s="202"/>
      <c r="U12144" s="204"/>
    </row>
    <row r="12145" spans="2:21" x14ac:dyDescent="0.2">
      <c r="B12145" s="203"/>
      <c r="C12145" s="237"/>
      <c r="D12145" s="202"/>
      <c r="E12145" s="202"/>
      <c r="U12145" s="204"/>
    </row>
    <row r="12146" spans="2:21" x14ac:dyDescent="0.2">
      <c r="B12146" s="203"/>
      <c r="C12146" s="237"/>
      <c r="D12146" s="202"/>
      <c r="E12146" s="202"/>
      <c r="U12146" s="204"/>
    </row>
    <row r="12147" spans="2:21" x14ac:dyDescent="0.2">
      <c r="B12147" s="203"/>
      <c r="C12147" s="237"/>
      <c r="D12147" s="202"/>
      <c r="E12147" s="202"/>
      <c r="U12147" s="204"/>
    </row>
    <row r="12148" spans="2:21" x14ac:dyDescent="0.2">
      <c r="B12148" s="203"/>
      <c r="C12148" s="237"/>
      <c r="D12148" s="202"/>
      <c r="E12148" s="202"/>
      <c r="U12148" s="204"/>
    </row>
    <row r="12149" spans="2:21" x14ac:dyDescent="0.2">
      <c r="B12149" s="203"/>
      <c r="C12149" s="237"/>
      <c r="D12149" s="202"/>
      <c r="E12149" s="202"/>
      <c r="U12149" s="204"/>
    </row>
    <row r="12150" spans="2:21" x14ac:dyDescent="0.2">
      <c r="B12150" s="203"/>
      <c r="C12150" s="237"/>
      <c r="D12150" s="202"/>
      <c r="E12150" s="202"/>
      <c r="U12150" s="204"/>
    </row>
    <row r="12151" spans="2:21" x14ac:dyDescent="0.2">
      <c r="B12151" s="203"/>
      <c r="C12151" s="237"/>
      <c r="D12151" s="202"/>
      <c r="E12151" s="202"/>
      <c r="U12151" s="204"/>
    </row>
    <row r="12152" spans="2:21" x14ac:dyDescent="0.2">
      <c r="B12152" s="203"/>
      <c r="C12152" s="237"/>
      <c r="D12152" s="202"/>
      <c r="E12152" s="202"/>
      <c r="U12152" s="204"/>
    </row>
    <row r="12153" spans="2:21" x14ac:dyDescent="0.2">
      <c r="B12153" s="203"/>
      <c r="C12153" s="237"/>
      <c r="D12153" s="202"/>
      <c r="E12153" s="202"/>
      <c r="U12153" s="204"/>
    </row>
    <row r="12154" spans="2:21" x14ac:dyDescent="0.2">
      <c r="B12154" s="203"/>
      <c r="C12154" s="237"/>
      <c r="D12154" s="202"/>
      <c r="E12154" s="202"/>
      <c r="U12154" s="204"/>
    </row>
    <row r="12155" spans="2:21" x14ac:dyDescent="0.2">
      <c r="B12155" s="203"/>
      <c r="C12155" s="237"/>
      <c r="D12155" s="202"/>
      <c r="E12155" s="202"/>
      <c r="U12155" s="204"/>
    </row>
    <row r="12156" spans="2:21" x14ac:dyDescent="0.2">
      <c r="B12156" s="203"/>
      <c r="C12156" s="237"/>
      <c r="D12156" s="202"/>
      <c r="E12156" s="202"/>
      <c r="U12156" s="204"/>
    </row>
    <row r="12157" spans="2:21" x14ac:dyDescent="0.2">
      <c r="B12157" s="203"/>
      <c r="C12157" s="237"/>
      <c r="D12157" s="202"/>
      <c r="E12157" s="202"/>
      <c r="U12157" s="204"/>
    </row>
    <row r="12158" spans="2:21" x14ac:dyDescent="0.2">
      <c r="B12158" s="203"/>
      <c r="C12158" s="237"/>
      <c r="D12158" s="202"/>
      <c r="E12158" s="202"/>
      <c r="U12158" s="204"/>
    </row>
    <row r="12159" spans="2:21" x14ac:dyDescent="0.2">
      <c r="B12159" s="203"/>
      <c r="C12159" s="237"/>
      <c r="D12159" s="202"/>
      <c r="E12159" s="202"/>
      <c r="U12159" s="204"/>
    </row>
    <row r="12160" spans="2:21" x14ac:dyDescent="0.2">
      <c r="B12160" s="203"/>
      <c r="C12160" s="237"/>
      <c r="D12160" s="202"/>
      <c r="E12160" s="202"/>
      <c r="U12160" s="204"/>
    </row>
    <row r="12161" spans="2:21" x14ac:dyDescent="0.2">
      <c r="B12161" s="203"/>
      <c r="C12161" s="237"/>
      <c r="D12161" s="202"/>
      <c r="E12161" s="202"/>
      <c r="U12161" s="204"/>
    </row>
    <row r="12162" spans="2:21" x14ac:dyDescent="0.2">
      <c r="B12162" s="203"/>
      <c r="C12162" s="237"/>
      <c r="D12162" s="202"/>
      <c r="E12162" s="202"/>
      <c r="U12162" s="204"/>
    </row>
    <row r="12163" spans="2:21" x14ac:dyDescent="0.2">
      <c r="B12163" s="203"/>
      <c r="C12163" s="237"/>
      <c r="D12163" s="202"/>
      <c r="E12163" s="202"/>
      <c r="U12163" s="204"/>
    </row>
    <row r="12164" spans="2:21" x14ac:dyDescent="0.2">
      <c r="B12164" s="203"/>
      <c r="C12164" s="237"/>
      <c r="D12164" s="202"/>
      <c r="E12164" s="202"/>
      <c r="U12164" s="204"/>
    </row>
    <row r="12165" spans="2:21" x14ac:dyDescent="0.2">
      <c r="B12165" s="203"/>
      <c r="C12165" s="237"/>
      <c r="D12165" s="202"/>
      <c r="E12165" s="202"/>
      <c r="U12165" s="204"/>
    </row>
    <row r="12166" spans="2:21" x14ac:dyDescent="0.2">
      <c r="B12166" s="203"/>
      <c r="C12166" s="237"/>
      <c r="D12166" s="202"/>
      <c r="E12166" s="202"/>
      <c r="U12166" s="204"/>
    </row>
    <row r="12167" spans="2:21" x14ac:dyDescent="0.2">
      <c r="B12167" s="203"/>
      <c r="C12167" s="237"/>
      <c r="D12167" s="202"/>
      <c r="E12167" s="202"/>
      <c r="U12167" s="204"/>
    </row>
    <row r="12168" spans="2:21" x14ac:dyDescent="0.2">
      <c r="B12168" s="203"/>
      <c r="C12168" s="237"/>
      <c r="D12168" s="202"/>
      <c r="E12168" s="202"/>
      <c r="U12168" s="204"/>
    </row>
    <row r="12169" spans="2:21" x14ac:dyDescent="0.2">
      <c r="B12169" s="203"/>
      <c r="C12169" s="237"/>
      <c r="D12169" s="202"/>
      <c r="E12169" s="202"/>
      <c r="U12169" s="204"/>
    </row>
    <row r="12170" spans="2:21" x14ac:dyDescent="0.2">
      <c r="B12170" s="203"/>
      <c r="C12170" s="237"/>
      <c r="D12170" s="202"/>
      <c r="E12170" s="202"/>
      <c r="U12170" s="204"/>
    </row>
    <row r="12171" spans="2:21" x14ac:dyDescent="0.2">
      <c r="B12171" s="203"/>
      <c r="C12171" s="237"/>
      <c r="D12171" s="202"/>
      <c r="E12171" s="202"/>
      <c r="U12171" s="204"/>
    </row>
    <row r="12172" spans="2:21" x14ac:dyDescent="0.2">
      <c r="B12172" s="203"/>
      <c r="C12172" s="237"/>
      <c r="D12172" s="202"/>
      <c r="E12172" s="202"/>
      <c r="U12172" s="204"/>
    </row>
    <row r="12173" spans="2:21" x14ac:dyDescent="0.2">
      <c r="B12173" s="203"/>
      <c r="C12173" s="237"/>
      <c r="D12173" s="202"/>
      <c r="E12173" s="202"/>
      <c r="U12173" s="204"/>
    </row>
    <row r="12174" spans="2:21" x14ac:dyDescent="0.2">
      <c r="B12174" s="203"/>
      <c r="C12174" s="237"/>
      <c r="D12174" s="202"/>
      <c r="E12174" s="202"/>
      <c r="U12174" s="204"/>
    </row>
    <row r="12175" spans="2:21" x14ac:dyDescent="0.2">
      <c r="B12175" s="203"/>
      <c r="C12175" s="237"/>
      <c r="D12175" s="202"/>
      <c r="E12175" s="202"/>
      <c r="U12175" s="204"/>
    </row>
    <row r="12176" spans="2:21" x14ac:dyDescent="0.2">
      <c r="B12176" s="203"/>
      <c r="C12176" s="237"/>
      <c r="D12176" s="202"/>
      <c r="E12176" s="202"/>
      <c r="U12176" s="204"/>
    </row>
    <row r="12177" spans="2:21" x14ac:dyDescent="0.2">
      <c r="B12177" s="203"/>
      <c r="C12177" s="237"/>
      <c r="D12177" s="202"/>
      <c r="E12177" s="202"/>
      <c r="U12177" s="204"/>
    </row>
    <row r="12178" spans="2:21" x14ac:dyDescent="0.2">
      <c r="B12178" s="203"/>
      <c r="C12178" s="237"/>
      <c r="D12178" s="202"/>
      <c r="E12178" s="202"/>
      <c r="U12178" s="204"/>
    </row>
    <row r="12179" spans="2:21" x14ac:dyDescent="0.2">
      <c r="B12179" s="203"/>
      <c r="C12179" s="237"/>
      <c r="D12179" s="202"/>
      <c r="E12179" s="202"/>
      <c r="U12179" s="204"/>
    </row>
    <row r="12180" spans="2:21" x14ac:dyDescent="0.2">
      <c r="B12180" s="203"/>
      <c r="C12180" s="237"/>
      <c r="D12180" s="202"/>
      <c r="E12180" s="202"/>
      <c r="U12180" s="204"/>
    </row>
    <row r="12181" spans="2:21" x14ac:dyDescent="0.2">
      <c r="B12181" s="203"/>
      <c r="C12181" s="237"/>
      <c r="D12181" s="202"/>
      <c r="E12181" s="202"/>
      <c r="U12181" s="204"/>
    </row>
    <row r="12182" spans="2:21" x14ac:dyDescent="0.2">
      <c r="B12182" s="203"/>
      <c r="C12182" s="237"/>
      <c r="D12182" s="202"/>
      <c r="E12182" s="202"/>
      <c r="U12182" s="204"/>
    </row>
    <row r="12183" spans="2:21" x14ac:dyDescent="0.2">
      <c r="B12183" s="203"/>
      <c r="C12183" s="237"/>
      <c r="D12183" s="202"/>
      <c r="E12183" s="202"/>
      <c r="U12183" s="204"/>
    </row>
    <row r="12184" spans="2:21" x14ac:dyDescent="0.2">
      <c r="B12184" s="203"/>
      <c r="C12184" s="237"/>
      <c r="D12184" s="202"/>
      <c r="E12184" s="202"/>
      <c r="U12184" s="204"/>
    </row>
    <row r="12185" spans="2:21" x14ac:dyDescent="0.2">
      <c r="B12185" s="203"/>
      <c r="C12185" s="237"/>
      <c r="D12185" s="202"/>
      <c r="E12185" s="202"/>
      <c r="U12185" s="204"/>
    </row>
    <row r="12186" spans="2:21" x14ac:dyDescent="0.2">
      <c r="B12186" s="203"/>
      <c r="C12186" s="237"/>
      <c r="D12186" s="202"/>
      <c r="E12186" s="202"/>
      <c r="U12186" s="204"/>
    </row>
    <row r="12187" spans="2:21" x14ac:dyDescent="0.2">
      <c r="B12187" s="203"/>
      <c r="C12187" s="237"/>
      <c r="D12187" s="202"/>
      <c r="E12187" s="202"/>
      <c r="U12187" s="204"/>
    </row>
    <row r="12188" spans="2:21" x14ac:dyDescent="0.2">
      <c r="B12188" s="203"/>
      <c r="C12188" s="237"/>
      <c r="D12188" s="202"/>
      <c r="E12188" s="202"/>
      <c r="U12188" s="204"/>
    </row>
    <row r="12189" spans="2:21" x14ac:dyDescent="0.2">
      <c r="B12189" s="203"/>
      <c r="C12189" s="237"/>
      <c r="D12189" s="202"/>
      <c r="E12189" s="202"/>
      <c r="U12189" s="204"/>
    </row>
    <row r="12190" spans="2:21" x14ac:dyDescent="0.2">
      <c r="B12190" s="203"/>
      <c r="C12190" s="237"/>
      <c r="D12190" s="202"/>
      <c r="E12190" s="202"/>
      <c r="U12190" s="204"/>
    </row>
    <row r="12191" spans="2:21" x14ac:dyDescent="0.2">
      <c r="B12191" s="203"/>
      <c r="C12191" s="237"/>
      <c r="D12191" s="202"/>
      <c r="E12191" s="202"/>
      <c r="U12191" s="204"/>
    </row>
    <row r="12192" spans="2:21" x14ac:dyDescent="0.2">
      <c r="B12192" s="203"/>
      <c r="C12192" s="237"/>
      <c r="D12192" s="202"/>
      <c r="E12192" s="202"/>
      <c r="U12192" s="204"/>
    </row>
    <row r="12193" spans="2:21" x14ac:dyDescent="0.2">
      <c r="B12193" s="203"/>
      <c r="C12193" s="237"/>
      <c r="D12193" s="202"/>
      <c r="E12193" s="202"/>
      <c r="U12193" s="204"/>
    </row>
    <row r="12194" spans="2:21" x14ac:dyDescent="0.2">
      <c r="B12194" s="203"/>
      <c r="C12194" s="237"/>
      <c r="D12194" s="202"/>
      <c r="E12194" s="202"/>
      <c r="U12194" s="204"/>
    </row>
    <row r="12195" spans="2:21" x14ac:dyDescent="0.2">
      <c r="B12195" s="203"/>
      <c r="C12195" s="237"/>
      <c r="D12195" s="202"/>
      <c r="E12195" s="202"/>
      <c r="U12195" s="204"/>
    </row>
    <row r="12196" spans="2:21" x14ac:dyDescent="0.2">
      <c r="B12196" s="203"/>
      <c r="C12196" s="237"/>
      <c r="D12196" s="202"/>
      <c r="E12196" s="202"/>
      <c r="U12196" s="204"/>
    </row>
    <row r="12197" spans="2:21" x14ac:dyDescent="0.2">
      <c r="B12197" s="203"/>
      <c r="C12197" s="237"/>
      <c r="D12197" s="202"/>
      <c r="E12197" s="202"/>
      <c r="U12197" s="204"/>
    </row>
    <row r="12198" spans="2:21" x14ac:dyDescent="0.2">
      <c r="B12198" s="203"/>
      <c r="C12198" s="237"/>
      <c r="D12198" s="202"/>
      <c r="E12198" s="202"/>
      <c r="U12198" s="204"/>
    </row>
    <row r="12199" spans="2:21" x14ac:dyDescent="0.2">
      <c r="B12199" s="203"/>
      <c r="C12199" s="237"/>
      <c r="D12199" s="202"/>
      <c r="E12199" s="202"/>
      <c r="U12199" s="204"/>
    </row>
    <row r="12200" spans="2:21" x14ac:dyDescent="0.2">
      <c r="B12200" s="203"/>
      <c r="C12200" s="237"/>
      <c r="D12200" s="202"/>
      <c r="E12200" s="202"/>
      <c r="U12200" s="204"/>
    </row>
    <row r="12201" spans="2:21" x14ac:dyDescent="0.2">
      <c r="B12201" s="203"/>
      <c r="C12201" s="237"/>
      <c r="D12201" s="202"/>
      <c r="E12201" s="202"/>
      <c r="U12201" s="204"/>
    </row>
    <row r="12202" spans="2:21" x14ac:dyDescent="0.2">
      <c r="B12202" s="203"/>
      <c r="C12202" s="237"/>
      <c r="D12202" s="202"/>
      <c r="E12202" s="202"/>
      <c r="U12202" s="204"/>
    </row>
    <row r="12203" spans="2:21" x14ac:dyDescent="0.2">
      <c r="B12203" s="203"/>
      <c r="C12203" s="237"/>
      <c r="D12203" s="202"/>
      <c r="E12203" s="202"/>
      <c r="U12203" s="204"/>
    </row>
    <row r="12204" spans="2:21" x14ac:dyDescent="0.2">
      <c r="B12204" s="203"/>
      <c r="C12204" s="237"/>
      <c r="D12204" s="202"/>
      <c r="E12204" s="202"/>
      <c r="U12204" s="204"/>
    </row>
    <row r="12205" spans="2:21" x14ac:dyDescent="0.2">
      <c r="B12205" s="203"/>
      <c r="C12205" s="237"/>
      <c r="D12205" s="202"/>
      <c r="E12205" s="202"/>
      <c r="U12205" s="204"/>
    </row>
    <row r="12206" spans="2:21" x14ac:dyDescent="0.2">
      <c r="B12206" s="203"/>
      <c r="C12206" s="237"/>
      <c r="D12206" s="202"/>
      <c r="E12206" s="202"/>
      <c r="U12206" s="204"/>
    </row>
    <row r="12207" spans="2:21" x14ac:dyDescent="0.2">
      <c r="B12207" s="203"/>
      <c r="C12207" s="237"/>
      <c r="D12207" s="202"/>
      <c r="E12207" s="202"/>
      <c r="U12207" s="204"/>
    </row>
    <row r="12208" spans="2:21" x14ac:dyDescent="0.2">
      <c r="B12208" s="203"/>
      <c r="C12208" s="237"/>
      <c r="D12208" s="202"/>
      <c r="E12208" s="202"/>
      <c r="U12208" s="204"/>
    </row>
    <row r="12209" spans="2:21" x14ac:dyDescent="0.2">
      <c r="B12209" s="203"/>
      <c r="C12209" s="237"/>
      <c r="D12209" s="202"/>
      <c r="E12209" s="202"/>
      <c r="U12209" s="204"/>
    </row>
    <row r="12210" spans="2:21" x14ac:dyDescent="0.2">
      <c r="B12210" s="203"/>
      <c r="C12210" s="237"/>
      <c r="D12210" s="202"/>
      <c r="E12210" s="202"/>
      <c r="U12210" s="204"/>
    </row>
    <row r="12211" spans="2:21" x14ac:dyDescent="0.2">
      <c r="B12211" s="203"/>
      <c r="C12211" s="237"/>
      <c r="D12211" s="202"/>
      <c r="E12211" s="202"/>
      <c r="U12211" s="204"/>
    </row>
    <row r="12212" spans="2:21" x14ac:dyDescent="0.2">
      <c r="B12212" s="203"/>
      <c r="C12212" s="237"/>
      <c r="D12212" s="202"/>
      <c r="E12212" s="202"/>
      <c r="U12212" s="204"/>
    </row>
    <row r="12213" spans="2:21" x14ac:dyDescent="0.2">
      <c r="B12213" s="203"/>
      <c r="C12213" s="237"/>
      <c r="D12213" s="202"/>
      <c r="E12213" s="202"/>
      <c r="U12213" s="204"/>
    </row>
    <row r="12214" spans="2:21" x14ac:dyDescent="0.2">
      <c r="B12214" s="203"/>
      <c r="C12214" s="237"/>
      <c r="D12214" s="202"/>
      <c r="E12214" s="202"/>
      <c r="U12214" s="204"/>
    </row>
    <row r="12215" spans="2:21" x14ac:dyDescent="0.2">
      <c r="B12215" s="203"/>
      <c r="C12215" s="237"/>
      <c r="D12215" s="202"/>
      <c r="E12215" s="202"/>
      <c r="U12215" s="204"/>
    </row>
    <row r="12216" spans="2:21" x14ac:dyDescent="0.2">
      <c r="B12216" s="203"/>
      <c r="C12216" s="237"/>
      <c r="D12216" s="202"/>
      <c r="E12216" s="202"/>
      <c r="U12216" s="204"/>
    </row>
    <row r="12217" spans="2:21" x14ac:dyDescent="0.2">
      <c r="B12217" s="203"/>
      <c r="C12217" s="237"/>
      <c r="D12217" s="202"/>
      <c r="E12217" s="202"/>
      <c r="U12217" s="204"/>
    </row>
    <row r="12218" spans="2:21" x14ac:dyDescent="0.2">
      <c r="B12218" s="203"/>
      <c r="C12218" s="237"/>
      <c r="D12218" s="202"/>
      <c r="E12218" s="202"/>
      <c r="U12218" s="204"/>
    </row>
    <row r="12219" spans="2:21" x14ac:dyDescent="0.2">
      <c r="B12219" s="203"/>
      <c r="C12219" s="237"/>
      <c r="D12219" s="202"/>
      <c r="E12219" s="202"/>
      <c r="U12219" s="204"/>
    </row>
    <row r="12220" spans="2:21" x14ac:dyDescent="0.2">
      <c r="B12220" s="203"/>
      <c r="C12220" s="237"/>
      <c r="D12220" s="202"/>
      <c r="E12220" s="202"/>
      <c r="U12220" s="204"/>
    </row>
    <row r="12221" spans="2:21" x14ac:dyDescent="0.2">
      <c r="B12221" s="203"/>
      <c r="C12221" s="237"/>
      <c r="D12221" s="202"/>
      <c r="E12221" s="202"/>
      <c r="U12221" s="204"/>
    </row>
    <row r="12222" spans="2:21" x14ac:dyDescent="0.2">
      <c r="B12222" s="203"/>
      <c r="C12222" s="237"/>
      <c r="D12222" s="202"/>
      <c r="E12222" s="202"/>
      <c r="U12222" s="204"/>
    </row>
    <row r="12223" spans="2:21" x14ac:dyDescent="0.2">
      <c r="B12223" s="203"/>
      <c r="C12223" s="237"/>
      <c r="D12223" s="202"/>
      <c r="E12223" s="202"/>
      <c r="U12223" s="204"/>
    </row>
    <row r="12224" spans="2:21" x14ac:dyDescent="0.2">
      <c r="B12224" s="203"/>
      <c r="C12224" s="237"/>
      <c r="D12224" s="202"/>
      <c r="E12224" s="202"/>
      <c r="U12224" s="204"/>
    </row>
    <row r="12225" spans="2:21" x14ac:dyDescent="0.2">
      <c r="B12225" s="203"/>
      <c r="C12225" s="237"/>
      <c r="D12225" s="202"/>
      <c r="E12225" s="202"/>
      <c r="U12225" s="204"/>
    </row>
    <row r="12226" spans="2:21" x14ac:dyDescent="0.2">
      <c r="B12226" s="203"/>
      <c r="C12226" s="237"/>
      <c r="D12226" s="202"/>
      <c r="E12226" s="202"/>
      <c r="U12226" s="204"/>
    </row>
    <row r="12227" spans="2:21" x14ac:dyDescent="0.2">
      <c r="B12227" s="203"/>
      <c r="C12227" s="237"/>
      <c r="D12227" s="202"/>
      <c r="E12227" s="202"/>
      <c r="U12227" s="204"/>
    </row>
    <row r="12228" spans="2:21" x14ac:dyDescent="0.2">
      <c r="B12228" s="203"/>
      <c r="C12228" s="237"/>
      <c r="D12228" s="202"/>
      <c r="E12228" s="202"/>
      <c r="U12228" s="204"/>
    </row>
    <row r="12229" spans="2:21" x14ac:dyDescent="0.2">
      <c r="B12229" s="203"/>
      <c r="C12229" s="237"/>
      <c r="D12229" s="202"/>
      <c r="E12229" s="202"/>
      <c r="U12229" s="204"/>
    </row>
    <row r="12230" spans="2:21" x14ac:dyDescent="0.2">
      <c r="B12230" s="203"/>
      <c r="C12230" s="237"/>
      <c r="D12230" s="202"/>
      <c r="E12230" s="202"/>
      <c r="U12230" s="204"/>
    </row>
    <row r="12231" spans="2:21" x14ac:dyDescent="0.2">
      <c r="B12231" s="203"/>
      <c r="C12231" s="237"/>
      <c r="D12231" s="202"/>
      <c r="E12231" s="202"/>
      <c r="U12231" s="204"/>
    </row>
    <row r="12232" spans="2:21" x14ac:dyDescent="0.2">
      <c r="B12232" s="203"/>
      <c r="C12232" s="237"/>
      <c r="D12232" s="202"/>
      <c r="E12232" s="202"/>
      <c r="U12232" s="204"/>
    </row>
    <row r="12233" spans="2:21" x14ac:dyDescent="0.2">
      <c r="B12233" s="203"/>
      <c r="C12233" s="237"/>
      <c r="D12233" s="202"/>
      <c r="E12233" s="202"/>
      <c r="U12233" s="204"/>
    </row>
    <row r="12234" spans="2:21" x14ac:dyDescent="0.2">
      <c r="B12234" s="203"/>
      <c r="C12234" s="237"/>
      <c r="D12234" s="202"/>
      <c r="E12234" s="202"/>
      <c r="U12234" s="204"/>
    </row>
    <row r="12235" spans="2:21" x14ac:dyDescent="0.2">
      <c r="B12235" s="203"/>
      <c r="C12235" s="237"/>
      <c r="D12235" s="202"/>
      <c r="E12235" s="202"/>
      <c r="U12235" s="204"/>
    </row>
    <row r="12236" spans="2:21" x14ac:dyDescent="0.2">
      <c r="B12236" s="203"/>
      <c r="C12236" s="237"/>
      <c r="D12236" s="202"/>
      <c r="E12236" s="202"/>
      <c r="U12236" s="204"/>
    </row>
    <row r="12237" spans="2:21" x14ac:dyDescent="0.2">
      <c r="B12237" s="203"/>
      <c r="C12237" s="237"/>
      <c r="D12237" s="202"/>
      <c r="E12237" s="202"/>
      <c r="U12237" s="204"/>
    </row>
    <row r="12238" spans="2:21" x14ac:dyDescent="0.2">
      <c r="B12238" s="203"/>
      <c r="C12238" s="237"/>
      <c r="D12238" s="202"/>
      <c r="E12238" s="202"/>
      <c r="U12238" s="204"/>
    </row>
    <row r="12239" spans="2:21" x14ac:dyDescent="0.2">
      <c r="B12239" s="203"/>
      <c r="C12239" s="237"/>
      <c r="D12239" s="202"/>
      <c r="E12239" s="202"/>
      <c r="U12239" s="204"/>
    </row>
    <row r="12240" spans="2:21" x14ac:dyDescent="0.2">
      <c r="B12240" s="203"/>
      <c r="C12240" s="237"/>
      <c r="D12240" s="202"/>
      <c r="E12240" s="202"/>
      <c r="U12240" s="204"/>
    </row>
    <row r="12241" spans="2:21" x14ac:dyDescent="0.2">
      <c r="B12241" s="203"/>
      <c r="C12241" s="237"/>
      <c r="D12241" s="202"/>
      <c r="E12241" s="202"/>
      <c r="U12241" s="204"/>
    </row>
    <row r="12242" spans="2:21" x14ac:dyDescent="0.2">
      <c r="B12242" s="203"/>
      <c r="C12242" s="237"/>
      <c r="D12242" s="202"/>
      <c r="E12242" s="202"/>
      <c r="U12242" s="204"/>
    </row>
    <row r="12243" spans="2:21" x14ac:dyDescent="0.2">
      <c r="B12243" s="203"/>
      <c r="C12243" s="237"/>
      <c r="D12243" s="202"/>
      <c r="E12243" s="202"/>
      <c r="U12243" s="204"/>
    </row>
    <row r="12244" spans="2:21" x14ac:dyDescent="0.2">
      <c r="B12244" s="203"/>
      <c r="C12244" s="237"/>
      <c r="D12244" s="202"/>
      <c r="E12244" s="202"/>
      <c r="U12244" s="204"/>
    </row>
    <row r="12245" spans="2:21" x14ac:dyDescent="0.2">
      <c r="B12245" s="203"/>
      <c r="C12245" s="237"/>
      <c r="D12245" s="202"/>
      <c r="E12245" s="202"/>
      <c r="U12245" s="204"/>
    </row>
    <row r="12246" spans="2:21" x14ac:dyDescent="0.2">
      <c r="B12246" s="203"/>
      <c r="C12246" s="237"/>
      <c r="D12246" s="202"/>
      <c r="E12246" s="202"/>
      <c r="U12246" s="204"/>
    </row>
    <row r="12247" spans="2:21" x14ac:dyDescent="0.2">
      <c r="B12247" s="203"/>
      <c r="C12247" s="237"/>
      <c r="D12247" s="202"/>
      <c r="E12247" s="202"/>
      <c r="U12247" s="204"/>
    </row>
    <row r="12248" spans="2:21" x14ac:dyDescent="0.2">
      <c r="B12248" s="203"/>
      <c r="C12248" s="237"/>
      <c r="D12248" s="202"/>
      <c r="E12248" s="202"/>
      <c r="U12248" s="204"/>
    </row>
    <row r="12249" spans="2:21" x14ac:dyDescent="0.2">
      <c r="B12249" s="203"/>
      <c r="C12249" s="237"/>
      <c r="D12249" s="202"/>
      <c r="E12249" s="202"/>
      <c r="U12249" s="204"/>
    </row>
    <row r="12250" spans="2:21" x14ac:dyDescent="0.2">
      <c r="B12250" s="203"/>
      <c r="C12250" s="237"/>
      <c r="D12250" s="202"/>
      <c r="E12250" s="202"/>
      <c r="U12250" s="204"/>
    </row>
    <row r="12251" spans="2:21" x14ac:dyDescent="0.2">
      <c r="B12251" s="203"/>
      <c r="C12251" s="237"/>
      <c r="D12251" s="202"/>
      <c r="E12251" s="202"/>
      <c r="U12251" s="204"/>
    </row>
    <row r="12252" spans="2:21" x14ac:dyDescent="0.2">
      <c r="B12252" s="203"/>
      <c r="C12252" s="237"/>
      <c r="D12252" s="202"/>
      <c r="E12252" s="202"/>
      <c r="U12252" s="204"/>
    </row>
    <row r="12253" spans="2:21" x14ac:dyDescent="0.2">
      <c r="B12253" s="203"/>
      <c r="C12253" s="237"/>
      <c r="D12253" s="202"/>
      <c r="E12253" s="202"/>
      <c r="U12253" s="204"/>
    </row>
    <row r="12254" spans="2:21" x14ac:dyDescent="0.2">
      <c r="B12254" s="203"/>
      <c r="C12254" s="237"/>
      <c r="D12254" s="202"/>
      <c r="E12254" s="202"/>
      <c r="U12254" s="204"/>
    </row>
    <row r="12255" spans="2:21" x14ac:dyDescent="0.2">
      <c r="B12255" s="203"/>
      <c r="C12255" s="237"/>
      <c r="D12255" s="202"/>
      <c r="E12255" s="202"/>
      <c r="U12255" s="204"/>
    </row>
    <row r="12256" spans="2:21" x14ac:dyDescent="0.2">
      <c r="B12256" s="203"/>
      <c r="C12256" s="237"/>
      <c r="D12256" s="202"/>
      <c r="E12256" s="202"/>
      <c r="U12256" s="204"/>
    </row>
    <row r="12257" spans="2:21" x14ac:dyDescent="0.2">
      <c r="B12257" s="203"/>
      <c r="C12257" s="237"/>
      <c r="D12257" s="202"/>
      <c r="E12257" s="202"/>
      <c r="U12257" s="204"/>
    </row>
    <row r="12258" spans="2:21" x14ac:dyDescent="0.2">
      <c r="B12258" s="203"/>
      <c r="C12258" s="237"/>
      <c r="D12258" s="202"/>
      <c r="E12258" s="202"/>
      <c r="U12258" s="204"/>
    </row>
    <row r="12259" spans="2:21" x14ac:dyDescent="0.2">
      <c r="B12259" s="203"/>
      <c r="C12259" s="237"/>
      <c r="D12259" s="202"/>
      <c r="E12259" s="202"/>
      <c r="U12259" s="204"/>
    </row>
    <row r="12260" spans="2:21" x14ac:dyDescent="0.2">
      <c r="B12260" s="203"/>
      <c r="C12260" s="237"/>
      <c r="D12260" s="202"/>
      <c r="E12260" s="202"/>
      <c r="U12260" s="204"/>
    </row>
    <row r="12261" spans="2:21" x14ac:dyDescent="0.2">
      <c r="B12261" s="203"/>
      <c r="C12261" s="237"/>
      <c r="D12261" s="202"/>
      <c r="E12261" s="202"/>
      <c r="U12261" s="204"/>
    </row>
    <row r="12262" spans="2:21" x14ac:dyDescent="0.2">
      <c r="B12262" s="203"/>
      <c r="C12262" s="237"/>
      <c r="D12262" s="202"/>
      <c r="E12262" s="202"/>
      <c r="U12262" s="204"/>
    </row>
    <row r="12263" spans="2:21" x14ac:dyDescent="0.2">
      <c r="B12263" s="203"/>
      <c r="C12263" s="237"/>
      <c r="D12263" s="202"/>
      <c r="E12263" s="202"/>
      <c r="U12263" s="204"/>
    </row>
    <row r="12264" spans="2:21" x14ac:dyDescent="0.2">
      <c r="B12264" s="203"/>
      <c r="C12264" s="237"/>
      <c r="D12264" s="202"/>
      <c r="E12264" s="202"/>
      <c r="U12264" s="204"/>
    </row>
    <row r="12265" spans="2:21" x14ac:dyDescent="0.2">
      <c r="B12265" s="203"/>
      <c r="C12265" s="237"/>
      <c r="D12265" s="202"/>
      <c r="E12265" s="202"/>
      <c r="U12265" s="204"/>
    </row>
    <row r="12266" spans="2:21" x14ac:dyDescent="0.2">
      <c r="B12266" s="203"/>
      <c r="C12266" s="237"/>
      <c r="D12266" s="202"/>
      <c r="E12266" s="202"/>
      <c r="U12266" s="204"/>
    </row>
    <row r="12267" spans="2:21" x14ac:dyDescent="0.2">
      <c r="B12267" s="203"/>
      <c r="C12267" s="237"/>
      <c r="D12267" s="202"/>
      <c r="E12267" s="202"/>
      <c r="U12267" s="204"/>
    </row>
    <row r="12268" spans="2:21" x14ac:dyDescent="0.2">
      <c r="B12268" s="203"/>
      <c r="C12268" s="237"/>
      <c r="D12268" s="202"/>
      <c r="E12268" s="202"/>
      <c r="U12268" s="204"/>
    </row>
    <row r="12269" spans="2:21" x14ac:dyDescent="0.2">
      <c r="B12269" s="203"/>
      <c r="C12269" s="237"/>
      <c r="D12269" s="202"/>
      <c r="E12269" s="202"/>
      <c r="U12269" s="204"/>
    </row>
    <row r="12270" spans="2:21" x14ac:dyDescent="0.2">
      <c r="B12270" s="203"/>
      <c r="C12270" s="237"/>
      <c r="D12270" s="202"/>
      <c r="E12270" s="202"/>
      <c r="U12270" s="204"/>
    </row>
    <row r="12271" spans="2:21" x14ac:dyDescent="0.2">
      <c r="B12271" s="203"/>
      <c r="C12271" s="237"/>
      <c r="D12271" s="202"/>
      <c r="E12271" s="202"/>
      <c r="U12271" s="204"/>
    </row>
    <row r="12272" spans="2:21" x14ac:dyDescent="0.2">
      <c r="B12272" s="203"/>
      <c r="C12272" s="237"/>
      <c r="D12272" s="202"/>
      <c r="E12272" s="202"/>
      <c r="U12272" s="204"/>
    </row>
    <row r="12273" spans="2:21" x14ac:dyDescent="0.2">
      <c r="B12273" s="203"/>
      <c r="C12273" s="237"/>
      <c r="D12273" s="202"/>
      <c r="E12273" s="202"/>
      <c r="U12273" s="204"/>
    </row>
    <row r="12274" spans="2:21" x14ac:dyDescent="0.2">
      <c r="B12274" s="203"/>
      <c r="C12274" s="237"/>
      <c r="D12274" s="202"/>
      <c r="E12274" s="202"/>
      <c r="U12274" s="204"/>
    </row>
    <row r="12275" spans="2:21" x14ac:dyDescent="0.2">
      <c r="B12275" s="203"/>
      <c r="C12275" s="237"/>
      <c r="D12275" s="202"/>
      <c r="E12275" s="202"/>
      <c r="U12275" s="204"/>
    </row>
    <row r="12276" spans="2:21" x14ac:dyDescent="0.2">
      <c r="B12276" s="203"/>
      <c r="C12276" s="237"/>
      <c r="D12276" s="202"/>
      <c r="E12276" s="202"/>
      <c r="U12276" s="204"/>
    </row>
    <row r="12277" spans="2:21" x14ac:dyDescent="0.2">
      <c r="B12277" s="203"/>
      <c r="C12277" s="237"/>
      <c r="D12277" s="202"/>
      <c r="E12277" s="202"/>
      <c r="U12277" s="204"/>
    </row>
    <row r="12278" spans="2:21" x14ac:dyDescent="0.2">
      <c r="B12278" s="203"/>
      <c r="C12278" s="237"/>
      <c r="D12278" s="202"/>
      <c r="E12278" s="202"/>
      <c r="U12278" s="204"/>
    </row>
    <row r="12279" spans="2:21" x14ac:dyDescent="0.2">
      <c r="B12279" s="203"/>
      <c r="C12279" s="237"/>
      <c r="D12279" s="202"/>
      <c r="E12279" s="202"/>
      <c r="U12279" s="204"/>
    </row>
    <row r="12280" spans="2:21" x14ac:dyDescent="0.2">
      <c r="B12280" s="203"/>
      <c r="C12280" s="237"/>
      <c r="D12280" s="202"/>
      <c r="E12280" s="202"/>
      <c r="U12280" s="204"/>
    </row>
    <row r="12281" spans="2:21" x14ac:dyDescent="0.2">
      <c r="B12281" s="203"/>
      <c r="C12281" s="237"/>
      <c r="D12281" s="202"/>
      <c r="E12281" s="202"/>
      <c r="U12281" s="204"/>
    </row>
    <row r="12282" spans="2:21" x14ac:dyDescent="0.2">
      <c r="B12282" s="203"/>
      <c r="C12282" s="237"/>
      <c r="D12282" s="202"/>
      <c r="E12282" s="202"/>
      <c r="U12282" s="204"/>
    </row>
    <row r="12283" spans="2:21" x14ac:dyDescent="0.2">
      <c r="B12283" s="203"/>
      <c r="C12283" s="237"/>
      <c r="D12283" s="202"/>
      <c r="E12283" s="202"/>
      <c r="U12283" s="204"/>
    </row>
    <row r="12284" spans="2:21" x14ac:dyDescent="0.2">
      <c r="B12284" s="203"/>
      <c r="C12284" s="237"/>
      <c r="D12284" s="202"/>
      <c r="E12284" s="202"/>
      <c r="U12284" s="204"/>
    </row>
    <row r="12285" spans="2:21" x14ac:dyDescent="0.2">
      <c r="B12285" s="203"/>
      <c r="C12285" s="237"/>
      <c r="D12285" s="202"/>
      <c r="E12285" s="202"/>
      <c r="U12285" s="204"/>
    </row>
    <row r="12286" spans="2:21" x14ac:dyDescent="0.2">
      <c r="B12286" s="203"/>
      <c r="C12286" s="237"/>
      <c r="D12286" s="202"/>
      <c r="E12286" s="202"/>
      <c r="U12286" s="204"/>
    </row>
    <row r="12287" spans="2:21" x14ac:dyDescent="0.2">
      <c r="B12287" s="203"/>
      <c r="C12287" s="237"/>
      <c r="D12287" s="202"/>
      <c r="E12287" s="202"/>
      <c r="U12287" s="204"/>
    </row>
    <row r="12288" spans="2:21" x14ac:dyDescent="0.2">
      <c r="B12288" s="203"/>
      <c r="C12288" s="237"/>
      <c r="D12288" s="202"/>
      <c r="E12288" s="202"/>
      <c r="U12288" s="204"/>
    </row>
    <row r="12289" spans="2:21" x14ac:dyDescent="0.2">
      <c r="B12289" s="203"/>
      <c r="C12289" s="237"/>
      <c r="D12289" s="202"/>
      <c r="E12289" s="202"/>
      <c r="U12289" s="204"/>
    </row>
    <row r="12290" spans="2:21" x14ac:dyDescent="0.2">
      <c r="B12290" s="203"/>
      <c r="C12290" s="237"/>
      <c r="D12290" s="202"/>
      <c r="E12290" s="202"/>
      <c r="U12290" s="204"/>
    </row>
    <row r="12291" spans="2:21" x14ac:dyDescent="0.2">
      <c r="B12291" s="203"/>
      <c r="C12291" s="237"/>
      <c r="D12291" s="202"/>
      <c r="E12291" s="202"/>
      <c r="U12291" s="204"/>
    </row>
    <row r="12292" spans="2:21" x14ac:dyDescent="0.2">
      <c r="B12292" s="203"/>
      <c r="C12292" s="237"/>
      <c r="D12292" s="202"/>
      <c r="E12292" s="202"/>
      <c r="U12292" s="204"/>
    </row>
    <row r="12293" spans="2:21" x14ac:dyDescent="0.2">
      <c r="B12293" s="203"/>
      <c r="C12293" s="237"/>
      <c r="D12293" s="202"/>
      <c r="E12293" s="202"/>
      <c r="U12293" s="204"/>
    </row>
    <row r="12294" spans="2:21" x14ac:dyDescent="0.2">
      <c r="B12294" s="203"/>
      <c r="C12294" s="237"/>
      <c r="D12294" s="202"/>
      <c r="E12294" s="202"/>
      <c r="U12294" s="204"/>
    </row>
    <row r="12295" spans="2:21" x14ac:dyDescent="0.2">
      <c r="B12295" s="203"/>
      <c r="C12295" s="237"/>
      <c r="D12295" s="202"/>
      <c r="E12295" s="202"/>
      <c r="U12295" s="204"/>
    </row>
    <row r="12296" spans="2:21" x14ac:dyDescent="0.2">
      <c r="B12296" s="203"/>
      <c r="C12296" s="237"/>
      <c r="D12296" s="202"/>
      <c r="E12296" s="202"/>
      <c r="U12296" s="204"/>
    </row>
    <row r="12297" spans="2:21" x14ac:dyDescent="0.2">
      <c r="B12297" s="203"/>
      <c r="C12297" s="237"/>
      <c r="D12297" s="202"/>
      <c r="E12297" s="202"/>
      <c r="U12297" s="204"/>
    </row>
    <row r="12298" spans="2:21" x14ac:dyDescent="0.2">
      <c r="B12298" s="203"/>
      <c r="C12298" s="237"/>
      <c r="D12298" s="202"/>
      <c r="E12298" s="202"/>
      <c r="U12298" s="204"/>
    </row>
    <row r="12299" spans="2:21" x14ac:dyDescent="0.2">
      <c r="B12299" s="203"/>
      <c r="C12299" s="237"/>
      <c r="D12299" s="202"/>
      <c r="E12299" s="202"/>
      <c r="U12299" s="204"/>
    </row>
    <row r="12300" spans="2:21" x14ac:dyDescent="0.2">
      <c r="B12300" s="203"/>
      <c r="C12300" s="237"/>
      <c r="D12300" s="202"/>
      <c r="E12300" s="202"/>
      <c r="U12300" s="204"/>
    </row>
    <row r="12301" spans="2:21" x14ac:dyDescent="0.2">
      <c r="B12301" s="203"/>
      <c r="C12301" s="237"/>
      <c r="D12301" s="202"/>
      <c r="E12301" s="202"/>
      <c r="U12301" s="204"/>
    </row>
    <row r="12302" spans="2:21" x14ac:dyDescent="0.2">
      <c r="B12302" s="203"/>
      <c r="C12302" s="237"/>
      <c r="D12302" s="202"/>
      <c r="E12302" s="202"/>
      <c r="U12302" s="204"/>
    </row>
    <row r="12303" spans="2:21" x14ac:dyDescent="0.2">
      <c r="B12303" s="203"/>
      <c r="C12303" s="237"/>
      <c r="D12303" s="202"/>
      <c r="E12303" s="202"/>
      <c r="U12303" s="204"/>
    </row>
    <row r="12304" spans="2:21" x14ac:dyDescent="0.2">
      <c r="B12304" s="203"/>
      <c r="C12304" s="237"/>
      <c r="D12304" s="202"/>
      <c r="E12304" s="202"/>
      <c r="U12304" s="204"/>
    </row>
    <row r="12305" spans="2:21" x14ac:dyDescent="0.2">
      <c r="B12305" s="203"/>
      <c r="C12305" s="237"/>
      <c r="D12305" s="202"/>
      <c r="E12305" s="202"/>
      <c r="U12305" s="204"/>
    </row>
    <row r="12306" spans="2:21" x14ac:dyDescent="0.2">
      <c r="B12306" s="203"/>
      <c r="C12306" s="237"/>
      <c r="D12306" s="202"/>
      <c r="E12306" s="202"/>
      <c r="U12306" s="204"/>
    </row>
    <row r="12307" spans="2:21" x14ac:dyDescent="0.2">
      <c r="B12307" s="203"/>
      <c r="C12307" s="237"/>
      <c r="D12307" s="202"/>
      <c r="E12307" s="202"/>
      <c r="U12307" s="204"/>
    </row>
    <row r="12308" spans="2:21" x14ac:dyDescent="0.2">
      <c r="B12308" s="203"/>
      <c r="C12308" s="237"/>
      <c r="D12308" s="202"/>
      <c r="E12308" s="202"/>
      <c r="U12308" s="204"/>
    </row>
    <row r="12309" spans="2:21" x14ac:dyDescent="0.2">
      <c r="B12309" s="203"/>
      <c r="C12309" s="237"/>
      <c r="D12309" s="202"/>
      <c r="E12309" s="202"/>
      <c r="U12309" s="204"/>
    </row>
    <row r="12310" spans="2:21" x14ac:dyDescent="0.2">
      <c r="B12310" s="203"/>
      <c r="C12310" s="237"/>
      <c r="D12310" s="202"/>
      <c r="E12310" s="202"/>
      <c r="U12310" s="204"/>
    </row>
    <row r="12311" spans="2:21" x14ac:dyDescent="0.2">
      <c r="B12311" s="203"/>
      <c r="C12311" s="237"/>
      <c r="D12311" s="202"/>
      <c r="E12311" s="202"/>
      <c r="U12311" s="204"/>
    </row>
    <row r="12312" spans="2:21" x14ac:dyDescent="0.2">
      <c r="B12312" s="203"/>
      <c r="C12312" s="237"/>
      <c r="D12312" s="202"/>
      <c r="E12312" s="202"/>
      <c r="U12312" s="204"/>
    </row>
    <row r="12313" spans="2:21" x14ac:dyDescent="0.2">
      <c r="B12313" s="203"/>
      <c r="C12313" s="237"/>
      <c r="D12313" s="202"/>
      <c r="E12313" s="202"/>
      <c r="U12313" s="204"/>
    </row>
    <row r="12314" spans="2:21" x14ac:dyDescent="0.2">
      <c r="B12314" s="203"/>
      <c r="C12314" s="237"/>
      <c r="D12314" s="202"/>
      <c r="E12314" s="202"/>
      <c r="U12314" s="204"/>
    </row>
    <row r="12315" spans="2:21" x14ac:dyDescent="0.2">
      <c r="B12315" s="203"/>
      <c r="C12315" s="237"/>
      <c r="D12315" s="202"/>
      <c r="E12315" s="202"/>
      <c r="U12315" s="204"/>
    </row>
    <row r="12316" spans="2:21" x14ac:dyDescent="0.2">
      <c r="B12316" s="203"/>
      <c r="C12316" s="237"/>
      <c r="D12316" s="202"/>
      <c r="E12316" s="202"/>
      <c r="U12316" s="204"/>
    </row>
    <row r="12317" spans="2:21" x14ac:dyDescent="0.2">
      <c r="B12317" s="203"/>
      <c r="C12317" s="237"/>
      <c r="D12317" s="202"/>
      <c r="E12317" s="202"/>
      <c r="U12317" s="204"/>
    </row>
    <row r="12318" spans="2:21" x14ac:dyDescent="0.2">
      <c r="B12318" s="203"/>
      <c r="C12318" s="237"/>
      <c r="D12318" s="202"/>
      <c r="E12318" s="202"/>
      <c r="U12318" s="204"/>
    </row>
    <row r="12319" spans="2:21" x14ac:dyDescent="0.2">
      <c r="B12319" s="203"/>
      <c r="C12319" s="237"/>
      <c r="D12319" s="202"/>
      <c r="E12319" s="202"/>
      <c r="U12319" s="204"/>
    </row>
    <row r="12320" spans="2:21" x14ac:dyDescent="0.2">
      <c r="B12320" s="203"/>
      <c r="C12320" s="237"/>
      <c r="D12320" s="202"/>
      <c r="E12320" s="202"/>
      <c r="U12320" s="204"/>
    </row>
    <row r="12321" spans="2:21" x14ac:dyDescent="0.2">
      <c r="B12321" s="203"/>
      <c r="C12321" s="237"/>
      <c r="D12321" s="202"/>
      <c r="E12321" s="202"/>
      <c r="U12321" s="204"/>
    </row>
    <row r="12322" spans="2:21" x14ac:dyDescent="0.2">
      <c r="B12322" s="203"/>
      <c r="C12322" s="237"/>
      <c r="D12322" s="202"/>
      <c r="E12322" s="202"/>
      <c r="U12322" s="204"/>
    </row>
    <row r="12323" spans="2:21" x14ac:dyDescent="0.2">
      <c r="B12323" s="203"/>
      <c r="C12323" s="237"/>
      <c r="D12323" s="202"/>
      <c r="E12323" s="202"/>
      <c r="U12323" s="204"/>
    </row>
    <row r="12324" spans="2:21" x14ac:dyDescent="0.2">
      <c r="B12324" s="203"/>
      <c r="C12324" s="237"/>
      <c r="D12324" s="202"/>
      <c r="E12324" s="202"/>
      <c r="U12324" s="204"/>
    </row>
    <row r="12325" spans="2:21" x14ac:dyDescent="0.2">
      <c r="B12325" s="203"/>
      <c r="C12325" s="237"/>
      <c r="D12325" s="202"/>
      <c r="E12325" s="202"/>
      <c r="U12325" s="204"/>
    </row>
    <row r="12326" spans="2:21" x14ac:dyDescent="0.2">
      <c r="B12326" s="203"/>
      <c r="C12326" s="237"/>
      <c r="D12326" s="202"/>
      <c r="E12326" s="202"/>
      <c r="U12326" s="204"/>
    </row>
    <row r="12327" spans="2:21" x14ac:dyDescent="0.2">
      <c r="B12327" s="203"/>
      <c r="C12327" s="237"/>
      <c r="D12327" s="202"/>
      <c r="E12327" s="202"/>
      <c r="U12327" s="204"/>
    </row>
    <row r="12328" spans="2:21" x14ac:dyDescent="0.2">
      <c r="B12328" s="203"/>
      <c r="C12328" s="237"/>
      <c r="D12328" s="202"/>
      <c r="E12328" s="202"/>
      <c r="U12328" s="204"/>
    </row>
    <row r="12329" spans="2:21" x14ac:dyDescent="0.2">
      <c r="B12329" s="203"/>
      <c r="C12329" s="237"/>
      <c r="D12329" s="202"/>
      <c r="E12329" s="202"/>
      <c r="U12329" s="204"/>
    </row>
    <row r="12330" spans="2:21" x14ac:dyDescent="0.2">
      <c r="B12330" s="203"/>
      <c r="C12330" s="237"/>
      <c r="D12330" s="202"/>
      <c r="E12330" s="202"/>
      <c r="U12330" s="204"/>
    </row>
    <row r="12331" spans="2:21" x14ac:dyDescent="0.2">
      <c r="B12331" s="203"/>
      <c r="C12331" s="237"/>
      <c r="D12331" s="202"/>
      <c r="E12331" s="202"/>
      <c r="U12331" s="204"/>
    </row>
    <row r="12332" spans="2:21" x14ac:dyDescent="0.2">
      <c r="B12332" s="203"/>
      <c r="C12332" s="237"/>
      <c r="D12332" s="202"/>
      <c r="E12332" s="202"/>
      <c r="U12332" s="204"/>
    </row>
    <row r="12333" spans="2:21" x14ac:dyDescent="0.2">
      <c r="B12333" s="203"/>
      <c r="C12333" s="237"/>
      <c r="D12333" s="202"/>
      <c r="E12333" s="202"/>
      <c r="U12333" s="204"/>
    </row>
    <row r="12334" spans="2:21" x14ac:dyDescent="0.2">
      <c r="B12334" s="203"/>
      <c r="C12334" s="237"/>
      <c r="D12334" s="202"/>
      <c r="E12334" s="202"/>
      <c r="U12334" s="204"/>
    </row>
    <row r="12335" spans="2:21" x14ac:dyDescent="0.2">
      <c r="B12335" s="203"/>
      <c r="C12335" s="237"/>
      <c r="D12335" s="202"/>
      <c r="E12335" s="202"/>
      <c r="U12335" s="204"/>
    </row>
    <row r="12336" spans="2:21" x14ac:dyDescent="0.2">
      <c r="B12336" s="203"/>
      <c r="C12336" s="237"/>
      <c r="D12336" s="202"/>
      <c r="E12336" s="202"/>
      <c r="U12336" s="204"/>
    </row>
    <row r="12337" spans="2:21" x14ac:dyDescent="0.2">
      <c r="B12337" s="203"/>
      <c r="C12337" s="237"/>
      <c r="D12337" s="202"/>
      <c r="E12337" s="202"/>
      <c r="U12337" s="204"/>
    </row>
    <row r="12338" spans="2:21" x14ac:dyDescent="0.2">
      <c r="B12338" s="203"/>
      <c r="C12338" s="237"/>
      <c r="D12338" s="202"/>
      <c r="E12338" s="202"/>
      <c r="U12338" s="204"/>
    </row>
    <row r="12339" spans="2:21" x14ac:dyDescent="0.2">
      <c r="B12339" s="203"/>
      <c r="C12339" s="237"/>
      <c r="D12339" s="202"/>
      <c r="E12339" s="202"/>
      <c r="U12339" s="204"/>
    </row>
    <row r="12340" spans="2:21" x14ac:dyDescent="0.2">
      <c r="B12340" s="203"/>
      <c r="C12340" s="237"/>
      <c r="D12340" s="202"/>
      <c r="E12340" s="202"/>
      <c r="U12340" s="204"/>
    </row>
    <row r="12341" spans="2:21" x14ac:dyDescent="0.2">
      <c r="B12341" s="203"/>
      <c r="C12341" s="237"/>
      <c r="D12341" s="202"/>
      <c r="E12341" s="202"/>
      <c r="U12341" s="204"/>
    </row>
    <row r="12342" spans="2:21" x14ac:dyDescent="0.2">
      <c r="B12342" s="203"/>
      <c r="C12342" s="237"/>
      <c r="D12342" s="202"/>
      <c r="E12342" s="202"/>
      <c r="U12342" s="204"/>
    </row>
    <row r="12343" spans="2:21" x14ac:dyDescent="0.2">
      <c r="B12343" s="203"/>
      <c r="C12343" s="237"/>
      <c r="D12343" s="202"/>
      <c r="E12343" s="202"/>
      <c r="U12343" s="204"/>
    </row>
    <row r="12344" spans="2:21" x14ac:dyDescent="0.2">
      <c r="B12344" s="203"/>
      <c r="C12344" s="237"/>
      <c r="D12344" s="202"/>
      <c r="E12344" s="202"/>
      <c r="U12344" s="204"/>
    </row>
    <row r="12345" spans="2:21" x14ac:dyDescent="0.2">
      <c r="B12345" s="203"/>
      <c r="C12345" s="237"/>
      <c r="D12345" s="202"/>
      <c r="E12345" s="202"/>
      <c r="U12345" s="204"/>
    </row>
    <row r="12346" spans="2:21" x14ac:dyDescent="0.2">
      <c r="B12346" s="203"/>
      <c r="C12346" s="237"/>
      <c r="D12346" s="202"/>
      <c r="E12346" s="202"/>
      <c r="U12346" s="204"/>
    </row>
    <row r="12347" spans="2:21" x14ac:dyDescent="0.2">
      <c r="B12347" s="203"/>
      <c r="C12347" s="237"/>
      <c r="D12347" s="202"/>
      <c r="E12347" s="202"/>
      <c r="U12347" s="204"/>
    </row>
    <row r="12348" spans="2:21" x14ac:dyDescent="0.2">
      <c r="B12348" s="203"/>
      <c r="C12348" s="237"/>
      <c r="D12348" s="202"/>
      <c r="E12348" s="202"/>
      <c r="U12348" s="204"/>
    </row>
    <row r="12349" spans="2:21" x14ac:dyDescent="0.2">
      <c r="B12349" s="203"/>
      <c r="C12349" s="237"/>
      <c r="D12349" s="202"/>
      <c r="E12349" s="202"/>
      <c r="U12349" s="204"/>
    </row>
    <row r="12350" spans="2:21" x14ac:dyDescent="0.2">
      <c r="B12350" s="203"/>
      <c r="C12350" s="237"/>
      <c r="D12350" s="202"/>
      <c r="E12350" s="202"/>
      <c r="U12350" s="204"/>
    </row>
    <row r="12351" spans="2:21" x14ac:dyDescent="0.2">
      <c r="B12351" s="203"/>
      <c r="C12351" s="237"/>
      <c r="D12351" s="202"/>
      <c r="E12351" s="202"/>
      <c r="U12351" s="204"/>
    </row>
    <row r="12352" spans="2:21" x14ac:dyDescent="0.2">
      <c r="B12352" s="203"/>
      <c r="C12352" s="237"/>
      <c r="D12352" s="202"/>
      <c r="E12352" s="202"/>
      <c r="U12352" s="204"/>
    </row>
    <row r="12353" spans="2:21" x14ac:dyDescent="0.2">
      <c r="B12353" s="203"/>
      <c r="C12353" s="237"/>
      <c r="D12353" s="202"/>
      <c r="E12353" s="202"/>
      <c r="U12353" s="204"/>
    </row>
    <row r="12354" spans="2:21" x14ac:dyDescent="0.2">
      <c r="B12354" s="203"/>
      <c r="C12354" s="237"/>
      <c r="D12354" s="202"/>
      <c r="E12354" s="202"/>
      <c r="U12354" s="204"/>
    </row>
    <row r="12355" spans="2:21" x14ac:dyDescent="0.2">
      <c r="B12355" s="203"/>
      <c r="C12355" s="237"/>
      <c r="D12355" s="202"/>
      <c r="E12355" s="202"/>
      <c r="U12355" s="204"/>
    </row>
    <row r="12356" spans="2:21" x14ac:dyDescent="0.2">
      <c r="B12356" s="203"/>
      <c r="C12356" s="237"/>
      <c r="D12356" s="202"/>
      <c r="E12356" s="202"/>
      <c r="U12356" s="204"/>
    </row>
    <row r="12357" spans="2:21" x14ac:dyDescent="0.2">
      <c r="B12357" s="203"/>
      <c r="C12357" s="237"/>
      <c r="D12357" s="202"/>
      <c r="E12357" s="202"/>
      <c r="U12357" s="204"/>
    </row>
    <row r="12358" spans="2:21" x14ac:dyDescent="0.2">
      <c r="B12358" s="203"/>
      <c r="C12358" s="237"/>
      <c r="D12358" s="202"/>
      <c r="E12358" s="202"/>
      <c r="U12358" s="204"/>
    </row>
    <row r="12359" spans="2:21" x14ac:dyDescent="0.2">
      <c r="B12359" s="203"/>
      <c r="C12359" s="237"/>
      <c r="D12359" s="202"/>
      <c r="E12359" s="202"/>
      <c r="U12359" s="204"/>
    </row>
    <row r="12360" spans="2:21" x14ac:dyDescent="0.2">
      <c r="B12360" s="203"/>
      <c r="C12360" s="237"/>
      <c r="D12360" s="202"/>
      <c r="E12360" s="202"/>
      <c r="U12360" s="204"/>
    </row>
    <row r="12361" spans="2:21" x14ac:dyDescent="0.2">
      <c r="B12361" s="203"/>
      <c r="C12361" s="237"/>
      <c r="D12361" s="202"/>
      <c r="E12361" s="202"/>
      <c r="U12361" s="204"/>
    </row>
    <row r="12362" spans="2:21" x14ac:dyDescent="0.2">
      <c r="B12362" s="203"/>
      <c r="C12362" s="237"/>
      <c r="D12362" s="202"/>
      <c r="E12362" s="202"/>
      <c r="U12362" s="204"/>
    </row>
    <row r="12363" spans="2:21" x14ac:dyDescent="0.2">
      <c r="B12363" s="203"/>
      <c r="C12363" s="237"/>
      <c r="D12363" s="202"/>
      <c r="E12363" s="202"/>
      <c r="U12363" s="204"/>
    </row>
    <row r="12364" spans="2:21" x14ac:dyDescent="0.2">
      <c r="B12364" s="203"/>
      <c r="C12364" s="237"/>
      <c r="D12364" s="202"/>
      <c r="E12364" s="202"/>
      <c r="U12364" s="204"/>
    </row>
    <row r="12365" spans="2:21" x14ac:dyDescent="0.2">
      <c r="B12365" s="203"/>
      <c r="C12365" s="237"/>
      <c r="D12365" s="202"/>
      <c r="E12365" s="202"/>
      <c r="U12365" s="204"/>
    </row>
    <row r="12366" spans="2:21" x14ac:dyDescent="0.2">
      <c r="B12366" s="203"/>
      <c r="C12366" s="237"/>
      <c r="D12366" s="202"/>
      <c r="E12366" s="202"/>
      <c r="U12366" s="204"/>
    </row>
    <row r="12367" spans="2:21" x14ac:dyDescent="0.2">
      <c r="B12367" s="203"/>
      <c r="C12367" s="237"/>
      <c r="D12367" s="202"/>
      <c r="E12367" s="202"/>
      <c r="U12367" s="204"/>
    </row>
    <row r="12368" spans="2:21" x14ac:dyDescent="0.2">
      <c r="B12368" s="203"/>
      <c r="C12368" s="237"/>
      <c r="D12368" s="202"/>
      <c r="E12368" s="202"/>
      <c r="U12368" s="204"/>
    </row>
    <row r="12369" spans="2:21" x14ac:dyDescent="0.2">
      <c r="B12369" s="203"/>
      <c r="C12369" s="237"/>
      <c r="D12369" s="202"/>
      <c r="E12369" s="202"/>
      <c r="U12369" s="204"/>
    </row>
    <row r="12370" spans="2:21" x14ac:dyDescent="0.2">
      <c r="B12370" s="203"/>
      <c r="C12370" s="237"/>
      <c r="D12370" s="202"/>
      <c r="E12370" s="202"/>
      <c r="U12370" s="204"/>
    </row>
    <row r="12371" spans="2:21" x14ac:dyDescent="0.2">
      <c r="B12371" s="203"/>
      <c r="C12371" s="237"/>
      <c r="D12371" s="202"/>
      <c r="E12371" s="202"/>
      <c r="U12371" s="204"/>
    </row>
    <row r="12372" spans="2:21" x14ac:dyDescent="0.2">
      <c r="B12372" s="203"/>
      <c r="C12372" s="237"/>
      <c r="D12372" s="202"/>
      <c r="E12372" s="202"/>
      <c r="U12372" s="204"/>
    </row>
    <row r="12373" spans="2:21" x14ac:dyDescent="0.2">
      <c r="B12373" s="203"/>
      <c r="C12373" s="237"/>
      <c r="D12373" s="202"/>
      <c r="E12373" s="202"/>
      <c r="U12373" s="204"/>
    </row>
    <row r="12374" spans="2:21" x14ac:dyDescent="0.2">
      <c r="B12374" s="203"/>
      <c r="C12374" s="237"/>
      <c r="D12374" s="202"/>
      <c r="E12374" s="202"/>
      <c r="U12374" s="204"/>
    </row>
    <row r="12375" spans="2:21" x14ac:dyDescent="0.2">
      <c r="B12375" s="203"/>
      <c r="C12375" s="237"/>
      <c r="D12375" s="202"/>
      <c r="E12375" s="202"/>
      <c r="U12375" s="204"/>
    </row>
    <row r="12376" spans="2:21" x14ac:dyDescent="0.2">
      <c r="B12376" s="203"/>
      <c r="C12376" s="237"/>
      <c r="D12376" s="202"/>
      <c r="E12376" s="202"/>
      <c r="U12376" s="204"/>
    </row>
    <row r="12377" spans="2:21" x14ac:dyDescent="0.2">
      <c r="B12377" s="203"/>
      <c r="C12377" s="237"/>
      <c r="D12377" s="202"/>
      <c r="E12377" s="202"/>
      <c r="U12377" s="204"/>
    </row>
    <row r="12378" spans="2:21" x14ac:dyDescent="0.2">
      <c r="B12378" s="203"/>
      <c r="C12378" s="237"/>
      <c r="D12378" s="202"/>
      <c r="E12378" s="202"/>
      <c r="U12378" s="204"/>
    </row>
    <row r="12379" spans="2:21" x14ac:dyDescent="0.2">
      <c r="B12379" s="203"/>
      <c r="C12379" s="237"/>
      <c r="D12379" s="202"/>
      <c r="E12379" s="202"/>
      <c r="U12379" s="204"/>
    </row>
    <row r="12380" spans="2:21" x14ac:dyDescent="0.2">
      <c r="B12380" s="203"/>
      <c r="C12380" s="237"/>
      <c r="D12380" s="202"/>
      <c r="E12380" s="202"/>
      <c r="U12380" s="204"/>
    </row>
    <row r="12381" spans="2:21" x14ac:dyDescent="0.2">
      <c r="B12381" s="203"/>
      <c r="C12381" s="237"/>
      <c r="D12381" s="202"/>
      <c r="E12381" s="202"/>
      <c r="U12381" s="204"/>
    </row>
    <row r="12382" spans="2:21" x14ac:dyDescent="0.2">
      <c r="B12382" s="203"/>
      <c r="C12382" s="237"/>
      <c r="D12382" s="202"/>
      <c r="E12382" s="202"/>
      <c r="U12382" s="204"/>
    </row>
    <row r="12383" spans="2:21" x14ac:dyDescent="0.2">
      <c r="B12383" s="203"/>
      <c r="C12383" s="237"/>
      <c r="D12383" s="202"/>
      <c r="E12383" s="202"/>
      <c r="U12383" s="204"/>
    </row>
    <row r="12384" spans="2:21" x14ac:dyDescent="0.2">
      <c r="B12384" s="203"/>
      <c r="C12384" s="237"/>
      <c r="D12384" s="202"/>
      <c r="E12384" s="202"/>
      <c r="U12384" s="204"/>
    </row>
    <row r="12385" spans="2:21" x14ac:dyDescent="0.2">
      <c r="B12385" s="203"/>
      <c r="C12385" s="237"/>
      <c r="D12385" s="202"/>
      <c r="E12385" s="202"/>
      <c r="U12385" s="204"/>
    </row>
    <row r="12386" spans="2:21" x14ac:dyDescent="0.2">
      <c r="B12386" s="203"/>
      <c r="C12386" s="237"/>
      <c r="D12386" s="202"/>
      <c r="E12386" s="202"/>
      <c r="U12386" s="204"/>
    </row>
    <row r="12387" spans="2:21" x14ac:dyDescent="0.2">
      <c r="B12387" s="203"/>
      <c r="C12387" s="237"/>
      <c r="D12387" s="202"/>
      <c r="E12387" s="202"/>
      <c r="U12387" s="204"/>
    </row>
    <row r="12388" spans="2:21" x14ac:dyDescent="0.2">
      <c r="B12388" s="203"/>
      <c r="C12388" s="237"/>
      <c r="D12388" s="202"/>
      <c r="E12388" s="202"/>
      <c r="U12388" s="204"/>
    </row>
    <row r="12389" spans="2:21" x14ac:dyDescent="0.2">
      <c r="B12389" s="203"/>
      <c r="C12389" s="237"/>
      <c r="D12389" s="202"/>
      <c r="E12389" s="202"/>
      <c r="U12389" s="204"/>
    </row>
    <row r="12390" spans="2:21" x14ac:dyDescent="0.2">
      <c r="B12390" s="203"/>
      <c r="C12390" s="237"/>
      <c r="D12390" s="202"/>
      <c r="E12390" s="202"/>
      <c r="U12390" s="204"/>
    </row>
    <row r="12391" spans="2:21" x14ac:dyDescent="0.2">
      <c r="B12391" s="203"/>
      <c r="C12391" s="237"/>
      <c r="D12391" s="202"/>
      <c r="E12391" s="202"/>
      <c r="U12391" s="204"/>
    </row>
    <row r="12392" spans="2:21" x14ac:dyDescent="0.2">
      <c r="B12392" s="203"/>
      <c r="C12392" s="237"/>
      <c r="D12392" s="202"/>
      <c r="E12392" s="202"/>
      <c r="U12392" s="204"/>
    </row>
    <row r="12393" spans="2:21" x14ac:dyDescent="0.2">
      <c r="B12393" s="203"/>
      <c r="C12393" s="237"/>
      <c r="D12393" s="202"/>
      <c r="E12393" s="202"/>
      <c r="U12393" s="204"/>
    </row>
    <row r="12394" spans="2:21" x14ac:dyDescent="0.2">
      <c r="B12394" s="203"/>
      <c r="C12394" s="237"/>
      <c r="D12394" s="202"/>
      <c r="E12394" s="202"/>
      <c r="U12394" s="204"/>
    </row>
    <row r="12395" spans="2:21" x14ac:dyDescent="0.2">
      <c r="B12395" s="203"/>
      <c r="C12395" s="237"/>
      <c r="D12395" s="202"/>
      <c r="E12395" s="202"/>
      <c r="U12395" s="204"/>
    </row>
    <row r="12396" spans="2:21" x14ac:dyDescent="0.2">
      <c r="B12396" s="203"/>
      <c r="C12396" s="237"/>
      <c r="D12396" s="202"/>
      <c r="E12396" s="202"/>
      <c r="U12396" s="204"/>
    </row>
    <row r="12397" spans="2:21" x14ac:dyDescent="0.2">
      <c r="B12397" s="203"/>
      <c r="C12397" s="237"/>
      <c r="D12397" s="202"/>
      <c r="E12397" s="202"/>
      <c r="U12397" s="204"/>
    </row>
    <row r="12398" spans="2:21" x14ac:dyDescent="0.2">
      <c r="B12398" s="203"/>
      <c r="C12398" s="237"/>
      <c r="D12398" s="202"/>
      <c r="E12398" s="202"/>
      <c r="U12398" s="204"/>
    </row>
    <row r="12399" spans="2:21" x14ac:dyDescent="0.2">
      <c r="B12399" s="203"/>
      <c r="C12399" s="237"/>
      <c r="D12399" s="202"/>
      <c r="E12399" s="202"/>
      <c r="U12399" s="204"/>
    </row>
    <row r="12400" spans="2:21" x14ac:dyDescent="0.2">
      <c r="B12400" s="203"/>
      <c r="C12400" s="237"/>
      <c r="D12400" s="202"/>
      <c r="E12400" s="202"/>
      <c r="U12400" s="204"/>
    </row>
    <row r="12401" spans="2:21" x14ac:dyDescent="0.2">
      <c r="B12401" s="203"/>
      <c r="C12401" s="237"/>
      <c r="D12401" s="202"/>
      <c r="E12401" s="202"/>
      <c r="U12401" s="204"/>
    </row>
    <row r="12402" spans="2:21" x14ac:dyDescent="0.2">
      <c r="B12402" s="203"/>
      <c r="C12402" s="237"/>
      <c r="D12402" s="202"/>
      <c r="E12402" s="202"/>
      <c r="U12402" s="204"/>
    </row>
    <row r="12403" spans="2:21" x14ac:dyDescent="0.2">
      <c r="B12403" s="203"/>
      <c r="C12403" s="237"/>
      <c r="D12403" s="202"/>
      <c r="E12403" s="202"/>
      <c r="U12403" s="204"/>
    </row>
    <row r="12404" spans="2:21" x14ac:dyDescent="0.2">
      <c r="B12404" s="203"/>
      <c r="C12404" s="237"/>
      <c r="D12404" s="202"/>
      <c r="E12404" s="202"/>
      <c r="U12404" s="204"/>
    </row>
    <row r="12405" spans="2:21" x14ac:dyDescent="0.2">
      <c r="B12405" s="203"/>
      <c r="C12405" s="237"/>
      <c r="D12405" s="202"/>
      <c r="E12405" s="202"/>
      <c r="U12405" s="204"/>
    </row>
    <row r="12406" spans="2:21" x14ac:dyDescent="0.2">
      <c r="B12406" s="203"/>
      <c r="C12406" s="237"/>
      <c r="D12406" s="202"/>
      <c r="E12406" s="202"/>
      <c r="U12406" s="204"/>
    </row>
    <row r="12407" spans="2:21" x14ac:dyDescent="0.2">
      <c r="B12407" s="203"/>
      <c r="C12407" s="237"/>
      <c r="D12407" s="202"/>
      <c r="E12407" s="202"/>
      <c r="U12407" s="204"/>
    </row>
    <row r="12408" spans="2:21" x14ac:dyDescent="0.2">
      <c r="B12408" s="203"/>
      <c r="C12408" s="237"/>
      <c r="D12408" s="202"/>
      <c r="E12408" s="202"/>
      <c r="U12408" s="204"/>
    </row>
    <row r="12409" spans="2:21" x14ac:dyDescent="0.2">
      <c r="B12409" s="203"/>
      <c r="C12409" s="237"/>
      <c r="D12409" s="202"/>
      <c r="E12409" s="202"/>
      <c r="U12409" s="204"/>
    </row>
    <row r="12410" spans="2:21" x14ac:dyDescent="0.2">
      <c r="B12410" s="203"/>
      <c r="C12410" s="237"/>
      <c r="D12410" s="202"/>
      <c r="E12410" s="202"/>
      <c r="U12410" s="204"/>
    </row>
    <row r="12411" spans="2:21" x14ac:dyDescent="0.2">
      <c r="B12411" s="203"/>
      <c r="C12411" s="237"/>
      <c r="D12411" s="202"/>
      <c r="E12411" s="202"/>
      <c r="U12411" s="204"/>
    </row>
    <row r="12412" spans="2:21" x14ac:dyDescent="0.2">
      <c r="B12412" s="203"/>
      <c r="C12412" s="237"/>
      <c r="D12412" s="202"/>
      <c r="E12412" s="202"/>
      <c r="U12412" s="204"/>
    </row>
    <row r="12413" spans="2:21" x14ac:dyDescent="0.2">
      <c r="B12413" s="203"/>
      <c r="C12413" s="237"/>
      <c r="D12413" s="202"/>
      <c r="E12413" s="202"/>
      <c r="U12413" s="204"/>
    </row>
    <row r="12414" spans="2:21" x14ac:dyDescent="0.2">
      <c r="B12414" s="203"/>
      <c r="C12414" s="237"/>
      <c r="D12414" s="202"/>
      <c r="E12414" s="202"/>
      <c r="U12414" s="204"/>
    </row>
    <row r="12415" spans="2:21" x14ac:dyDescent="0.2">
      <c r="B12415" s="203"/>
      <c r="C12415" s="237"/>
      <c r="D12415" s="202"/>
      <c r="E12415" s="202"/>
      <c r="U12415" s="204"/>
    </row>
    <row r="12416" spans="2:21" x14ac:dyDescent="0.2">
      <c r="B12416" s="203"/>
      <c r="C12416" s="237"/>
      <c r="D12416" s="202"/>
      <c r="E12416" s="202"/>
      <c r="U12416" s="204"/>
    </row>
    <row r="12417" spans="2:21" x14ac:dyDescent="0.2">
      <c r="B12417" s="203"/>
      <c r="C12417" s="237"/>
      <c r="D12417" s="202"/>
      <c r="E12417" s="202"/>
      <c r="U12417" s="204"/>
    </row>
    <row r="12418" spans="2:21" x14ac:dyDescent="0.2">
      <c r="B12418" s="203"/>
      <c r="C12418" s="237"/>
      <c r="D12418" s="202"/>
      <c r="E12418" s="202"/>
      <c r="U12418" s="204"/>
    </row>
    <row r="12419" spans="2:21" x14ac:dyDescent="0.2">
      <c r="B12419" s="203"/>
      <c r="C12419" s="237"/>
      <c r="D12419" s="202"/>
      <c r="E12419" s="202"/>
      <c r="U12419" s="204"/>
    </row>
    <row r="12420" spans="2:21" x14ac:dyDescent="0.2">
      <c r="B12420" s="203"/>
      <c r="C12420" s="237"/>
      <c r="D12420" s="202"/>
      <c r="E12420" s="202"/>
      <c r="U12420" s="204"/>
    </row>
    <row r="12421" spans="2:21" x14ac:dyDescent="0.2">
      <c r="B12421" s="203"/>
      <c r="C12421" s="237"/>
      <c r="D12421" s="202"/>
      <c r="E12421" s="202"/>
      <c r="U12421" s="204"/>
    </row>
    <row r="12422" spans="2:21" x14ac:dyDescent="0.2">
      <c r="B12422" s="203"/>
      <c r="C12422" s="237"/>
      <c r="D12422" s="202"/>
      <c r="E12422" s="202"/>
      <c r="U12422" s="204"/>
    </row>
    <row r="12423" spans="2:21" x14ac:dyDescent="0.2">
      <c r="B12423" s="203"/>
      <c r="C12423" s="237"/>
      <c r="D12423" s="202"/>
      <c r="E12423" s="202"/>
      <c r="U12423" s="204"/>
    </row>
    <row r="12424" spans="2:21" x14ac:dyDescent="0.2">
      <c r="B12424" s="203"/>
      <c r="C12424" s="237"/>
      <c r="D12424" s="202"/>
      <c r="E12424" s="202"/>
      <c r="U12424" s="204"/>
    </row>
    <row r="12425" spans="2:21" x14ac:dyDescent="0.2">
      <c r="B12425" s="203"/>
      <c r="C12425" s="237"/>
      <c r="D12425" s="202"/>
      <c r="E12425" s="202"/>
      <c r="U12425" s="204"/>
    </row>
    <row r="12426" spans="2:21" x14ac:dyDescent="0.2">
      <c r="B12426" s="203"/>
      <c r="C12426" s="237"/>
      <c r="D12426" s="202"/>
      <c r="E12426" s="202"/>
      <c r="U12426" s="204"/>
    </row>
    <row r="12427" spans="2:21" x14ac:dyDescent="0.2">
      <c r="B12427" s="203"/>
      <c r="C12427" s="237"/>
      <c r="D12427" s="202"/>
      <c r="E12427" s="202"/>
      <c r="U12427" s="204"/>
    </row>
    <row r="12428" spans="2:21" x14ac:dyDescent="0.2">
      <c r="B12428" s="203"/>
      <c r="C12428" s="237"/>
      <c r="D12428" s="202"/>
      <c r="E12428" s="202"/>
      <c r="U12428" s="204"/>
    </row>
    <row r="12429" spans="2:21" x14ac:dyDescent="0.2">
      <c r="B12429" s="203"/>
      <c r="C12429" s="237"/>
      <c r="D12429" s="202"/>
      <c r="E12429" s="202"/>
      <c r="U12429" s="204"/>
    </row>
    <row r="12430" spans="2:21" x14ac:dyDescent="0.2">
      <c r="B12430" s="203"/>
      <c r="C12430" s="237"/>
      <c r="D12430" s="202"/>
      <c r="E12430" s="202"/>
      <c r="U12430" s="204"/>
    </row>
    <row r="12431" spans="2:21" x14ac:dyDescent="0.2">
      <c r="B12431" s="203"/>
      <c r="C12431" s="237"/>
      <c r="D12431" s="202"/>
      <c r="E12431" s="202"/>
      <c r="U12431" s="204"/>
    </row>
    <row r="12432" spans="2:21" x14ac:dyDescent="0.2">
      <c r="B12432" s="203"/>
      <c r="C12432" s="237"/>
      <c r="D12432" s="202"/>
      <c r="E12432" s="202"/>
      <c r="U12432" s="204"/>
    </row>
    <row r="12433" spans="2:21" x14ac:dyDescent="0.2">
      <c r="B12433" s="203"/>
      <c r="C12433" s="237"/>
      <c r="D12433" s="202"/>
      <c r="E12433" s="202"/>
      <c r="U12433" s="204"/>
    </row>
    <row r="12434" spans="2:21" x14ac:dyDescent="0.2">
      <c r="B12434" s="203"/>
      <c r="C12434" s="237"/>
      <c r="D12434" s="202"/>
      <c r="E12434" s="202"/>
      <c r="U12434" s="204"/>
    </row>
    <row r="12435" spans="2:21" x14ac:dyDescent="0.2">
      <c r="B12435" s="203"/>
      <c r="C12435" s="237"/>
      <c r="D12435" s="202"/>
      <c r="E12435" s="202"/>
      <c r="U12435" s="204"/>
    </row>
    <row r="12436" spans="2:21" x14ac:dyDescent="0.2">
      <c r="B12436" s="203"/>
      <c r="C12436" s="237"/>
      <c r="D12436" s="202"/>
      <c r="E12436" s="202"/>
      <c r="U12436" s="204"/>
    </row>
    <row r="12437" spans="2:21" x14ac:dyDescent="0.2">
      <c r="B12437" s="203"/>
      <c r="C12437" s="237"/>
      <c r="D12437" s="202"/>
      <c r="E12437" s="202"/>
      <c r="U12437" s="204"/>
    </row>
    <row r="12438" spans="2:21" x14ac:dyDescent="0.2">
      <c r="B12438" s="203"/>
      <c r="C12438" s="237"/>
      <c r="D12438" s="202"/>
      <c r="E12438" s="202"/>
      <c r="U12438" s="204"/>
    </row>
    <row r="12439" spans="2:21" x14ac:dyDescent="0.2">
      <c r="B12439" s="203"/>
      <c r="C12439" s="237"/>
      <c r="D12439" s="202"/>
      <c r="E12439" s="202"/>
      <c r="U12439" s="204"/>
    </row>
    <row r="12440" spans="2:21" x14ac:dyDescent="0.2">
      <c r="B12440" s="203"/>
      <c r="C12440" s="237"/>
      <c r="D12440" s="202"/>
      <c r="E12440" s="202"/>
      <c r="U12440" s="204"/>
    </row>
    <row r="12441" spans="2:21" x14ac:dyDescent="0.2">
      <c r="B12441" s="203"/>
      <c r="C12441" s="237"/>
      <c r="D12441" s="202"/>
      <c r="E12441" s="202"/>
      <c r="U12441" s="204"/>
    </row>
    <row r="12442" spans="2:21" x14ac:dyDescent="0.2">
      <c r="B12442" s="203"/>
      <c r="C12442" s="237"/>
      <c r="D12442" s="202"/>
      <c r="E12442" s="202"/>
      <c r="U12442" s="204"/>
    </row>
    <row r="12443" spans="2:21" x14ac:dyDescent="0.2">
      <c r="B12443" s="203"/>
      <c r="C12443" s="237"/>
      <c r="D12443" s="202"/>
      <c r="E12443" s="202"/>
      <c r="U12443" s="204"/>
    </row>
    <row r="12444" spans="2:21" x14ac:dyDescent="0.2">
      <c r="B12444" s="203"/>
      <c r="C12444" s="237"/>
      <c r="D12444" s="202"/>
      <c r="E12444" s="202"/>
      <c r="U12444" s="204"/>
    </row>
    <row r="12445" spans="2:21" x14ac:dyDescent="0.2">
      <c r="B12445" s="203"/>
      <c r="C12445" s="237"/>
      <c r="D12445" s="202"/>
      <c r="E12445" s="202"/>
      <c r="U12445" s="204"/>
    </row>
    <row r="12446" spans="2:21" x14ac:dyDescent="0.2">
      <c r="B12446" s="203"/>
      <c r="C12446" s="237"/>
      <c r="D12446" s="202"/>
      <c r="E12446" s="202"/>
      <c r="U12446" s="204"/>
    </row>
    <row r="12447" spans="2:21" x14ac:dyDescent="0.2">
      <c r="B12447" s="203"/>
      <c r="C12447" s="237"/>
      <c r="D12447" s="202"/>
      <c r="E12447" s="202"/>
      <c r="U12447" s="204"/>
    </row>
    <row r="12448" spans="2:21" x14ac:dyDescent="0.2">
      <c r="B12448" s="203"/>
      <c r="C12448" s="237"/>
      <c r="D12448" s="202"/>
      <c r="E12448" s="202"/>
      <c r="U12448" s="204"/>
    </row>
    <row r="12449" spans="2:21" x14ac:dyDescent="0.2">
      <c r="B12449" s="203"/>
      <c r="C12449" s="237"/>
      <c r="D12449" s="202"/>
      <c r="E12449" s="202"/>
      <c r="U12449" s="204"/>
    </row>
    <row r="12450" spans="2:21" x14ac:dyDescent="0.2">
      <c r="B12450" s="203"/>
      <c r="C12450" s="237"/>
      <c r="D12450" s="202"/>
      <c r="E12450" s="202"/>
      <c r="U12450" s="204"/>
    </row>
    <row r="12451" spans="2:21" x14ac:dyDescent="0.2">
      <c r="B12451" s="203"/>
      <c r="C12451" s="237"/>
      <c r="D12451" s="202"/>
      <c r="E12451" s="202"/>
      <c r="U12451" s="204"/>
    </row>
    <row r="12452" spans="2:21" x14ac:dyDescent="0.2">
      <c r="B12452" s="203"/>
      <c r="C12452" s="237"/>
      <c r="D12452" s="202"/>
      <c r="E12452" s="202"/>
      <c r="U12452" s="204"/>
    </row>
    <row r="12453" spans="2:21" x14ac:dyDescent="0.2">
      <c r="B12453" s="203"/>
      <c r="C12453" s="237"/>
      <c r="D12453" s="202"/>
      <c r="E12453" s="202"/>
      <c r="U12453" s="204"/>
    </row>
    <row r="12454" spans="2:21" x14ac:dyDescent="0.2">
      <c r="B12454" s="203"/>
      <c r="C12454" s="237"/>
      <c r="D12454" s="202"/>
      <c r="E12454" s="202"/>
      <c r="U12454" s="204"/>
    </row>
    <row r="12455" spans="2:21" x14ac:dyDescent="0.2">
      <c r="B12455" s="203"/>
      <c r="C12455" s="237"/>
      <c r="D12455" s="202"/>
      <c r="E12455" s="202"/>
      <c r="U12455" s="204"/>
    </row>
    <row r="12456" spans="2:21" x14ac:dyDescent="0.2">
      <c r="B12456" s="203"/>
      <c r="C12456" s="237"/>
      <c r="D12456" s="202"/>
      <c r="E12456" s="202"/>
      <c r="U12456" s="204"/>
    </row>
    <row r="12457" spans="2:21" x14ac:dyDescent="0.2">
      <c r="B12457" s="203"/>
      <c r="C12457" s="237"/>
      <c r="D12457" s="202"/>
      <c r="E12457" s="202"/>
      <c r="U12457" s="204"/>
    </row>
    <row r="12458" spans="2:21" x14ac:dyDescent="0.2">
      <c r="B12458" s="203"/>
      <c r="C12458" s="237"/>
      <c r="D12458" s="202"/>
      <c r="E12458" s="202"/>
      <c r="U12458" s="204"/>
    </row>
    <row r="12459" spans="2:21" x14ac:dyDescent="0.2">
      <c r="B12459" s="203"/>
      <c r="C12459" s="237"/>
      <c r="D12459" s="202"/>
      <c r="E12459" s="202"/>
      <c r="U12459" s="204"/>
    </row>
    <row r="12460" spans="2:21" x14ac:dyDescent="0.2">
      <c r="B12460" s="203"/>
      <c r="C12460" s="237"/>
      <c r="D12460" s="202"/>
      <c r="E12460" s="202"/>
      <c r="U12460" s="204"/>
    </row>
    <row r="12461" spans="2:21" x14ac:dyDescent="0.2">
      <c r="B12461" s="203"/>
      <c r="C12461" s="237"/>
      <c r="D12461" s="202"/>
      <c r="E12461" s="202"/>
      <c r="U12461" s="204"/>
    </row>
    <row r="12462" spans="2:21" x14ac:dyDescent="0.2">
      <c r="B12462" s="203"/>
      <c r="C12462" s="237"/>
      <c r="D12462" s="202"/>
      <c r="E12462" s="202"/>
      <c r="U12462" s="204"/>
    </row>
    <row r="12463" spans="2:21" x14ac:dyDescent="0.2">
      <c r="B12463" s="203"/>
      <c r="C12463" s="237"/>
      <c r="D12463" s="202"/>
      <c r="E12463" s="202"/>
      <c r="U12463" s="204"/>
    </row>
    <row r="12464" spans="2:21" x14ac:dyDescent="0.2">
      <c r="B12464" s="203"/>
      <c r="C12464" s="237"/>
      <c r="D12464" s="202"/>
      <c r="E12464" s="202"/>
      <c r="U12464" s="204"/>
    </row>
    <row r="12465" spans="2:21" x14ac:dyDescent="0.2">
      <c r="B12465" s="203"/>
      <c r="C12465" s="237"/>
      <c r="D12465" s="202"/>
      <c r="E12465" s="202"/>
      <c r="U12465" s="204"/>
    </row>
    <row r="12466" spans="2:21" x14ac:dyDescent="0.2">
      <c r="B12466" s="203"/>
      <c r="C12466" s="237"/>
      <c r="D12466" s="202"/>
      <c r="E12466" s="202"/>
      <c r="U12466" s="204"/>
    </row>
    <row r="12467" spans="2:21" x14ac:dyDescent="0.2">
      <c r="B12467" s="203"/>
      <c r="C12467" s="237"/>
      <c r="D12467" s="202"/>
      <c r="E12467" s="202"/>
      <c r="U12467" s="204"/>
    </row>
    <row r="12468" spans="2:21" x14ac:dyDescent="0.2">
      <c r="B12468" s="203"/>
      <c r="C12468" s="237"/>
      <c r="D12468" s="202"/>
      <c r="E12468" s="202"/>
      <c r="U12468" s="204"/>
    </row>
    <row r="12469" spans="2:21" x14ac:dyDescent="0.2">
      <c r="B12469" s="203"/>
      <c r="C12469" s="237"/>
      <c r="D12469" s="202"/>
      <c r="E12469" s="202"/>
      <c r="U12469" s="204"/>
    </row>
    <row r="12470" spans="2:21" x14ac:dyDescent="0.2">
      <c r="B12470" s="203"/>
      <c r="C12470" s="237"/>
      <c r="D12470" s="202"/>
      <c r="E12470" s="202"/>
      <c r="U12470" s="204"/>
    </row>
    <row r="12471" spans="2:21" x14ac:dyDescent="0.2">
      <c r="B12471" s="203"/>
      <c r="C12471" s="237"/>
      <c r="D12471" s="202"/>
      <c r="E12471" s="202"/>
      <c r="U12471" s="204"/>
    </row>
    <row r="12472" spans="2:21" x14ac:dyDescent="0.2">
      <c r="B12472" s="203"/>
      <c r="C12472" s="237"/>
      <c r="D12472" s="202"/>
      <c r="E12472" s="202"/>
      <c r="U12472" s="204"/>
    </row>
    <row r="12473" spans="2:21" x14ac:dyDescent="0.2">
      <c r="B12473" s="203"/>
      <c r="C12473" s="237"/>
      <c r="D12473" s="202"/>
      <c r="E12473" s="202"/>
      <c r="U12473" s="204"/>
    </row>
    <row r="12474" spans="2:21" x14ac:dyDescent="0.2">
      <c r="B12474" s="203"/>
      <c r="C12474" s="237"/>
      <c r="D12474" s="202"/>
      <c r="E12474" s="202"/>
      <c r="U12474" s="204"/>
    </row>
    <row r="12475" spans="2:21" x14ac:dyDescent="0.2">
      <c r="B12475" s="203"/>
      <c r="C12475" s="237"/>
      <c r="D12475" s="202"/>
      <c r="E12475" s="202"/>
      <c r="U12475" s="204"/>
    </row>
    <row r="12476" spans="2:21" x14ac:dyDescent="0.2">
      <c r="B12476" s="203"/>
      <c r="C12476" s="237"/>
      <c r="D12476" s="202"/>
      <c r="E12476" s="202"/>
      <c r="U12476" s="204"/>
    </row>
    <row r="12477" spans="2:21" x14ac:dyDescent="0.2">
      <c r="B12477" s="203"/>
      <c r="C12477" s="237"/>
      <c r="D12477" s="202"/>
      <c r="E12477" s="202"/>
      <c r="U12477" s="204"/>
    </row>
    <row r="12478" spans="2:21" x14ac:dyDescent="0.2">
      <c r="B12478" s="203"/>
      <c r="C12478" s="237"/>
      <c r="D12478" s="202"/>
      <c r="E12478" s="202"/>
      <c r="U12478" s="204"/>
    </row>
    <row r="12479" spans="2:21" x14ac:dyDescent="0.2">
      <c r="B12479" s="203"/>
      <c r="C12479" s="237"/>
      <c r="D12479" s="202"/>
      <c r="E12479" s="202"/>
      <c r="U12479" s="204"/>
    </row>
    <row r="12480" spans="2:21" x14ac:dyDescent="0.2">
      <c r="B12480" s="203"/>
      <c r="C12480" s="237"/>
      <c r="D12480" s="202"/>
      <c r="E12480" s="202"/>
      <c r="U12480" s="204"/>
    </row>
    <row r="12481" spans="2:21" x14ac:dyDescent="0.2">
      <c r="B12481" s="203"/>
      <c r="C12481" s="237"/>
      <c r="D12481" s="202"/>
      <c r="E12481" s="202"/>
      <c r="U12481" s="204"/>
    </row>
    <row r="12482" spans="2:21" x14ac:dyDescent="0.2">
      <c r="B12482" s="203"/>
      <c r="C12482" s="237"/>
      <c r="D12482" s="202"/>
      <c r="E12482" s="202"/>
      <c r="U12482" s="204"/>
    </row>
    <row r="12483" spans="2:21" x14ac:dyDescent="0.2">
      <c r="B12483" s="203"/>
      <c r="C12483" s="237"/>
      <c r="D12483" s="202"/>
      <c r="E12483" s="202"/>
      <c r="U12483" s="204"/>
    </row>
    <row r="12484" spans="2:21" x14ac:dyDescent="0.2">
      <c r="B12484" s="203"/>
      <c r="C12484" s="237"/>
      <c r="D12484" s="202"/>
      <c r="E12484" s="202"/>
      <c r="U12484" s="204"/>
    </row>
    <row r="12485" spans="2:21" x14ac:dyDescent="0.2">
      <c r="B12485" s="203"/>
      <c r="C12485" s="237"/>
      <c r="D12485" s="202"/>
      <c r="E12485" s="202"/>
      <c r="U12485" s="204"/>
    </row>
    <row r="12486" spans="2:21" x14ac:dyDescent="0.2">
      <c r="B12486" s="203"/>
      <c r="C12486" s="237"/>
      <c r="D12486" s="202"/>
      <c r="E12486" s="202"/>
      <c r="U12486" s="204"/>
    </row>
    <row r="12487" spans="2:21" x14ac:dyDescent="0.2">
      <c r="B12487" s="203"/>
      <c r="C12487" s="237"/>
      <c r="D12487" s="202"/>
      <c r="E12487" s="202"/>
      <c r="U12487" s="204"/>
    </row>
    <row r="12488" spans="2:21" x14ac:dyDescent="0.2">
      <c r="B12488" s="203"/>
      <c r="C12488" s="237"/>
      <c r="D12488" s="202"/>
      <c r="E12488" s="202"/>
      <c r="U12488" s="204"/>
    </row>
    <row r="12489" spans="2:21" x14ac:dyDescent="0.2">
      <c r="B12489" s="203"/>
      <c r="C12489" s="237"/>
      <c r="D12489" s="202"/>
      <c r="E12489" s="202"/>
      <c r="U12489" s="204"/>
    </row>
    <row r="12490" spans="2:21" x14ac:dyDescent="0.2">
      <c r="B12490" s="203"/>
      <c r="C12490" s="237"/>
      <c r="D12490" s="202"/>
      <c r="E12490" s="202"/>
      <c r="U12490" s="204"/>
    </row>
    <row r="12491" spans="2:21" x14ac:dyDescent="0.2">
      <c r="B12491" s="203"/>
      <c r="C12491" s="237"/>
      <c r="D12491" s="202"/>
      <c r="E12491" s="202"/>
      <c r="U12491" s="204"/>
    </row>
    <row r="12492" spans="2:21" x14ac:dyDescent="0.2">
      <c r="B12492" s="203"/>
      <c r="C12492" s="237"/>
      <c r="D12492" s="202"/>
      <c r="E12492" s="202"/>
      <c r="U12492" s="204"/>
    </row>
    <row r="12493" spans="2:21" x14ac:dyDescent="0.2">
      <c r="B12493" s="203"/>
      <c r="C12493" s="237"/>
      <c r="D12493" s="202"/>
      <c r="E12493" s="202"/>
      <c r="U12493" s="204"/>
    </row>
    <row r="12494" spans="2:21" x14ac:dyDescent="0.2">
      <c r="B12494" s="203"/>
      <c r="C12494" s="237"/>
      <c r="D12494" s="202"/>
      <c r="E12494" s="202"/>
      <c r="U12494" s="204"/>
    </row>
    <row r="12495" spans="2:21" x14ac:dyDescent="0.2">
      <c r="B12495" s="203"/>
      <c r="C12495" s="237"/>
      <c r="D12495" s="202"/>
      <c r="E12495" s="202"/>
      <c r="U12495" s="204"/>
    </row>
    <row r="12496" spans="2:21" x14ac:dyDescent="0.2">
      <c r="B12496" s="203"/>
      <c r="C12496" s="237"/>
      <c r="D12496" s="202"/>
      <c r="E12496" s="202"/>
      <c r="U12496" s="204"/>
    </row>
    <row r="12497" spans="2:21" x14ac:dyDescent="0.2">
      <c r="B12497" s="203"/>
      <c r="C12497" s="237"/>
      <c r="D12497" s="202"/>
      <c r="E12497" s="202"/>
      <c r="U12497" s="204"/>
    </row>
    <row r="12498" spans="2:21" x14ac:dyDescent="0.2">
      <c r="B12498" s="203"/>
      <c r="C12498" s="237"/>
      <c r="D12498" s="202"/>
      <c r="E12498" s="202"/>
      <c r="U12498" s="204"/>
    </row>
    <row r="12499" spans="2:21" x14ac:dyDescent="0.2">
      <c r="B12499" s="203"/>
      <c r="C12499" s="237"/>
      <c r="D12499" s="202"/>
      <c r="E12499" s="202"/>
      <c r="U12499" s="204"/>
    </row>
    <row r="12500" spans="2:21" x14ac:dyDescent="0.2">
      <c r="B12500" s="203"/>
      <c r="C12500" s="237"/>
      <c r="D12500" s="202"/>
      <c r="E12500" s="202"/>
      <c r="U12500" s="204"/>
    </row>
    <row r="12501" spans="2:21" x14ac:dyDescent="0.2">
      <c r="B12501" s="203"/>
      <c r="C12501" s="237"/>
      <c r="D12501" s="202"/>
      <c r="E12501" s="202"/>
      <c r="U12501" s="204"/>
    </row>
    <row r="12502" spans="2:21" x14ac:dyDescent="0.2">
      <c r="B12502" s="203"/>
      <c r="C12502" s="237"/>
      <c r="D12502" s="202"/>
      <c r="E12502" s="202"/>
      <c r="U12502" s="204"/>
    </row>
    <row r="12503" spans="2:21" x14ac:dyDescent="0.2">
      <c r="B12503" s="203"/>
      <c r="C12503" s="237"/>
      <c r="D12503" s="202"/>
      <c r="E12503" s="202"/>
      <c r="U12503" s="204"/>
    </row>
    <row r="12504" spans="2:21" x14ac:dyDescent="0.2">
      <c r="B12504" s="203"/>
      <c r="C12504" s="237"/>
      <c r="D12504" s="202"/>
      <c r="E12504" s="202"/>
      <c r="U12504" s="204"/>
    </row>
    <row r="12505" spans="2:21" x14ac:dyDescent="0.2">
      <c r="B12505" s="203"/>
      <c r="C12505" s="237"/>
      <c r="D12505" s="202"/>
      <c r="E12505" s="202"/>
      <c r="U12505" s="204"/>
    </row>
    <row r="12506" spans="2:21" x14ac:dyDescent="0.2">
      <c r="B12506" s="203"/>
      <c r="C12506" s="237"/>
      <c r="D12506" s="202"/>
      <c r="E12506" s="202"/>
      <c r="U12506" s="204"/>
    </row>
    <row r="12507" spans="2:21" x14ac:dyDescent="0.2">
      <c r="B12507" s="203"/>
      <c r="C12507" s="237"/>
      <c r="D12507" s="202"/>
      <c r="E12507" s="202"/>
      <c r="U12507" s="204"/>
    </row>
    <row r="12508" spans="2:21" x14ac:dyDescent="0.2">
      <c r="B12508" s="203"/>
      <c r="C12508" s="237"/>
      <c r="D12508" s="202"/>
      <c r="E12508" s="202"/>
      <c r="U12508" s="204"/>
    </row>
    <row r="12509" spans="2:21" x14ac:dyDescent="0.2">
      <c r="B12509" s="203"/>
      <c r="C12509" s="237"/>
      <c r="D12509" s="202"/>
      <c r="E12509" s="202"/>
      <c r="U12509" s="204"/>
    </row>
    <row r="12510" spans="2:21" x14ac:dyDescent="0.2">
      <c r="B12510" s="203"/>
      <c r="C12510" s="237"/>
      <c r="D12510" s="202"/>
      <c r="E12510" s="202"/>
      <c r="U12510" s="204"/>
    </row>
    <row r="12511" spans="2:21" x14ac:dyDescent="0.2">
      <c r="B12511" s="203"/>
      <c r="C12511" s="237"/>
      <c r="D12511" s="202"/>
      <c r="E12511" s="202"/>
      <c r="U12511" s="204"/>
    </row>
    <row r="12512" spans="2:21" x14ac:dyDescent="0.2">
      <c r="B12512" s="203"/>
      <c r="C12512" s="237"/>
      <c r="D12512" s="202"/>
      <c r="E12512" s="202"/>
      <c r="U12512" s="204"/>
    </row>
    <row r="12513" spans="2:21" x14ac:dyDescent="0.2">
      <c r="B12513" s="203"/>
      <c r="C12513" s="237"/>
      <c r="D12513" s="202"/>
      <c r="E12513" s="202"/>
      <c r="U12513" s="204"/>
    </row>
    <row r="12514" spans="2:21" x14ac:dyDescent="0.2">
      <c r="B12514" s="203"/>
      <c r="C12514" s="237"/>
      <c r="D12514" s="202"/>
      <c r="E12514" s="202"/>
      <c r="U12514" s="204"/>
    </row>
    <row r="12515" spans="2:21" x14ac:dyDescent="0.2">
      <c r="B12515" s="203"/>
      <c r="C12515" s="237"/>
      <c r="D12515" s="202"/>
      <c r="E12515" s="202"/>
      <c r="U12515" s="204"/>
    </row>
    <row r="12516" spans="2:21" x14ac:dyDescent="0.2">
      <c r="B12516" s="203"/>
      <c r="C12516" s="237"/>
      <c r="D12516" s="202"/>
      <c r="E12516" s="202"/>
      <c r="U12516" s="204"/>
    </row>
    <row r="12517" spans="2:21" x14ac:dyDescent="0.2">
      <c r="B12517" s="203"/>
      <c r="C12517" s="237"/>
      <c r="D12517" s="202"/>
      <c r="E12517" s="202"/>
      <c r="U12517" s="204"/>
    </row>
    <row r="12518" spans="2:21" x14ac:dyDescent="0.2">
      <c r="B12518" s="203"/>
      <c r="C12518" s="237"/>
      <c r="D12518" s="202"/>
      <c r="E12518" s="202"/>
      <c r="U12518" s="204"/>
    </row>
    <row r="12519" spans="2:21" x14ac:dyDescent="0.2">
      <c r="B12519" s="203"/>
      <c r="C12519" s="237"/>
      <c r="D12519" s="202"/>
      <c r="E12519" s="202"/>
      <c r="U12519" s="204"/>
    </row>
    <row r="12520" spans="2:21" x14ac:dyDescent="0.2">
      <c r="B12520" s="203"/>
      <c r="C12520" s="237"/>
      <c r="D12520" s="202"/>
      <c r="E12520" s="202"/>
      <c r="U12520" s="204"/>
    </row>
    <row r="12521" spans="2:21" x14ac:dyDescent="0.2">
      <c r="B12521" s="203"/>
      <c r="C12521" s="237"/>
      <c r="D12521" s="202"/>
      <c r="E12521" s="202"/>
      <c r="U12521" s="204"/>
    </row>
    <row r="12522" spans="2:21" x14ac:dyDescent="0.2">
      <c r="B12522" s="203"/>
      <c r="C12522" s="237"/>
      <c r="D12522" s="202"/>
      <c r="E12522" s="202"/>
      <c r="U12522" s="204"/>
    </row>
    <row r="12523" spans="2:21" x14ac:dyDescent="0.2">
      <c r="B12523" s="203"/>
      <c r="C12523" s="237"/>
      <c r="D12523" s="202"/>
      <c r="E12523" s="202"/>
      <c r="U12523" s="204"/>
    </row>
    <row r="12524" spans="2:21" x14ac:dyDescent="0.2">
      <c r="B12524" s="203"/>
      <c r="C12524" s="237"/>
      <c r="D12524" s="202"/>
      <c r="E12524" s="202"/>
      <c r="U12524" s="204"/>
    </row>
    <row r="12525" spans="2:21" x14ac:dyDescent="0.2">
      <c r="B12525" s="203"/>
      <c r="C12525" s="237"/>
      <c r="D12525" s="202"/>
      <c r="E12525" s="202"/>
      <c r="U12525" s="204"/>
    </row>
    <row r="12526" spans="2:21" x14ac:dyDescent="0.2">
      <c r="B12526" s="203"/>
      <c r="C12526" s="237"/>
      <c r="D12526" s="202"/>
      <c r="E12526" s="202"/>
      <c r="U12526" s="204"/>
    </row>
    <row r="12527" spans="2:21" x14ac:dyDescent="0.2">
      <c r="B12527" s="203"/>
      <c r="C12527" s="237"/>
      <c r="D12527" s="202"/>
      <c r="E12527" s="202"/>
      <c r="U12527" s="204"/>
    </row>
    <row r="12528" spans="2:21" x14ac:dyDescent="0.2">
      <c r="B12528" s="203"/>
      <c r="C12528" s="237"/>
      <c r="D12528" s="202"/>
      <c r="E12528" s="202"/>
      <c r="U12528" s="204"/>
    </row>
    <row r="12529" spans="2:21" x14ac:dyDescent="0.2">
      <c r="B12529" s="203"/>
      <c r="C12529" s="237"/>
      <c r="D12529" s="202"/>
      <c r="E12529" s="202"/>
      <c r="U12529" s="204"/>
    </row>
    <row r="12530" spans="2:21" x14ac:dyDescent="0.2">
      <c r="B12530" s="203"/>
      <c r="C12530" s="237"/>
      <c r="D12530" s="202"/>
      <c r="E12530" s="202"/>
      <c r="U12530" s="204"/>
    </row>
    <row r="12531" spans="2:21" x14ac:dyDescent="0.2">
      <c r="B12531" s="203"/>
      <c r="C12531" s="237"/>
      <c r="D12531" s="202"/>
      <c r="E12531" s="202"/>
      <c r="U12531" s="204"/>
    </row>
    <row r="12532" spans="2:21" x14ac:dyDescent="0.2">
      <c r="B12532" s="203"/>
      <c r="C12532" s="237"/>
      <c r="D12532" s="202"/>
      <c r="E12532" s="202"/>
      <c r="U12532" s="204"/>
    </row>
    <row r="12533" spans="2:21" x14ac:dyDescent="0.2">
      <c r="B12533" s="203"/>
      <c r="C12533" s="237"/>
      <c r="D12533" s="202"/>
      <c r="E12533" s="202"/>
      <c r="U12533" s="204"/>
    </row>
    <row r="12534" spans="2:21" x14ac:dyDescent="0.2">
      <c r="B12534" s="203"/>
      <c r="C12534" s="237"/>
      <c r="D12534" s="202"/>
      <c r="E12534" s="202"/>
      <c r="U12534" s="204"/>
    </row>
    <row r="12535" spans="2:21" x14ac:dyDescent="0.2">
      <c r="B12535" s="203"/>
      <c r="C12535" s="237"/>
      <c r="D12535" s="202"/>
      <c r="E12535" s="202"/>
      <c r="U12535" s="204"/>
    </row>
    <row r="12536" spans="2:21" x14ac:dyDescent="0.2">
      <c r="B12536" s="203"/>
      <c r="C12536" s="237"/>
      <c r="D12536" s="202"/>
      <c r="E12536" s="202"/>
      <c r="U12536" s="204"/>
    </row>
    <row r="12537" spans="2:21" x14ac:dyDescent="0.2">
      <c r="B12537" s="203"/>
      <c r="C12537" s="237"/>
      <c r="D12537" s="202"/>
      <c r="E12537" s="202"/>
      <c r="U12537" s="204"/>
    </row>
    <row r="12538" spans="2:21" x14ac:dyDescent="0.2">
      <c r="B12538" s="203"/>
      <c r="C12538" s="237"/>
      <c r="D12538" s="202"/>
      <c r="E12538" s="202"/>
      <c r="U12538" s="204"/>
    </row>
    <row r="12539" spans="2:21" x14ac:dyDescent="0.2">
      <c r="B12539" s="203"/>
      <c r="C12539" s="237"/>
      <c r="D12539" s="202"/>
      <c r="E12539" s="202"/>
      <c r="U12539" s="204"/>
    </row>
    <row r="12540" spans="2:21" x14ac:dyDescent="0.2">
      <c r="B12540" s="203"/>
      <c r="C12540" s="237"/>
      <c r="D12540" s="202"/>
      <c r="E12540" s="202"/>
      <c r="U12540" s="204"/>
    </row>
    <row r="12541" spans="2:21" x14ac:dyDescent="0.2">
      <c r="B12541" s="203"/>
      <c r="C12541" s="237"/>
      <c r="D12541" s="202"/>
      <c r="E12541" s="202"/>
      <c r="U12541" s="204"/>
    </row>
    <row r="12542" spans="2:21" x14ac:dyDescent="0.2">
      <c r="B12542" s="203"/>
      <c r="C12542" s="237"/>
      <c r="D12542" s="202"/>
      <c r="E12542" s="202"/>
      <c r="U12542" s="204"/>
    </row>
    <row r="12543" spans="2:21" x14ac:dyDescent="0.2">
      <c r="B12543" s="203"/>
      <c r="C12543" s="237"/>
      <c r="D12543" s="202"/>
      <c r="E12543" s="202"/>
      <c r="U12543" s="204"/>
    </row>
    <row r="12544" spans="2:21" x14ac:dyDescent="0.2">
      <c r="B12544" s="203"/>
      <c r="C12544" s="237"/>
      <c r="D12544" s="202"/>
      <c r="E12544" s="202"/>
      <c r="U12544" s="204"/>
    </row>
    <row r="12545" spans="2:21" x14ac:dyDescent="0.2">
      <c r="B12545" s="203"/>
      <c r="C12545" s="237"/>
      <c r="D12545" s="202"/>
      <c r="E12545" s="202"/>
      <c r="U12545" s="204"/>
    </row>
    <row r="12546" spans="2:21" x14ac:dyDescent="0.2">
      <c r="B12546" s="203"/>
      <c r="C12546" s="237"/>
      <c r="D12546" s="202"/>
      <c r="E12546" s="202"/>
      <c r="U12546" s="204"/>
    </row>
    <row r="12547" spans="2:21" x14ac:dyDescent="0.2">
      <c r="B12547" s="203"/>
      <c r="C12547" s="237"/>
      <c r="D12547" s="202"/>
      <c r="E12547" s="202"/>
      <c r="U12547" s="204"/>
    </row>
    <row r="12548" spans="2:21" x14ac:dyDescent="0.2">
      <c r="B12548" s="203"/>
      <c r="C12548" s="237"/>
      <c r="D12548" s="202"/>
      <c r="E12548" s="202"/>
      <c r="U12548" s="204"/>
    </row>
    <row r="12549" spans="2:21" x14ac:dyDescent="0.2">
      <c r="B12549" s="203"/>
      <c r="C12549" s="237"/>
      <c r="D12549" s="202"/>
      <c r="E12549" s="202"/>
      <c r="U12549" s="204"/>
    </row>
    <row r="12550" spans="2:21" x14ac:dyDescent="0.2">
      <c r="B12550" s="203"/>
      <c r="C12550" s="237"/>
      <c r="D12550" s="202"/>
      <c r="E12550" s="202"/>
      <c r="U12550" s="204"/>
    </row>
    <row r="12551" spans="2:21" x14ac:dyDescent="0.2">
      <c r="B12551" s="203"/>
      <c r="C12551" s="237"/>
      <c r="D12551" s="202"/>
      <c r="E12551" s="202"/>
      <c r="U12551" s="204"/>
    </row>
    <row r="12552" spans="2:21" x14ac:dyDescent="0.2">
      <c r="B12552" s="203"/>
      <c r="C12552" s="237"/>
      <c r="D12552" s="202"/>
      <c r="E12552" s="202"/>
      <c r="U12552" s="204"/>
    </row>
    <row r="12553" spans="2:21" x14ac:dyDescent="0.2">
      <c r="B12553" s="203"/>
      <c r="C12553" s="237"/>
      <c r="D12553" s="202"/>
      <c r="E12553" s="202"/>
      <c r="U12553" s="204"/>
    </row>
    <row r="12554" spans="2:21" x14ac:dyDescent="0.2">
      <c r="B12554" s="203"/>
      <c r="C12554" s="237"/>
      <c r="D12554" s="202"/>
      <c r="E12554" s="202"/>
      <c r="U12554" s="204"/>
    </row>
    <row r="12555" spans="2:21" x14ac:dyDescent="0.2">
      <c r="B12555" s="203"/>
      <c r="C12555" s="237"/>
      <c r="D12555" s="202"/>
      <c r="E12555" s="202"/>
      <c r="U12555" s="204"/>
    </row>
    <row r="12556" spans="2:21" x14ac:dyDescent="0.2">
      <c r="B12556" s="203"/>
      <c r="C12556" s="237"/>
      <c r="D12556" s="202"/>
      <c r="E12556" s="202"/>
      <c r="U12556" s="204"/>
    </row>
    <row r="12557" spans="2:21" x14ac:dyDescent="0.2">
      <c r="B12557" s="203"/>
      <c r="C12557" s="237"/>
      <c r="D12557" s="202"/>
      <c r="E12557" s="202"/>
      <c r="U12557" s="204"/>
    </row>
    <row r="12558" spans="2:21" x14ac:dyDescent="0.2">
      <c r="B12558" s="203"/>
      <c r="C12558" s="237"/>
      <c r="D12558" s="202"/>
      <c r="E12558" s="202"/>
      <c r="U12558" s="204"/>
    </row>
    <row r="12559" spans="2:21" x14ac:dyDescent="0.2">
      <c r="B12559" s="203"/>
      <c r="C12559" s="237"/>
      <c r="D12559" s="202"/>
      <c r="E12559" s="202"/>
      <c r="U12559" s="204"/>
    </row>
    <row r="12560" spans="2:21" x14ac:dyDescent="0.2">
      <c r="B12560" s="203"/>
      <c r="C12560" s="237"/>
      <c r="D12560" s="202"/>
      <c r="E12560" s="202"/>
      <c r="U12560" s="204"/>
    </row>
    <row r="12561" spans="2:21" x14ac:dyDescent="0.2">
      <c r="B12561" s="203"/>
      <c r="C12561" s="237"/>
      <c r="D12561" s="202"/>
      <c r="E12561" s="202"/>
      <c r="U12561" s="204"/>
    </row>
    <row r="12562" spans="2:21" x14ac:dyDescent="0.2">
      <c r="B12562" s="203"/>
      <c r="C12562" s="237"/>
      <c r="D12562" s="202"/>
      <c r="E12562" s="202"/>
      <c r="U12562" s="204"/>
    </row>
    <row r="12563" spans="2:21" x14ac:dyDescent="0.2">
      <c r="B12563" s="203"/>
      <c r="C12563" s="237"/>
      <c r="D12563" s="202"/>
      <c r="E12563" s="202"/>
      <c r="U12563" s="204"/>
    </row>
    <row r="12564" spans="2:21" x14ac:dyDescent="0.2">
      <c r="B12564" s="203"/>
      <c r="C12564" s="237"/>
      <c r="D12564" s="202"/>
      <c r="E12564" s="202"/>
      <c r="U12564" s="204"/>
    </row>
    <row r="12565" spans="2:21" x14ac:dyDescent="0.2">
      <c r="B12565" s="203"/>
      <c r="C12565" s="237"/>
      <c r="D12565" s="202"/>
      <c r="E12565" s="202"/>
      <c r="U12565" s="204"/>
    </row>
    <row r="12566" spans="2:21" x14ac:dyDescent="0.2">
      <c r="B12566" s="203"/>
      <c r="C12566" s="237"/>
      <c r="D12566" s="202"/>
      <c r="E12566" s="202"/>
      <c r="U12566" s="204"/>
    </row>
    <row r="12567" spans="2:21" x14ac:dyDescent="0.2">
      <c r="B12567" s="203"/>
      <c r="C12567" s="237"/>
      <c r="D12567" s="202"/>
      <c r="E12567" s="202"/>
      <c r="U12567" s="204"/>
    </row>
    <row r="12568" spans="2:21" x14ac:dyDescent="0.2">
      <c r="B12568" s="203"/>
      <c r="C12568" s="237"/>
      <c r="D12568" s="202"/>
      <c r="E12568" s="202"/>
      <c r="U12568" s="204"/>
    </row>
    <row r="12569" spans="2:21" x14ac:dyDescent="0.2">
      <c r="B12569" s="203"/>
      <c r="C12569" s="237"/>
      <c r="D12569" s="202"/>
      <c r="E12569" s="202"/>
      <c r="U12569" s="204"/>
    </row>
    <row r="12570" spans="2:21" x14ac:dyDescent="0.2">
      <c r="B12570" s="203"/>
      <c r="C12570" s="237"/>
      <c r="D12570" s="202"/>
      <c r="E12570" s="202"/>
      <c r="U12570" s="204"/>
    </row>
    <row r="12571" spans="2:21" x14ac:dyDescent="0.2">
      <c r="B12571" s="203"/>
      <c r="C12571" s="237"/>
      <c r="D12571" s="202"/>
      <c r="E12571" s="202"/>
      <c r="U12571" s="204"/>
    </row>
    <row r="12572" spans="2:21" x14ac:dyDescent="0.2">
      <c r="B12572" s="203"/>
      <c r="C12572" s="237"/>
      <c r="D12572" s="202"/>
      <c r="E12572" s="202"/>
      <c r="U12572" s="204"/>
    </row>
    <row r="12573" spans="2:21" x14ac:dyDescent="0.2">
      <c r="B12573" s="203"/>
      <c r="C12573" s="237"/>
      <c r="D12573" s="202"/>
      <c r="E12573" s="202"/>
      <c r="U12573" s="204"/>
    </row>
    <row r="12574" spans="2:21" x14ac:dyDescent="0.2">
      <c r="B12574" s="203"/>
      <c r="C12574" s="237"/>
      <c r="D12574" s="202"/>
      <c r="E12574" s="202"/>
      <c r="U12574" s="204"/>
    </row>
    <row r="12575" spans="2:21" x14ac:dyDescent="0.2">
      <c r="B12575" s="203"/>
      <c r="C12575" s="237"/>
      <c r="D12575" s="202"/>
      <c r="E12575" s="202"/>
      <c r="U12575" s="204"/>
    </row>
    <row r="12576" spans="2:21" x14ac:dyDescent="0.2">
      <c r="B12576" s="203"/>
      <c r="C12576" s="237"/>
      <c r="D12576" s="202"/>
      <c r="E12576" s="202"/>
      <c r="U12576" s="204"/>
    </row>
    <row r="12577" spans="2:21" x14ac:dyDescent="0.2">
      <c r="B12577" s="203"/>
      <c r="C12577" s="237"/>
      <c r="D12577" s="202"/>
      <c r="E12577" s="202"/>
      <c r="U12577" s="204"/>
    </row>
    <row r="12578" spans="2:21" x14ac:dyDescent="0.2">
      <c r="B12578" s="203"/>
      <c r="C12578" s="237"/>
      <c r="D12578" s="202"/>
      <c r="E12578" s="202"/>
      <c r="U12578" s="204"/>
    </row>
    <row r="12579" spans="2:21" x14ac:dyDescent="0.2">
      <c r="B12579" s="203"/>
      <c r="C12579" s="237"/>
      <c r="D12579" s="202"/>
      <c r="E12579" s="202"/>
      <c r="U12579" s="204"/>
    </row>
    <row r="12580" spans="2:21" x14ac:dyDescent="0.2">
      <c r="B12580" s="203"/>
      <c r="C12580" s="237"/>
      <c r="D12580" s="202"/>
      <c r="E12580" s="202"/>
      <c r="U12580" s="204"/>
    </row>
    <row r="12581" spans="2:21" x14ac:dyDescent="0.2">
      <c r="B12581" s="203"/>
      <c r="C12581" s="237"/>
      <c r="D12581" s="202"/>
      <c r="E12581" s="202"/>
      <c r="U12581" s="204"/>
    </row>
    <row r="12582" spans="2:21" x14ac:dyDescent="0.2">
      <c r="B12582" s="203"/>
      <c r="C12582" s="237"/>
      <c r="D12582" s="202"/>
      <c r="E12582" s="202"/>
      <c r="U12582" s="204"/>
    </row>
    <row r="12583" spans="2:21" x14ac:dyDescent="0.2">
      <c r="B12583" s="203"/>
      <c r="C12583" s="237"/>
      <c r="D12583" s="202"/>
      <c r="E12583" s="202"/>
      <c r="U12583" s="204"/>
    </row>
    <row r="12584" spans="2:21" x14ac:dyDescent="0.2">
      <c r="B12584" s="203"/>
      <c r="C12584" s="237"/>
      <c r="D12584" s="202"/>
      <c r="E12584" s="202"/>
      <c r="U12584" s="204"/>
    </row>
    <row r="12585" spans="2:21" x14ac:dyDescent="0.2">
      <c r="B12585" s="203"/>
      <c r="C12585" s="237"/>
      <c r="D12585" s="202"/>
      <c r="E12585" s="202"/>
      <c r="U12585" s="204"/>
    </row>
    <row r="12586" spans="2:21" x14ac:dyDescent="0.2">
      <c r="B12586" s="203"/>
      <c r="C12586" s="237"/>
      <c r="D12586" s="202"/>
      <c r="E12586" s="202"/>
      <c r="U12586" s="204"/>
    </row>
    <row r="12587" spans="2:21" x14ac:dyDescent="0.2">
      <c r="B12587" s="203"/>
      <c r="C12587" s="237"/>
      <c r="D12587" s="202"/>
      <c r="E12587" s="202"/>
      <c r="U12587" s="204"/>
    </row>
    <row r="12588" spans="2:21" x14ac:dyDescent="0.2">
      <c r="B12588" s="203"/>
      <c r="C12588" s="237"/>
      <c r="D12588" s="202"/>
      <c r="E12588" s="202"/>
      <c r="U12588" s="204"/>
    </row>
    <row r="12589" spans="2:21" x14ac:dyDescent="0.2">
      <c r="B12589" s="203"/>
      <c r="C12589" s="237"/>
      <c r="D12589" s="202"/>
      <c r="E12589" s="202"/>
      <c r="U12589" s="204"/>
    </row>
    <row r="12590" spans="2:21" x14ac:dyDescent="0.2">
      <c r="B12590" s="203"/>
      <c r="C12590" s="237"/>
      <c r="D12590" s="202"/>
      <c r="E12590" s="202"/>
      <c r="U12590" s="204"/>
    </row>
    <row r="12591" spans="2:21" x14ac:dyDescent="0.2">
      <c r="B12591" s="203"/>
      <c r="C12591" s="237"/>
      <c r="D12591" s="202"/>
      <c r="E12591" s="202"/>
      <c r="U12591" s="204"/>
    </row>
    <row r="12592" spans="2:21" x14ac:dyDescent="0.2">
      <c r="B12592" s="203"/>
      <c r="C12592" s="237"/>
      <c r="D12592" s="202"/>
      <c r="E12592" s="202"/>
      <c r="U12592" s="204"/>
    </row>
    <row r="12593" spans="2:21" x14ac:dyDescent="0.2">
      <c r="B12593" s="203"/>
      <c r="C12593" s="237"/>
      <c r="D12593" s="202"/>
      <c r="E12593" s="202"/>
      <c r="U12593" s="204"/>
    </row>
    <row r="12594" spans="2:21" x14ac:dyDescent="0.2">
      <c r="B12594" s="203"/>
      <c r="C12594" s="237"/>
      <c r="D12594" s="202"/>
      <c r="E12594" s="202"/>
      <c r="U12594" s="204"/>
    </row>
    <row r="12595" spans="2:21" x14ac:dyDescent="0.2">
      <c r="B12595" s="203"/>
      <c r="C12595" s="237"/>
      <c r="D12595" s="202"/>
      <c r="E12595" s="202"/>
      <c r="U12595" s="204"/>
    </row>
    <row r="12596" spans="2:21" x14ac:dyDescent="0.2">
      <c r="B12596" s="203"/>
      <c r="C12596" s="237"/>
      <c r="D12596" s="202"/>
      <c r="E12596" s="202"/>
      <c r="U12596" s="204"/>
    </row>
    <row r="12597" spans="2:21" x14ac:dyDescent="0.2">
      <c r="B12597" s="203"/>
      <c r="C12597" s="237"/>
      <c r="D12597" s="202"/>
      <c r="E12597" s="202"/>
      <c r="U12597" s="204"/>
    </row>
    <row r="12598" spans="2:21" x14ac:dyDescent="0.2">
      <c r="B12598" s="203"/>
      <c r="C12598" s="237"/>
      <c r="D12598" s="202"/>
      <c r="E12598" s="202"/>
      <c r="U12598" s="204"/>
    </row>
    <row r="12599" spans="2:21" x14ac:dyDescent="0.2">
      <c r="B12599" s="203"/>
      <c r="C12599" s="237"/>
      <c r="D12599" s="202"/>
      <c r="E12599" s="202"/>
      <c r="U12599" s="204"/>
    </row>
    <row r="12600" spans="2:21" x14ac:dyDescent="0.2">
      <c r="B12600" s="203"/>
      <c r="C12600" s="237"/>
      <c r="D12600" s="202"/>
      <c r="E12600" s="202"/>
      <c r="U12600" s="204"/>
    </row>
    <row r="12601" spans="2:21" x14ac:dyDescent="0.2">
      <c r="B12601" s="203"/>
      <c r="C12601" s="237"/>
      <c r="D12601" s="202"/>
      <c r="E12601" s="202"/>
      <c r="U12601" s="204"/>
    </row>
    <row r="12602" spans="2:21" x14ac:dyDescent="0.2">
      <c r="B12602" s="203"/>
      <c r="C12602" s="237"/>
      <c r="D12602" s="202"/>
      <c r="E12602" s="202"/>
      <c r="U12602" s="204"/>
    </row>
    <row r="12603" spans="2:21" x14ac:dyDescent="0.2">
      <c r="B12603" s="203"/>
      <c r="C12603" s="237"/>
      <c r="D12603" s="202"/>
      <c r="E12603" s="202"/>
      <c r="U12603" s="204"/>
    </row>
    <row r="12604" spans="2:21" x14ac:dyDescent="0.2">
      <c r="B12604" s="203"/>
      <c r="C12604" s="237"/>
      <c r="D12604" s="202"/>
      <c r="E12604" s="202"/>
      <c r="U12604" s="204"/>
    </row>
    <row r="12605" spans="2:21" x14ac:dyDescent="0.2">
      <c r="B12605" s="203"/>
      <c r="C12605" s="237"/>
      <c r="D12605" s="202"/>
      <c r="E12605" s="202"/>
      <c r="U12605" s="204"/>
    </row>
    <row r="12606" spans="2:21" x14ac:dyDescent="0.2">
      <c r="B12606" s="203"/>
      <c r="C12606" s="237"/>
      <c r="D12606" s="202"/>
      <c r="E12606" s="202"/>
      <c r="U12606" s="204"/>
    </row>
    <row r="12607" spans="2:21" x14ac:dyDescent="0.2">
      <c r="B12607" s="203"/>
      <c r="C12607" s="237"/>
      <c r="D12607" s="202"/>
      <c r="E12607" s="202"/>
      <c r="U12607" s="204"/>
    </row>
    <row r="12608" spans="2:21" x14ac:dyDescent="0.2">
      <c r="B12608" s="203"/>
      <c r="C12608" s="237"/>
      <c r="D12608" s="202"/>
      <c r="E12608" s="202"/>
      <c r="U12608" s="204"/>
    </row>
    <row r="12609" spans="2:21" x14ac:dyDescent="0.2">
      <c r="B12609" s="203"/>
      <c r="C12609" s="237"/>
      <c r="D12609" s="202"/>
      <c r="E12609" s="202"/>
      <c r="U12609" s="204"/>
    </row>
    <row r="12610" spans="2:21" x14ac:dyDescent="0.2">
      <c r="B12610" s="203"/>
      <c r="C12610" s="237"/>
      <c r="D12610" s="202"/>
      <c r="E12610" s="202"/>
      <c r="U12610" s="204"/>
    </row>
    <row r="12611" spans="2:21" x14ac:dyDescent="0.2">
      <c r="B12611" s="203"/>
      <c r="C12611" s="237"/>
      <c r="D12611" s="202"/>
      <c r="E12611" s="202"/>
      <c r="U12611" s="204"/>
    </row>
    <row r="12612" spans="2:21" x14ac:dyDescent="0.2">
      <c r="B12612" s="203"/>
      <c r="C12612" s="237"/>
      <c r="D12612" s="202"/>
      <c r="E12612" s="202"/>
      <c r="U12612" s="204"/>
    </row>
    <row r="12613" spans="2:21" x14ac:dyDescent="0.2">
      <c r="B12613" s="203"/>
      <c r="C12613" s="237"/>
      <c r="D12613" s="202"/>
      <c r="E12613" s="202"/>
      <c r="U12613" s="204"/>
    </row>
    <row r="12614" spans="2:21" x14ac:dyDescent="0.2">
      <c r="B12614" s="203"/>
      <c r="C12614" s="237"/>
      <c r="D12614" s="202"/>
      <c r="E12614" s="202"/>
      <c r="U12614" s="204"/>
    </row>
    <row r="12615" spans="2:21" x14ac:dyDescent="0.2">
      <c r="B12615" s="203"/>
      <c r="C12615" s="237"/>
      <c r="D12615" s="202"/>
      <c r="E12615" s="202"/>
      <c r="U12615" s="204"/>
    </row>
    <row r="12616" spans="2:21" x14ac:dyDescent="0.2">
      <c r="B12616" s="203"/>
      <c r="C12616" s="237"/>
      <c r="D12616" s="202"/>
      <c r="E12616" s="202"/>
      <c r="U12616" s="204"/>
    </row>
    <row r="12617" spans="2:21" x14ac:dyDescent="0.2">
      <c r="B12617" s="203"/>
      <c r="C12617" s="237"/>
      <c r="D12617" s="202"/>
      <c r="E12617" s="202"/>
      <c r="U12617" s="204"/>
    </row>
    <row r="12618" spans="2:21" x14ac:dyDescent="0.2">
      <c r="B12618" s="203"/>
      <c r="C12618" s="237"/>
      <c r="D12618" s="202"/>
      <c r="E12618" s="202"/>
      <c r="U12618" s="204"/>
    </row>
    <row r="12619" spans="2:21" x14ac:dyDescent="0.2">
      <c r="B12619" s="203"/>
      <c r="C12619" s="237"/>
      <c r="D12619" s="202"/>
      <c r="E12619" s="202"/>
      <c r="U12619" s="204"/>
    </row>
    <row r="12620" spans="2:21" x14ac:dyDescent="0.2">
      <c r="B12620" s="203"/>
      <c r="C12620" s="237"/>
      <c r="D12620" s="202"/>
      <c r="E12620" s="202"/>
      <c r="U12620" s="204"/>
    </row>
    <row r="12621" spans="2:21" x14ac:dyDescent="0.2">
      <c r="B12621" s="203"/>
      <c r="C12621" s="237"/>
      <c r="D12621" s="202"/>
      <c r="E12621" s="202"/>
      <c r="U12621" s="204"/>
    </row>
    <row r="12622" spans="2:21" x14ac:dyDescent="0.2">
      <c r="B12622" s="203"/>
      <c r="C12622" s="237"/>
      <c r="D12622" s="202"/>
      <c r="E12622" s="202"/>
      <c r="U12622" s="204"/>
    </row>
    <row r="12623" spans="2:21" x14ac:dyDescent="0.2">
      <c r="B12623" s="203"/>
      <c r="C12623" s="237"/>
      <c r="D12623" s="202"/>
      <c r="E12623" s="202"/>
      <c r="U12623" s="204"/>
    </row>
    <row r="12624" spans="2:21" x14ac:dyDescent="0.2">
      <c r="B12624" s="203"/>
      <c r="C12624" s="237"/>
      <c r="D12624" s="202"/>
      <c r="E12624" s="202"/>
      <c r="U12624" s="204"/>
    </row>
    <row r="12625" spans="2:21" x14ac:dyDescent="0.2">
      <c r="B12625" s="203"/>
      <c r="C12625" s="237"/>
      <c r="D12625" s="202"/>
      <c r="E12625" s="202"/>
      <c r="U12625" s="204"/>
    </row>
    <row r="12626" spans="2:21" x14ac:dyDescent="0.2">
      <c r="B12626" s="203"/>
      <c r="C12626" s="237"/>
      <c r="D12626" s="202"/>
      <c r="E12626" s="202"/>
      <c r="U12626" s="204"/>
    </row>
    <row r="12627" spans="2:21" x14ac:dyDescent="0.2">
      <c r="B12627" s="203"/>
      <c r="C12627" s="237"/>
      <c r="D12627" s="202"/>
      <c r="E12627" s="202"/>
      <c r="U12627" s="204"/>
    </row>
    <row r="12628" spans="2:21" x14ac:dyDescent="0.2">
      <c r="B12628" s="203"/>
      <c r="C12628" s="237"/>
      <c r="D12628" s="202"/>
      <c r="E12628" s="202"/>
      <c r="U12628" s="204"/>
    </row>
    <row r="12629" spans="2:21" x14ac:dyDescent="0.2">
      <c r="B12629" s="203"/>
      <c r="C12629" s="237"/>
      <c r="D12629" s="202"/>
      <c r="E12629" s="202"/>
      <c r="U12629" s="204"/>
    </row>
    <row r="12630" spans="2:21" x14ac:dyDescent="0.2">
      <c r="B12630" s="203"/>
      <c r="C12630" s="237"/>
      <c r="D12630" s="202"/>
      <c r="E12630" s="202"/>
      <c r="U12630" s="204"/>
    </row>
    <row r="12631" spans="2:21" x14ac:dyDescent="0.2">
      <c r="B12631" s="203"/>
      <c r="C12631" s="237"/>
      <c r="D12631" s="202"/>
      <c r="E12631" s="202"/>
      <c r="U12631" s="204"/>
    </row>
    <row r="12632" spans="2:21" x14ac:dyDescent="0.2">
      <c r="B12632" s="203"/>
      <c r="C12632" s="237"/>
      <c r="D12632" s="202"/>
      <c r="E12632" s="202"/>
      <c r="U12632" s="204"/>
    </row>
    <row r="12633" spans="2:21" x14ac:dyDescent="0.2">
      <c r="B12633" s="203"/>
      <c r="C12633" s="237"/>
      <c r="D12633" s="202"/>
      <c r="E12633" s="202"/>
      <c r="U12633" s="204"/>
    </row>
    <row r="12634" spans="2:21" x14ac:dyDescent="0.2">
      <c r="B12634" s="203"/>
      <c r="C12634" s="237"/>
      <c r="D12634" s="202"/>
      <c r="E12634" s="202"/>
      <c r="U12634" s="204"/>
    </row>
    <row r="12635" spans="2:21" x14ac:dyDescent="0.2">
      <c r="B12635" s="203"/>
      <c r="C12635" s="237"/>
      <c r="D12635" s="202"/>
      <c r="E12635" s="202"/>
      <c r="U12635" s="204"/>
    </row>
    <row r="12636" spans="2:21" x14ac:dyDescent="0.2">
      <c r="B12636" s="203"/>
      <c r="C12636" s="237"/>
      <c r="D12636" s="202"/>
      <c r="E12636" s="202"/>
      <c r="U12636" s="204"/>
    </row>
    <row r="12637" spans="2:21" x14ac:dyDescent="0.2">
      <c r="B12637" s="203"/>
      <c r="C12637" s="237"/>
      <c r="D12637" s="202"/>
      <c r="E12637" s="202"/>
      <c r="U12637" s="204"/>
    </row>
    <row r="12638" spans="2:21" x14ac:dyDescent="0.2">
      <c r="B12638" s="203"/>
      <c r="C12638" s="237"/>
      <c r="D12638" s="202"/>
      <c r="E12638" s="202"/>
      <c r="U12638" s="204"/>
    </row>
    <row r="12639" spans="2:21" x14ac:dyDescent="0.2">
      <c r="B12639" s="203"/>
      <c r="C12639" s="237"/>
      <c r="D12639" s="202"/>
      <c r="E12639" s="202"/>
      <c r="U12639" s="204"/>
    </row>
    <row r="12640" spans="2:21" x14ac:dyDescent="0.2">
      <c r="B12640" s="203"/>
      <c r="C12640" s="237"/>
      <c r="D12640" s="202"/>
      <c r="E12640" s="202"/>
      <c r="U12640" s="204"/>
    </row>
    <row r="12641" spans="2:21" x14ac:dyDescent="0.2">
      <c r="B12641" s="203"/>
      <c r="C12641" s="237"/>
      <c r="D12641" s="202"/>
      <c r="E12641" s="202"/>
      <c r="U12641" s="204"/>
    </row>
    <row r="12642" spans="2:21" x14ac:dyDescent="0.2">
      <c r="B12642" s="203"/>
      <c r="C12642" s="237"/>
      <c r="D12642" s="202"/>
      <c r="E12642" s="202"/>
      <c r="U12642" s="204"/>
    </row>
    <row r="12643" spans="2:21" x14ac:dyDescent="0.2">
      <c r="B12643" s="203"/>
      <c r="C12643" s="237"/>
      <c r="D12643" s="202"/>
      <c r="E12643" s="202"/>
      <c r="U12643" s="204"/>
    </row>
    <row r="12644" spans="2:21" x14ac:dyDescent="0.2">
      <c r="B12644" s="203"/>
      <c r="C12644" s="237"/>
      <c r="D12644" s="202"/>
      <c r="E12644" s="202"/>
      <c r="U12644" s="204"/>
    </row>
    <row r="12645" spans="2:21" x14ac:dyDescent="0.2">
      <c r="B12645" s="203"/>
      <c r="C12645" s="237"/>
      <c r="D12645" s="202"/>
      <c r="E12645" s="202"/>
      <c r="U12645" s="204"/>
    </row>
    <row r="12646" spans="2:21" x14ac:dyDescent="0.2">
      <c r="B12646" s="203"/>
      <c r="C12646" s="237"/>
      <c r="D12646" s="202"/>
      <c r="E12646" s="202"/>
      <c r="U12646" s="204"/>
    </row>
    <row r="12647" spans="2:21" x14ac:dyDescent="0.2">
      <c r="B12647" s="203"/>
      <c r="C12647" s="237"/>
      <c r="D12647" s="202"/>
      <c r="E12647" s="202"/>
      <c r="U12647" s="204"/>
    </row>
    <row r="12648" spans="2:21" x14ac:dyDescent="0.2">
      <c r="B12648" s="203"/>
      <c r="C12648" s="237"/>
      <c r="D12648" s="202"/>
      <c r="E12648" s="202"/>
      <c r="U12648" s="204"/>
    </row>
    <row r="12649" spans="2:21" x14ac:dyDescent="0.2">
      <c r="B12649" s="203"/>
      <c r="C12649" s="237"/>
      <c r="D12649" s="202"/>
      <c r="E12649" s="202"/>
      <c r="U12649" s="204"/>
    </row>
    <row r="12650" spans="2:21" x14ac:dyDescent="0.2">
      <c r="B12650" s="203"/>
      <c r="C12650" s="237"/>
      <c r="D12650" s="202"/>
      <c r="E12650" s="202"/>
      <c r="U12650" s="204"/>
    </row>
    <row r="12651" spans="2:21" x14ac:dyDescent="0.2">
      <c r="B12651" s="203"/>
      <c r="C12651" s="237"/>
      <c r="D12651" s="202"/>
      <c r="E12651" s="202"/>
      <c r="U12651" s="204"/>
    </row>
    <row r="12652" spans="2:21" x14ac:dyDescent="0.2">
      <c r="B12652" s="203"/>
      <c r="C12652" s="237"/>
      <c r="D12652" s="202"/>
      <c r="E12652" s="202"/>
      <c r="U12652" s="204"/>
    </row>
    <row r="12653" spans="2:21" x14ac:dyDescent="0.2">
      <c r="B12653" s="203"/>
      <c r="C12653" s="237"/>
      <c r="D12653" s="202"/>
      <c r="E12653" s="202"/>
      <c r="U12653" s="204"/>
    </row>
    <row r="12654" spans="2:21" x14ac:dyDescent="0.2">
      <c r="B12654" s="203"/>
      <c r="C12654" s="237"/>
      <c r="D12654" s="202"/>
      <c r="E12654" s="202"/>
      <c r="U12654" s="204"/>
    </row>
    <row r="12655" spans="2:21" x14ac:dyDescent="0.2">
      <c r="B12655" s="203"/>
      <c r="C12655" s="237"/>
      <c r="D12655" s="202"/>
      <c r="E12655" s="202"/>
      <c r="U12655" s="204"/>
    </row>
    <row r="12656" spans="2:21" x14ac:dyDescent="0.2">
      <c r="B12656" s="203"/>
      <c r="C12656" s="237"/>
      <c r="D12656" s="202"/>
      <c r="E12656" s="202"/>
      <c r="U12656" s="204"/>
    </row>
    <row r="12657" spans="2:21" x14ac:dyDescent="0.2">
      <c r="B12657" s="203"/>
      <c r="C12657" s="237"/>
      <c r="D12657" s="202"/>
      <c r="E12657" s="202"/>
      <c r="U12657" s="204"/>
    </row>
    <row r="12658" spans="2:21" x14ac:dyDescent="0.2">
      <c r="B12658" s="203"/>
      <c r="C12658" s="237"/>
      <c r="D12658" s="202"/>
      <c r="E12658" s="202"/>
      <c r="U12658" s="204"/>
    </row>
    <row r="12659" spans="2:21" x14ac:dyDescent="0.2">
      <c r="B12659" s="203"/>
      <c r="C12659" s="237"/>
      <c r="D12659" s="202"/>
      <c r="E12659" s="202"/>
      <c r="U12659" s="204"/>
    </row>
    <row r="12660" spans="2:21" x14ac:dyDescent="0.2">
      <c r="B12660" s="203"/>
      <c r="C12660" s="237"/>
      <c r="D12660" s="202"/>
      <c r="E12660" s="202"/>
      <c r="U12660" s="204"/>
    </row>
    <row r="12661" spans="2:21" x14ac:dyDescent="0.2">
      <c r="B12661" s="203"/>
      <c r="C12661" s="237"/>
      <c r="D12661" s="202"/>
      <c r="E12661" s="202"/>
      <c r="U12661" s="204"/>
    </row>
    <row r="12662" spans="2:21" x14ac:dyDescent="0.2">
      <c r="B12662" s="203"/>
      <c r="C12662" s="237"/>
      <c r="D12662" s="202"/>
      <c r="E12662" s="202"/>
      <c r="U12662" s="204"/>
    </row>
    <row r="12663" spans="2:21" x14ac:dyDescent="0.2">
      <c r="B12663" s="203"/>
      <c r="C12663" s="237"/>
      <c r="D12663" s="202"/>
      <c r="E12663" s="202"/>
      <c r="U12663" s="204"/>
    </row>
    <row r="12664" spans="2:21" x14ac:dyDescent="0.2">
      <c r="B12664" s="203"/>
      <c r="C12664" s="237"/>
      <c r="D12664" s="202"/>
      <c r="E12664" s="202"/>
      <c r="U12664" s="204"/>
    </row>
    <row r="12665" spans="2:21" x14ac:dyDescent="0.2">
      <c r="B12665" s="203"/>
      <c r="C12665" s="237"/>
      <c r="D12665" s="202"/>
      <c r="E12665" s="202"/>
      <c r="U12665" s="204"/>
    </row>
    <row r="12666" spans="2:21" x14ac:dyDescent="0.2">
      <c r="B12666" s="203"/>
      <c r="C12666" s="237"/>
      <c r="D12666" s="202"/>
      <c r="E12666" s="202"/>
      <c r="U12666" s="204"/>
    </row>
    <row r="12667" spans="2:21" x14ac:dyDescent="0.2">
      <c r="B12667" s="203"/>
      <c r="C12667" s="237"/>
      <c r="D12667" s="202"/>
      <c r="E12667" s="202"/>
      <c r="U12667" s="204"/>
    </row>
    <row r="12668" spans="2:21" x14ac:dyDescent="0.2">
      <c r="B12668" s="203"/>
      <c r="C12668" s="237"/>
      <c r="D12668" s="202"/>
      <c r="E12668" s="202"/>
      <c r="U12668" s="204"/>
    </row>
    <row r="12669" spans="2:21" x14ac:dyDescent="0.2">
      <c r="B12669" s="203"/>
      <c r="C12669" s="237"/>
      <c r="D12669" s="202"/>
      <c r="E12669" s="202"/>
      <c r="U12669" s="204"/>
    </row>
    <row r="12670" spans="2:21" x14ac:dyDescent="0.2">
      <c r="B12670" s="203"/>
      <c r="C12670" s="237"/>
      <c r="D12670" s="202"/>
      <c r="E12670" s="202"/>
      <c r="U12670" s="204"/>
    </row>
    <row r="12671" spans="2:21" x14ac:dyDescent="0.2">
      <c r="B12671" s="203"/>
      <c r="C12671" s="237"/>
      <c r="D12671" s="202"/>
      <c r="E12671" s="202"/>
      <c r="U12671" s="204"/>
    </row>
    <row r="12672" spans="2:21" x14ac:dyDescent="0.2">
      <c r="B12672" s="203"/>
      <c r="C12672" s="237"/>
      <c r="D12672" s="202"/>
      <c r="E12672" s="202"/>
      <c r="U12672" s="204"/>
    </row>
    <row r="12673" spans="2:21" x14ac:dyDescent="0.2">
      <c r="B12673" s="203"/>
      <c r="C12673" s="237"/>
      <c r="D12673" s="202"/>
      <c r="E12673" s="202"/>
      <c r="U12673" s="204"/>
    </row>
    <row r="12674" spans="2:21" x14ac:dyDescent="0.2">
      <c r="B12674" s="203"/>
      <c r="C12674" s="237"/>
      <c r="D12674" s="202"/>
      <c r="E12674" s="202"/>
      <c r="U12674" s="204"/>
    </row>
    <row r="12675" spans="2:21" x14ac:dyDescent="0.2">
      <c r="B12675" s="203"/>
      <c r="C12675" s="237"/>
      <c r="D12675" s="202"/>
      <c r="E12675" s="202"/>
      <c r="U12675" s="204"/>
    </row>
    <row r="12676" spans="2:21" x14ac:dyDescent="0.2">
      <c r="B12676" s="203"/>
      <c r="C12676" s="237"/>
      <c r="D12676" s="202"/>
      <c r="E12676" s="202"/>
      <c r="U12676" s="204"/>
    </row>
    <row r="12677" spans="2:21" x14ac:dyDescent="0.2">
      <c r="B12677" s="203"/>
      <c r="C12677" s="237"/>
      <c r="D12677" s="202"/>
      <c r="E12677" s="202"/>
      <c r="U12677" s="204"/>
    </row>
    <row r="12678" spans="2:21" x14ac:dyDescent="0.2">
      <c r="B12678" s="203"/>
      <c r="C12678" s="237"/>
      <c r="D12678" s="202"/>
      <c r="E12678" s="202"/>
      <c r="U12678" s="204"/>
    </row>
    <row r="12679" spans="2:21" x14ac:dyDescent="0.2">
      <c r="B12679" s="203"/>
      <c r="C12679" s="237"/>
      <c r="D12679" s="202"/>
      <c r="E12679" s="202"/>
      <c r="U12679" s="204"/>
    </row>
    <row r="12680" spans="2:21" x14ac:dyDescent="0.2">
      <c r="B12680" s="203"/>
      <c r="C12680" s="237"/>
      <c r="D12680" s="202"/>
      <c r="E12680" s="202"/>
      <c r="U12680" s="204"/>
    </row>
    <row r="12681" spans="2:21" x14ac:dyDescent="0.2">
      <c r="B12681" s="203"/>
      <c r="C12681" s="237"/>
      <c r="D12681" s="202"/>
      <c r="E12681" s="202"/>
      <c r="U12681" s="204"/>
    </row>
    <row r="12682" spans="2:21" x14ac:dyDescent="0.2">
      <c r="B12682" s="203"/>
      <c r="C12682" s="237"/>
      <c r="D12682" s="202"/>
      <c r="E12682" s="202"/>
      <c r="U12682" s="204"/>
    </row>
    <row r="12683" spans="2:21" x14ac:dyDescent="0.2">
      <c r="B12683" s="203"/>
      <c r="C12683" s="237"/>
      <c r="D12683" s="202"/>
      <c r="E12683" s="202"/>
      <c r="U12683" s="204"/>
    </row>
    <row r="12684" spans="2:21" x14ac:dyDescent="0.2">
      <c r="B12684" s="203"/>
      <c r="C12684" s="237"/>
      <c r="D12684" s="202"/>
      <c r="E12684" s="202"/>
      <c r="U12684" s="204"/>
    </row>
    <row r="12685" spans="2:21" x14ac:dyDescent="0.2">
      <c r="B12685" s="203"/>
      <c r="C12685" s="237"/>
      <c r="D12685" s="202"/>
      <c r="E12685" s="202"/>
      <c r="U12685" s="204"/>
    </row>
    <row r="12686" spans="2:21" x14ac:dyDescent="0.2">
      <c r="B12686" s="203"/>
      <c r="C12686" s="237"/>
      <c r="D12686" s="202"/>
      <c r="E12686" s="202"/>
      <c r="U12686" s="204"/>
    </row>
    <row r="12687" spans="2:21" x14ac:dyDescent="0.2">
      <c r="B12687" s="203"/>
      <c r="C12687" s="237"/>
      <c r="D12687" s="202"/>
      <c r="E12687" s="202"/>
      <c r="U12687" s="204"/>
    </row>
    <row r="12688" spans="2:21" x14ac:dyDescent="0.2">
      <c r="B12688" s="203"/>
      <c r="C12688" s="237"/>
      <c r="D12688" s="202"/>
      <c r="E12688" s="202"/>
      <c r="U12688" s="204"/>
    </row>
    <row r="12689" spans="2:21" x14ac:dyDescent="0.2">
      <c r="B12689" s="203"/>
      <c r="C12689" s="237"/>
      <c r="D12689" s="202"/>
      <c r="E12689" s="202"/>
      <c r="U12689" s="204"/>
    </row>
    <row r="12690" spans="2:21" x14ac:dyDescent="0.2">
      <c r="B12690" s="203"/>
      <c r="C12690" s="237"/>
      <c r="D12690" s="202"/>
      <c r="E12690" s="202"/>
      <c r="U12690" s="204"/>
    </row>
    <row r="12691" spans="2:21" x14ac:dyDescent="0.2">
      <c r="B12691" s="203"/>
      <c r="C12691" s="237"/>
      <c r="D12691" s="202"/>
      <c r="E12691" s="202"/>
      <c r="U12691" s="204"/>
    </row>
    <row r="12692" spans="2:21" x14ac:dyDescent="0.2">
      <c r="B12692" s="203"/>
      <c r="C12692" s="237"/>
      <c r="D12692" s="202"/>
      <c r="E12692" s="202"/>
      <c r="U12692" s="204"/>
    </row>
    <row r="12693" spans="2:21" x14ac:dyDescent="0.2">
      <c r="B12693" s="203"/>
      <c r="C12693" s="237"/>
      <c r="D12693" s="202"/>
      <c r="E12693" s="202"/>
      <c r="U12693" s="204"/>
    </row>
    <row r="12694" spans="2:21" x14ac:dyDescent="0.2">
      <c r="B12694" s="203"/>
      <c r="C12694" s="237"/>
      <c r="D12694" s="202"/>
      <c r="E12694" s="202"/>
      <c r="U12694" s="204"/>
    </row>
    <row r="12695" spans="2:21" x14ac:dyDescent="0.2">
      <c r="B12695" s="203"/>
      <c r="C12695" s="237"/>
      <c r="D12695" s="202"/>
      <c r="E12695" s="202"/>
      <c r="U12695" s="204"/>
    </row>
    <row r="12696" spans="2:21" x14ac:dyDescent="0.2">
      <c r="B12696" s="203"/>
      <c r="C12696" s="237"/>
      <c r="D12696" s="202"/>
      <c r="E12696" s="202"/>
      <c r="U12696" s="204"/>
    </row>
    <row r="12697" spans="2:21" x14ac:dyDescent="0.2">
      <c r="B12697" s="203"/>
      <c r="C12697" s="237"/>
      <c r="D12697" s="202"/>
      <c r="E12697" s="202"/>
      <c r="U12697" s="204"/>
    </row>
    <row r="12698" spans="2:21" x14ac:dyDescent="0.2">
      <c r="B12698" s="203"/>
      <c r="C12698" s="237"/>
      <c r="D12698" s="202"/>
      <c r="E12698" s="202"/>
      <c r="U12698" s="204"/>
    </row>
    <row r="12699" spans="2:21" x14ac:dyDescent="0.2">
      <c r="B12699" s="203"/>
      <c r="C12699" s="237"/>
      <c r="D12699" s="202"/>
      <c r="E12699" s="202"/>
      <c r="U12699" s="204"/>
    </row>
    <row r="12700" spans="2:21" x14ac:dyDescent="0.2">
      <c r="B12700" s="203"/>
      <c r="C12700" s="237"/>
      <c r="D12700" s="202"/>
      <c r="E12700" s="202"/>
      <c r="U12700" s="204"/>
    </row>
    <row r="12701" spans="2:21" x14ac:dyDescent="0.2">
      <c r="B12701" s="203"/>
      <c r="C12701" s="237"/>
      <c r="D12701" s="202"/>
      <c r="E12701" s="202"/>
      <c r="U12701" s="204"/>
    </row>
    <row r="12702" spans="2:21" x14ac:dyDescent="0.2">
      <c r="B12702" s="203"/>
      <c r="C12702" s="237"/>
      <c r="D12702" s="202"/>
      <c r="E12702" s="202"/>
      <c r="U12702" s="204"/>
    </row>
    <row r="12703" spans="2:21" x14ac:dyDescent="0.2">
      <c r="B12703" s="203"/>
      <c r="C12703" s="237"/>
      <c r="D12703" s="202"/>
      <c r="E12703" s="202"/>
      <c r="U12703" s="204"/>
    </row>
    <row r="12704" spans="2:21" x14ac:dyDescent="0.2">
      <c r="B12704" s="203"/>
      <c r="C12704" s="237"/>
      <c r="D12704" s="202"/>
      <c r="E12704" s="202"/>
      <c r="U12704" s="204"/>
    </row>
    <row r="12705" spans="2:21" x14ac:dyDescent="0.2">
      <c r="B12705" s="203"/>
      <c r="C12705" s="237"/>
      <c r="D12705" s="202"/>
      <c r="E12705" s="202"/>
      <c r="U12705" s="204"/>
    </row>
    <row r="12706" spans="2:21" x14ac:dyDescent="0.2">
      <c r="B12706" s="203"/>
      <c r="C12706" s="237"/>
      <c r="D12706" s="202"/>
      <c r="E12706" s="202"/>
      <c r="U12706" s="204"/>
    </row>
    <row r="12707" spans="2:21" x14ac:dyDescent="0.2">
      <c r="B12707" s="203"/>
      <c r="C12707" s="237"/>
      <c r="D12707" s="202"/>
      <c r="E12707" s="202"/>
      <c r="U12707" s="204"/>
    </row>
    <row r="12708" spans="2:21" x14ac:dyDescent="0.2">
      <c r="B12708" s="203"/>
      <c r="C12708" s="237"/>
      <c r="D12708" s="202"/>
      <c r="E12708" s="202"/>
      <c r="U12708" s="204"/>
    </row>
    <row r="12709" spans="2:21" x14ac:dyDescent="0.2">
      <c r="B12709" s="203"/>
      <c r="C12709" s="237"/>
      <c r="D12709" s="202"/>
      <c r="E12709" s="202"/>
      <c r="U12709" s="204"/>
    </row>
    <row r="12710" spans="2:21" x14ac:dyDescent="0.2">
      <c r="B12710" s="203"/>
      <c r="C12710" s="237"/>
      <c r="D12710" s="202"/>
      <c r="E12710" s="202"/>
      <c r="U12710" s="204"/>
    </row>
    <row r="12711" spans="2:21" x14ac:dyDescent="0.2">
      <c r="B12711" s="203"/>
      <c r="C12711" s="237"/>
      <c r="D12711" s="202"/>
      <c r="E12711" s="202"/>
      <c r="U12711" s="204"/>
    </row>
    <row r="12712" spans="2:21" x14ac:dyDescent="0.2">
      <c r="B12712" s="203"/>
      <c r="C12712" s="237"/>
      <c r="D12712" s="202"/>
      <c r="E12712" s="202"/>
      <c r="U12712" s="204"/>
    </row>
    <row r="12713" spans="2:21" x14ac:dyDescent="0.2">
      <c r="B12713" s="203"/>
      <c r="C12713" s="237"/>
      <c r="D12713" s="202"/>
      <c r="E12713" s="202"/>
      <c r="U12713" s="204"/>
    </row>
    <row r="12714" spans="2:21" x14ac:dyDescent="0.2">
      <c r="B12714" s="203"/>
      <c r="C12714" s="237"/>
      <c r="D12714" s="202"/>
      <c r="E12714" s="202"/>
      <c r="U12714" s="204"/>
    </row>
    <row r="12715" spans="2:21" x14ac:dyDescent="0.2">
      <c r="B12715" s="203"/>
      <c r="C12715" s="237"/>
      <c r="D12715" s="202"/>
      <c r="E12715" s="202"/>
      <c r="U12715" s="204"/>
    </row>
    <row r="12716" spans="2:21" x14ac:dyDescent="0.2">
      <c r="B12716" s="203"/>
      <c r="C12716" s="237"/>
      <c r="D12716" s="202"/>
      <c r="E12716" s="202"/>
      <c r="U12716" s="204"/>
    </row>
    <row r="12717" spans="2:21" x14ac:dyDescent="0.2">
      <c r="B12717" s="203"/>
      <c r="C12717" s="237"/>
      <c r="D12717" s="202"/>
      <c r="E12717" s="202"/>
      <c r="U12717" s="204"/>
    </row>
    <row r="12718" spans="2:21" x14ac:dyDescent="0.2">
      <c r="B12718" s="203"/>
      <c r="C12718" s="237"/>
      <c r="D12718" s="202"/>
      <c r="E12718" s="202"/>
      <c r="U12718" s="204"/>
    </row>
    <row r="12719" spans="2:21" x14ac:dyDescent="0.2">
      <c r="B12719" s="203"/>
      <c r="C12719" s="237"/>
      <c r="D12719" s="202"/>
      <c r="E12719" s="202"/>
      <c r="U12719" s="204"/>
    </row>
    <row r="12720" spans="2:21" x14ac:dyDescent="0.2">
      <c r="B12720" s="203"/>
      <c r="C12720" s="237"/>
      <c r="D12720" s="202"/>
      <c r="E12720" s="202"/>
      <c r="U12720" s="204"/>
    </row>
    <row r="12721" spans="2:21" x14ac:dyDescent="0.2">
      <c r="B12721" s="203"/>
      <c r="C12721" s="237"/>
      <c r="D12721" s="202"/>
      <c r="E12721" s="202"/>
      <c r="U12721" s="204"/>
    </row>
    <row r="12722" spans="2:21" x14ac:dyDescent="0.2">
      <c r="B12722" s="203"/>
      <c r="C12722" s="237"/>
      <c r="D12722" s="202"/>
      <c r="E12722" s="202"/>
      <c r="U12722" s="204"/>
    </row>
    <row r="12723" spans="2:21" x14ac:dyDescent="0.2">
      <c r="B12723" s="203"/>
      <c r="C12723" s="237"/>
      <c r="D12723" s="202"/>
      <c r="E12723" s="202"/>
      <c r="U12723" s="204"/>
    </row>
    <row r="12724" spans="2:21" x14ac:dyDescent="0.2">
      <c r="B12724" s="203"/>
      <c r="C12724" s="237"/>
      <c r="D12724" s="202"/>
      <c r="E12724" s="202"/>
      <c r="U12724" s="204"/>
    </row>
    <row r="12725" spans="2:21" x14ac:dyDescent="0.2">
      <c r="B12725" s="203"/>
      <c r="C12725" s="237"/>
      <c r="D12725" s="202"/>
      <c r="E12725" s="202"/>
      <c r="U12725" s="204"/>
    </row>
    <row r="12726" spans="2:21" x14ac:dyDescent="0.2">
      <c r="B12726" s="203"/>
      <c r="C12726" s="237"/>
      <c r="D12726" s="202"/>
      <c r="E12726" s="202"/>
      <c r="U12726" s="204"/>
    </row>
    <row r="12727" spans="2:21" x14ac:dyDescent="0.2">
      <c r="B12727" s="203"/>
      <c r="C12727" s="237"/>
      <c r="D12727" s="202"/>
      <c r="E12727" s="202"/>
      <c r="U12727" s="204"/>
    </row>
    <row r="12728" spans="2:21" x14ac:dyDescent="0.2">
      <c r="B12728" s="203"/>
      <c r="C12728" s="237"/>
      <c r="D12728" s="202"/>
      <c r="E12728" s="202"/>
      <c r="U12728" s="204"/>
    </row>
    <row r="12729" spans="2:21" x14ac:dyDescent="0.2">
      <c r="B12729" s="203"/>
      <c r="C12729" s="237"/>
      <c r="D12729" s="202"/>
      <c r="E12729" s="202"/>
      <c r="U12729" s="204"/>
    </row>
    <row r="12730" spans="2:21" x14ac:dyDescent="0.2">
      <c r="B12730" s="203"/>
      <c r="C12730" s="237"/>
      <c r="D12730" s="202"/>
      <c r="E12730" s="202"/>
      <c r="U12730" s="204"/>
    </row>
    <row r="12731" spans="2:21" x14ac:dyDescent="0.2">
      <c r="B12731" s="203"/>
      <c r="C12731" s="237"/>
      <c r="D12731" s="202"/>
      <c r="E12731" s="202"/>
      <c r="U12731" s="204"/>
    </row>
    <row r="12732" spans="2:21" x14ac:dyDescent="0.2">
      <c r="B12732" s="203"/>
      <c r="C12732" s="237"/>
      <c r="D12732" s="202"/>
      <c r="E12732" s="202"/>
      <c r="U12732" s="204"/>
    </row>
    <row r="12733" spans="2:21" x14ac:dyDescent="0.2">
      <c r="B12733" s="203"/>
      <c r="C12733" s="237"/>
      <c r="D12733" s="202"/>
      <c r="E12733" s="202"/>
      <c r="U12733" s="204"/>
    </row>
    <row r="12734" spans="2:21" x14ac:dyDescent="0.2">
      <c r="B12734" s="203"/>
      <c r="C12734" s="237"/>
      <c r="D12734" s="202"/>
      <c r="E12734" s="202"/>
      <c r="U12734" s="204"/>
    </row>
    <row r="12735" spans="2:21" x14ac:dyDescent="0.2">
      <c r="B12735" s="203"/>
      <c r="C12735" s="237"/>
      <c r="D12735" s="202"/>
      <c r="E12735" s="202"/>
      <c r="U12735" s="204"/>
    </row>
    <row r="12736" spans="2:21" x14ac:dyDescent="0.2">
      <c r="B12736" s="203"/>
      <c r="C12736" s="237"/>
      <c r="D12736" s="202"/>
      <c r="E12736" s="202"/>
      <c r="U12736" s="204"/>
    </row>
    <row r="12737" spans="2:21" x14ac:dyDescent="0.2">
      <c r="B12737" s="203"/>
      <c r="C12737" s="237"/>
      <c r="D12737" s="202"/>
      <c r="E12737" s="202"/>
      <c r="U12737" s="204"/>
    </row>
    <row r="12738" spans="2:21" x14ac:dyDescent="0.2">
      <c r="B12738" s="203"/>
      <c r="C12738" s="237"/>
      <c r="D12738" s="202"/>
      <c r="E12738" s="202"/>
      <c r="U12738" s="204"/>
    </row>
    <row r="12739" spans="2:21" x14ac:dyDescent="0.2">
      <c r="B12739" s="203"/>
      <c r="C12739" s="237"/>
      <c r="D12739" s="202"/>
      <c r="E12739" s="202"/>
      <c r="U12739" s="204"/>
    </row>
    <row r="12740" spans="2:21" x14ac:dyDescent="0.2">
      <c r="B12740" s="203"/>
      <c r="C12740" s="237"/>
      <c r="D12740" s="202"/>
      <c r="E12740" s="202"/>
      <c r="U12740" s="204"/>
    </row>
    <row r="12741" spans="2:21" x14ac:dyDescent="0.2">
      <c r="B12741" s="203"/>
      <c r="C12741" s="237"/>
      <c r="D12741" s="202"/>
      <c r="E12741" s="202"/>
      <c r="U12741" s="204"/>
    </row>
    <row r="12742" spans="2:21" x14ac:dyDescent="0.2">
      <c r="B12742" s="203"/>
      <c r="C12742" s="237"/>
      <c r="D12742" s="202"/>
      <c r="E12742" s="202"/>
      <c r="U12742" s="204"/>
    </row>
    <row r="12743" spans="2:21" x14ac:dyDescent="0.2">
      <c r="B12743" s="203"/>
      <c r="C12743" s="237"/>
      <c r="D12743" s="202"/>
      <c r="E12743" s="202"/>
      <c r="U12743" s="204"/>
    </row>
    <row r="12744" spans="2:21" x14ac:dyDescent="0.2">
      <c r="B12744" s="203"/>
      <c r="C12744" s="237"/>
      <c r="D12744" s="202"/>
      <c r="E12744" s="202"/>
      <c r="U12744" s="204"/>
    </row>
    <row r="12745" spans="2:21" x14ac:dyDescent="0.2">
      <c r="B12745" s="203"/>
      <c r="C12745" s="237"/>
      <c r="D12745" s="202"/>
      <c r="E12745" s="202"/>
      <c r="U12745" s="204"/>
    </row>
    <row r="12746" spans="2:21" x14ac:dyDescent="0.2">
      <c r="B12746" s="203"/>
      <c r="C12746" s="237"/>
      <c r="D12746" s="202"/>
      <c r="E12746" s="202"/>
      <c r="U12746" s="204"/>
    </row>
    <row r="12747" spans="2:21" x14ac:dyDescent="0.2">
      <c r="B12747" s="203"/>
      <c r="C12747" s="237"/>
      <c r="D12747" s="202"/>
      <c r="E12747" s="202"/>
      <c r="U12747" s="204"/>
    </row>
    <row r="12748" spans="2:21" x14ac:dyDescent="0.2">
      <c r="B12748" s="203"/>
      <c r="C12748" s="237"/>
      <c r="D12748" s="202"/>
      <c r="E12748" s="202"/>
      <c r="U12748" s="204"/>
    </row>
    <row r="12749" spans="2:21" x14ac:dyDescent="0.2">
      <c r="B12749" s="203"/>
      <c r="C12749" s="237"/>
      <c r="D12749" s="202"/>
      <c r="E12749" s="202"/>
      <c r="U12749" s="204"/>
    </row>
    <row r="12750" spans="2:21" x14ac:dyDescent="0.2">
      <c r="B12750" s="203"/>
      <c r="C12750" s="237"/>
      <c r="D12750" s="202"/>
      <c r="E12750" s="202"/>
      <c r="U12750" s="204"/>
    </row>
    <row r="12751" spans="2:21" x14ac:dyDescent="0.2">
      <c r="B12751" s="203"/>
      <c r="C12751" s="237"/>
      <c r="D12751" s="202"/>
      <c r="E12751" s="202"/>
      <c r="U12751" s="204"/>
    </row>
    <row r="12752" spans="2:21" x14ac:dyDescent="0.2">
      <c r="B12752" s="203"/>
      <c r="C12752" s="237"/>
      <c r="D12752" s="202"/>
      <c r="E12752" s="202"/>
      <c r="U12752" s="204"/>
    </row>
    <row r="12753" spans="2:21" x14ac:dyDescent="0.2">
      <c r="B12753" s="203"/>
      <c r="C12753" s="237"/>
      <c r="D12753" s="202"/>
      <c r="E12753" s="202"/>
      <c r="U12753" s="204"/>
    </row>
    <row r="12754" spans="2:21" x14ac:dyDescent="0.2">
      <c r="B12754" s="203"/>
      <c r="C12754" s="237"/>
      <c r="D12754" s="202"/>
      <c r="E12754" s="202"/>
      <c r="U12754" s="204"/>
    </row>
    <row r="12755" spans="2:21" x14ac:dyDescent="0.2">
      <c r="B12755" s="203"/>
      <c r="C12755" s="237"/>
      <c r="D12755" s="202"/>
      <c r="E12755" s="202"/>
      <c r="U12755" s="204"/>
    </row>
    <row r="12756" spans="2:21" x14ac:dyDescent="0.2">
      <c r="B12756" s="203"/>
      <c r="C12756" s="237"/>
      <c r="D12756" s="202"/>
      <c r="E12756" s="202"/>
      <c r="U12756" s="204"/>
    </row>
    <row r="12757" spans="2:21" x14ac:dyDescent="0.2">
      <c r="B12757" s="203"/>
      <c r="C12757" s="237"/>
      <c r="D12757" s="202"/>
      <c r="E12757" s="202"/>
      <c r="U12757" s="204"/>
    </row>
    <row r="12758" spans="2:21" x14ac:dyDescent="0.2">
      <c r="B12758" s="203"/>
      <c r="C12758" s="237"/>
      <c r="D12758" s="202"/>
      <c r="E12758" s="202"/>
      <c r="U12758" s="204"/>
    </row>
    <row r="12759" spans="2:21" x14ac:dyDescent="0.2">
      <c r="B12759" s="203"/>
      <c r="C12759" s="237"/>
      <c r="D12759" s="202"/>
      <c r="E12759" s="202"/>
      <c r="U12759" s="204"/>
    </row>
    <row r="12760" spans="2:21" x14ac:dyDescent="0.2">
      <c r="B12760" s="203"/>
      <c r="C12760" s="237"/>
      <c r="D12760" s="202"/>
      <c r="E12760" s="202"/>
      <c r="U12760" s="204"/>
    </row>
    <row r="12761" spans="2:21" x14ac:dyDescent="0.2">
      <c r="B12761" s="203"/>
      <c r="C12761" s="237"/>
      <c r="D12761" s="202"/>
      <c r="E12761" s="202"/>
      <c r="U12761" s="204"/>
    </row>
    <row r="12762" spans="2:21" x14ac:dyDescent="0.2">
      <c r="B12762" s="203"/>
      <c r="C12762" s="237"/>
      <c r="D12762" s="202"/>
      <c r="E12762" s="202"/>
      <c r="U12762" s="204"/>
    </row>
    <row r="12763" spans="2:21" x14ac:dyDescent="0.2">
      <c r="B12763" s="203"/>
      <c r="C12763" s="237"/>
      <c r="D12763" s="202"/>
      <c r="E12763" s="202"/>
      <c r="U12763" s="204"/>
    </row>
    <row r="12764" spans="2:21" x14ac:dyDescent="0.2">
      <c r="B12764" s="203"/>
      <c r="C12764" s="237"/>
      <c r="D12764" s="202"/>
      <c r="E12764" s="202"/>
      <c r="U12764" s="204"/>
    </row>
    <row r="12765" spans="2:21" x14ac:dyDescent="0.2">
      <c r="B12765" s="203"/>
      <c r="C12765" s="237"/>
      <c r="D12765" s="202"/>
      <c r="E12765" s="202"/>
      <c r="U12765" s="204"/>
    </row>
    <row r="12766" spans="2:21" x14ac:dyDescent="0.2">
      <c r="B12766" s="203"/>
      <c r="C12766" s="237"/>
      <c r="D12766" s="202"/>
      <c r="E12766" s="202"/>
      <c r="U12766" s="204"/>
    </row>
    <row r="12767" spans="2:21" x14ac:dyDescent="0.2">
      <c r="B12767" s="203"/>
      <c r="C12767" s="237"/>
      <c r="D12767" s="202"/>
      <c r="E12767" s="202"/>
      <c r="U12767" s="204"/>
    </row>
    <row r="12768" spans="2:21" x14ac:dyDescent="0.2">
      <c r="B12768" s="203"/>
      <c r="C12768" s="237"/>
      <c r="D12768" s="202"/>
      <c r="E12768" s="202"/>
      <c r="U12768" s="204"/>
    </row>
    <row r="12769" spans="2:21" x14ac:dyDescent="0.2">
      <c r="B12769" s="203"/>
      <c r="C12769" s="237"/>
      <c r="D12769" s="202"/>
      <c r="E12769" s="202"/>
      <c r="U12769" s="204"/>
    </row>
    <row r="12770" spans="2:21" x14ac:dyDescent="0.2">
      <c r="B12770" s="203"/>
      <c r="C12770" s="237"/>
      <c r="D12770" s="202"/>
      <c r="E12770" s="202"/>
      <c r="U12770" s="204"/>
    </row>
    <row r="12771" spans="2:21" x14ac:dyDescent="0.2">
      <c r="B12771" s="203"/>
      <c r="C12771" s="237"/>
      <c r="D12771" s="202"/>
      <c r="E12771" s="202"/>
      <c r="U12771" s="204"/>
    </row>
    <row r="12772" spans="2:21" x14ac:dyDescent="0.2">
      <c r="B12772" s="203"/>
      <c r="C12772" s="237"/>
      <c r="D12772" s="202"/>
      <c r="E12772" s="202"/>
      <c r="U12772" s="204"/>
    </row>
    <row r="12773" spans="2:21" x14ac:dyDescent="0.2">
      <c r="B12773" s="203"/>
      <c r="C12773" s="237"/>
      <c r="D12773" s="202"/>
      <c r="E12773" s="202"/>
      <c r="U12773" s="204"/>
    </row>
    <row r="12774" spans="2:21" x14ac:dyDescent="0.2">
      <c r="B12774" s="203"/>
      <c r="C12774" s="237"/>
      <c r="D12774" s="202"/>
      <c r="E12774" s="202"/>
      <c r="U12774" s="204"/>
    </row>
    <row r="12775" spans="2:21" x14ac:dyDescent="0.2">
      <c r="B12775" s="203"/>
      <c r="C12775" s="237"/>
      <c r="D12775" s="202"/>
      <c r="E12775" s="202"/>
      <c r="U12775" s="204"/>
    </row>
    <row r="12776" spans="2:21" x14ac:dyDescent="0.2">
      <c r="B12776" s="203"/>
      <c r="C12776" s="237"/>
      <c r="D12776" s="202"/>
      <c r="E12776" s="202"/>
      <c r="U12776" s="204"/>
    </row>
    <row r="12777" spans="2:21" x14ac:dyDescent="0.2">
      <c r="B12777" s="203"/>
      <c r="C12777" s="237"/>
      <c r="D12777" s="202"/>
      <c r="E12777" s="202"/>
      <c r="U12777" s="204"/>
    </row>
    <row r="12778" spans="2:21" x14ac:dyDescent="0.2">
      <c r="B12778" s="203"/>
      <c r="C12778" s="237"/>
      <c r="D12778" s="202"/>
      <c r="E12778" s="202"/>
      <c r="U12778" s="204"/>
    </row>
    <row r="12779" spans="2:21" x14ac:dyDescent="0.2">
      <c r="B12779" s="203"/>
      <c r="C12779" s="237"/>
      <c r="D12779" s="202"/>
      <c r="E12779" s="202"/>
      <c r="U12779" s="204"/>
    </row>
    <row r="12780" spans="2:21" x14ac:dyDescent="0.2">
      <c r="B12780" s="203"/>
      <c r="C12780" s="237"/>
      <c r="D12780" s="202"/>
      <c r="E12780" s="202"/>
      <c r="U12780" s="204"/>
    </row>
    <row r="12781" spans="2:21" x14ac:dyDescent="0.2">
      <c r="B12781" s="203"/>
      <c r="C12781" s="237"/>
      <c r="D12781" s="202"/>
      <c r="E12781" s="202"/>
      <c r="U12781" s="204"/>
    </row>
    <row r="12782" spans="2:21" x14ac:dyDescent="0.2">
      <c r="B12782" s="203"/>
      <c r="C12782" s="237"/>
      <c r="D12782" s="202"/>
      <c r="E12782" s="202"/>
      <c r="U12782" s="204"/>
    </row>
    <row r="12783" spans="2:21" x14ac:dyDescent="0.2">
      <c r="B12783" s="203"/>
      <c r="C12783" s="237"/>
      <c r="D12783" s="202"/>
      <c r="E12783" s="202"/>
      <c r="U12783" s="204"/>
    </row>
    <row r="12784" spans="2:21" x14ac:dyDescent="0.2">
      <c r="B12784" s="203"/>
      <c r="C12784" s="237"/>
      <c r="D12784" s="202"/>
      <c r="E12784" s="202"/>
      <c r="U12784" s="204"/>
    </row>
    <row r="12785" spans="2:21" x14ac:dyDescent="0.2">
      <c r="B12785" s="203"/>
      <c r="C12785" s="237"/>
      <c r="D12785" s="202"/>
      <c r="E12785" s="202"/>
      <c r="U12785" s="204"/>
    </row>
    <row r="12786" spans="2:21" x14ac:dyDescent="0.2">
      <c r="B12786" s="203"/>
      <c r="C12786" s="237"/>
      <c r="D12786" s="202"/>
      <c r="E12786" s="202"/>
      <c r="U12786" s="204"/>
    </row>
    <row r="12787" spans="2:21" x14ac:dyDescent="0.2">
      <c r="B12787" s="203"/>
      <c r="C12787" s="237"/>
      <c r="D12787" s="202"/>
      <c r="E12787" s="202"/>
      <c r="U12787" s="204"/>
    </row>
    <row r="12788" spans="2:21" x14ac:dyDescent="0.2">
      <c r="B12788" s="203"/>
      <c r="C12788" s="237"/>
      <c r="D12788" s="202"/>
      <c r="E12788" s="202"/>
      <c r="U12788" s="204"/>
    </row>
    <row r="12789" spans="2:21" x14ac:dyDescent="0.2">
      <c r="B12789" s="203"/>
      <c r="C12789" s="237"/>
      <c r="D12789" s="202"/>
      <c r="E12789" s="202"/>
      <c r="U12789" s="204"/>
    </row>
    <row r="12790" spans="2:21" x14ac:dyDescent="0.2">
      <c r="B12790" s="203"/>
      <c r="C12790" s="237"/>
      <c r="D12790" s="202"/>
      <c r="E12790" s="202"/>
      <c r="U12790" s="204"/>
    </row>
    <row r="12791" spans="2:21" x14ac:dyDescent="0.2">
      <c r="B12791" s="203"/>
      <c r="C12791" s="237"/>
      <c r="D12791" s="202"/>
      <c r="E12791" s="202"/>
      <c r="U12791" s="204"/>
    </row>
    <row r="12792" spans="2:21" x14ac:dyDescent="0.2">
      <c r="B12792" s="203"/>
      <c r="C12792" s="237"/>
      <c r="D12792" s="202"/>
      <c r="E12792" s="202"/>
      <c r="U12792" s="204"/>
    </row>
    <row r="12793" spans="2:21" x14ac:dyDescent="0.2">
      <c r="B12793" s="203"/>
      <c r="C12793" s="237"/>
      <c r="D12793" s="202"/>
      <c r="E12793" s="202"/>
      <c r="U12793" s="204"/>
    </row>
    <row r="12794" spans="2:21" x14ac:dyDescent="0.2">
      <c r="B12794" s="203"/>
      <c r="C12794" s="237"/>
      <c r="D12794" s="202"/>
      <c r="E12794" s="202"/>
      <c r="U12794" s="204"/>
    </row>
    <row r="12795" spans="2:21" x14ac:dyDescent="0.2">
      <c r="B12795" s="203"/>
      <c r="C12795" s="237"/>
      <c r="D12795" s="202"/>
      <c r="E12795" s="202"/>
      <c r="U12795" s="204"/>
    </row>
    <row r="12796" spans="2:21" x14ac:dyDescent="0.2">
      <c r="B12796" s="203"/>
      <c r="C12796" s="237"/>
      <c r="D12796" s="202"/>
      <c r="E12796" s="202"/>
      <c r="U12796" s="204"/>
    </row>
    <row r="12797" spans="2:21" x14ac:dyDescent="0.2">
      <c r="B12797" s="203"/>
      <c r="C12797" s="237"/>
      <c r="D12797" s="202"/>
      <c r="E12797" s="202"/>
      <c r="U12797" s="204"/>
    </row>
    <row r="12798" spans="2:21" x14ac:dyDescent="0.2">
      <c r="B12798" s="203"/>
      <c r="C12798" s="237"/>
      <c r="D12798" s="202"/>
      <c r="E12798" s="202"/>
      <c r="U12798" s="204"/>
    </row>
    <row r="12799" spans="2:21" x14ac:dyDescent="0.2">
      <c r="B12799" s="203"/>
      <c r="C12799" s="237"/>
      <c r="D12799" s="202"/>
      <c r="E12799" s="202"/>
      <c r="U12799" s="204"/>
    </row>
    <row r="12800" spans="2:21" x14ac:dyDescent="0.2">
      <c r="B12800" s="203"/>
      <c r="C12800" s="237"/>
      <c r="D12800" s="202"/>
      <c r="E12800" s="202"/>
      <c r="U12800" s="204"/>
    </row>
    <row r="12801" spans="2:21" x14ac:dyDescent="0.2">
      <c r="B12801" s="203"/>
      <c r="C12801" s="237"/>
      <c r="D12801" s="202"/>
      <c r="E12801" s="202"/>
      <c r="U12801" s="204"/>
    </row>
    <row r="12802" spans="2:21" x14ac:dyDescent="0.2">
      <c r="B12802" s="203"/>
      <c r="C12802" s="237"/>
      <c r="D12802" s="202"/>
      <c r="E12802" s="202"/>
      <c r="U12802" s="204"/>
    </row>
    <row r="12803" spans="2:21" x14ac:dyDescent="0.2">
      <c r="B12803" s="203"/>
      <c r="C12803" s="237"/>
      <c r="D12803" s="202"/>
      <c r="E12803" s="202"/>
      <c r="U12803" s="204"/>
    </row>
    <row r="12804" spans="2:21" x14ac:dyDescent="0.2">
      <c r="B12804" s="203"/>
      <c r="C12804" s="237"/>
      <c r="D12804" s="202"/>
      <c r="E12804" s="202"/>
      <c r="U12804" s="204"/>
    </row>
    <row r="12805" spans="2:21" x14ac:dyDescent="0.2">
      <c r="B12805" s="203"/>
      <c r="C12805" s="237"/>
      <c r="D12805" s="202"/>
      <c r="E12805" s="202"/>
      <c r="U12805" s="204"/>
    </row>
    <row r="12806" spans="2:21" x14ac:dyDescent="0.2">
      <c r="B12806" s="203"/>
      <c r="C12806" s="237"/>
      <c r="D12806" s="202"/>
      <c r="E12806" s="202"/>
      <c r="U12806" s="204"/>
    </row>
    <row r="12807" spans="2:21" x14ac:dyDescent="0.2">
      <c r="B12807" s="203"/>
      <c r="C12807" s="237"/>
      <c r="D12807" s="202"/>
      <c r="E12807" s="202"/>
      <c r="U12807" s="204"/>
    </row>
    <row r="12808" spans="2:21" x14ac:dyDescent="0.2">
      <c r="B12808" s="203"/>
      <c r="C12808" s="237"/>
      <c r="D12808" s="202"/>
      <c r="E12808" s="202"/>
      <c r="U12808" s="204"/>
    </row>
    <row r="12809" spans="2:21" x14ac:dyDescent="0.2">
      <c r="B12809" s="203"/>
      <c r="C12809" s="237"/>
      <c r="D12809" s="202"/>
      <c r="E12809" s="202"/>
      <c r="U12809" s="204"/>
    </row>
    <row r="12810" spans="2:21" x14ac:dyDescent="0.2">
      <c r="B12810" s="203"/>
      <c r="C12810" s="237"/>
      <c r="D12810" s="202"/>
      <c r="E12810" s="202"/>
      <c r="U12810" s="204"/>
    </row>
    <row r="12811" spans="2:21" x14ac:dyDescent="0.2">
      <c r="B12811" s="203"/>
      <c r="C12811" s="237"/>
      <c r="D12811" s="202"/>
      <c r="E12811" s="202"/>
      <c r="U12811" s="204"/>
    </row>
    <row r="12812" spans="2:21" x14ac:dyDescent="0.2">
      <c r="B12812" s="203"/>
      <c r="C12812" s="237"/>
      <c r="D12812" s="202"/>
      <c r="E12812" s="202"/>
      <c r="U12812" s="204"/>
    </row>
    <row r="12813" spans="2:21" x14ac:dyDescent="0.2">
      <c r="B12813" s="203"/>
      <c r="C12813" s="237"/>
      <c r="D12813" s="202"/>
      <c r="E12813" s="202"/>
      <c r="U12813" s="204"/>
    </row>
    <row r="12814" spans="2:21" x14ac:dyDescent="0.2">
      <c r="B12814" s="203"/>
      <c r="C12814" s="237"/>
      <c r="D12814" s="202"/>
      <c r="E12814" s="202"/>
      <c r="U12814" s="204"/>
    </row>
    <row r="12815" spans="2:21" x14ac:dyDescent="0.2">
      <c r="B12815" s="203"/>
      <c r="C12815" s="237"/>
      <c r="D12815" s="202"/>
      <c r="E12815" s="202"/>
      <c r="U12815" s="204"/>
    </row>
    <row r="12816" spans="2:21" x14ac:dyDescent="0.2">
      <c r="B12816" s="203"/>
      <c r="C12816" s="237"/>
      <c r="D12816" s="202"/>
      <c r="E12816" s="202"/>
      <c r="U12816" s="204"/>
    </row>
    <row r="12817" spans="2:21" x14ac:dyDescent="0.2">
      <c r="B12817" s="203"/>
      <c r="C12817" s="237"/>
      <c r="D12817" s="202"/>
      <c r="E12817" s="202"/>
      <c r="U12817" s="204"/>
    </row>
    <row r="12818" spans="2:21" x14ac:dyDescent="0.2">
      <c r="B12818" s="203"/>
      <c r="C12818" s="237"/>
      <c r="D12818" s="202"/>
      <c r="E12818" s="202"/>
      <c r="U12818" s="204"/>
    </row>
    <row r="12819" spans="2:21" x14ac:dyDescent="0.2">
      <c r="B12819" s="203"/>
      <c r="C12819" s="237"/>
      <c r="D12819" s="202"/>
      <c r="E12819" s="202"/>
      <c r="U12819" s="204"/>
    </row>
    <row r="12820" spans="2:21" x14ac:dyDescent="0.2">
      <c r="B12820" s="203"/>
      <c r="C12820" s="237"/>
      <c r="D12820" s="202"/>
      <c r="E12820" s="202"/>
      <c r="U12820" s="204"/>
    </row>
    <row r="12821" spans="2:21" x14ac:dyDescent="0.2">
      <c r="B12821" s="203"/>
      <c r="C12821" s="237"/>
      <c r="D12821" s="202"/>
      <c r="E12821" s="202"/>
      <c r="U12821" s="204"/>
    </row>
    <row r="12822" spans="2:21" x14ac:dyDescent="0.2">
      <c r="B12822" s="203"/>
      <c r="C12822" s="237"/>
      <c r="D12822" s="202"/>
      <c r="E12822" s="202"/>
      <c r="U12822" s="204"/>
    </row>
    <row r="12823" spans="2:21" x14ac:dyDescent="0.2">
      <c r="B12823" s="203"/>
      <c r="C12823" s="237"/>
      <c r="D12823" s="202"/>
      <c r="E12823" s="202"/>
      <c r="U12823" s="204"/>
    </row>
    <row r="12824" spans="2:21" x14ac:dyDescent="0.2">
      <c r="B12824" s="203"/>
      <c r="C12824" s="237"/>
      <c r="D12824" s="202"/>
      <c r="E12824" s="202"/>
      <c r="U12824" s="204"/>
    </row>
    <row r="12825" spans="2:21" x14ac:dyDescent="0.2">
      <c r="B12825" s="203"/>
      <c r="C12825" s="237"/>
      <c r="D12825" s="202"/>
      <c r="E12825" s="202"/>
      <c r="U12825" s="204"/>
    </row>
    <row r="12826" spans="2:21" x14ac:dyDescent="0.2">
      <c r="B12826" s="203"/>
      <c r="C12826" s="237"/>
      <c r="D12826" s="202"/>
      <c r="E12826" s="202"/>
      <c r="U12826" s="204"/>
    </row>
    <row r="12827" spans="2:21" x14ac:dyDescent="0.2">
      <c r="B12827" s="203"/>
      <c r="C12827" s="237"/>
      <c r="D12827" s="202"/>
      <c r="E12827" s="202"/>
      <c r="U12827" s="204"/>
    </row>
    <row r="12828" spans="2:21" x14ac:dyDescent="0.2">
      <c r="B12828" s="203"/>
      <c r="C12828" s="237"/>
      <c r="D12828" s="202"/>
      <c r="E12828" s="202"/>
      <c r="U12828" s="204"/>
    </row>
    <row r="12829" spans="2:21" x14ac:dyDescent="0.2">
      <c r="B12829" s="203"/>
      <c r="C12829" s="237"/>
      <c r="D12829" s="202"/>
      <c r="E12829" s="202"/>
      <c r="U12829" s="204"/>
    </row>
    <row r="12830" spans="2:21" x14ac:dyDescent="0.2">
      <c r="B12830" s="203"/>
      <c r="C12830" s="237"/>
      <c r="D12830" s="202"/>
      <c r="E12830" s="202"/>
      <c r="U12830" s="204"/>
    </row>
    <row r="12831" spans="2:21" x14ac:dyDescent="0.2">
      <c r="B12831" s="203"/>
      <c r="C12831" s="237"/>
      <c r="D12831" s="202"/>
      <c r="E12831" s="202"/>
      <c r="U12831" s="204"/>
    </row>
    <row r="12832" spans="2:21" x14ac:dyDescent="0.2">
      <c r="B12832" s="203"/>
      <c r="C12832" s="237"/>
      <c r="D12832" s="202"/>
      <c r="E12832" s="202"/>
      <c r="U12832" s="204"/>
    </row>
    <row r="12833" spans="2:21" x14ac:dyDescent="0.2">
      <c r="B12833" s="203"/>
      <c r="C12833" s="237"/>
      <c r="D12833" s="202"/>
      <c r="E12833" s="202"/>
      <c r="U12833" s="204"/>
    </row>
    <row r="12834" spans="2:21" x14ac:dyDescent="0.2">
      <c r="B12834" s="203"/>
      <c r="C12834" s="237"/>
      <c r="D12834" s="202"/>
      <c r="E12834" s="202"/>
      <c r="U12834" s="204"/>
    </row>
    <row r="12835" spans="2:21" x14ac:dyDescent="0.2">
      <c r="B12835" s="203"/>
      <c r="C12835" s="237"/>
      <c r="D12835" s="202"/>
      <c r="E12835" s="202"/>
      <c r="U12835" s="204"/>
    </row>
    <row r="12836" spans="2:21" x14ac:dyDescent="0.2">
      <c r="B12836" s="203"/>
      <c r="C12836" s="237"/>
      <c r="D12836" s="202"/>
      <c r="E12836" s="202"/>
      <c r="U12836" s="204"/>
    </row>
    <row r="12837" spans="2:21" x14ac:dyDescent="0.2">
      <c r="B12837" s="203"/>
      <c r="C12837" s="237"/>
      <c r="D12837" s="202"/>
      <c r="E12837" s="202"/>
      <c r="U12837" s="204"/>
    </row>
    <row r="12838" spans="2:21" x14ac:dyDescent="0.2">
      <c r="B12838" s="203"/>
      <c r="C12838" s="237"/>
      <c r="D12838" s="202"/>
      <c r="E12838" s="202"/>
      <c r="U12838" s="204"/>
    </row>
    <row r="12839" spans="2:21" x14ac:dyDescent="0.2">
      <c r="B12839" s="203"/>
      <c r="C12839" s="237"/>
      <c r="D12839" s="202"/>
      <c r="E12839" s="202"/>
      <c r="U12839" s="204"/>
    </row>
    <row r="12840" spans="2:21" x14ac:dyDescent="0.2">
      <c r="B12840" s="203"/>
      <c r="C12840" s="237"/>
      <c r="D12840" s="202"/>
      <c r="E12840" s="202"/>
      <c r="U12840" s="204"/>
    </row>
    <row r="12841" spans="2:21" x14ac:dyDescent="0.2">
      <c r="B12841" s="203"/>
      <c r="C12841" s="237"/>
      <c r="D12841" s="202"/>
      <c r="E12841" s="202"/>
      <c r="U12841" s="204"/>
    </row>
    <row r="12842" spans="2:21" x14ac:dyDescent="0.2">
      <c r="B12842" s="203"/>
      <c r="C12842" s="237"/>
      <c r="D12842" s="202"/>
      <c r="E12842" s="202"/>
      <c r="U12842" s="204"/>
    </row>
    <row r="12843" spans="2:21" x14ac:dyDescent="0.2">
      <c r="B12843" s="203"/>
      <c r="C12843" s="237"/>
      <c r="D12843" s="202"/>
      <c r="E12843" s="202"/>
      <c r="U12843" s="204"/>
    </row>
    <row r="12844" spans="2:21" x14ac:dyDescent="0.2">
      <c r="B12844" s="203"/>
      <c r="C12844" s="237"/>
      <c r="D12844" s="202"/>
      <c r="E12844" s="202"/>
      <c r="U12844" s="204"/>
    </row>
    <row r="12845" spans="2:21" x14ac:dyDescent="0.2">
      <c r="B12845" s="203"/>
      <c r="C12845" s="237"/>
      <c r="D12845" s="202"/>
      <c r="E12845" s="202"/>
      <c r="U12845" s="204"/>
    </row>
    <row r="12846" spans="2:21" x14ac:dyDescent="0.2">
      <c r="B12846" s="203"/>
      <c r="C12846" s="237"/>
      <c r="D12846" s="202"/>
      <c r="E12846" s="202"/>
      <c r="U12846" s="204"/>
    </row>
    <row r="12847" spans="2:21" x14ac:dyDescent="0.2">
      <c r="B12847" s="203"/>
      <c r="C12847" s="237"/>
      <c r="D12847" s="202"/>
      <c r="E12847" s="202"/>
      <c r="U12847" s="204"/>
    </row>
    <row r="12848" spans="2:21" x14ac:dyDescent="0.2">
      <c r="B12848" s="203"/>
      <c r="C12848" s="237"/>
      <c r="D12848" s="202"/>
      <c r="E12848" s="202"/>
      <c r="U12848" s="204"/>
    </row>
    <row r="12849" spans="2:21" x14ac:dyDescent="0.2">
      <c r="B12849" s="203"/>
      <c r="C12849" s="237"/>
      <c r="D12849" s="202"/>
      <c r="E12849" s="202"/>
      <c r="U12849" s="204"/>
    </row>
    <row r="12850" spans="2:21" x14ac:dyDescent="0.2">
      <c r="B12850" s="203"/>
      <c r="C12850" s="237"/>
      <c r="D12850" s="202"/>
      <c r="E12850" s="202"/>
      <c r="U12850" s="204"/>
    </row>
    <row r="12851" spans="2:21" x14ac:dyDescent="0.2">
      <c r="B12851" s="203"/>
      <c r="C12851" s="237"/>
      <c r="D12851" s="202"/>
      <c r="E12851" s="202"/>
      <c r="U12851" s="204"/>
    </row>
    <row r="12852" spans="2:21" x14ac:dyDescent="0.2">
      <c r="B12852" s="203"/>
      <c r="C12852" s="237"/>
      <c r="D12852" s="202"/>
      <c r="E12852" s="202"/>
      <c r="U12852" s="204"/>
    </row>
    <row r="12853" spans="2:21" x14ac:dyDescent="0.2">
      <c r="B12853" s="203"/>
      <c r="C12853" s="237"/>
      <c r="D12853" s="202"/>
      <c r="E12853" s="202"/>
      <c r="U12853" s="204"/>
    </row>
    <row r="12854" spans="2:21" x14ac:dyDescent="0.2">
      <c r="B12854" s="203"/>
      <c r="C12854" s="237"/>
      <c r="D12854" s="202"/>
      <c r="E12854" s="202"/>
      <c r="U12854" s="204"/>
    </row>
    <row r="12855" spans="2:21" x14ac:dyDescent="0.2">
      <c r="B12855" s="203"/>
      <c r="C12855" s="237"/>
      <c r="D12855" s="202"/>
      <c r="E12855" s="202"/>
      <c r="U12855" s="204"/>
    </row>
    <row r="12856" spans="2:21" x14ac:dyDescent="0.2">
      <c r="B12856" s="203"/>
      <c r="C12856" s="237"/>
      <c r="D12856" s="202"/>
      <c r="E12856" s="202"/>
      <c r="U12856" s="204"/>
    </row>
    <row r="12857" spans="2:21" x14ac:dyDescent="0.2">
      <c r="B12857" s="203"/>
      <c r="C12857" s="237"/>
      <c r="D12857" s="202"/>
      <c r="E12857" s="202"/>
      <c r="U12857" s="204"/>
    </row>
    <row r="12858" spans="2:21" x14ac:dyDescent="0.2">
      <c r="B12858" s="203"/>
      <c r="C12858" s="237"/>
      <c r="D12858" s="202"/>
      <c r="E12858" s="202"/>
      <c r="U12858" s="204"/>
    </row>
    <row r="12859" spans="2:21" x14ac:dyDescent="0.2">
      <c r="B12859" s="203"/>
      <c r="C12859" s="237"/>
      <c r="D12859" s="202"/>
      <c r="E12859" s="202"/>
      <c r="U12859" s="204"/>
    </row>
    <row r="12860" spans="2:21" x14ac:dyDescent="0.2">
      <c r="B12860" s="203"/>
      <c r="C12860" s="237"/>
      <c r="D12860" s="202"/>
      <c r="E12860" s="202"/>
      <c r="U12860" s="204"/>
    </row>
    <row r="12861" spans="2:21" x14ac:dyDescent="0.2">
      <c r="B12861" s="203"/>
      <c r="C12861" s="237"/>
      <c r="D12861" s="202"/>
      <c r="E12861" s="202"/>
      <c r="U12861" s="204"/>
    </row>
    <row r="12862" spans="2:21" x14ac:dyDescent="0.2">
      <c r="B12862" s="203"/>
      <c r="C12862" s="237"/>
      <c r="D12862" s="202"/>
      <c r="E12862" s="202"/>
      <c r="U12862" s="204"/>
    </row>
    <row r="12863" spans="2:21" x14ac:dyDescent="0.2">
      <c r="B12863" s="203"/>
      <c r="C12863" s="237"/>
      <c r="D12863" s="202"/>
      <c r="E12863" s="202"/>
      <c r="U12863" s="204"/>
    </row>
    <row r="12864" spans="2:21" x14ac:dyDescent="0.2">
      <c r="B12864" s="203"/>
      <c r="C12864" s="237"/>
      <c r="D12864" s="202"/>
      <c r="E12864" s="202"/>
      <c r="U12864" s="204"/>
    </row>
    <row r="12865" spans="2:21" x14ac:dyDescent="0.2">
      <c r="B12865" s="203"/>
      <c r="C12865" s="237"/>
      <c r="D12865" s="202"/>
      <c r="E12865" s="202"/>
      <c r="U12865" s="204"/>
    </row>
    <row r="12866" spans="2:21" x14ac:dyDescent="0.2">
      <c r="B12866" s="203"/>
      <c r="C12866" s="237"/>
      <c r="D12866" s="202"/>
      <c r="E12866" s="202"/>
      <c r="U12866" s="204"/>
    </row>
    <row r="12867" spans="2:21" x14ac:dyDescent="0.2">
      <c r="B12867" s="203"/>
      <c r="C12867" s="237"/>
      <c r="D12867" s="202"/>
      <c r="E12867" s="202"/>
      <c r="U12867" s="204"/>
    </row>
    <row r="12868" spans="2:21" x14ac:dyDescent="0.2">
      <c r="B12868" s="203"/>
      <c r="C12868" s="237"/>
      <c r="D12868" s="202"/>
      <c r="E12868" s="202"/>
      <c r="U12868" s="204"/>
    </row>
    <row r="12869" spans="2:21" x14ac:dyDescent="0.2">
      <c r="B12869" s="203"/>
      <c r="C12869" s="237"/>
      <c r="D12869" s="202"/>
      <c r="E12869" s="202"/>
      <c r="U12869" s="204"/>
    </row>
    <row r="12870" spans="2:21" x14ac:dyDescent="0.2">
      <c r="B12870" s="203"/>
      <c r="C12870" s="237"/>
      <c r="D12870" s="202"/>
      <c r="E12870" s="202"/>
      <c r="U12870" s="204"/>
    </row>
    <row r="12871" spans="2:21" x14ac:dyDescent="0.2">
      <c r="B12871" s="203"/>
      <c r="C12871" s="237"/>
      <c r="D12871" s="202"/>
      <c r="E12871" s="202"/>
      <c r="U12871" s="204"/>
    </row>
    <row r="12872" spans="2:21" x14ac:dyDescent="0.2">
      <c r="B12872" s="203"/>
      <c r="C12872" s="237"/>
      <c r="D12872" s="202"/>
      <c r="E12872" s="202"/>
      <c r="U12872" s="204"/>
    </row>
    <row r="12873" spans="2:21" x14ac:dyDescent="0.2">
      <c r="B12873" s="203"/>
      <c r="C12873" s="237"/>
      <c r="D12873" s="202"/>
      <c r="E12873" s="202"/>
      <c r="U12873" s="204"/>
    </row>
    <row r="12874" spans="2:21" x14ac:dyDescent="0.2">
      <c r="B12874" s="203"/>
      <c r="C12874" s="237"/>
      <c r="D12874" s="202"/>
      <c r="E12874" s="202"/>
      <c r="U12874" s="204"/>
    </row>
    <row r="12875" spans="2:21" x14ac:dyDescent="0.2">
      <c r="B12875" s="203"/>
      <c r="C12875" s="237"/>
      <c r="D12875" s="202"/>
      <c r="E12875" s="202"/>
      <c r="U12875" s="204"/>
    </row>
    <row r="12876" spans="2:21" x14ac:dyDescent="0.2">
      <c r="B12876" s="203"/>
      <c r="C12876" s="237"/>
      <c r="D12876" s="202"/>
      <c r="E12876" s="202"/>
      <c r="U12876" s="204"/>
    </row>
    <row r="12877" spans="2:21" x14ac:dyDescent="0.2">
      <c r="B12877" s="203"/>
      <c r="C12877" s="237"/>
      <c r="D12877" s="202"/>
      <c r="E12877" s="202"/>
      <c r="U12877" s="204"/>
    </row>
    <row r="12878" spans="2:21" x14ac:dyDescent="0.2">
      <c r="B12878" s="203"/>
      <c r="C12878" s="237"/>
      <c r="D12878" s="202"/>
      <c r="E12878" s="202"/>
      <c r="U12878" s="204"/>
    </row>
    <row r="12879" spans="2:21" x14ac:dyDescent="0.2">
      <c r="B12879" s="203"/>
      <c r="C12879" s="237"/>
      <c r="D12879" s="202"/>
      <c r="E12879" s="202"/>
      <c r="U12879" s="204"/>
    </row>
    <row r="12880" spans="2:21" x14ac:dyDescent="0.2">
      <c r="B12880" s="203"/>
      <c r="C12880" s="237"/>
      <c r="D12880" s="202"/>
      <c r="E12880" s="202"/>
      <c r="U12880" s="204"/>
    </row>
    <row r="12881" spans="2:21" x14ac:dyDescent="0.2">
      <c r="B12881" s="203"/>
      <c r="C12881" s="237"/>
      <c r="D12881" s="202"/>
      <c r="E12881" s="202"/>
      <c r="U12881" s="204"/>
    </row>
    <row r="12882" spans="2:21" x14ac:dyDescent="0.2">
      <c r="B12882" s="203"/>
      <c r="C12882" s="237"/>
      <c r="D12882" s="202"/>
      <c r="E12882" s="202"/>
      <c r="U12882" s="204"/>
    </row>
    <row r="12883" spans="2:21" x14ac:dyDescent="0.2">
      <c r="B12883" s="203"/>
      <c r="C12883" s="237"/>
      <c r="D12883" s="202"/>
      <c r="E12883" s="202"/>
      <c r="U12883" s="204"/>
    </row>
    <row r="12884" spans="2:21" x14ac:dyDescent="0.2">
      <c r="B12884" s="203"/>
      <c r="C12884" s="237"/>
      <c r="D12884" s="202"/>
      <c r="E12884" s="202"/>
      <c r="U12884" s="204"/>
    </row>
    <row r="12885" spans="2:21" x14ac:dyDescent="0.2">
      <c r="B12885" s="203"/>
      <c r="C12885" s="237"/>
      <c r="D12885" s="202"/>
      <c r="E12885" s="202"/>
      <c r="U12885" s="204"/>
    </row>
    <row r="12886" spans="2:21" x14ac:dyDescent="0.2">
      <c r="B12886" s="203"/>
      <c r="C12886" s="237"/>
      <c r="D12886" s="202"/>
      <c r="E12886" s="202"/>
      <c r="U12886" s="204"/>
    </row>
    <row r="12887" spans="2:21" x14ac:dyDescent="0.2">
      <c r="B12887" s="203"/>
      <c r="C12887" s="237"/>
      <c r="D12887" s="202"/>
      <c r="E12887" s="202"/>
      <c r="U12887" s="204"/>
    </row>
    <row r="12888" spans="2:21" x14ac:dyDescent="0.2">
      <c r="B12888" s="203"/>
      <c r="C12888" s="237"/>
      <c r="D12888" s="202"/>
      <c r="E12888" s="202"/>
      <c r="U12888" s="204"/>
    </row>
    <row r="12889" spans="2:21" x14ac:dyDescent="0.2">
      <c r="B12889" s="203"/>
      <c r="C12889" s="237"/>
      <c r="D12889" s="202"/>
      <c r="E12889" s="202"/>
      <c r="U12889" s="204"/>
    </row>
    <row r="12890" spans="2:21" x14ac:dyDescent="0.2">
      <c r="B12890" s="203"/>
      <c r="C12890" s="237"/>
      <c r="D12890" s="202"/>
      <c r="E12890" s="202"/>
      <c r="U12890" s="204"/>
    </row>
    <row r="12891" spans="2:21" x14ac:dyDescent="0.2">
      <c r="B12891" s="203"/>
      <c r="C12891" s="237"/>
      <c r="D12891" s="202"/>
      <c r="E12891" s="202"/>
      <c r="U12891" s="204"/>
    </row>
    <row r="12892" spans="2:21" x14ac:dyDescent="0.2">
      <c r="B12892" s="203"/>
      <c r="C12892" s="237"/>
      <c r="D12892" s="202"/>
      <c r="E12892" s="202"/>
      <c r="U12892" s="204"/>
    </row>
    <row r="12893" spans="2:21" x14ac:dyDescent="0.2">
      <c r="B12893" s="203"/>
      <c r="C12893" s="237"/>
      <c r="D12893" s="202"/>
      <c r="E12893" s="202"/>
      <c r="U12893" s="204"/>
    </row>
    <row r="12894" spans="2:21" x14ac:dyDescent="0.2">
      <c r="B12894" s="203"/>
      <c r="C12894" s="237"/>
      <c r="D12894" s="202"/>
      <c r="E12894" s="202"/>
      <c r="U12894" s="204"/>
    </row>
    <row r="12895" spans="2:21" x14ac:dyDescent="0.2">
      <c r="B12895" s="203"/>
      <c r="C12895" s="237"/>
      <c r="D12895" s="202"/>
      <c r="E12895" s="202"/>
      <c r="U12895" s="204"/>
    </row>
    <row r="12896" spans="2:21" x14ac:dyDescent="0.2">
      <c r="B12896" s="203"/>
      <c r="C12896" s="237"/>
      <c r="D12896" s="202"/>
      <c r="E12896" s="202"/>
      <c r="U12896" s="204"/>
    </row>
    <row r="12897" spans="2:21" x14ac:dyDescent="0.2">
      <c r="B12897" s="203"/>
      <c r="C12897" s="237"/>
      <c r="D12897" s="202"/>
      <c r="E12897" s="202"/>
      <c r="U12897" s="204"/>
    </row>
    <row r="12898" spans="2:21" x14ac:dyDescent="0.2">
      <c r="B12898" s="203"/>
      <c r="C12898" s="237"/>
      <c r="D12898" s="202"/>
      <c r="E12898" s="202"/>
      <c r="U12898" s="204"/>
    </row>
    <row r="12899" spans="2:21" x14ac:dyDescent="0.2">
      <c r="B12899" s="203"/>
      <c r="C12899" s="237"/>
      <c r="D12899" s="202"/>
      <c r="E12899" s="202"/>
      <c r="U12899" s="204"/>
    </row>
    <row r="12900" spans="2:21" x14ac:dyDescent="0.2">
      <c r="B12900" s="203"/>
      <c r="C12900" s="237"/>
      <c r="D12900" s="202"/>
      <c r="E12900" s="202"/>
      <c r="U12900" s="204"/>
    </row>
    <row r="12901" spans="2:21" x14ac:dyDescent="0.2">
      <c r="B12901" s="203"/>
      <c r="C12901" s="237"/>
      <c r="D12901" s="202"/>
      <c r="E12901" s="202"/>
      <c r="U12901" s="204"/>
    </row>
    <row r="12902" spans="2:21" x14ac:dyDescent="0.2">
      <c r="B12902" s="203"/>
      <c r="C12902" s="237"/>
      <c r="D12902" s="202"/>
      <c r="E12902" s="202"/>
      <c r="U12902" s="204"/>
    </row>
    <row r="12903" spans="2:21" x14ac:dyDescent="0.2">
      <c r="B12903" s="203"/>
      <c r="C12903" s="237"/>
      <c r="D12903" s="202"/>
      <c r="E12903" s="202"/>
      <c r="U12903" s="204"/>
    </row>
    <row r="12904" spans="2:21" x14ac:dyDescent="0.2">
      <c r="B12904" s="203"/>
      <c r="C12904" s="237"/>
      <c r="D12904" s="202"/>
      <c r="E12904" s="202"/>
      <c r="U12904" s="204"/>
    </row>
    <row r="12905" spans="2:21" x14ac:dyDescent="0.2">
      <c r="B12905" s="203"/>
      <c r="C12905" s="237"/>
      <c r="D12905" s="202"/>
      <c r="E12905" s="202"/>
      <c r="U12905" s="204"/>
    </row>
    <row r="12906" spans="2:21" x14ac:dyDescent="0.2">
      <c r="B12906" s="203"/>
      <c r="C12906" s="237"/>
      <c r="D12906" s="202"/>
      <c r="E12906" s="202"/>
      <c r="U12906" s="204"/>
    </row>
    <row r="12907" spans="2:21" x14ac:dyDescent="0.2">
      <c r="B12907" s="203"/>
      <c r="C12907" s="237"/>
      <c r="D12907" s="202"/>
      <c r="E12907" s="202"/>
      <c r="U12907" s="204"/>
    </row>
    <row r="12908" spans="2:21" x14ac:dyDescent="0.2">
      <c r="B12908" s="203"/>
      <c r="C12908" s="237"/>
      <c r="D12908" s="202"/>
      <c r="E12908" s="202"/>
      <c r="U12908" s="204"/>
    </row>
    <row r="12909" spans="2:21" x14ac:dyDescent="0.2">
      <c r="B12909" s="203"/>
      <c r="C12909" s="237"/>
      <c r="D12909" s="202"/>
      <c r="E12909" s="202"/>
      <c r="U12909" s="204"/>
    </row>
    <row r="12910" spans="2:21" x14ac:dyDescent="0.2">
      <c r="B12910" s="203"/>
      <c r="C12910" s="237"/>
      <c r="D12910" s="202"/>
      <c r="E12910" s="202"/>
      <c r="U12910" s="204"/>
    </row>
    <row r="12911" spans="2:21" x14ac:dyDescent="0.2">
      <c r="B12911" s="203"/>
      <c r="C12911" s="237"/>
      <c r="D12911" s="202"/>
      <c r="E12911" s="202"/>
      <c r="U12911" s="204"/>
    </row>
    <row r="12912" spans="2:21" x14ac:dyDescent="0.2">
      <c r="B12912" s="203"/>
      <c r="C12912" s="237"/>
      <c r="D12912" s="202"/>
      <c r="E12912" s="202"/>
      <c r="U12912" s="204"/>
    </row>
    <row r="12913" spans="2:21" x14ac:dyDescent="0.2">
      <c r="B12913" s="203"/>
      <c r="C12913" s="237"/>
      <c r="D12913" s="202"/>
      <c r="E12913" s="202"/>
      <c r="U12913" s="204"/>
    </row>
    <row r="12914" spans="2:21" x14ac:dyDescent="0.2">
      <c r="B12914" s="203"/>
      <c r="C12914" s="237"/>
      <c r="D12914" s="202"/>
      <c r="E12914" s="202"/>
      <c r="U12914" s="204"/>
    </row>
    <row r="12915" spans="2:21" x14ac:dyDescent="0.2">
      <c r="B12915" s="203"/>
      <c r="C12915" s="237"/>
      <c r="D12915" s="202"/>
      <c r="E12915" s="202"/>
      <c r="U12915" s="204"/>
    </row>
    <row r="12916" spans="2:21" x14ac:dyDescent="0.2">
      <c r="B12916" s="203"/>
      <c r="C12916" s="237"/>
      <c r="D12916" s="202"/>
      <c r="E12916" s="202"/>
      <c r="U12916" s="204"/>
    </row>
    <row r="12917" spans="2:21" x14ac:dyDescent="0.2">
      <c r="B12917" s="203"/>
      <c r="C12917" s="237"/>
      <c r="D12917" s="202"/>
      <c r="E12917" s="202"/>
      <c r="U12917" s="204"/>
    </row>
    <row r="12918" spans="2:21" x14ac:dyDescent="0.2">
      <c r="B12918" s="203"/>
      <c r="C12918" s="237"/>
      <c r="D12918" s="202"/>
      <c r="E12918" s="202"/>
      <c r="U12918" s="204"/>
    </row>
    <row r="12919" spans="2:21" x14ac:dyDescent="0.2">
      <c r="B12919" s="203"/>
      <c r="C12919" s="237"/>
      <c r="D12919" s="202"/>
      <c r="E12919" s="202"/>
      <c r="U12919" s="204"/>
    </row>
    <row r="12920" spans="2:21" x14ac:dyDescent="0.2">
      <c r="B12920" s="203"/>
      <c r="C12920" s="237"/>
      <c r="D12920" s="202"/>
      <c r="E12920" s="202"/>
      <c r="U12920" s="204"/>
    </row>
    <row r="12921" spans="2:21" x14ac:dyDescent="0.2">
      <c r="B12921" s="203"/>
      <c r="C12921" s="237"/>
      <c r="D12921" s="202"/>
      <c r="E12921" s="202"/>
      <c r="U12921" s="204"/>
    </row>
    <row r="12922" spans="2:21" x14ac:dyDescent="0.2">
      <c r="B12922" s="203"/>
      <c r="C12922" s="237"/>
      <c r="D12922" s="202"/>
      <c r="E12922" s="202"/>
      <c r="U12922" s="204"/>
    </row>
    <row r="12923" spans="2:21" x14ac:dyDescent="0.2">
      <c r="B12923" s="203"/>
      <c r="C12923" s="237"/>
      <c r="D12923" s="202"/>
      <c r="E12923" s="202"/>
      <c r="U12923" s="204"/>
    </row>
    <row r="12924" spans="2:21" x14ac:dyDescent="0.2">
      <c r="B12924" s="203"/>
      <c r="C12924" s="237"/>
      <c r="D12924" s="202"/>
      <c r="E12924" s="202"/>
      <c r="U12924" s="204"/>
    </row>
    <row r="12925" spans="2:21" x14ac:dyDescent="0.2">
      <c r="B12925" s="203"/>
      <c r="C12925" s="237"/>
      <c r="D12925" s="202"/>
      <c r="E12925" s="202"/>
      <c r="U12925" s="204"/>
    </row>
    <row r="12926" spans="2:21" x14ac:dyDescent="0.2">
      <c r="B12926" s="203"/>
      <c r="C12926" s="237"/>
      <c r="D12926" s="202"/>
      <c r="E12926" s="202"/>
      <c r="U12926" s="204"/>
    </row>
    <row r="12927" spans="2:21" x14ac:dyDescent="0.2">
      <c r="B12927" s="203"/>
      <c r="C12927" s="237"/>
      <c r="D12927" s="202"/>
      <c r="E12927" s="202"/>
      <c r="U12927" s="204"/>
    </row>
    <row r="12928" spans="2:21" x14ac:dyDescent="0.2">
      <c r="B12928" s="203"/>
      <c r="C12928" s="237"/>
      <c r="D12928" s="202"/>
      <c r="E12928" s="202"/>
      <c r="U12928" s="204"/>
    </row>
    <row r="12929" spans="2:21" x14ac:dyDescent="0.2">
      <c r="B12929" s="203"/>
      <c r="C12929" s="237"/>
      <c r="D12929" s="202"/>
      <c r="E12929" s="202"/>
      <c r="U12929" s="204"/>
    </row>
    <row r="12930" spans="2:21" x14ac:dyDescent="0.2">
      <c r="B12930" s="203"/>
      <c r="C12930" s="237"/>
      <c r="D12930" s="202"/>
      <c r="E12930" s="202"/>
      <c r="U12930" s="204"/>
    </row>
    <row r="12931" spans="2:21" x14ac:dyDescent="0.2">
      <c r="B12931" s="203"/>
      <c r="C12931" s="237"/>
      <c r="D12931" s="202"/>
      <c r="E12931" s="202"/>
      <c r="U12931" s="204"/>
    </row>
    <row r="12932" spans="2:21" x14ac:dyDescent="0.2">
      <c r="B12932" s="203"/>
      <c r="C12932" s="237"/>
      <c r="D12932" s="202"/>
      <c r="E12932" s="202"/>
      <c r="U12932" s="204"/>
    </row>
    <row r="12933" spans="2:21" x14ac:dyDescent="0.2">
      <c r="B12933" s="203"/>
      <c r="C12933" s="237"/>
      <c r="D12933" s="202"/>
      <c r="E12933" s="202"/>
      <c r="U12933" s="204"/>
    </row>
    <row r="12934" spans="2:21" x14ac:dyDescent="0.2">
      <c r="B12934" s="203"/>
      <c r="C12934" s="237"/>
      <c r="D12934" s="202"/>
      <c r="E12934" s="202"/>
      <c r="U12934" s="204"/>
    </row>
    <row r="12935" spans="2:21" x14ac:dyDescent="0.2">
      <c r="B12935" s="203"/>
      <c r="C12935" s="237"/>
      <c r="D12935" s="202"/>
      <c r="E12935" s="202"/>
      <c r="U12935" s="204"/>
    </row>
    <row r="12936" spans="2:21" x14ac:dyDescent="0.2">
      <c r="B12936" s="203"/>
      <c r="C12936" s="237"/>
      <c r="D12936" s="202"/>
      <c r="E12936" s="202"/>
      <c r="U12936" s="204"/>
    </row>
    <row r="12937" spans="2:21" x14ac:dyDescent="0.2">
      <c r="B12937" s="203"/>
      <c r="C12937" s="237"/>
      <c r="D12937" s="202"/>
      <c r="E12937" s="202"/>
      <c r="U12937" s="204"/>
    </row>
    <row r="12938" spans="2:21" x14ac:dyDescent="0.2">
      <c r="B12938" s="203"/>
      <c r="C12938" s="237"/>
      <c r="D12938" s="202"/>
      <c r="E12938" s="202"/>
      <c r="U12938" s="204"/>
    </row>
    <row r="12939" spans="2:21" x14ac:dyDescent="0.2">
      <c r="B12939" s="203"/>
      <c r="C12939" s="237"/>
      <c r="D12939" s="202"/>
      <c r="E12939" s="202"/>
      <c r="U12939" s="204"/>
    </row>
    <row r="12940" spans="2:21" x14ac:dyDescent="0.2">
      <c r="B12940" s="203"/>
      <c r="C12940" s="237"/>
      <c r="D12940" s="202"/>
      <c r="E12940" s="202"/>
      <c r="U12940" s="204"/>
    </row>
    <row r="12941" spans="2:21" x14ac:dyDescent="0.2">
      <c r="B12941" s="203"/>
      <c r="C12941" s="237"/>
      <c r="D12941" s="202"/>
      <c r="E12941" s="202"/>
      <c r="U12941" s="204"/>
    </row>
    <row r="12942" spans="2:21" x14ac:dyDescent="0.2">
      <c r="B12942" s="203"/>
      <c r="C12942" s="237"/>
      <c r="D12942" s="202"/>
      <c r="E12942" s="202"/>
      <c r="U12942" s="204"/>
    </row>
    <row r="12943" spans="2:21" x14ac:dyDescent="0.2">
      <c r="B12943" s="203"/>
      <c r="C12943" s="237"/>
      <c r="D12943" s="202"/>
      <c r="E12943" s="202"/>
      <c r="U12943" s="204"/>
    </row>
    <row r="12944" spans="2:21" x14ac:dyDescent="0.2">
      <c r="B12944" s="203"/>
      <c r="C12944" s="237"/>
      <c r="D12944" s="202"/>
      <c r="E12944" s="202"/>
      <c r="U12944" s="204"/>
    </row>
    <row r="12945" spans="2:21" x14ac:dyDescent="0.2">
      <c r="B12945" s="203"/>
      <c r="C12945" s="237"/>
      <c r="D12945" s="202"/>
      <c r="E12945" s="202"/>
      <c r="U12945" s="204"/>
    </row>
    <row r="12946" spans="2:21" x14ac:dyDescent="0.2">
      <c r="B12946" s="203"/>
      <c r="C12946" s="237"/>
      <c r="D12946" s="202"/>
      <c r="E12946" s="202"/>
      <c r="U12946" s="204"/>
    </row>
    <row r="12947" spans="2:21" x14ac:dyDescent="0.2">
      <c r="B12947" s="203"/>
      <c r="C12947" s="237"/>
      <c r="D12947" s="202"/>
      <c r="E12947" s="202"/>
      <c r="U12947" s="204"/>
    </row>
    <row r="12948" spans="2:21" x14ac:dyDescent="0.2">
      <c r="B12948" s="203"/>
      <c r="C12948" s="237"/>
      <c r="D12948" s="202"/>
      <c r="E12948" s="202"/>
      <c r="U12948" s="204"/>
    </row>
    <row r="12949" spans="2:21" x14ac:dyDescent="0.2">
      <c r="B12949" s="203"/>
      <c r="C12949" s="237"/>
      <c r="D12949" s="202"/>
      <c r="E12949" s="202"/>
      <c r="U12949" s="204"/>
    </row>
    <row r="12950" spans="2:21" x14ac:dyDescent="0.2">
      <c r="B12950" s="203"/>
      <c r="C12950" s="237"/>
      <c r="D12950" s="202"/>
      <c r="E12950" s="202"/>
      <c r="U12950" s="204"/>
    </row>
    <row r="12951" spans="2:21" x14ac:dyDescent="0.2">
      <c r="B12951" s="203"/>
      <c r="C12951" s="237"/>
      <c r="D12951" s="202"/>
      <c r="E12951" s="202"/>
      <c r="U12951" s="204"/>
    </row>
    <row r="12952" spans="2:21" x14ac:dyDescent="0.2">
      <c r="B12952" s="203"/>
      <c r="C12952" s="237"/>
      <c r="D12952" s="202"/>
      <c r="E12952" s="202"/>
      <c r="U12952" s="204"/>
    </row>
    <row r="12953" spans="2:21" x14ac:dyDescent="0.2">
      <c r="B12953" s="203"/>
      <c r="C12953" s="237"/>
      <c r="D12953" s="202"/>
      <c r="E12953" s="202"/>
      <c r="U12953" s="204"/>
    </row>
    <row r="12954" spans="2:21" x14ac:dyDescent="0.2">
      <c r="B12954" s="203"/>
      <c r="C12954" s="237"/>
      <c r="D12954" s="202"/>
      <c r="E12954" s="202"/>
      <c r="U12954" s="204"/>
    </row>
    <row r="12955" spans="2:21" x14ac:dyDescent="0.2">
      <c r="B12955" s="203"/>
      <c r="C12955" s="237"/>
      <c r="D12955" s="202"/>
      <c r="E12955" s="202"/>
      <c r="U12955" s="204"/>
    </row>
    <row r="12956" spans="2:21" x14ac:dyDescent="0.2">
      <c r="B12956" s="203"/>
      <c r="C12956" s="237"/>
      <c r="D12956" s="202"/>
      <c r="E12956" s="202"/>
      <c r="U12956" s="204"/>
    </row>
    <row r="12957" spans="2:21" x14ac:dyDescent="0.2">
      <c r="B12957" s="203"/>
      <c r="C12957" s="237"/>
      <c r="D12957" s="202"/>
      <c r="E12957" s="202"/>
      <c r="U12957" s="204"/>
    </row>
    <row r="12958" spans="2:21" x14ac:dyDescent="0.2">
      <c r="B12958" s="203"/>
      <c r="C12958" s="237"/>
      <c r="D12958" s="202"/>
      <c r="E12958" s="202"/>
      <c r="U12958" s="204"/>
    </row>
    <row r="12959" spans="2:21" x14ac:dyDescent="0.2">
      <c r="B12959" s="203"/>
      <c r="C12959" s="237"/>
      <c r="D12959" s="202"/>
      <c r="E12959" s="202"/>
      <c r="U12959" s="204"/>
    </row>
    <row r="12960" spans="2:21" x14ac:dyDescent="0.2">
      <c r="B12960" s="203"/>
      <c r="C12960" s="237"/>
      <c r="D12960" s="202"/>
      <c r="E12960" s="202"/>
      <c r="U12960" s="204"/>
    </row>
    <row r="12961" spans="2:21" x14ac:dyDescent="0.2">
      <c r="B12961" s="203"/>
      <c r="C12961" s="237"/>
      <c r="D12961" s="202"/>
      <c r="E12961" s="202"/>
      <c r="U12961" s="204"/>
    </row>
    <row r="12962" spans="2:21" x14ac:dyDescent="0.2">
      <c r="B12962" s="203"/>
      <c r="C12962" s="237"/>
      <c r="D12962" s="202"/>
      <c r="E12962" s="202"/>
      <c r="U12962" s="204"/>
    </row>
    <row r="12963" spans="2:21" x14ac:dyDescent="0.2">
      <c r="B12963" s="203"/>
      <c r="C12963" s="237"/>
      <c r="D12963" s="202"/>
      <c r="E12963" s="202"/>
      <c r="U12963" s="204"/>
    </row>
    <row r="12964" spans="2:21" x14ac:dyDescent="0.2">
      <c r="B12964" s="203"/>
      <c r="C12964" s="237"/>
      <c r="D12964" s="202"/>
      <c r="E12964" s="202"/>
      <c r="U12964" s="204"/>
    </row>
    <row r="12965" spans="2:21" x14ac:dyDescent="0.2">
      <c r="B12965" s="203"/>
      <c r="C12965" s="237"/>
      <c r="D12965" s="202"/>
      <c r="E12965" s="202"/>
      <c r="U12965" s="204"/>
    </row>
    <row r="12966" spans="2:21" x14ac:dyDescent="0.2">
      <c r="B12966" s="203"/>
      <c r="C12966" s="237"/>
      <c r="D12966" s="202"/>
      <c r="E12966" s="202"/>
      <c r="U12966" s="204"/>
    </row>
    <row r="12967" spans="2:21" x14ac:dyDescent="0.2">
      <c r="B12967" s="203"/>
      <c r="C12967" s="237"/>
      <c r="D12967" s="202"/>
      <c r="E12967" s="202"/>
      <c r="U12967" s="204"/>
    </row>
    <row r="12968" spans="2:21" x14ac:dyDescent="0.2">
      <c r="B12968" s="203"/>
      <c r="C12968" s="237"/>
      <c r="D12968" s="202"/>
      <c r="E12968" s="202"/>
      <c r="U12968" s="204"/>
    </row>
    <row r="12969" spans="2:21" x14ac:dyDescent="0.2">
      <c r="B12969" s="203"/>
      <c r="C12969" s="237"/>
      <c r="D12969" s="202"/>
      <c r="E12969" s="202"/>
      <c r="U12969" s="204"/>
    </row>
    <row r="12970" spans="2:21" x14ac:dyDescent="0.2">
      <c r="B12970" s="203"/>
      <c r="C12970" s="237"/>
      <c r="D12970" s="202"/>
      <c r="E12970" s="202"/>
      <c r="U12970" s="204"/>
    </row>
    <row r="12971" spans="2:21" x14ac:dyDescent="0.2">
      <c r="B12971" s="203"/>
      <c r="C12971" s="237"/>
      <c r="D12971" s="202"/>
      <c r="E12971" s="202"/>
      <c r="U12971" s="204"/>
    </row>
    <row r="12972" spans="2:21" x14ac:dyDescent="0.2">
      <c r="B12972" s="203"/>
      <c r="C12972" s="237"/>
      <c r="D12972" s="202"/>
      <c r="E12972" s="202"/>
      <c r="U12972" s="204"/>
    </row>
    <row r="12973" spans="2:21" x14ac:dyDescent="0.2">
      <c r="B12973" s="203"/>
      <c r="C12973" s="237"/>
      <c r="D12973" s="202"/>
      <c r="E12973" s="202"/>
      <c r="U12973" s="204"/>
    </row>
    <row r="12974" spans="2:21" x14ac:dyDescent="0.2">
      <c r="B12974" s="203"/>
      <c r="C12974" s="237"/>
      <c r="D12974" s="202"/>
      <c r="E12974" s="202"/>
      <c r="U12974" s="204"/>
    </row>
    <row r="12975" spans="2:21" x14ac:dyDescent="0.2">
      <c r="B12975" s="203"/>
      <c r="C12975" s="237"/>
      <c r="D12975" s="202"/>
      <c r="E12975" s="202"/>
      <c r="U12975" s="204"/>
    </row>
    <row r="12976" spans="2:21" x14ac:dyDescent="0.2">
      <c r="B12976" s="203"/>
      <c r="C12976" s="237"/>
      <c r="D12976" s="202"/>
      <c r="E12976" s="202"/>
      <c r="U12976" s="204"/>
    </row>
    <row r="12977" spans="2:21" x14ac:dyDescent="0.2">
      <c r="B12977" s="203"/>
      <c r="C12977" s="237"/>
      <c r="D12977" s="202"/>
      <c r="E12977" s="202"/>
      <c r="U12977" s="204"/>
    </row>
    <row r="12978" spans="2:21" x14ac:dyDescent="0.2">
      <c r="B12978" s="203"/>
      <c r="C12978" s="237"/>
      <c r="D12978" s="202"/>
      <c r="E12978" s="202"/>
      <c r="U12978" s="204"/>
    </row>
    <row r="12979" spans="2:21" x14ac:dyDescent="0.2">
      <c r="B12979" s="203"/>
      <c r="C12979" s="237"/>
      <c r="D12979" s="202"/>
      <c r="E12979" s="202"/>
      <c r="U12979" s="204"/>
    </row>
    <row r="12980" spans="2:21" x14ac:dyDescent="0.2">
      <c r="B12980" s="203"/>
      <c r="C12980" s="237"/>
      <c r="D12980" s="202"/>
      <c r="E12980" s="202"/>
      <c r="U12980" s="204"/>
    </row>
    <row r="12981" spans="2:21" x14ac:dyDescent="0.2">
      <c r="B12981" s="203"/>
      <c r="C12981" s="237"/>
      <c r="D12981" s="202"/>
      <c r="E12981" s="202"/>
      <c r="U12981" s="204"/>
    </row>
    <row r="12982" spans="2:21" x14ac:dyDescent="0.2">
      <c r="B12982" s="203"/>
      <c r="C12982" s="237"/>
      <c r="D12982" s="202"/>
      <c r="E12982" s="202"/>
      <c r="U12982" s="204"/>
    </row>
    <row r="12983" spans="2:21" x14ac:dyDescent="0.2">
      <c r="B12983" s="203"/>
      <c r="C12983" s="237"/>
      <c r="D12983" s="202"/>
      <c r="E12983" s="202"/>
      <c r="U12983" s="204"/>
    </row>
    <row r="12984" spans="2:21" x14ac:dyDescent="0.2">
      <c r="B12984" s="203"/>
      <c r="C12984" s="237"/>
      <c r="D12984" s="202"/>
      <c r="E12984" s="202"/>
      <c r="U12984" s="204"/>
    </row>
    <row r="12985" spans="2:21" x14ac:dyDescent="0.2">
      <c r="B12985" s="203"/>
      <c r="C12985" s="237"/>
      <c r="D12985" s="202"/>
      <c r="E12985" s="202"/>
      <c r="U12985" s="204"/>
    </row>
    <row r="12986" spans="2:21" x14ac:dyDescent="0.2">
      <c r="B12986" s="203"/>
      <c r="C12986" s="237"/>
      <c r="D12986" s="202"/>
      <c r="E12986" s="202"/>
      <c r="U12986" s="204"/>
    </row>
    <row r="12987" spans="2:21" x14ac:dyDescent="0.2">
      <c r="B12987" s="203"/>
      <c r="C12987" s="237"/>
      <c r="D12987" s="202"/>
      <c r="E12987" s="202"/>
      <c r="U12987" s="204"/>
    </row>
    <row r="12988" spans="2:21" x14ac:dyDescent="0.2">
      <c r="B12988" s="203"/>
      <c r="C12988" s="237"/>
      <c r="D12988" s="202"/>
      <c r="E12988" s="202"/>
      <c r="U12988" s="204"/>
    </row>
    <row r="12989" spans="2:21" x14ac:dyDescent="0.2">
      <c r="B12989" s="203"/>
      <c r="C12989" s="237"/>
      <c r="D12989" s="202"/>
      <c r="E12989" s="202"/>
      <c r="U12989" s="204"/>
    </row>
    <row r="12990" spans="2:21" x14ac:dyDescent="0.2">
      <c r="B12990" s="203"/>
      <c r="C12990" s="237"/>
      <c r="D12990" s="202"/>
      <c r="E12990" s="202"/>
      <c r="U12990" s="204"/>
    </row>
    <row r="12991" spans="2:21" x14ac:dyDescent="0.2">
      <c r="B12991" s="203"/>
      <c r="C12991" s="237"/>
      <c r="D12991" s="202"/>
      <c r="E12991" s="202"/>
      <c r="U12991" s="204"/>
    </row>
    <row r="12992" spans="2:21" x14ac:dyDescent="0.2">
      <c r="B12992" s="203"/>
      <c r="C12992" s="237"/>
      <c r="D12992" s="202"/>
      <c r="E12992" s="202"/>
      <c r="U12992" s="204"/>
    </row>
    <row r="12993" spans="2:21" x14ac:dyDescent="0.2">
      <c r="B12993" s="203"/>
      <c r="C12993" s="237"/>
      <c r="D12993" s="202"/>
      <c r="E12993" s="202"/>
      <c r="U12993" s="204"/>
    </row>
    <row r="12994" spans="2:21" x14ac:dyDescent="0.2">
      <c r="B12994" s="203"/>
      <c r="C12994" s="237"/>
      <c r="D12994" s="202"/>
      <c r="E12994" s="202"/>
      <c r="U12994" s="204"/>
    </row>
    <row r="12995" spans="2:21" x14ac:dyDescent="0.2">
      <c r="B12995" s="203"/>
      <c r="C12995" s="237"/>
      <c r="D12995" s="202"/>
      <c r="E12995" s="202"/>
      <c r="U12995" s="204"/>
    </row>
    <row r="12996" spans="2:21" x14ac:dyDescent="0.2">
      <c r="B12996" s="203"/>
      <c r="C12996" s="237"/>
      <c r="D12996" s="202"/>
      <c r="E12996" s="202"/>
      <c r="U12996" s="204"/>
    </row>
    <row r="12997" spans="2:21" x14ac:dyDescent="0.2">
      <c r="B12997" s="203"/>
      <c r="C12997" s="237"/>
      <c r="D12997" s="202"/>
      <c r="E12997" s="202"/>
      <c r="U12997" s="204"/>
    </row>
    <row r="12998" spans="2:21" x14ac:dyDescent="0.2">
      <c r="B12998" s="203"/>
      <c r="C12998" s="237"/>
      <c r="D12998" s="202"/>
      <c r="E12998" s="202"/>
      <c r="U12998" s="204"/>
    </row>
    <row r="12999" spans="2:21" x14ac:dyDescent="0.2">
      <c r="B12999" s="203"/>
      <c r="C12999" s="237"/>
      <c r="D12999" s="202"/>
      <c r="E12999" s="202"/>
      <c r="U12999" s="204"/>
    </row>
    <row r="13000" spans="2:21" x14ac:dyDescent="0.2">
      <c r="B13000" s="203"/>
      <c r="C13000" s="237"/>
      <c r="D13000" s="202"/>
      <c r="E13000" s="202"/>
      <c r="U13000" s="204"/>
    </row>
    <row r="13001" spans="2:21" x14ac:dyDescent="0.2">
      <c r="B13001" s="203"/>
      <c r="C13001" s="237"/>
      <c r="D13001" s="202"/>
      <c r="E13001" s="202"/>
      <c r="U13001" s="204"/>
    </row>
    <row r="13002" spans="2:21" x14ac:dyDescent="0.2">
      <c r="B13002" s="203"/>
      <c r="C13002" s="237"/>
      <c r="D13002" s="202"/>
      <c r="E13002" s="202"/>
      <c r="U13002" s="204"/>
    </row>
    <row r="13003" spans="2:21" x14ac:dyDescent="0.2">
      <c r="B13003" s="203"/>
      <c r="C13003" s="237"/>
      <c r="D13003" s="202"/>
      <c r="E13003" s="202"/>
      <c r="U13003" s="204"/>
    </row>
    <row r="13004" spans="2:21" x14ac:dyDescent="0.2">
      <c r="B13004" s="203"/>
      <c r="C13004" s="237"/>
      <c r="D13004" s="202"/>
      <c r="E13004" s="202"/>
      <c r="U13004" s="204"/>
    </row>
    <row r="13005" spans="2:21" x14ac:dyDescent="0.2">
      <c r="B13005" s="203"/>
      <c r="C13005" s="237"/>
      <c r="D13005" s="202"/>
      <c r="E13005" s="202"/>
      <c r="U13005" s="204"/>
    </row>
    <row r="13006" spans="2:21" x14ac:dyDescent="0.2">
      <c r="B13006" s="203"/>
      <c r="C13006" s="237"/>
      <c r="D13006" s="202"/>
      <c r="E13006" s="202"/>
      <c r="U13006" s="204"/>
    </row>
    <row r="13007" spans="2:21" x14ac:dyDescent="0.2">
      <c r="B13007" s="203"/>
      <c r="C13007" s="237"/>
      <c r="D13007" s="202"/>
      <c r="E13007" s="202"/>
      <c r="U13007" s="204"/>
    </row>
    <row r="13008" spans="2:21" x14ac:dyDescent="0.2">
      <c r="B13008" s="203"/>
      <c r="C13008" s="237"/>
      <c r="D13008" s="202"/>
      <c r="E13008" s="202"/>
      <c r="U13008" s="204"/>
    </row>
    <row r="13009" spans="2:21" x14ac:dyDescent="0.2">
      <c r="B13009" s="203"/>
      <c r="C13009" s="237"/>
      <c r="D13009" s="202"/>
      <c r="E13009" s="202"/>
      <c r="U13009" s="204"/>
    </row>
    <row r="13010" spans="2:21" x14ac:dyDescent="0.2">
      <c r="B13010" s="203"/>
      <c r="C13010" s="237"/>
      <c r="D13010" s="202"/>
      <c r="E13010" s="202"/>
      <c r="U13010" s="204"/>
    </row>
    <row r="13011" spans="2:21" x14ac:dyDescent="0.2">
      <c r="B13011" s="203"/>
      <c r="C13011" s="237"/>
      <c r="D13011" s="202"/>
      <c r="E13011" s="202"/>
      <c r="U13011" s="204"/>
    </row>
    <row r="13012" spans="2:21" x14ac:dyDescent="0.2">
      <c r="B13012" s="203"/>
      <c r="C13012" s="237"/>
      <c r="D13012" s="202"/>
      <c r="E13012" s="202"/>
      <c r="U13012" s="204"/>
    </row>
    <row r="13013" spans="2:21" x14ac:dyDescent="0.2">
      <c r="B13013" s="203"/>
      <c r="C13013" s="237"/>
      <c r="D13013" s="202"/>
      <c r="E13013" s="202"/>
      <c r="U13013" s="204"/>
    </row>
    <row r="13014" spans="2:21" x14ac:dyDescent="0.2">
      <c r="B13014" s="203"/>
      <c r="C13014" s="237"/>
      <c r="D13014" s="202"/>
      <c r="E13014" s="202"/>
      <c r="U13014" s="204"/>
    </row>
    <row r="13015" spans="2:21" x14ac:dyDescent="0.2">
      <c r="B13015" s="203"/>
      <c r="C13015" s="237"/>
      <c r="D13015" s="202"/>
      <c r="E13015" s="202"/>
      <c r="U13015" s="204"/>
    </row>
    <row r="13016" spans="2:21" x14ac:dyDescent="0.2">
      <c r="B13016" s="203"/>
      <c r="C13016" s="237"/>
      <c r="D13016" s="202"/>
      <c r="E13016" s="202"/>
      <c r="U13016" s="204"/>
    </row>
    <row r="13017" spans="2:21" x14ac:dyDescent="0.2">
      <c r="B13017" s="203"/>
      <c r="C13017" s="237"/>
      <c r="D13017" s="202"/>
      <c r="E13017" s="202"/>
      <c r="U13017" s="204"/>
    </row>
    <row r="13018" spans="2:21" x14ac:dyDescent="0.2">
      <c r="B13018" s="203"/>
      <c r="C13018" s="237"/>
      <c r="D13018" s="202"/>
      <c r="E13018" s="202"/>
      <c r="U13018" s="204"/>
    </row>
    <row r="13019" spans="2:21" x14ac:dyDescent="0.2">
      <c r="B13019" s="203"/>
      <c r="C13019" s="237"/>
      <c r="D13019" s="202"/>
      <c r="E13019" s="202"/>
      <c r="U13019" s="204"/>
    </row>
    <row r="13020" spans="2:21" x14ac:dyDescent="0.2">
      <c r="B13020" s="203"/>
      <c r="C13020" s="237"/>
      <c r="D13020" s="202"/>
      <c r="E13020" s="202"/>
      <c r="U13020" s="204"/>
    </row>
    <row r="13021" spans="2:21" x14ac:dyDescent="0.2">
      <c r="B13021" s="203"/>
      <c r="C13021" s="237"/>
      <c r="D13021" s="202"/>
      <c r="E13021" s="202"/>
      <c r="U13021" s="204"/>
    </row>
    <row r="13022" spans="2:21" x14ac:dyDescent="0.2">
      <c r="B13022" s="203"/>
      <c r="C13022" s="237"/>
      <c r="D13022" s="202"/>
      <c r="E13022" s="202"/>
      <c r="U13022" s="204"/>
    </row>
    <row r="13023" spans="2:21" x14ac:dyDescent="0.2">
      <c r="B13023" s="203"/>
      <c r="C13023" s="237"/>
      <c r="D13023" s="202"/>
      <c r="E13023" s="202"/>
      <c r="U13023" s="204"/>
    </row>
    <row r="13024" spans="2:21" x14ac:dyDescent="0.2">
      <c r="B13024" s="203"/>
      <c r="C13024" s="237"/>
      <c r="D13024" s="202"/>
      <c r="E13024" s="202"/>
      <c r="U13024" s="204"/>
    </row>
    <row r="13025" spans="2:21" x14ac:dyDescent="0.2">
      <c r="B13025" s="203"/>
      <c r="C13025" s="237"/>
      <c r="D13025" s="202"/>
      <c r="E13025" s="202"/>
      <c r="U13025" s="204"/>
    </row>
    <row r="13026" spans="2:21" x14ac:dyDescent="0.2">
      <c r="B13026" s="203"/>
      <c r="C13026" s="237"/>
      <c r="D13026" s="202"/>
      <c r="E13026" s="202"/>
      <c r="U13026" s="204"/>
    </row>
    <row r="13027" spans="2:21" x14ac:dyDescent="0.2">
      <c r="B13027" s="203"/>
      <c r="C13027" s="237"/>
      <c r="D13027" s="202"/>
      <c r="E13027" s="202"/>
      <c r="U13027" s="204"/>
    </row>
    <row r="13028" spans="2:21" x14ac:dyDescent="0.2">
      <c r="B13028" s="203"/>
      <c r="C13028" s="237"/>
      <c r="D13028" s="202"/>
      <c r="E13028" s="202"/>
      <c r="U13028" s="204"/>
    </row>
    <row r="13029" spans="2:21" x14ac:dyDescent="0.2">
      <c r="B13029" s="203"/>
      <c r="C13029" s="237"/>
      <c r="D13029" s="202"/>
      <c r="E13029" s="202"/>
      <c r="U13029" s="204"/>
    </row>
    <row r="13030" spans="2:21" x14ac:dyDescent="0.2">
      <c r="B13030" s="203"/>
      <c r="C13030" s="237"/>
      <c r="D13030" s="202"/>
      <c r="E13030" s="202"/>
      <c r="U13030" s="204"/>
    </row>
    <row r="13031" spans="2:21" x14ac:dyDescent="0.2">
      <c r="B13031" s="203"/>
      <c r="C13031" s="237"/>
      <c r="D13031" s="202"/>
      <c r="E13031" s="202"/>
      <c r="U13031" s="204"/>
    </row>
    <row r="13032" spans="2:21" x14ac:dyDescent="0.2">
      <c r="B13032" s="203"/>
      <c r="C13032" s="237"/>
      <c r="D13032" s="202"/>
      <c r="E13032" s="202"/>
      <c r="U13032" s="204"/>
    </row>
    <row r="13033" spans="2:21" x14ac:dyDescent="0.2">
      <c r="B13033" s="203"/>
      <c r="C13033" s="237"/>
      <c r="D13033" s="202"/>
      <c r="E13033" s="202"/>
      <c r="U13033" s="204"/>
    </row>
    <row r="13034" spans="2:21" x14ac:dyDescent="0.2">
      <c r="B13034" s="203"/>
      <c r="C13034" s="237"/>
      <c r="D13034" s="202"/>
      <c r="E13034" s="202"/>
      <c r="U13034" s="204"/>
    </row>
    <row r="13035" spans="2:21" x14ac:dyDescent="0.2">
      <c r="B13035" s="203"/>
      <c r="C13035" s="237"/>
      <c r="D13035" s="202"/>
      <c r="E13035" s="202"/>
      <c r="U13035" s="204"/>
    </row>
    <row r="13036" spans="2:21" x14ac:dyDescent="0.2">
      <c r="B13036" s="203"/>
      <c r="C13036" s="237"/>
      <c r="D13036" s="202"/>
      <c r="E13036" s="202"/>
      <c r="U13036" s="204"/>
    </row>
    <row r="13037" spans="2:21" x14ac:dyDescent="0.2">
      <c r="B13037" s="203"/>
      <c r="C13037" s="237"/>
      <c r="D13037" s="202"/>
      <c r="E13037" s="202"/>
      <c r="U13037" s="204"/>
    </row>
    <row r="13038" spans="2:21" x14ac:dyDescent="0.2">
      <c r="B13038" s="203"/>
      <c r="C13038" s="237"/>
      <c r="D13038" s="202"/>
      <c r="E13038" s="202"/>
      <c r="U13038" s="204"/>
    </row>
    <row r="13039" spans="2:21" x14ac:dyDescent="0.2">
      <c r="B13039" s="203"/>
      <c r="C13039" s="237"/>
      <c r="D13039" s="202"/>
      <c r="E13039" s="202"/>
      <c r="U13039" s="204"/>
    </row>
    <row r="13040" spans="2:21" x14ac:dyDescent="0.2">
      <c r="B13040" s="203"/>
      <c r="C13040" s="237"/>
      <c r="D13040" s="202"/>
      <c r="E13040" s="202"/>
      <c r="U13040" s="204"/>
    </row>
    <row r="13041" spans="2:21" x14ac:dyDescent="0.2">
      <c r="B13041" s="203"/>
      <c r="C13041" s="237"/>
      <c r="D13041" s="202"/>
      <c r="E13041" s="202"/>
      <c r="U13041" s="204"/>
    </row>
    <row r="13042" spans="2:21" x14ac:dyDescent="0.2">
      <c r="B13042" s="203"/>
      <c r="C13042" s="237"/>
      <c r="D13042" s="202"/>
      <c r="E13042" s="202"/>
      <c r="U13042" s="204"/>
    </row>
    <row r="13043" spans="2:21" x14ac:dyDescent="0.2">
      <c r="B13043" s="203"/>
      <c r="C13043" s="237"/>
      <c r="D13043" s="202"/>
      <c r="E13043" s="202"/>
      <c r="U13043" s="204"/>
    </row>
    <row r="13044" spans="2:21" x14ac:dyDescent="0.2">
      <c r="B13044" s="203"/>
      <c r="C13044" s="237"/>
      <c r="D13044" s="202"/>
      <c r="E13044" s="202"/>
      <c r="U13044" s="204"/>
    </row>
    <row r="13045" spans="2:21" x14ac:dyDescent="0.2">
      <c r="B13045" s="203"/>
      <c r="C13045" s="237"/>
      <c r="D13045" s="202"/>
      <c r="E13045" s="202"/>
      <c r="U13045" s="204"/>
    </row>
    <row r="13046" spans="2:21" x14ac:dyDescent="0.2">
      <c r="B13046" s="203"/>
      <c r="C13046" s="237"/>
      <c r="D13046" s="202"/>
      <c r="E13046" s="202"/>
      <c r="U13046" s="204"/>
    </row>
    <row r="13047" spans="2:21" x14ac:dyDescent="0.2">
      <c r="B13047" s="203"/>
      <c r="C13047" s="237"/>
      <c r="D13047" s="202"/>
      <c r="E13047" s="202"/>
      <c r="U13047" s="204"/>
    </row>
    <row r="13048" spans="2:21" x14ac:dyDescent="0.2">
      <c r="B13048" s="203"/>
      <c r="C13048" s="237"/>
      <c r="D13048" s="202"/>
      <c r="E13048" s="202"/>
      <c r="U13048" s="204"/>
    </row>
    <row r="13049" spans="2:21" x14ac:dyDescent="0.2">
      <c r="B13049" s="203"/>
      <c r="C13049" s="237"/>
      <c r="D13049" s="202"/>
      <c r="E13049" s="202"/>
      <c r="U13049" s="204"/>
    </row>
    <row r="13050" spans="2:21" x14ac:dyDescent="0.2">
      <c r="B13050" s="203"/>
      <c r="C13050" s="237"/>
      <c r="D13050" s="202"/>
      <c r="E13050" s="202"/>
      <c r="U13050" s="204"/>
    </row>
    <row r="13051" spans="2:21" x14ac:dyDescent="0.2">
      <c r="B13051" s="203"/>
      <c r="C13051" s="237"/>
      <c r="D13051" s="202"/>
      <c r="E13051" s="202"/>
      <c r="U13051" s="204"/>
    </row>
    <row r="13052" spans="2:21" x14ac:dyDescent="0.2">
      <c r="B13052" s="203"/>
      <c r="C13052" s="237"/>
      <c r="D13052" s="202"/>
      <c r="E13052" s="202"/>
      <c r="U13052" s="204"/>
    </row>
    <row r="13053" spans="2:21" x14ac:dyDescent="0.2">
      <c r="B13053" s="203"/>
      <c r="C13053" s="237"/>
      <c r="D13053" s="202"/>
      <c r="E13053" s="202"/>
      <c r="U13053" s="204"/>
    </row>
    <row r="13054" spans="2:21" x14ac:dyDescent="0.2">
      <c r="B13054" s="203"/>
      <c r="C13054" s="237"/>
      <c r="D13054" s="202"/>
      <c r="E13054" s="202"/>
      <c r="U13054" s="204"/>
    </row>
    <row r="13055" spans="2:21" x14ac:dyDescent="0.2">
      <c r="B13055" s="203"/>
      <c r="C13055" s="237"/>
      <c r="D13055" s="202"/>
      <c r="E13055" s="202"/>
      <c r="U13055" s="204"/>
    </row>
    <row r="13056" spans="2:21" x14ac:dyDescent="0.2">
      <c r="B13056" s="203"/>
      <c r="C13056" s="237"/>
      <c r="D13056" s="202"/>
      <c r="E13056" s="202"/>
      <c r="U13056" s="204"/>
    </row>
    <row r="13057" spans="2:21" x14ac:dyDescent="0.2">
      <c r="B13057" s="203"/>
      <c r="C13057" s="237"/>
      <c r="D13057" s="202"/>
      <c r="E13057" s="202"/>
      <c r="U13057" s="204"/>
    </row>
    <row r="13058" spans="2:21" x14ac:dyDescent="0.2">
      <c r="B13058" s="203"/>
      <c r="C13058" s="237"/>
      <c r="D13058" s="202"/>
      <c r="E13058" s="202"/>
      <c r="U13058" s="204"/>
    </row>
    <row r="13059" spans="2:21" x14ac:dyDescent="0.2">
      <c r="B13059" s="203"/>
      <c r="C13059" s="237"/>
      <c r="D13059" s="202"/>
      <c r="E13059" s="202"/>
      <c r="U13059" s="204"/>
    </row>
    <row r="13060" spans="2:21" x14ac:dyDescent="0.2">
      <c r="B13060" s="203"/>
      <c r="C13060" s="237"/>
      <c r="D13060" s="202"/>
      <c r="E13060" s="202"/>
      <c r="U13060" s="204"/>
    </row>
    <row r="13061" spans="2:21" x14ac:dyDescent="0.2">
      <c r="B13061" s="203"/>
      <c r="C13061" s="237"/>
      <c r="D13061" s="202"/>
      <c r="E13061" s="202"/>
      <c r="U13061" s="204"/>
    </row>
    <row r="13062" spans="2:21" x14ac:dyDescent="0.2">
      <c r="B13062" s="203"/>
      <c r="C13062" s="237"/>
      <c r="D13062" s="202"/>
      <c r="E13062" s="202"/>
      <c r="U13062" s="204"/>
    </row>
    <row r="13063" spans="2:21" x14ac:dyDescent="0.2">
      <c r="B13063" s="203"/>
      <c r="C13063" s="237"/>
      <c r="D13063" s="202"/>
      <c r="E13063" s="202"/>
      <c r="U13063" s="204"/>
    </row>
    <row r="13064" spans="2:21" x14ac:dyDescent="0.2">
      <c r="B13064" s="203"/>
      <c r="C13064" s="237"/>
      <c r="D13064" s="202"/>
      <c r="E13064" s="202"/>
      <c r="U13064" s="204"/>
    </row>
    <row r="13065" spans="2:21" x14ac:dyDescent="0.2">
      <c r="B13065" s="203"/>
      <c r="C13065" s="237"/>
      <c r="D13065" s="202"/>
      <c r="E13065" s="202"/>
      <c r="U13065" s="204"/>
    </row>
    <row r="13066" spans="2:21" x14ac:dyDescent="0.2">
      <c r="B13066" s="203"/>
      <c r="C13066" s="237"/>
      <c r="D13066" s="202"/>
      <c r="E13066" s="202"/>
      <c r="U13066" s="204"/>
    </row>
    <row r="13067" spans="2:21" x14ac:dyDescent="0.2">
      <c r="B13067" s="203"/>
      <c r="C13067" s="237"/>
      <c r="D13067" s="202"/>
      <c r="E13067" s="202"/>
      <c r="U13067" s="204"/>
    </row>
    <row r="13068" spans="2:21" x14ac:dyDescent="0.2">
      <c r="B13068" s="203"/>
      <c r="C13068" s="237"/>
      <c r="D13068" s="202"/>
      <c r="E13068" s="202"/>
      <c r="U13068" s="204"/>
    </row>
    <row r="13069" spans="2:21" x14ac:dyDescent="0.2">
      <c r="B13069" s="203"/>
      <c r="C13069" s="237"/>
      <c r="D13069" s="202"/>
      <c r="E13069" s="202"/>
      <c r="U13069" s="204"/>
    </row>
    <row r="13070" spans="2:21" x14ac:dyDescent="0.2">
      <c r="B13070" s="203"/>
      <c r="C13070" s="237"/>
      <c r="D13070" s="202"/>
      <c r="E13070" s="202"/>
      <c r="U13070" s="204"/>
    </row>
    <row r="13071" spans="2:21" x14ac:dyDescent="0.2">
      <c r="B13071" s="203"/>
      <c r="C13071" s="237"/>
      <c r="D13071" s="202"/>
      <c r="E13071" s="202"/>
      <c r="U13071" s="204"/>
    </row>
    <row r="13072" spans="2:21" x14ac:dyDescent="0.2">
      <c r="B13072" s="203"/>
      <c r="C13072" s="237"/>
      <c r="D13072" s="202"/>
      <c r="E13072" s="202"/>
      <c r="U13072" s="204"/>
    </row>
    <row r="13073" spans="2:21" x14ac:dyDescent="0.2">
      <c r="B13073" s="203"/>
      <c r="C13073" s="237"/>
      <c r="D13073" s="202"/>
      <c r="E13073" s="202"/>
      <c r="U13073" s="204"/>
    </row>
    <row r="13074" spans="2:21" x14ac:dyDescent="0.2">
      <c r="B13074" s="203"/>
      <c r="C13074" s="237"/>
      <c r="D13074" s="202"/>
      <c r="E13074" s="202"/>
      <c r="U13074" s="204"/>
    </row>
    <row r="13075" spans="2:21" x14ac:dyDescent="0.2">
      <c r="B13075" s="203"/>
      <c r="C13075" s="237"/>
      <c r="D13075" s="202"/>
      <c r="E13075" s="202"/>
      <c r="U13075" s="204"/>
    </row>
    <row r="13076" spans="2:21" x14ac:dyDescent="0.2">
      <c r="B13076" s="203"/>
      <c r="C13076" s="237"/>
      <c r="D13076" s="202"/>
      <c r="E13076" s="202"/>
      <c r="U13076" s="204"/>
    </row>
    <row r="13077" spans="2:21" x14ac:dyDescent="0.2">
      <c r="B13077" s="203"/>
      <c r="C13077" s="237"/>
      <c r="D13077" s="202"/>
      <c r="E13077" s="202"/>
      <c r="U13077" s="204"/>
    </row>
    <row r="13078" spans="2:21" x14ac:dyDescent="0.2">
      <c r="B13078" s="203"/>
      <c r="C13078" s="237"/>
      <c r="D13078" s="202"/>
      <c r="E13078" s="202"/>
      <c r="U13078" s="204"/>
    </row>
    <row r="13079" spans="2:21" x14ac:dyDescent="0.2">
      <c r="B13079" s="203"/>
      <c r="C13079" s="237"/>
      <c r="D13079" s="202"/>
      <c r="E13079" s="202"/>
      <c r="U13079" s="204"/>
    </row>
    <row r="13080" spans="2:21" x14ac:dyDescent="0.2">
      <c r="B13080" s="203"/>
      <c r="C13080" s="237"/>
      <c r="D13080" s="202"/>
      <c r="E13080" s="202"/>
      <c r="U13080" s="204"/>
    </row>
    <row r="13081" spans="2:21" x14ac:dyDescent="0.2">
      <c r="B13081" s="203"/>
      <c r="C13081" s="237"/>
      <c r="D13081" s="202"/>
      <c r="E13081" s="202"/>
      <c r="U13081" s="204"/>
    </row>
    <row r="13082" spans="2:21" x14ac:dyDescent="0.2">
      <c r="B13082" s="203"/>
      <c r="C13082" s="237"/>
      <c r="D13082" s="202"/>
      <c r="E13082" s="202"/>
      <c r="U13082" s="204"/>
    </row>
    <row r="13083" spans="2:21" x14ac:dyDescent="0.2">
      <c r="B13083" s="203"/>
      <c r="C13083" s="237"/>
      <c r="D13083" s="202"/>
      <c r="E13083" s="202"/>
      <c r="U13083" s="204"/>
    </row>
    <row r="13084" spans="2:21" x14ac:dyDescent="0.2">
      <c r="B13084" s="203"/>
      <c r="C13084" s="237"/>
      <c r="D13084" s="202"/>
      <c r="E13084" s="202"/>
      <c r="U13084" s="204"/>
    </row>
    <row r="13085" spans="2:21" x14ac:dyDescent="0.2">
      <c r="B13085" s="203"/>
      <c r="C13085" s="237"/>
      <c r="D13085" s="202"/>
      <c r="E13085" s="202"/>
      <c r="U13085" s="204"/>
    </row>
    <row r="13086" spans="2:21" x14ac:dyDescent="0.2">
      <c r="B13086" s="203"/>
      <c r="C13086" s="237"/>
      <c r="D13086" s="202"/>
      <c r="E13086" s="202"/>
      <c r="U13086" s="204"/>
    </row>
    <row r="13087" spans="2:21" x14ac:dyDescent="0.2">
      <c r="B13087" s="203"/>
      <c r="C13087" s="237"/>
      <c r="D13087" s="202"/>
      <c r="E13087" s="202"/>
      <c r="U13087" s="204"/>
    </row>
    <row r="13088" spans="2:21" x14ac:dyDescent="0.2">
      <c r="B13088" s="203"/>
      <c r="C13088" s="237"/>
      <c r="D13088" s="202"/>
      <c r="E13088" s="202"/>
      <c r="U13088" s="204"/>
    </row>
    <row r="13089" spans="2:21" x14ac:dyDescent="0.2">
      <c r="B13089" s="203"/>
      <c r="C13089" s="237"/>
      <c r="D13089" s="202"/>
      <c r="E13089" s="202"/>
      <c r="U13089" s="204"/>
    </row>
    <row r="13090" spans="2:21" x14ac:dyDescent="0.2">
      <c r="B13090" s="203"/>
      <c r="C13090" s="237"/>
      <c r="D13090" s="202"/>
      <c r="E13090" s="202"/>
      <c r="U13090" s="204"/>
    </row>
    <row r="13091" spans="2:21" x14ac:dyDescent="0.2">
      <c r="B13091" s="203"/>
      <c r="C13091" s="237"/>
      <c r="D13091" s="202"/>
      <c r="E13091" s="202"/>
      <c r="U13091" s="204"/>
    </row>
    <row r="13092" spans="2:21" x14ac:dyDescent="0.2">
      <c r="B13092" s="203"/>
      <c r="C13092" s="237"/>
      <c r="D13092" s="202"/>
      <c r="E13092" s="202"/>
      <c r="U13092" s="204"/>
    </row>
    <row r="13093" spans="2:21" x14ac:dyDescent="0.2">
      <c r="B13093" s="203"/>
      <c r="C13093" s="237"/>
      <c r="D13093" s="202"/>
      <c r="E13093" s="202"/>
      <c r="U13093" s="204"/>
    </row>
    <row r="13094" spans="2:21" x14ac:dyDescent="0.2">
      <c r="B13094" s="203"/>
      <c r="C13094" s="237"/>
      <c r="D13094" s="202"/>
      <c r="E13094" s="202"/>
      <c r="U13094" s="204"/>
    </row>
    <row r="13095" spans="2:21" x14ac:dyDescent="0.2">
      <c r="B13095" s="203"/>
      <c r="C13095" s="237"/>
      <c r="D13095" s="202"/>
      <c r="E13095" s="202"/>
      <c r="U13095" s="204"/>
    </row>
    <row r="13096" spans="2:21" x14ac:dyDescent="0.2">
      <c r="B13096" s="203"/>
      <c r="C13096" s="237"/>
      <c r="D13096" s="202"/>
      <c r="E13096" s="202"/>
      <c r="U13096" s="204"/>
    </row>
    <row r="13097" spans="2:21" x14ac:dyDescent="0.2">
      <c r="B13097" s="203"/>
      <c r="C13097" s="237"/>
      <c r="D13097" s="202"/>
      <c r="E13097" s="202"/>
      <c r="U13097" s="204"/>
    </row>
    <row r="13098" spans="2:21" x14ac:dyDescent="0.2">
      <c r="B13098" s="203"/>
      <c r="C13098" s="237"/>
      <c r="D13098" s="202"/>
      <c r="E13098" s="202"/>
      <c r="U13098" s="204"/>
    </row>
    <row r="13099" spans="2:21" x14ac:dyDescent="0.2">
      <c r="B13099" s="203"/>
      <c r="C13099" s="237"/>
      <c r="D13099" s="202"/>
      <c r="E13099" s="202"/>
      <c r="U13099" s="204"/>
    </row>
    <row r="13100" spans="2:21" x14ac:dyDescent="0.2">
      <c r="B13100" s="203"/>
      <c r="C13100" s="237"/>
      <c r="D13100" s="202"/>
      <c r="E13100" s="202"/>
      <c r="U13100" s="204"/>
    </row>
    <row r="13101" spans="2:21" x14ac:dyDescent="0.2">
      <c r="B13101" s="203"/>
      <c r="C13101" s="237"/>
      <c r="D13101" s="202"/>
      <c r="E13101" s="202"/>
      <c r="U13101" s="204"/>
    </row>
    <row r="13102" spans="2:21" x14ac:dyDescent="0.2">
      <c r="B13102" s="203"/>
      <c r="C13102" s="237"/>
      <c r="D13102" s="202"/>
      <c r="E13102" s="202"/>
      <c r="U13102" s="204"/>
    </row>
    <row r="13103" spans="2:21" x14ac:dyDescent="0.2">
      <c r="B13103" s="203"/>
      <c r="C13103" s="237"/>
      <c r="D13103" s="202"/>
      <c r="E13103" s="202"/>
      <c r="U13103" s="204"/>
    </row>
    <row r="13104" spans="2:21" x14ac:dyDescent="0.2">
      <c r="B13104" s="203"/>
      <c r="C13104" s="237"/>
      <c r="D13104" s="202"/>
      <c r="E13104" s="202"/>
      <c r="U13104" s="204"/>
    </row>
    <row r="13105" spans="2:21" x14ac:dyDescent="0.2">
      <c r="B13105" s="203"/>
      <c r="C13105" s="237"/>
      <c r="D13105" s="202"/>
      <c r="E13105" s="202"/>
      <c r="U13105" s="204"/>
    </row>
    <row r="13106" spans="2:21" x14ac:dyDescent="0.2">
      <c r="B13106" s="203"/>
      <c r="C13106" s="237"/>
      <c r="D13106" s="202"/>
      <c r="E13106" s="202"/>
      <c r="U13106" s="204"/>
    </row>
    <row r="13107" spans="2:21" x14ac:dyDescent="0.2">
      <c r="B13107" s="203"/>
      <c r="C13107" s="237"/>
      <c r="D13107" s="202"/>
      <c r="E13107" s="202"/>
      <c r="U13107" s="204"/>
    </row>
    <row r="13108" spans="2:21" x14ac:dyDescent="0.2">
      <c r="B13108" s="203"/>
      <c r="C13108" s="237"/>
      <c r="D13108" s="202"/>
      <c r="E13108" s="202"/>
      <c r="U13108" s="204"/>
    </row>
    <row r="13109" spans="2:21" x14ac:dyDescent="0.2">
      <c r="B13109" s="203"/>
      <c r="C13109" s="237"/>
      <c r="D13109" s="202"/>
      <c r="E13109" s="202"/>
      <c r="U13109" s="204"/>
    </row>
    <row r="13110" spans="2:21" x14ac:dyDescent="0.2">
      <c r="B13110" s="203"/>
      <c r="C13110" s="237"/>
      <c r="D13110" s="202"/>
      <c r="E13110" s="202"/>
      <c r="U13110" s="204"/>
    </row>
    <row r="13111" spans="2:21" x14ac:dyDescent="0.2">
      <c r="B13111" s="203"/>
      <c r="C13111" s="237"/>
      <c r="D13111" s="202"/>
      <c r="E13111" s="202"/>
      <c r="U13111" s="204"/>
    </row>
    <row r="13112" spans="2:21" x14ac:dyDescent="0.2">
      <c r="B13112" s="203"/>
      <c r="C13112" s="237"/>
      <c r="D13112" s="202"/>
      <c r="E13112" s="202"/>
      <c r="U13112" s="204"/>
    </row>
    <row r="13113" spans="2:21" x14ac:dyDescent="0.2">
      <c r="B13113" s="203"/>
      <c r="C13113" s="237"/>
      <c r="D13113" s="202"/>
      <c r="E13113" s="202"/>
      <c r="U13113" s="204"/>
    </row>
    <row r="13114" spans="2:21" x14ac:dyDescent="0.2">
      <c r="B13114" s="203"/>
      <c r="C13114" s="237"/>
      <c r="D13114" s="202"/>
      <c r="E13114" s="202"/>
      <c r="U13114" s="204"/>
    </row>
    <row r="13115" spans="2:21" x14ac:dyDescent="0.2">
      <c r="B13115" s="203"/>
      <c r="C13115" s="237"/>
      <c r="D13115" s="202"/>
      <c r="E13115" s="202"/>
      <c r="U13115" s="204"/>
    </row>
    <row r="13116" spans="2:21" x14ac:dyDescent="0.2">
      <c r="B13116" s="203"/>
      <c r="C13116" s="237"/>
      <c r="D13116" s="202"/>
      <c r="E13116" s="202"/>
      <c r="U13116" s="204"/>
    </row>
    <row r="13117" spans="2:21" x14ac:dyDescent="0.2">
      <c r="B13117" s="203"/>
      <c r="C13117" s="237"/>
      <c r="D13117" s="202"/>
      <c r="E13117" s="202"/>
      <c r="U13117" s="204"/>
    </row>
    <row r="13118" spans="2:21" x14ac:dyDescent="0.2">
      <c r="B13118" s="203"/>
      <c r="C13118" s="237"/>
      <c r="D13118" s="202"/>
      <c r="E13118" s="202"/>
      <c r="U13118" s="204"/>
    </row>
    <row r="13119" spans="2:21" x14ac:dyDescent="0.2">
      <c r="B13119" s="203"/>
      <c r="C13119" s="237"/>
      <c r="D13119" s="202"/>
      <c r="E13119" s="202"/>
      <c r="U13119" s="204"/>
    </row>
    <row r="13120" spans="2:21" x14ac:dyDescent="0.2">
      <c r="B13120" s="203"/>
      <c r="C13120" s="237"/>
      <c r="D13120" s="202"/>
      <c r="E13120" s="202"/>
      <c r="U13120" s="204"/>
    </row>
    <row r="13121" spans="2:21" x14ac:dyDescent="0.2">
      <c r="B13121" s="203"/>
      <c r="C13121" s="237"/>
      <c r="D13121" s="202"/>
      <c r="E13121" s="202"/>
      <c r="U13121" s="204"/>
    </row>
    <row r="13122" spans="2:21" x14ac:dyDescent="0.2">
      <c r="B13122" s="203"/>
      <c r="C13122" s="237"/>
      <c r="D13122" s="202"/>
      <c r="E13122" s="202"/>
      <c r="U13122" s="204"/>
    </row>
    <row r="13123" spans="2:21" x14ac:dyDescent="0.2">
      <c r="B13123" s="203"/>
      <c r="C13123" s="237"/>
      <c r="D13123" s="202"/>
      <c r="E13123" s="202"/>
      <c r="U13123" s="204"/>
    </row>
    <row r="13124" spans="2:21" x14ac:dyDescent="0.2">
      <c r="B13124" s="203"/>
      <c r="C13124" s="237"/>
      <c r="D13124" s="202"/>
      <c r="E13124" s="202"/>
      <c r="U13124" s="204"/>
    </row>
    <row r="13125" spans="2:21" x14ac:dyDescent="0.2">
      <c r="B13125" s="203"/>
      <c r="C13125" s="237"/>
      <c r="D13125" s="202"/>
      <c r="E13125" s="202"/>
      <c r="U13125" s="204"/>
    </row>
    <row r="13126" spans="2:21" x14ac:dyDescent="0.2">
      <c r="B13126" s="203"/>
      <c r="C13126" s="237"/>
      <c r="D13126" s="202"/>
      <c r="E13126" s="202"/>
      <c r="U13126" s="204"/>
    </row>
    <row r="13127" spans="2:21" x14ac:dyDescent="0.2">
      <c r="B13127" s="203"/>
      <c r="C13127" s="237"/>
      <c r="D13127" s="202"/>
      <c r="E13127" s="202"/>
      <c r="U13127" s="204"/>
    </row>
    <row r="13128" spans="2:21" x14ac:dyDescent="0.2">
      <c r="B13128" s="203"/>
      <c r="C13128" s="237"/>
      <c r="D13128" s="202"/>
      <c r="E13128" s="202"/>
      <c r="U13128" s="204"/>
    </row>
    <row r="13129" spans="2:21" x14ac:dyDescent="0.2">
      <c r="B13129" s="203"/>
      <c r="C13129" s="237"/>
      <c r="D13129" s="202"/>
      <c r="E13129" s="202"/>
      <c r="U13129" s="204"/>
    </row>
    <row r="13130" spans="2:21" x14ac:dyDescent="0.2">
      <c r="B13130" s="203"/>
      <c r="C13130" s="237"/>
      <c r="D13130" s="202"/>
      <c r="E13130" s="202"/>
      <c r="U13130" s="204"/>
    </row>
    <row r="13131" spans="2:21" x14ac:dyDescent="0.2">
      <c r="B13131" s="203"/>
      <c r="C13131" s="237"/>
      <c r="D13131" s="202"/>
      <c r="E13131" s="202"/>
      <c r="U13131" s="204"/>
    </row>
    <row r="13132" spans="2:21" x14ac:dyDescent="0.2">
      <c r="B13132" s="203"/>
      <c r="C13132" s="237"/>
      <c r="D13132" s="202"/>
      <c r="E13132" s="202"/>
      <c r="U13132" s="204"/>
    </row>
    <row r="13133" spans="2:21" x14ac:dyDescent="0.2">
      <c r="B13133" s="203"/>
      <c r="C13133" s="237"/>
      <c r="D13133" s="202"/>
      <c r="E13133" s="202"/>
      <c r="U13133" s="204"/>
    </row>
    <row r="13134" spans="2:21" x14ac:dyDescent="0.2">
      <c r="B13134" s="203"/>
      <c r="C13134" s="237"/>
      <c r="D13134" s="202"/>
      <c r="E13134" s="202"/>
      <c r="U13134" s="204"/>
    </row>
    <row r="13135" spans="2:21" x14ac:dyDescent="0.2">
      <c r="B13135" s="203"/>
      <c r="C13135" s="237"/>
      <c r="D13135" s="202"/>
      <c r="E13135" s="202"/>
      <c r="U13135" s="204"/>
    </row>
    <row r="13136" spans="2:21" x14ac:dyDescent="0.2">
      <c r="B13136" s="203"/>
      <c r="C13136" s="237"/>
      <c r="D13136" s="202"/>
      <c r="E13136" s="202"/>
      <c r="U13136" s="204"/>
    </row>
    <row r="13137" spans="2:21" x14ac:dyDescent="0.2">
      <c r="B13137" s="203"/>
      <c r="C13137" s="237"/>
      <c r="D13137" s="202"/>
      <c r="E13137" s="202"/>
      <c r="U13137" s="204"/>
    </row>
    <row r="13138" spans="2:21" x14ac:dyDescent="0.2">
      <c r="B13138" s="203"/>
      <c r="C13138" s="237"/>
      <c r="D13138" s="202"/>
      <c r="E13138" s="202"/>
      <c r="U13138" s="204"/>
    </row>
    <row r="13139" spans="2:21" x14ac:dyDescent="0.2">
      <c r="B13139" s="203"/>
      <c r="C13139" s="237"/>
      <c r="D13139" s="202"/>
      <c r="E13139" s="202"/>
      <c r="U13139" s="204"/>
    </row>
    <row r="13140" spans="2:21" x14ac:dyDescent="0.2">
      <c r="B13140" s="203"/>
      <c r="C13140" s="237"/>
      <c r="D13140" s="202"/>
      <c r="E13140" s="202"/>
      <c r="U13140" s="204"/>
    </row>
    <row r="13141" spans="2:21" x14ac:dyDescent="0.2">
      <c r="B13141" s="203"/>
      <c r="C13141" s="237"/>
      <c r="D13141" s="202"/>
      <c r="E13141" s="202"/>
      <c r="U13141" s="204"/>
    </row>
    <row r="13142" spans="2:21" x14ac:dyDescent="0.2">
      <c r="B13142" s="203"/>
      <c r="C13142" s="237"/>
      <c r="D13142" s="202"/>
      <c r="E13142" s="202"/>
      <c r="U13142" s="204"/>
    </row>
    <row r="13143" spans="2:21" x14ac:dyDescent="0.2">
      <c r="B13143" s="203"/>
      <c r="C13143" s="237"/>
      <c r="D13143" s="202"/>
      <c r="E13143" s="202"/>
      <c r="U13143" s="204"/>
    </row>
    <row r="13144" spans="2:21" x14ac:dyDescent="0.2">
      <c r="B13144" s="203"/>
      <c r="C13144" s="237"/>
      <c r="D13144" s="202"/>
      <c r="E13144" s="202"/>
      <c r="U13144" s="204"/>
    </row>
    <row r="13145" spans="2:21" x14ac:dyDescent="0.2">
      <c r="B13145" s="203"/>
      <c r="C13145" s="237"/>
      <c r="D13145" s="202"/>
      <c r="E13145" s="202"/>
      <c r="U13145" s="204"/>
    </row>
    <row r="13146" spans="2:21" x14ac:dyDescent="0.2">
      <c r="B13146" s="203"/>
      <c r="C13146" s="237"/>
      <c r="D13146" s="202"/>
      <c r="E13146" s="202"/>
      <c r="U13146" s="204"/>
    </row>
    <row r="13147" spans="2:21" x14ac:dyDescent="0.2">
      <c r="B13147" s="203"/>
      <c r="C13147" s="237"/>
      <c r="D13147" s="202"/>
      <c r="E13147" s="202"/>
      <c r="U13147" s="204"/>
    </row>
    <row r="13148" spans="2:21" x14ac:dyDescent="0.2">
      <c r="B13148" s="203"/>
      <c r="C13148" s="237"/>
      <c r="D13148" s="202"/>
      <c r="E13148" s="202"/>
      <c r="U13148" s="204"/>
    </row>
    <row r="13149" spans="2:21" x14ac:dyDescent="0.2">
      <c r="B13149" s="203"/>
      <c r="C13149" s="237"/>
      <c r="D13149" s="202"/>
      <c r="E13149" s="202"/>
      <c r="U13149" s="204"/>
    </row>
    <row r="13150" spans="2:21" x14ac:dyDescent="0.2">
      <c r="B13150" s="203"/>
      <c r="C13150" s="237"/>
      <c r="D13150" s="202"/>
      <c r="E13150" s="202"/>
      <c r="U13150" s="204"/>
    </row>
    <row r="13151" spans="2:21" x14ac:dyDescent="0.2">
      <c r="B13151" s="203"/>
      <c r="C13151" s="237"/>
      <c r="D13151" s="202"/>
      <c r="E13151" s="202"/>
      <c r="U13151" s="204"/>
    </row>
    <row r="13152" spans="2:21" x14ac:dyDescent="0.2">
      <c r="B13152" s="203"/>
      <c r="C13152" s="237"/>
      <c r="D13152" s="202"/>
      <c r="E13152" s="202"/>
      <c r="U13152" s="204"/>
    </row>
    <row r="13153" spans="2:21" x14ac:dyDescent="0.2">
      <c r="B13153" s="203"/>
      <c r="C13153" s="237"/>
      <c r="D13153" s="202"/>
      <c r="E13153" s="202"/>
      <c r="U13153" s="204"/>
    </row>
    <row r="13154" spans="2:21" x14ac:dyDescent="0.2">
      <c r="B13154" s="203"/>
      <c r="C13154" s="237"/>
      <c r="D13154" s="202"/>
      <c r="E13154" s="202"/>
      <c r="U13154" s="204"/>
    </row>
    <row r="13155" spans="2:21" x14ac:dyDescent="0.2">
      <c r="B13155" s="203"/>
      <c r="C13155" s="237"/>
      <c r="D13155" s="202"/>
      <c r="E13155" s="202"/>
      <c r="U13155" s="204"/>
    </row>
    <row r="13156" spans="2:21" x14ac:dyDescent="0.2">
      <c r="B13156" s="203"/>
      <c r="C13156" s="237"/>
      <c r="D13156" s="202"/>
      <c r="E13156" s="202"/>
      <c r="U13156" s="204"/>
    </row>
    <row r="13157" spans="2:21" x14ac:dyDescent="0.2">
      <c r="B13157" s="203"/>
      <c r="C13157" s="237"/>
      <c r="D13157" s="202"/>
      <c r="E13157" s="202"/>
      <c r="U13157" s="204"/>
    </row>
    <row r="13158" spans="2:21" x14ac:dyDescent="0.2">
      <c r="B13158" s="203"/>
      <c r="C13158" s="237"/>
      <c r="D13158" s="202"/>
      <c r="E13158" s="202"/>
      <c r="U13158" s="204"/>
    </row>
    <row r="13159" spans="2:21" x14ac:dyDescent="0.2">
      <c r="B13159" s="203"/>
      <c r="C13159" s="237"/>
      <c r="D13159" s="202"/>
      <c r="E13159" s="202"/>
      <c r="U13159" s="204"/>
    </row>
    <row r="13160" spans="2:21" x14ac:dyDescent="0.2">
      <c r="B13160" s="203"/>
      <c r="C13160" s="237"/>
      <c r="D13160" s="202"/>
      <c r="E13160" s="202"/>
      <c r="U13160" s="204"/>
    </row>
    <row r="13161" spans="2:21" x14ac:dyDescent="0.2">
      <c r="B13161" s="203"/>
      <c r="C13161" s="237"/>
      <c r="D13161" s="202"/>
      <c r="E13161" s="202"/>
      <c r="U13161" s="204"/>
    </row>
    <row r="13162" spans="2:21" x14ac:dyDescent="0.2">
      <c r="B13162" s="203"/>
      <c r="C13162" s="237"/>
      <c r="D13162" s="202"/>
      <c r="E13162" s="202"/>
      <c r="U13162" s="204"/>
    </row>
    <row r="13163" spans="2:21" x14ac:dyDescent="0.2">
      <c r="B13163" s="203"/>
      <c r="C13163" s="237"/>
      <c r="D13163" s="202"/>
      <c r="E13163" s="202"/>
      <c r="U13163" s="204"/>
    </row>
    <row r="13164" spans="2:21" x14ac:dyDescent="0.2">
      <c r="B13164" s="203"/>
      <c r="C13164" s="237"/>
      <c r="D13164" s="202"/>
      <c r="E13164" s="202"/>
      <c r="U13164" s="204"/>
    </row>
    <row r="13165" spans="2:21" x14ac:dyDescent="0.2">
      <c r="B13165" s="203"/>
      <c r="C13165" s="237"/>
      <c r="D13165" s="202"/>
      <c r="E13165" s="202"/>
      <c r="U13165" s="204"/>
    </row>
    <row r="13166" spans="2:21" x14ac:dyDescent="0.2">
      <c r="B13166" s="203"/>
      <c r="C13166" s="237"/>
      <c r="D13166" s="202"/>
      <c r="E13166" s="202"/>
      <c r="U13166" s="204"/>
    </row>
    <row r="13167" spans="2:21" x14ac:dyDescent="0.2">
      <c r="B13167" s="203"/>
      <c r="C13167" s="237"/>
      <c r="D13167" s="202"/>
      <c r="E13167" s="202"/>
      <c r="U13167" s="204"/>
    </row>
    <row r="13168" spans="2:21" x14ac:dyDescent="0.2">
      <c r="B13168" s="203"/>
      <c r="C13168" s="237"/>
      <c r="D13168" s="202"/>
      <c r="E13168" s="202"/>
      <c r="U13168" s="204"/>
    </row>
    <row r="13169" spans="2:21" x14ac:dyDescent="0.2">
      <c r="B13169" s="203"/>
      <c r="C13169" s="237"/>
      <c r="D13169" s="202"/>
      <c r="E13169" s="202"/>
      <c r="U13169" s="204"/>
    </row>
    <row r="13170" spans="2:21" x14ac:dyDescent="0.2">
      <c r="B13170" s="203"/>
      <c r="C13170" s="237"/>
      <c r="D13170" s="202"/>
      <c r="E13170" s="202"/>
      <c r="U13170" s="204"/>
    </row>
    <row r="13171" spans="2:21" x14ac:dyDescent="0.2">
      <c r="B13171" s="203"/>
      <c r="C13171" s="237"/>
      <c r="D13171" s="202"/>
      <c r="E13171" s="202"/>
      <c r="U13171" s="204"/>
    </row>
    <row r="13172" spans="2:21" x14ac:dyDescent="0.2">
      <c r="B13172" s="203"/>
      <c r="C13172" s="237"/>
      <c r="D13172" s="202"/>
      <c r="E13172" s="202"/>
      <c r="U13172" s="204"/>
    </row>
    <row r="13173" spans="2:21" x14ac:dyDescent="0.2">
      <c r="B13173" s="203"/>
      <c r="C13173" s="237"/>
      <c r="D13173" s="202"/>
      <c r="E13173" s="202"/>
      <c r="U13173" s="204"/>
    </row>
    <row r="13174" spans="2:21" x14ac:dyDescent="0.2">
      <c r="B13174" s="203"/>
      <c r="C13174" s="237"/>
      <c r="D13174" s="202"/>
      <c r="E13174" s="202"/>
      <c r="U13174" s="204"/>
    </row>
    <row r="13175" spans="2:21" x14ac:dyDescent="0.2">
      <c r="B13175" s="203"/>
      <c r="C13175" s="237"/>
      <c r="D13175" s="202"/>
      <c r="E13175" s="202"/>
      <c r="U13175" s="204"/>
    </row>
    <row r="13176" spans="2:21" x14ac:dyDescent="0.2">
      <c r="B13176" s="203"/>
      <c r="C13176" s="237"/>
      <c r="D13176" s="202"/>
      <c r="E13176" s="202"/>
      <c r="U13176" s="204"/>
    </row>
    <row r="13177" spans="2:21" x14ac:dyDescent="0.2">
      <c r="B13177" s="203"/>
      <c r="C13177" s="237"/>
      <c r="D13177" s="202"/>
      <c r="E13177" s="202"/>
      <c r="U13177" s="204"/>
    </row>
    <row r="13178" spans="2:21" x14ac:dyDescent="0.2">
      <c r="B13178" s="203"/>
      <c r="C13178" s="237"/>
      <c r="D13178" s="202"/>
      <c r="E13178" s="202"/>
      <c r="U13178" s="204"/>
    </row>
    <row r="13179" spans="2:21" x14ac:dyDescent="0.2">
      <c r="B13179" s="203"/>
      <c r="C13179" s="237"/>
      <c r="D13179" s="202"/>
      <c r="E13179" s="202"/>
      <c r="U13179" s="204"/>
    </row>
    <row r="13180" spans="2:21" x14ac:dyDescent="0.2">
      <c r="B13180" s="203"/>
      <c r="C13180" s="237"/>
      <c r="D13180" s="202"/>
      <c r="E13180" s="202"/>
      <c r="U13180" s="204"/>
    </row>
    <row r="13181" spans="2:21" x14ac:dyDescent="0.2">
      <c r="B13181" s="203"/>
      <c r="C13181" s="237"/>
      <c r="D13181" s="202"/>
      <c r="E13181" s="202"/>
      <c r="U13181" s="204"/>
    </row>
    <row r="13182" spans="2:21" x14ac:dyDescent="0.2">
      <c r="B13182" s="203"/>
      <c r="C13182" s="237"/>
      <c r="D13182" s="202"/>
      <c r="E13182" s="202"/>
      <c r="U13182" s="204"/>
    </row>
    <row r="13183" spans="2:21" x14ac:dyDescent="0.2">
      <c r="B13183" s="203"/>
      <c r="C13183" s="237"/>
      <c r="D13183" s="202"/>
      <c r="E13183" s="202"/>
      <c r="U13183" s="204"/>
    </row>
    <row r="13184" spans="2:21" x14ac:dyDescent="0.2">
      <c r="B13184" s="203"/>
      <c r="C13184" s="237"/>
      <c r="D13184" s="202"/>
      <c r="E13184" s="202"/>
      <c r="U13184" s="204"/>
    </row>
    <row r="13185" spans="2:21" x14ac:dyDescent="0.2">
      <c r="B13185" s="203"/>
      <c r="C13185" s="237"/>
      <c r="D13185" s="202"/>
      <c r="E13185" s="202"/>
      <c r="U13185" s="204"/>
    </row>
    <row r="13186" spans="2:21" x14ac:dyDescent="0.2">
      <c r="B13186" s="203"/>
      <c r="C13186" s="237"/>
      <c r="D13186" s="202"/>
      <c r="E13186" s="202"/>
      <c r="U13186" s="204"/>
    </row>
    <row r="13187" spans="2:21" x14ac:dyDescent="0.2">
      <c r="B13187" s="203"/>
      <c r="C13187" s="237"/>
      <c r="D13187" s="202"/>
      <c r="E13187" s="202"/>
      <c r="U13187" s="204"/>
    </row>
    <row r="13188" spans="2:21" x14ac:dyDescent="0.2">
      <c r="B13188" s="203"/>
      <c r="C13188" s="237"/>
      <c r="D13188" s="202"/>
      <c r="E13188" s="202"/>
      <c r="U13188" s="204"/>
    </row>
    <row r="13189" spans="2:21" x14ac:dyDescent="0.2">
      <c r="B13189" s="203"/>
      <c r="C13189" s="237"/>
      <c r="D13189" s="202"/>
      <c r="E13189" s="202"/>
      <c r="U13189" s="204"/>
    </row>
    <row r="13190" spans="2:21" x14ac:dyDescent="0.2">
      <c r="B13190" s="203"/>
      <c r="C13190" s="237"/>
      <c r="D13190" s="202"/>
      <c r="E13190" s="202"/>
      <c r="U13190" s="204"/>
    </row>
    <row r="13191" spans="2:21" x14ac:dyDescent="0.2">
      <c r="B13191" s="203"/>
      <c r="C13191" s="237"/>
      <c r="D13191" s="202"/>
      <c r="E13191" s="202"/>
      <c r="U13191" s="204"/>
    </row>
    <row r="13192" spans="2:21" x14ac:dyDescent="0.2">
      <c r="B13192" s="203"/>
      <c r="C13192" s="237"/>
      <c r="D13192" s="202"/>
      <c r="E13192" s="202"/>
      <c r="U13192" s="204"/>
    </row>
    <row r="13193" spans="2:21" x14ac:dyDescent="0.2">
      <c r="B13193" s="203"/>
      <c r="C13193" s="237"/>
      <c r="D13193" s="202"/>
      <c r="E13193" s="202"/>
      <c r="U13193" s="204"/>
    </row>
    <row r="13194" spans="2:21" x14ac:dyDescent="0.2">
      <c r="B13194" s="203"/>
      <c r="C13194" s="237"/>
      <c r="D13194" s="202"/>
      <c r="E13194" s="202"/>
      <c r="U13194" s="204"/>
    </row>
    <row r="13195" spans="2:21" x14ac:dyDescent="0.2">
      <c r="B13195" s="203"/>
      <c r="C13195" s="237"/>
      <c r="D13195" s="202"/>
      <c r="E13195" s="202"/>
      <c r="U13195" s="204"/>
    </row>
    <row r="13196" spans="2:21" x14ac:dyDescent="0.2">
      <c r="B13196" s="203"/>
      <c r="C13196" s="237"/>
      <c r="D13196" s="202"/>
      <c r="E13196" s="202"/>
      <c r="U13196" s="204"/>
    </row>
    <row r="13197" spans="2:21" x14ac:dyDescent="0.2">
      <c r="B13197" s="203"/>
      <c r="C13197" s="237"/>
      <c r="D13197" s="202"/>
      <c r="E13197" s="202"/>
      <c r="U13197" s="204"/>
    </row>
    <row r="13198" spans="2:21" x14ac:dyDescent="0.2">
      <c r="B13198" s="203"/>
      <c r="C13198" s="237"/>
      <c r="D13198" s="202"/>
      <c r="E13198" s="202"/>
      <c r="U13198" s="204"/>
    </row>
    <row r="13199" spans="2:21" x14ac:dyDescent="0.2">
      <c r="B13199" s="203"/>
      <c r="C13199" s="237"/>
      <c r="D13199" s="202"/>
      <c r="E13199" s="202"/>
      <c r="U13199" s="204"/>
    </row>
    <row r="13200" spans="2:21" x14ac:dyDescent="0.2">
      <c r="B13200" s="203"/>
      <c r="C13200" s="237"/>
      <c r="D13200" s="202"/>
      <c r="E13200" s="202"/>
      <c r="U13200" s="204"/>
    </row>
    <row r="13201" spans="2:21" x14ac:dyDescent="0.2">
      <c r="B13201" s="203"/>
      <c r="C13201" s="237"/>
      <c r="D13201" s="202"/>
      <c r="E13201" s="202"/>
      <c r="U13201" s="204"/>
    </row>
    <row r="13202" spans="2:21" x14ac:dyDescent="0.2">
      <c r="B13202" s="203"/>
      <c r="C13202" s="237"/>
      <c r="D13202" s="202"/>
      <c r="E13202" s="202"/>
      <c r="U13202" s="204"/>
    </row>
    <row r="13203" spans="2:21" x14ac:dyDescent="0.2">
      <c r="B13203" s="203"/>
      <c r="C13203" s="237"/>
      <c r="D13203" s="202"/>
      <c r="E13203" s="202"/>
      <c r="U13203" s="204"/>
    </row>
    <row r="13204" spans="2:21" x14ac:dyDescent="0.2">
      <c r="B13204" s="203"/>
      <c r="C13204" s="237"/>
      <c r="D13204" s="202"/>
      <c r="E13204" s="202"/>
      <c r="U13204" s="204"/>
    </row>
    <row r="13205" spans="2:21" x14ac:dyDescent="0.2">
      <c r="B13205" s="203"/>
      <c r="C13205" s="237"/>
      <c r="D13205" s="202"/>
      <c r="E13205" s="202"/>
      <c r="U13205" s="204"/>
    </row>
    <row r="13206" spans="2:21" x14ac:dyDescent="0.2">
      <c r="B13206" s="203"/>
      <c r="C13206" s="237"/>
      <c r="D13206" s="202"/>
      <c r="E13206" s="202"/>
      <c r="U13206" s="204"/>
    </row>
    <row r="13207" spans="2:21" x14ac:dyDescent="0.2">
      <c r="B13207" s="203"/>
      <c r="C13207" s="237"/>
      <c r="D13207" s="202"/>
      <c r="E13207" s="202"/>
      <c r="U13207" s="204"/>
    </row>
    <row r="13208" spans="2:21" x14ac:dyDescent="0.2">
      <c r="B13208" s="203"/>
      <c r="C13208" s="237"/>
      <c r="D13208" s="202"/>
      <c r="E13208" s="202"/>
      <c r="U13208" s="204"/>
    </row>
    <row r="13209" spans="2:21" x14ac:dyDescent="0.2">
      <c r="B13209" s="203"/>
      <c r="C13209" s="237"/>
      <c r="D13209" s="202"/>
      <c r="E13209" s="202"/>
      <c r="U13209" s="204"/>
    </row>
    <row r="13210" spans="2:21" x14ac:dyDescent="0.2">
      <c r="B13210" s="203"/>
      <c r="C13210" s="237"/>
      <c r="D13210" s="202"/>
      <c r="E13210" s="202"/>
      <c r="U13210" s="204"/>
    </row>
    <row r="13211" spans="2:21" x14ac:dyDescent="0.2">
      <c r="B13211" s="203"/>
      <c r="C13211" s="237"/>
      <c r="D13211" s="202"/>
      <c r="E13211" s="202"/>
      <c r="U13211" s="204"/>
    </row>
    <row r="13212" spans="2:21" x14ac:dyDescent="0.2">
      <c r="B13212" s="203"/>
      <c r="C13212" s="237"/>
      <c r="D13212" s="202"/>
      <c r="E13212" s="202"/>
      <c r="U13212" s="204"/>
    </row>
    <row r="13213" spans="2:21" x14ac:dyDescent="0.2">
      <c r="B13213" s="203"/>
      <c r="C13213" s="237"/>
      <c r="D13213" s="202"/>
      <c r="E13213" s="202"/>
      <c r="U13213" s="204"/>
    </row>
    <row r="13214" spans="2:21" x14ac:dyDescent="0.2">
      <c r="B13214" s="203"/>
      <c r="C13214" s="237"/>
      <c r="D13214" s="202"/>
      <c r="E13214" s="202"/>
      <c r="U13214" s="204"/>
    </row>
    <row r="13215" spans="2:21" x14ac:dyDescent="0.2">
      <c r="B13215" s="203"/>
      <c r="C13215" s="237"/>
      <c r="D13215" s="202"/>
      <c r="E13215" s="202"/>
      <c r="U13215" s="204"/>
    </row>
    <row r="13216" spans="2:21" x14ac:dyDescent="0.2">
      <c r="B13216" s="203"/>
      <c r="C13216" s="237"/>
      <c r="D13216" s="202"/>
      <c r="E13216" s="202"/>
      <c r="U13216" s="204"/>
    </row>
    <row r="13217" spans="2:21" x14ac:dyDescent="0.2">
      <c r="B13217" s="203"/>
      <c r="C13217" s="237"/>
      <c r="D13217" s="202"/>
      <c r="E13217" s="202"/>
      <c r="U13217" s="204"/>
    </row>
    <row r="13218" spans="2:21" x14ac:dyDescent="0.2">
      <c r="B13218" s="203"/>
      <c r="C13218" s="237"/>
      <c r="D13218" s="202"/>
      <c r="E13218" s="202"/>
      <c r="U13218" s="204"/>
    </row>
    <row r="13219" spans="2:21" x14ac:dyDescent="0.2">
      <c r="B13219" s="203"/>
      <c r="C13219" s="237"/>
      <c r="D13219" s="202"/>
      <c r="E13219" s="202"/>
      <c r="U13219" s="204"/>
    </row>
    <row r="13220" spans="2:21" x14ac:dyDescent="0.2">
      <c r="B13220" s="203"/>
      <c r="C13220" s="237"/>
      <c r="D13220" s="202"/>
      <c r="E13220" s="202"/>
      <c r="U13220" s="204"/>
    </row>
    <row r="13221" spans="2:21" x14ac:dyDescent="0.2">
      <c r="B13221" s="203"/>
      <c r="C13221" s="237"/>
      <c r="D13221" s="202"/>
      <c r="E13221" s="202"/>
      <c r="U13221" s="204"/>
    </row>
    <row r="13222" spans="2:21" x14ac:dyDescent="0.2">
      <c r="B13222" s="203"/>
      <c r="C13222" s="237"/>
      <c r="D13222" s="202"/>
      <c r="E13222" s="202"/>
      <c r="U13222" s="204"/>
    </row>
    <row r="13223" spans="2:21" x14ac:dyDescent="0.2">
      <c r="B13223" s="203"/>
      <c r="C13223" s="237"/>
      <c r="D13223" s="202"/>
      <c r="E13223" s="202"/>
      <c r="U13223" s="204"/>
    </row>
    <row r="13224" spans="2:21" x14ac:dyDescent="0.2">
      <c r="B13224" s="203"/>
      <c r="C13224" s="237"/>
      <c r="D13224" s="202"/>
      <c r="E13224" s="202"/>
      <c r="U13224" s="204"/>
    </row>
    <row r="13225" spans="2:21" x14ac:dyDescent="0.2">
      <c r="B13225" s="203"/>
      <c r="C13225" s="237"/>
      <c r="D13225" s="202"/>
      <c r="E13225" s="202"/>
      <c r="U13225" s="204"/>
    </row>
    <row r="13226" spans="2:21" x14ac:dyDescent="0.2">
      <c r="B13226" s="203"/>
      <c r="C13226" s="237"/>
      <c r="D13226" s="202"/>
      <c r="E13226" s="202"/>
      <c r="U13226" s="204"/>
    </row>
    <row r="13227" spans="2:21" x14ac:dyDescent="0.2">
      <c r="B13227" s="203"/>
      <c r="C13227" s="237"/>
      <c r="D13227" s="202"/>
      <c r="E13227" s="202"/>
      <c r="U13227" s="204"/>
    </row>
    <row r="13228" spans="2:21" x14ac:dyDescent="0.2">
      <c r="B13228" s="203"/>
      <c r="C13228" s="237"/>
      <c r="D13228" s="202"/>
      <c r="E13228" s="202"/>
      <c r="U13228" s="204"/>
    </row>
    <row r="13229" spans="2:21" x14ac:dyDescent="0.2">
      <c r="B13229" s="203"/>
      <c r="C13229" s="237"/>
      <c r="D13229" s="202"/>
      <c r="E13229" s="202"/>
      <c r="U13229" s="204"/>
    </row>
    <row r="13230" spans="2:21" x14ac:dyDescent="0.2">
      <c r="B13230" s="203"/>
      <c r="C13230" s="237"/>
      <c r="D13230" s="202"/>
      <c r="E13230" s="202"/>
      <c r="U13230" s="204"/>
    </row>
    <row r="13231" spans="2:21" x14ac:dyDescent="0.2">
      <c r="B13231" s="203"/>
      <c r="C13231" s="237"/>
      <c r="D13231" s="202"/>
      <c r="E13231" s="202"/>
      <c r="U13231" s="204"/>
    </row>
    <row r="13232" spans="2:21" x14ac:dyDescent="0.2">
      <c r="B13232" s="203"/>
      <c r="C13232" s="237"/>
      <c r="D13232" s="202"/>
      <c r="E13232" s="202"/>
      <c r="U13232" s="204"/>
    </row>
    <row r="13233" spans="2:21" x14ac:dyDescent="0.2">
      <c r="B13233" s="203"/>
      <c r="C13233" s="237"/>
      <c r="D13233" s="202"/>
      <c r="E13233" s="202"/>
      <c r="U13233" s="204"/>
    </row>
    <row r="13234" spans="2:21" x14ac:dyDescent="0.2">
      <c r="B13234" s="203"/>
      <c r="C13234" s="237"/>
      <c r="D13234" s="202"/>
      <c r="E13234" s="202"/>
      <c r="U13234" s="204"/>
    </row>
    <row r="13235" spans="2:21" x14ac:dyDescent="0.2">
      <c r="B13235" s="203"/>
      <c r="C13235" s="237"/>
      <c r="D13235" s="202"/>
      <c r="E13235" s="202"/>
      <c r="U13235" s="204"/>
    </row>
    <row r="13236" spans="2:21" x14ac:dyDescent="0.2">
      <c r="B13236" s="203"/>
      <c r="C13236" s="237"/>
      <c r="D13236" s="202"/>
      <c r="E13236" s="202"/>
      <c r="U13236" s="204"/>
    </row>
    <row r="13237" spans="2:21" x14ac:dyDescent="0.2">
      <c r="B13237" s="203"/>
      <c r="C13237" s="237"/>
      <c r="D13237" s="202"/>
      <c r="E13237" s="202"/>
      <c r="U13237" s="204"/>
    </row>
    <row r="13238" spans="2:21" x14ac:dyDescent="0.2">
      <c r="B13238" s="203"/>
      <c r="C13238" s="237"/>
      <c r="D13238" s="202"/>
      <c r="E13238" s="202"/>
      <c r="U13238" s="204"/>
    </row>
    <row r="13239" spans="2:21" x14ac:dyDescent="0.2">
      <c r="B13239" s="203"/>
      <c r="C13239" s="237"/>
      <c r="D13239" s="202"/>
      <c r="E13239" s="202"/>
      <c r="U13239" s="204"/>
    </row>
    <row r="13240" spans="2:21" x14ac:dyDescent="0.2">
      <c r="B13240" s="203"/>
      <c r="C13240" s="237"/>
      <c r="D13240" s="202"/>
      <c r="E13240" s="202"/>
      <c r="U13240" s="204"/>
    </row>
    <row r="13241" spans="2:21" x14ac:dyDescent="0.2">
      <c r="B13241" s="203"/>
      <c r="C13241" s="237"/>
      <c r="D13241" s="202"/>
      <c r="E13241" s="202"/>
      <c r="U13241" s="204"/>
    </row>
    <row r="13242" spans="2:21" x14ac:dyDescent="0.2">
      <c r="B13242" s="203"/>
      <c r="C13242" s="237"/>
      <c r="D13242" s="202"/>
      <c r="E13242" s="202"/>
      <c r="U13242" s="204"/>
    </row>
    <row r="13243" spans="2:21" x14ac:dyDescent="0.2">
      <c r="B13243" s="203"/>
      <c r="C13243" s="237"/>
      <c r="D13243" s="202"/>
      <c r="E13243" s="202"/>
      <c r="U13243" s="204"/>
    </row>
    <row r="13244" spans="2:21" x14ac:dyDescent="0.2">
      <c r="B13244" s="203"/>
      <c r="C13244" s="237"/>
      <c r="D13244" s="202"/>
      <c r="E13244" s="202"/>
      <c r="U13244" s="204"/>
    </row>
    <row r="13245" spans="2:21" x14ac:dyDescent="0.2">
      <c r="B13245" s="203"/>
      <c r="C13245" s="237"/>
      <c r="D13245" s="202"/>
      <c r="E13245" s="202"/>
      <c r="U13245" s="204"/>
    </row>
    <row r="13246" spans="2:21" x14ac:dyDescent="0.2">
      <c r="B13246" s="203"/>
      <c r="C13246" s="237"/>
      <c r="D13246" s="202"/>
      <c r="E13246" s="202"/>
      <c r="U13246" s="204"/>
    </row>
    <row r="13247" spans="2:21" x14ac:dyDescent="0.2">
      <c r="B13247" s="203"/>
      <c r="C13247" s="237"/>
      <c r="D13247" s="202"/>
      <c r="E13247" s="202"/>
      <c r="U13247" s="204"/>
    </row>
    <row r="13248" spans="2:21" x14ac:dyDescent="0.2">
      <c r="B13248" s="203"/>
      <c r="C13248" s="237"/>
      <c r="D13248" s="202"/>
      <c r="E13248" s="202"/>
      <c r="U13248" s="204"/>
    </row>
    <row r="13249" spans="2:21" x14ac:dyDescent="0.2">
      <c r="B13249" s="203"/>
      <c r="C13249" s="237"/>
      <c r="D13249" s="202"/>
      <c r="E13249" s="202"/>
      <c r="U13249" s="204"/>
    </row>
    <row r="13250" spans="2:21" x14ac:dyDescent="0.2">
      <c r="B13250" s="203"/>
      <c r="C13250" s="237"/>
      <c r="D13250" s="202"/>
      <c r="E13250" s="202"/>
      <c r="U13250" s="204"/>
    </row>
    <row r="13251" spans="2:21" x14ac:dyDescent="0.2">
      <c r="B13251" s="203"/>
      <c r="C13251" s="237"/>
      <c r="D13251" s="202"/>
      <c r="E13251" s="202"/>
      <c r="U13251" s="204"/>
    </row>
    <row r="13252" spans="2:21" x14ac:dyDescent="0.2">
      <c r="B13252" s="203"/>
      <c r="C13252" s="237"/>
      <c r="D13252" s="202"/>
      <c r="E13252" s="202"/>
      <c r="U13252" s="204"/>
    </row>
    <row r="13253" spans="2:21" x14ac:dyDescent="0.2">
      <c r="B13253" s="203"/>
      <c r="C13253" s="237"/>
      <c r="D13253" s="202"/>
      <c r="E13253" s="202"/>
      <c r="U13253" s="204"/>
    </row>
    <row r="13254" spans="2:21" x14ac:dyDescent="0.2">
      <c r="B13254" s="203"/>
      <c r="C13254" s="237"/>
      <c r="D13254" s="202"/>
      <c r="E13254" s="202"/>
      <c r="U13254" s="204"/>
    </row>
    <row r="13255" spans="2:21" x14ac:dyDescent="0.2">
      <c r="B13255" s="203"/>
      <c r="C13255" s="237"/>
      <c r="D13255" s="202"/>
      <c r="E13255" s="202"/>
      <c r="U13255" s="204"/>
    </row>
    <row r="13256" spans="2:21" x14ac:dyDescent="0.2">
      <c r="B13256" s="203"/>
      <c r="C13256" s="237"/>
      <c r="D13256" s="202"/>
      <c r="E13256" s="202"/>
      <c r="U13256" s="204"/>
    </row>
    <row r="13257" spans="2:21" x14ac:dyDescent="0.2">
      <c r="B13257" s="203"/>
      <c r="C13257" s="237"/>
      <c r="D13257" s="202"/>
      <c r="E13257" s="202"/>
      <c r="U13257" s="204"/>
    </row>
    <row r="13258" spans="2:21" x14ac:dyDescent="0.2">
      <c r="B13258" s="203"/>
      <c r="C13258" s="237"/>
      <c r="D13258" s="202"/>
      <c r="E13258" s="202"/>
      <c r="U13258" s="204"/>
    </row>
    <row r="13259" spans="2:21" x14ac:dyDescent="0.2">
      <c r="B13259" s="203"/>
      <c r="C13259" s="237"/>
      <c r="D13259" s="202"/>
      <c r="E13259" s="202"/>
      <c r="U13259" s="204"/>
    </row>
    <row r="13260" spans="2:21" x14ac:dyDescent="0.2">
      <c r="B13260" s="203"/>
      <c r="C13260" s="237"/>
      <c r="D13260" s="202"/>
      <c r="E13260" s="202"/>
      <c r="U13260" s="204"/>
    </row>
    <row r="13261" spans="2:21" x14ac:dyDescent="0.2">
      <c r="B13261" s="203"/>
      <c r="C13261" s="237"/>
      <c r="D13261" s="202"/>
      <c r="E13261" s="202"/>
      <c r="U13261" s="204"/>
    </row>
    <row r="13262" spans="2:21" x14ac:dyDescent="0.2">
      <c r="B13262" s="203"/>
      <c r="C13262" s="237"/>
      <c r="D13262" s="202"/>
      <c r="E13262" s="202"/>
      <c r="U13262" s="204"/>
    </row>
    <row r="13263" spans="2:21" x14ac:dyDescent="0.2">
      <c r="B13263" s="203"/>
      <c r="C13263" s="237"/>
      <c r="D13263" s="202"/>
      <c r="E13263" s="202"/>
      <c r="U13263" s="204"/>
    </row>
    <row r="13264" spans="2:21" x14ac:dyDescent="0.2">
      <c r="B13264" s="203"/>
      <c r="C13264" s="237"/>
      <c r="D13264" s="202"/>
      <c r="E13264" s="202"/>
      <c r="U13264" s="204"/>
    </row>
    <row r="13265" spans="2:21" x14ac:dyDescent="0.2">
      <c r="B13265" s="203"/>
      <c r="C13265" s="237"/>
      <c r="D13265" s="202"/>
      <c r="E13265" s="202"/>
      <c r="U13265" s="204"/>
    </row>
    <row r="13266" spans="2:21" x14ac:dyDescent="0.2">
      <c r="B13266" s="203"/>
      <c r="C13266" s="237"/>
      <c r="D13266" s="202"/>
      <c r="E13266" s="202"/>
      <c r="U13266" s="204"/>
    </row>
    <row r="13267" spans="2:21" x14ac:dyDescent="0.2">
      <c r="B13267" s="203"/>
      <c r="C13267" s="237"/>
      <c r="D13267" s="202"/>
      <c r="E13267" s="202"/>
      <c r="U13267" s="204"/>
    </row>
    <row r="13268" spans="2:21" x14ac:dyDescent="0.2">
      <c r="B13268" s="203"/>
      <c r="C13268" s="237"/>
      <c r="D13268" s="202"/>
      <c r="E13268" s="202"/>
      <c r="U13268" s="204"/>
    </row>
    <row r="13269" spans="2:21" x14ac:dyDescent="0.2">
      <c r="B13269" s="203"/>
      <c r="C13269" s="237"/>
      <c r="D13269" s="202"/>
      <c r="E13269" s="202"/>
      <c r="U13269" s="204"/>
    </row>
    <row r="13270" spans="2:21" x14ac:dyDescent="0.2">
      <c r="B13270" s="203"/>
      <c r="C13270" s="237"/>
      <c r="D13270" s="202"/>
      <c r="E13270" s="202"/>
      <c r="U13270" s="204"/>
    </row>
    <row r="13271" spans="2:21" x14ac:dyDescent="0.2">
      <c r="B13271" s="203"/>
      <c r="C13271" s="237"/>
      <c r="D13271" s="202"/>
      <c r="E13271" s="202"/>
      <c r="U13271" s="204"/>
    </row>
    <row r="13272" spans="2:21" x14ac:dyDescent="0.2">
      <c r="B13272" s="203"/>
      <c r="C13272" s="237"/>
      <c r="D13272" s="202"/>
      <c r="E13272" s="202"/>
      <c r="U13272" s="204"/>
    </row>
    <row r="13273" spans="2:21" x14ac:dyDescent="0.2">
      <c r="B13273" s="203"/>
      <c r="C13273" s="237"/>
      <c r="D13273" s="202"/>
      <c r="E13273" s="202"/>
      <c r="U13273" s="204"/>
    </row>
    <row r="13274" spans="2:21" x14ac:dyDescent="0.2">
      <c r="B13274" s="203"/>
      <c r="C13274" s="237"/>
      <c r="D13274" s="202"/>
      <c r="E13274" s="202"/>
      <c r="U13274" s="204"/>
    </row>
    <row r="13275" spans="2:21" x14ac:dyDescent="0.2">
      <c r="B13275" s="203"/>
      <c r="C13275" s="237"/>
      <c r="D13275" s="202"/>
      <c r="E13275" s="202"/>
      <c r="U13275" s="204"/>
    </row>
    <row r="13276" spans="2:21" x14ac:dyDescent="0.2">
      <c r="B13276" s="203"/>
      <c r="C13276" s="237"/>
      <c r="D13276" s="202"/>
      <c r="E13276" s="202"/>
      <c r="U13276" s="204"/>
    </row>
    <row r="13277" spans="2:21" x14ac:dyDescent="0.2">
      <c r="B13277" s="203"/>
      <c r="C13277" s="237"/>
      <c r="D13277" s="202"/>
      <c r="E13277" s="202"/>
      <c r="U13277" s="204"/>
    </row>
    <row r="13278" spans="2:21" x14ac:dyDescent="0.2">
      <c r="B13278" s="203"/>
      <c r="C13278" s="237"/>
      <c r="D13278" s="202"/>
      <c r="E13278" s="202"/>
      <c r="U13278" s="204"/>
    </row>
    <row r="13279" spans="2:21" x14ac:dyDescent="0.2">
      <c r="B13279" s="203"/>
      <c r="C13279" s="237"/>
      <c r="D13279" s="202"/>
      <c r="E13279" s="202"/>
      <c r="U13279" s="204"/>
    </row>
    <row r="13280" spans="2:21" x14ac:dyDescent="0.2">
      <c r="B13280" s="203"/>
      <c r="C13280" s="237"/>
      <c r="D13280" s="202"/>
      <c r="E13280" s="202"/>
      <c r="U13280" s="204"/>
    </row>
    <row r="13281" spans="2:21" x14ac:dyDescent="0.2">
      <c r="B13281" s="203"/>
      <c r="C13281" s="237"/>
      <c r="D13281" s="202"/>
      <c r="E13281" s="202"/>
      <c r="U13281" s="204"/>
    </row>
    <row r="13282" spans="2:21" x14ac:dyDescent="0.2">
      <c r="B13282" s="203"/>
      <c r="C13282" s="237"/>
      <c r="D13282" s="202"/>
      <c r="E13282" s="202"/>
      <c r="U13282" s="204"/>
    </row>
    <row r="13283" spans="2:21" x14ac:dyDescent="0.2">
      <c r="B13283" s="203"/>
      <c r="C13283" s="237"/>
      <c r="D13283" s="202"/>
      <c r="E13283" s="202"/>
      <c r="U13283" s="204"/>
    </row>
    <row r="13284" spans="2:21" x14ac:dyDescent="0.2">
      <c r="B13284" s="203"/>
      <c r="C13284" s="237"/>
      <c r="D13284" s="202"/>
      <c r="E13284" s="202"/>
      <c r="U13284" s="204"/>
    </row>
    <row r="13285" spans="2:21" x14ac:dyDescent="0.2">
      <c r="B13285" s="203"/>
      <c r="C13285" s="237"/>
      <c r="D13285" s="202"/>
      <c r="E13285" s="202"/>
      <c r="U13285" s="204"/>
    </row>
    <row r="13286" spans="2:21" x14ac:dyDescent="0.2">
      <c r="B13286" s="203"/>
      <c r="C13286" s="237"/>
      <c r="D13286" s="202"/>
      <c r="E13286" s="202"/>
      <c r="U13286" s="204"/>
    </row>
    <row r="13287" spans="2:21" x14ac:dyDescent="0.2">
      <c r="B13287" s="203"/>
      <c r="C13287" s="237"/>
      <c r="D13287" s="202"/>
      <c r="E13287" s="202"/>
      <c r="U13287" s="204"/>
    </row>
    <row r="13288" spans="2:21" x14ac:dyDescent="0.2">
      <c r="B13288" s="203"/>
      <c r="C13288" s="237"/>
      <c r="D13288" s="202"/>
      <c r="E13288" s="202"/>
      <c r="U13288" s="204"/>
    </row>
    <row r="13289" spans="2:21" x14ac:dyDescent="0.2">
      <c r="B13289" s="203"/>
      <c r="C13289" s="237"/>
      <c r="D13289" s="202"/>
      <c r="E13289" s="202"/>
      <c r="U13289" s="204"/>
    </row>
    <row r="13290" spans="2:21" x14ac:dyDescent="0.2">
      <c r="B13290" s="203"/>
      <c r="C13290" s="237"/>
      <c r="D13290" s="202"/>
      <c r="E13290" s="202"/>
      <c r="U13290" s="204"/>
    </row>
    <row r="13291" spans="2:21" x14ac:dyDescent="0.2">
      <c r="B13291" s="203"/>
      <c r="C13291" s="237"/>
      <c r="D13291" s="202"/>
      <c r="E13291" s="202"/>
      <c r="U13291" s="204"/>
    </row>
    <row r="13292" spans="2:21" x14ac:dyDescent="0.2">
      <c r="B13292" s="203"/>
      <c r="C13292" s="237"/>
      <c r="D13292" s="202"/>
      <c r="E13292" s="202"/>
      <c r="U13292" s="204"/>
    </row>
    <row r="13293" spans="2:21" x14ac:dyDescent="0.2">
      <c r="B13293" s="203"/>
      <c r="C13293" s="237"/>
      <c r="D13293" s="202"/>
      <c r="E13293" s="202"/>
      <c r="U13293" s="204"/>
    </row>
    <row r="13294" spans="2:21" x14ac:dyDescent="0.2">
      <c r="B13294" s="203"/>
      <c r="C13294" s="237"/>
      <c r="D13294" s="202"/>
      <c r="E13294" s="202"/>
      <c r="U13294" s="204"/>
    </row>
    <row r="13295" spans="2:21" x14ac:dyDescent="0.2">
      <c r="B13295" s="203"/>
      <c r="C13295" s="237"/>
      <c r="D13295" s="202"/>
      <c r="E13295" s="202"/>
      <c r="U13295" s="204"/>
    </row>
    <row r="13296" spans="2:21" x14ac:dyDescent="0.2">
      <c r="B13296" s="203"/>
      <c r="C13296" s="237"/>
      <c r="D13296" s="202"/>
      <c r="E13296" s="202"/>
      <c r="U13296" s="204"/>
    </row>
    <row r="13297" spans="2:21" x14ac:dyDescent="0.2">
      <c r="B13297" s="203"/>
      <c r="C13297" s="237"/>
      <c r="D13297" s="202"/>
      <c r="E13297" s="202"/>
      <c r="U13297" s="204"/>
    </row>
    <row r="13298" spans="2:21" x14ac:dyDescent="0.2">
      <c r="B13298" s="203"/>
      <c r="C13298" s="237"/>
      <c r="D13298" s="202"/>
      <c r="E13298" s="202"/>
      <c r="U13298" s="204"/>
    </row>
    <row r="13299" spans="2:21" x14ac:dyDescent="0.2">
      <c r="B13299" s="203"/>
      <c r="C13299" s="237"/>
      <c r="D13299" s="202"/>
      <c r="E13299" s="202"/>
      <c r="U13299" s="204"/>
    </row>
    <row r="13300" spans="2:21" x14ac:dyDescent="0.2">
      <c r="B13300" s="203"/>
      <c r="C13300" s="237"/>
      <c r="D13300" s="202"/>
      <c r="E13300" s="202"/>
      <c r="U13300" s="204"/>
    </row>
    <row r="13301" spans="2:21" x14ac:dyDescent="0.2">
      <c r="B13301" s="203"/>
      <c r="C13301" s="237"/>
      <c r="D13301" s="202"/>
      <c r="E13301" s="202"/>
      <c r="U13301" s="204"/>
    </row>
    <row r="13302" spans="2:21" x14ac:dyDescent="0.2">
      <c r="B13302" s="203"/>
      <c r="C13302" s="237"/>
      <c r="D13302" s="202"/>
      <c r="E13302" s="202"/>
      <c r="U13302" s="204"/>
    </row>
    <row r="13303" spans="2:21" x14ac:dyDescent="0.2">
      <c r="B13303" s="203"/>
      <c r="C13303" s="237"/>
      <c r="D13303" s="202"/>
      <c r="E13303" s="202"/>
      <c r="U13303" s="204"/>
    </row>
    <row r="13304" spans="2:21" x14ac:dyDescent="0.2">
      <c r="B13304" s="203"/>
      <c r="C13304" s="237"/>
      <c r="D13304" s="202"/>
      <c r="E13304" s="202"/>
      <c r="U13304" s="204"/>
    </row>
    <row r="13305" spans="2:21" x14ac:dyDescent="0.2">
      <c r="B13305" s="203"/>
      <c r="C13305" s="237"/>
      <c r="D13305" s="202"/>
      <c r="E13305" s="202"/>
      <c r="U13305" s="204"/>
    </row>
    <row r="13306" spans="2:21" x14ac:dyDescent="0.2">
      <c r="B13306" s="203"/>
      <c r="C13306" s="237"/>
      <c r="D13306" s="202"/>
      <c r="E13306" s="202"/>
      <c r="U13306" s="204"/>
    </row>
    <row r="13307" spans="2:21" x14ac:dyDescent="0.2">
      <c r="B13307" s="203"/>
      <c r="C13307" s="237"/>
      <c r="D13307" s="202"/>
      <c r="E13307" s="202"/>
      <c r="U13307" s="204"/>
    </row>
    <row r="13308" spans="2:21" x14ac:dyDescent="0.2">
      <c r="B13308" s="203"/>
      <c r="C13308" s="237"/>
      <c r="D13308" s="202"/>
      <c r="E13308" s="202"/>
      <c r="U13308" s="204"/>
    </row>
    <row r="13309" spans="2:21" x14ac:dyDescent="0.2">
      <c r="B13309" s="203"/>
      <c r="C13309" s="237"/>
      <c r="D13309" s="202"/>
      <c r="E13309" s="202"/>
      <c r="U13309" s="204"/>
    </row>
    <row r="13310" spans="2:21" x14ac:dyDescent="0.2">
      <c r="B13310" s="203"/>
      <c r="C13310" s="237"/>
      <c r="D13310" s="202"/>
      <c r="E13310" s="202"/>
      <c r="U13310" s="204"/>
    </row>
    <row r="13311" spans="2:21" x14ac:dyDescent="0.2">
      <c r="B13311" s="203"/>
      <c r="C13311" s="237"/>
      <c r="D13311" s="202"/>
      <c r="E13311" s="202"/>
      <c r="U13311" s="204"/>
    </row>
    <row r="13312" spans="2:21" x14ac:dyDescent="0.2">
      <c r="B13312" s="203"/>
      <c r="C13312" s="237"/>
      <c r="D13312" s="202"/>
      <c r="E13312" s="202"/>
      <c r="U13312" s="204"/>
    </row>
    <row r="13313" spans="2:21" x14ac:dyDescent="0.2">
      <c r="B13313" s="203"/>
      <c r="C13313" s="237"/>
      <c r="D13313" s="202"/>
      <c r="E13313" s="202"/>
      <c r="U13313" s="204"/>
    </row>
    <row r="13314" spans="2:21" x14ac:dyDescent="0.2">
      <c r="B13314" s="203"/>
      <c r="C13314" s="237"/>
      <c r="D13314" s="202"/>
      <c r="E13314" s="202"/>
      <c r="U13314" s="204"/>
    </row>
    <row r="13315" spans="2:21" x14ac:dyDescent="0.2">
      <c r="B13315" s="203"/>
      <c r="C13315" s="237"/>
      <c r="D13315" s="202"/>
      <c r="E13315" s="202"/>
      <c r="U13315" s="204"/>
    </row>
    <row r="13316" spans="2:21" x14ac:dyDescent="0.2">
      <c r="B13316" s="203"/>
      <c r="C13316" s="237"/>
      <c r="D13316" s="202"/>
      <c r="E13316" s="202"/>
      <c r="U13316" s="204"/>
    </row>
    <row r="13317" spans="2:21" x14ac:dyDescent="0.2">
      <c r="B13317" s="203"/>
      <c r="C13317" s="237"/>
      <c r="D13317" s="202"/>
      <c r="E13317" s="202"/>
      <c r="U13317" s="204"/>
    </row>
    <row r="13318" spans="2:21" x14ac:dyDescent="0.2">
      <c r="B13318" s="203"/>
      <c r="C13318" s="237"/>
      <c r="D13318" s="202"/>
      <c r="E13318" s="202"/>
      <c r="U13318" s="204"/>
    </row>
    <row r="13319" spans="2:21" x14ac:dyDescent="0.2">
      <c r="B13319" s="203"/>
      <c r="C13319" s="237"/>
      <c r="D13319" s="202"/>
      <c r="E13319" s="202"/>
      <c r="U13319" s="204"/>
    </row>
    <row r="13320" spans="2:21" x14ac:dyDescent="0.2">
      <c r="B13320" s="203"/>
      <c r="C13320" s="237"/>
      <c r="D13320" s="202"/>
      <c r="E13320" s="202"/>
      <c r="U13320" s="204"/>
    </row>
    <row r="13321" spans="2:21" x14ac:dyDescent="0.2">
      <c r="B13321" s="203"/>
      <c r="C13321" s="237"/>
      <c r="D13321" s="202"/>
      <c r="E13321" s="202"/>
      <c r="U13321" s="204"/>
    </row>
    <row r="13322" spans="2:21" x14ac:dyDescent="0.2">
      <c r="B13322" s="203"/>
      <c r="C13322" s="237"/>
      <c r="D13322" s="202"/>
      <c r="E13322" s="202"/>
      <c r="U13322" s="204"/>
    </row>
    <row r="13323" spans="2:21" x14ac:dyDescent="0.2">
      <c r="B13323" s="203"/>
      <c r="C13323" s="237"/>
      <c r="D13323" s="202"/>
      <c r="E13323" s="202"/>
      <c r="U13323" s="204"/>
    </row>
    <row r="13324" spans="2:21" x14ac:dyDescent="0.2">
      <c r="B13324" s="203"/>
      <c r="C13324" s="237"/>
      <c r="D13324" s="202"/>
      <c r="E13324" s="202"/>
      <c r="U13324" s="204"/>
    </row>
    <row r="13325" spans="2:21" x14ac:dyDescent="0.2">
      <c r="B13325" s="203"/>
      <c r="C13325" s="237"/>
      <c r="D13325" s="202"/>
      <c r="E13325" s="202"/>
      <c r="U13325" s="204"/>
    </row>
    <row r="13326" spans="2:21" x14ac:dyDescent="0.2">
      <c r="B13326" s="203"/>
      <c r="C13326" s="237"/>
      <c r="D13326" s="202"/>
      <c r="E13326" s="202"/>
      <c r="U13326" s="204"/>
    </row>
    <row r="13327" spans="2:21" x14ac:dyDescent="0.2">
      <c r="B13327" s="203"/>
      <c r="C13327" s="237"/>
      <c r="D13327" s="202"/>
      <c r="E13327" s="202"/>
      <c r="U13327" s="204"/>
    </row>
    <row r="13328" spans="2:21" x14ac:dyDescent="0.2">
      <c r="B13328" s="203"/>
      <c r="C13328" s="237"/>
      <c r="D13328" s="202"/>
      <c r="E13328" s="202"/>
      <c r="U13328" s="204"/>
    </row>
    <row r="13329" spans="2:21" x14ac:dyDescent="0.2">
      <c r="B13329" s="203"/>
      <c r="C13329" s="237"/>
      <c r="D13329" s="202"/>
      <c r="E13329" s="202"/>
      <c r="U13329" s="204"/>
    </row>
    <row r="13330" spans="2:21" x14ac:dyDescent="0.2">
      <c r="B13330" s="203"/>
      <c r="C13330" s="237"/>
      <c r="D13330" s="202"/>
      <c r="E13330" s="202"/>
      <c r="U13330" s="204"/>
    </row>
    <row r="13331" spans="2:21" x14ac:dyDescent="0.2">
      <c r="B13331" s="203"/>
      <c r="C13331" s="237"/>
      <c r="D13331" s="202"/>
      <c r="E13331" s="202"/>
      <c r="U13331" s="204"/>
    </row>
    <row r="13332" spans="2:21" x14ac:dyDescent="0.2">
      <c r="B13332" s="203"/>
      <c r="C13332" s="237"/>
      <c r="D13332" s="202"/>
      <c r="E13332" s="202"/>
      <c r="U13332" s="204"/>
    </row>
    <row r="13333" spans="2:21" x14ac:dyDescent="0.2">
      <c r="B13333" s="203"/>
      <c r="C13333" s="237"/>
      <c r="D13333" s="202"/>
      <c r="E13333" s="202"/>
      <c r="U13333" s="204"/>
    </row>
    <row r="13334" spans="2:21" x14ac:dyDescent="0.2">
      <c r="B13334" s="203"/>
      <c r="C13334" s="237"/>
      <c r="D13334" s="202"/>
      <c r="E13334" s="202"/>
      <c r="U13334" s="204"/>
    </row>
    <row r="13335" spans="2:21" x14ac:dyDescent="0.2">
      <c r="B13335" s="203"/>
      <c r="C13335" s="237"/>
      <c r="D13335" s="202"/>
      <c r="E13335" s="202"/>
      <c r="U13335" s="204"/>
    </row>
    <row r="13336" spans="2:21" x14ac:dyDescent="0.2">
      <c r="B13336" s="203"/>
      <c r="C13336" s="237"/>
      <c r="D13336" s="202"/>
      <c r="E13336" s="202"/>
      <c r="U13336" s="204"/>
    </row>
    <row r="13337" spans="2:21" x14ac:dyDescent="0.2">
      <c r="B13337" s="203"/>
      <c r="C13337" s="237"/>
      <c r="D13337" s="202"/>
      <c r="E13337" s="202"/>
      <c r="U13337" s="204"/>
    </row>
    <row r="13338" spans="2:21" x14ac:dyDescent="0.2">
      <c r="B13338" s="203"/>
      <c r="C13338" s="237"/>
      <c r="D13338" s="202"/>
      <c r="E13338" s="202"/>
      <c r="U13338" s="204"/>
    </row>
    <row r="13339" spans="2:21" x14ac:dyDescent="0.2">
      <c r="B13339" s="203"/>
      <c r="C13339" s="237"/>
      <c r="D13339" s="202"/>
      <c r="E13339" s="202"/>
      <c r="U13339" s="204"/>
    </row>
    <row r="13340" spans="2:21" x14ac:dyDescent="0.2">
      <c r="B13340" s="203"/>
      <c r="C13340" s="237"/>
      <c r="D13340" s="202"/>
      <c r="E13340" s="202"/>
      <c r="U13340" s="204"/>
    </row>
    <row r="13341" spans="2:21" x14ac:dyDescent="0.2">
      <c r="B13341" s="203"/>
      <c r="C13341" s="237"/>
      <c r="D13341" s="202"/>
      <c r="E13341" s="202"/>
      <c r="U13341" s="204"/>
    </row>
    <row r="13342" spans="2:21" x14ac:dyDescent="0.2">
      <c r="B13342" s="203"/>
      <c r="C13342" s="237"/>
      <c r="D13342" s="202"/>
      <c r="E13342" s="202"/>
      <c r="U13342" s="204"/>
    </row>
    <row r="13343" spans="2:21" x14ac:dyDescent="0.2">
      <c r="B13343" s="203"/>
      <c r="C13343" s="237"/>
      <c r="D13343" s="202"/>
      <c r="E13343" s="202"/>
      <c r="U13343" s="204"/>
    </row>
    <row r="13344" spans="2:21" x14ac:dyDescent="0.2">
      <c r="B13344" s="203"/>
      <c r="C13344" s="237"/>
      <c r="D13344" s="202"/>
      <c r="E13344" s="202"/>
      <c r="U13344" s="204"/>
    </row>
    <row r="13345" spans="2:21" x14ac:dyDescent="0.2">
      <c r="B13345" s="203"/>
      <c r="C13345" s="237"/>
      <c r="D13345" s="202"/>
      <c r="E13345" s="202"/>
      <c r="U13345" s="204"/>
    </row>
    <row r="13346" spans="2:21" x14ac:dyDescent="0.2">
      <c r="B13346" s="203"/>
      <c r="C13346" s="237"/>
      <c r="D13346" s="202"/>
      <c r="E13346" s="202"/>
      <c r="U13346" s="204"/>
    </row>
    <row r="13347" spans="2:21" x14ac:dyDescent="0.2">
      <c r="B13347" s="203"/>
      <c r="C13347" s="237"/>
      <c r="D13347" s="202"/>
      <c r="E13347" s="202"/>
      <c r="U13347" s="204"/>
    </row>
    <row r="13348" spans="2:21" x14ac:dyDescent="0.2">
      <c r="B13348" s="203"/>
      <c r="C13348" s="237"/>
      <c r="D13348" s="202"/>
      <c r="E13348" s="202"/>
      <c r="U13348" s="204"/>
    </row>
    <row r="13349" spans="2:21" x14ac:dyDescent="0.2">
      <c r="B13349" s="203"/>
      <c r="C13349" s="237"/>
      <c r="D13349" s="202"/>
      <c r="E13349" s="202"/>
      <c r="U13349" s="204"/>
    </row>
    <row r="13350" spans="2:21" x14ac:dyDescent="0.2">
      <c r="B13350" s="203"/>
      <c r="C13350" s="237"/>
      <c r="D13350" s="202"/>
      <c r="E13350" s="202"/>
      <c r="U13350" s="204"/>
    </row>
    <row r="13351" spans="2:21" x14ac:dyDescent="0.2">
      <c r="B13351" s="203"/>
      <c r="C13351" s="237"/>
      <c r="D13351" s="202"/>
      <c r="E13351" s="202"/>
      <c r="U13351" s="204"/>
    </row>
    <row r="13352" spans="2:21" x14ac:dyDescent="0.2">
      <c r="B13352" s="203"/>
      <c r="C13352" s="237"/>
      <c r="D13352" s="202"/>
      <c r="E13352" s="202"/>
      <c r="U13352" s="204"/>
    </row>
    <row r="13353" spans="2:21" x14ac:dyDescent="0.2">
      <c r="B13353" s="203"/>
      <c r="C13353" s="237"/>
      <c r="D13353" s="202"/>
      <c r="E13353" s="202"/>
      <c r="U13353" s="204"/>
    </row>
    <row r="13354" spans="2:21" x14ac:dyDescent="0.2">
      <c r="B13354" s="203"/>
      <c r="C13354" s="237"/>
      <c r="D13354" s="202"/>
      <c r="E13354" s="202"/>
      <c r="U13354" s="204"/>
    </row>
    <row r="13355" spans="2:21" x14ac:dyDescent="0.2">
      <c r="B13355" s="203"/>
      <c r="C13355" s="237"/>
      <c r="D13355" s="202"/>
      <c r="E13355" s="202"/>
      <c r="U13355" s="204"/>
    </row>
    <row r="13356" spans="2:21" x14ac:dyDescent="0.2">
      <c r="B13356" s="203"/>
      <c r="C13356" s="237"/>
      <c r="D13356" s="202"/>
      <c r="E13356" s="202"/>
      <c r="U13356" s="204"/>
    </row>
    <row r="13357" spans="2:21" x14ac:dyDescent="0.2">
      <c r="B13357" s="203"/>
      <c r="C13357" s="237"/>
      <c r="D13357" s="202"/>
      <c r="E13357" s="202"/>
      <c r="U13357" s="204"/>
    </row>
    <row r="13358" spans="2:21" x14ac:dyDescent="0.2">
      <c r="B13358" s="203"/>
      <c r="C13358" s="237"/>
      <c r="D13358" s="202"/>
      <c r="E13358" s="202"/>
      <c r="U13358" s="204"/>
    </row>
    <row r="13359" spans="2:21" x14ac:dyDescent="0.2">
      <c r="B13359" s="203"/>
      <c r="C13359" s="237"/>
      <c r="D13359" s="202"/>
      <c r="E13359" s="202"/>
      <c r="U13359" s="204"/>
    </row>
    <row r="13360" spans="2:21" x14ac:dyDescent="0.2">
      <c r="B13360" s="203"/>
      <c r="C13360" s="237"/>
      <c r="D13360" s="202"/>
      <c r="E13360" s="202"/>
      <c r="U13360" s="204"/>
    </row>
    <row r="13361" spans="2:21" x14ac:dyDescent="0.2">
      <c r="B13361" s="203"/>
      <c r="C13361" s="237"/>
      <c r="D13361" s="202"/>
      <c r="E13361" s="202"/>
      <c r="U13361" s="204"/>
    </row>
    <row r="13362" spans="2:21" x14ac:dyDescent="0.2">
      <c r="B13362" s="203"/>
      <c r="C13362" s="237"/>
      <c r="D13362" s="202"/>
      <c r="E13362" s="202"/>
      <c r="U13362" s="204"/>
    </row>
    <row r="13363" spans="2:21" x14ac:dyDescent="0.2">
      <c r="B13363" s="203"/>
      <c r="C13363" s="237"/>
      <c r="D13363" s="202"/>
      <c r="E13363" s="202"/>
      <c r="U13363" s="204"/>
    </row>
    <row r="13364" spans="2:21" x14ac:dyDescent="0.2">
      <c r="B13364" s="203"/>
      <c r="C13364" s="237"/>
      <c r="D13364" s="202"/>
      <c r="E13364" s="202"/>
      <c r="U13364" s="204"/>
    </row>
    <row r="13365" spans="2:21" x14ac:dyDescent="0.2">
      <c r="B13365" s="203"/>
      <c r="C13365" s="237"/>
      <c r="D13365" s="202"/>
      <c r="E13365" s="202"/>
      <c r="U13365" s="204"/>
    </row>
    <row r="13366" spans="2:21" x14ac:dyDescent="0.2">
      <c r="B13366" s="203"/>
      <c r="C13366" s="237"/>
      <c r="D13366" s="202"/>
      <c r="E13366" s="202"/>
      <c r="U13366" s="204"/>
    </row>
    <row r="13367" spans="2:21" x14ac:dyDescent="0.2">
      <c r="B13367" s="203"/>
      <c r="C13367" s="237"/>
      <c r="D13367" s="202"/>
      <c r="E13367" s="202"/>
      <c r="U13367" s="204"/>
    </row>
    <row r="13368" spans="2:21" x14ac:dyDescent="0.2">
      <c r="B13368" s="203"/>
      <c r="C13368" s="237"/>
      <c r="D13368" s="202"/>
      <c r="E13368" s="202"/>
      <c r="U13368" s="204"/>
    </row>
    <row r="13369" spans="2:21" x14ac:dyDescent="0.2">
      <c r="B13369" s="203"/>
      <c r="C13369" s="237"/>
      <c r="D13369" s="202"/>
      <c r="E13369" s="202"/>
      <c r="U13369" s="204"/>
    </row>
    <row r="13370" spans="2:21" x14ac:dyDescent="0.2">
      <c r="B13370" s="203"/>
      <c r="C13370" s="237"/>
      <c r="D13370" s="202"/>
      <c r="E13370" s="202"/>
      <c r="U13370" s="204"/>
    </row>
    <row r="13371" spans="2:21" x14ac:dyDescent="0.2">
      <c r="B13371" s="203"/>
      <c r="C13371" s="237"/>
      <c r="D13371" s="202"/>
      <c r="E13371" s="202"/>
      <c r="U13371" s="204"/>
    </row>
    <row r="13372" spans="2:21" x14ac:dyDescent="0.2">
      <c r="B13372" s="203"/>
      <c r="C13372" s="237"/>
      <c r="D13372" s="202"/>
      <c r="E13372" s="202"/>
      <c r="U13372" s="204"/>
    </row>
    <row r="13373" spans="2:21" x14ac:dyDescent="0.2">
      <c r="B13373" s="203"/>
      <c r="C13373" s="237"/>
      <c r="D13373" s="202"/>
      <c r="E13373" s="202"/>
      <c r="U13373" s="204"/>
    </row>
    <row r="13374" spans="2:21" x14ac:dyDescent="0.2">
      <c r="B13374" s="203"/>
      <c r="C13374" s="237"/>
      <c r="D13374" s="202"/>
      <c r="E13374" s="202"/>
      <c r="U13374" s="204"/>
    </row>
    <row r="13375" spans="2:21" x14ac:dyDescent="0.2">
      <c r="B13375" s="203"/>
      <c r="C13375" s="237"/>
      <c r="D13375" s="202"/>
      <c r="E13375" s="202"/>
      <c r="U13375" s="204"/>
    </row>
    <row r="13376" spans="2:21" x14ac:dyDescent="0.2">
      <c r="B13376" s="203"/>
      <c r="C13376" s="237"/>
      <c r="D13376" s="202"/>
      <c r="E13376" s="202"/>
      <c r="U13376" s="204"/>
    </row>
    <row r="13377" spans="2:21" x14ac:dyDescent="0.2">
      <c r="B13377" s="203"/>
      <c r="C13377" s="237"/>
      <c r="D13377" s="202"/>
      <c r="E13377" s="202"/>
      <c r="U13377" s="204"/>
    </row>
    <row r="13378" spans="2:21" x14ac:dyDescent="0.2">
      <c r="B13378" s="203"/>
      <c r="C13378" s="237"/>
      <c r="D13378" s="202"/>
      <c r="E13378" s="202"/>
      <c r="U13378" s="204"/>
    </row>
    <row r="13379" spans="2:21" x14ac:dyDescent="0.2">
      <c r="B13379" s="203"/>
      <c r="C13379" s="237"/>
      <c r="D13379" s="202"/>
      <c r="E13379" s="202"/>
      <c r="U13379" s="204"/>
    </row>
    <row r="13380" spans="2:21" x14ac:dyDescent="0.2">
      <c r="B13380" s="203"/>
      <c r="C13380" s="237"/>
      <c r="D13380" s="202"/>
      <c r="E13380" s="202"/>
      <c r="U13380" s="204"/>
    </row>
    <row r="13381" spans="2:21" x14ac:dyDescent="0.2">
      <c r="B13381" s="203"/>
      <c r="C13381" s="237"/>
      <c r="D13381" s="202"/>
      <c r="E13381" s="202"/>
      <c r="U13381" s="204"/>
    </row>
    <row r="13382" spans="2:21" x14ac:dyDescent="0.2">
      <c r="B13382" s="203"/>
      <c r="C13382" s="237"/>
      <c r="D13382" s="202"/>
      <c r="E13382" s="202"/>
      <c r="U13382" s="204"/>
    </row>
    <row r="13383" spans="2:21" x14ac:dyDescent="0.2">
      <c r="B13383" s="203"/>
      <c r="C13383" s="237"/>
      <c r="D13383" s="202"/>
      <c r="E13383" s="202"/>
      <c r="U13383" s="204"/>
    </row>
    <row r="13384" spans="2:21" x14ac:dyDescent="0.2">
      <c r="B13384" s="203"/>
      <c r="C13384" s="237"/>
      <c r="D13384" s="202"/>
      <c r="E13384" s="202"/>
      <c r="U13384" s="204"/>
    </row>
    <row r="13385" spans="2:21" x14ac:dyDescent="0.2">
      <c r="B13385" s="203"/>
      <c r="C13385" s="237"/>
      <c r="D13385" s="202"/>
      <c r="E13385" s="202"/>
      <c r="U13385" s="204"/>
    </row>
    <row r="13386" spans="2:21" x14ac:dyDescent="0.2">
      <c r="B13386" s="203"/>
      <c r="C13386" s="237"/>
      <c r="D13386" s="202"/>
      <c r="E13386" s="202"/>
      <c r="U13386" s="204"/>
    </row>
    <row r="13387" spans="2:21" x14ac:dyDescent="0.2">
      <c r="B13387" s="203"/>
      <c r="C13387" s="237"/>
      <c r="D13387" s="202"/>
      <c r="E13387" s="202"/>
      <c r="U13387" s="204"/>
    </row>
    <row r="13388" spans="2:21" x14ac:dyDescent="0.2">
      <c r="B13388" s="203"/>
      <c r="C13388" s="237"/>
      <c r="D13388" s="202"/>
      <c r="E13388" s="202"/>
      <c r="U13388" s="204"/>
    </row>
    <row r="13389" spans="2:21" x14ac:dyDescent="0.2">
      <c r="B13389" s="203"/>
      <c r="C13389" s="237"/>
      <c r="D13389" s="202"/>
      <c r="E13389" s="202"/>
      <c r="U13389" s="204"/>
    </row>
    <row r="13390" spans="2:21" x14ac:dyDescent="0.2">
      <c r="B13390" s="203"/>
      <c r="C13390" s="237"/>
      <c r="D13390" s="202"/>
      <c r="E13390" s="202"/>
      <c r="U13390" s="204"/>
    </row>
    <row r="13391" spans="2:21" x14ac:dyDescent="0.2">
      <c r="B13391" s="203"/>
      <c r="C13391" s="237"/>
      <c r="D13391" s="202"/>
      <c r="E13391" s="202"/>
      <c r="U13391" s="204"/>
    </row>
    <row r="13392" spans="2:21" x14ac:dyDescent="0.2">
      <c r="B13392" s="203"/>
      <c r="C13392" s="237"/>
      <c r="D13392" s="202"/>
      <c r="E13392" s="202"/>
      <c r="U13392" s="204"/>
    </row>
    <row r="13393" spans="2:21" x14ac:dyDescent="0.2">
      <c r="B13393" s="203"/>
      <c r="C13393" s="237"/>
      <c r="D13393" s="202"/>
      <c r="E13393" s="202"/>
      <c r="U13393" s="204"/>
    </row>
    <row r="13394" spans="2:21" x14ac:dyDescent="0.2">
      <c r="B13394" s="203"/>
      <c r="C13394" s="237"/>
      <c r="D13394" s="202"/>
      <c r="E13394" s="202"/>
      <c r="U13394" s="204"/>
    </row>
    <row r="13395" spans="2:21" x14ac:dyDescent="0.2">
      <c r="B13395" s="203"/>
      <c r="C13395" s="237"/>
      <c r="D13395" s="202"/>
      <c r="E13395" s="202"/>
      <c r="U13395" s="204"/>
    </row>
    <row r="13396" spans="2:21" x14ac:dyDescent="0.2">
      <c r="B13396" s="203"/>
      <c r="C13396" s="237"/>
      <c r="D13396" s="202"/>
      <c r="E13396" s="202"/>
      <c r="U13396" s="204"/>
    </row>
    <row r="13397" spans="2:21" x14ac:dyDescent="0.2">
      <c r="B13397" s="203"/>
      <c r="C13397" s="237"/>
      <c r="D13397" s="202"/>
      <c r="E13397" s="202"/>
      <c r="U13397" s="204"/>
    </row>
    <row r="13398" spans="2:21" x14ac:dyDescent="0.2">
      <c r="B13398" s="203"/>
      <c r="C13398" s="237"/>
      <c r="D13398" s="202"/>
      <c r="E13398" s="202"/>
      <c r="U13398" s="204"/>
    </row>
    <row r="13399" spans="2:21" x14ac:dyDescent="0.2">
      <c r="B13399" s="203"/>
      <c r="C13399" s="237"/>
      <c r="D13399" s="202"/>
      <c r="E13399" s="202"/>
      <c r="U13399" s="204"/>
    </row>
    <row r="13400" spans="2:21" x14ac:dyDescent="0.2">
      <c r="B13400" s="203"/>
      <c r="C13400" s="237"/>
      <c r="D13400" s="202"/>
      <c r="E13400" s="202"/>
      <c r="U13400" s="204"/>
    </row>
    <row r="13401" spans="2:21" x14ac:dyDescent="0.2">
      <c r="B13401" s="203"/>
      <c r="C13401" s="237"/>
      <c r="D13401" s="202"/>
      <c r="E13401" s="202"/>
      <c r="U13401" s="204"/>
    </row>
    <row r="13402" spans="2:21" x14ac:dyDescent="0.2">
      <c r="B13402" s="203"/>
      <c r="C13402" s="237"/>
      <c r="D13402" s="202"/>
      <c r="E13402" s="202"/>
      <c r="U13402" s="204"/>
    </row>
    <row r="13403" spans="2:21" x14ac:dyDescent="0.2">
      <c r="B13403" s="203"/>
      <c r="C13403" s="237"/>
      <c r="D13403" s="202"/>
      <c r="E13403" s="202"/>
      <c r="U13403" s="204"/>
    </row>
    <row r="13404" spans="2:21" x14ac:dyDescent="0.2">
      <c r="B13404" s="203"/>
      <c r="C13404" s="237"/>
      <c r="D13404" s="202"/>
      <c r="E13404" s="202"/>
      <c r="U13404" s="204"/>
    </row>
    <row r="13405" spans="2:21" x14ac:dyDescent="0.2">
      <c r="B13405" s="203"/>
      <c r="C13405" s="237"/>
      <c r="D13405" s="202"/>
      <c r="E13405" s="202"/>
      <c r="U13405" s="204"/>
    </row>
    <row r="13406" spans="2:21" x14ac:dyDescent="0.2">
      <c r="B13406" s="203"/>
      <c r="C13406" s="237"/>
      <c r="D13406" s="202"/>
      <c r="E13406" s="202"/>
      <c r="U13406" s="204"/>
    </row>
    <row r="13407" spans="2:21" x14ac:dyDescent="0.2">
      <c r="B13407" s="203"/>
      <c r="C13407" s="237"/>
      <c r="D13407" s="202"/>
      <c r="E13407" s="202"/>
      <c r="U13407" s="204"/>
    </row>
    <row r="13408" spans="2:21" x14ac:dyDescent="0.2">
      <c r="B13408" s="203"/>
      <c r="C13408" s="237"/>
      <c r="D13408" s="202"/>
      <c r="E13408" s="202"/>
      <c r="U13408" s="204"/>
    </row>
    <row r="13409" spans="2:21" x14ac:dyDescent="0.2">
      <c r="B13409" s="203"/>
      <c r="C13409" s="237"/>
      <c r="D13409" s="202"/>
      <c r="E13409" s="202"/>
      <c r="U13409" s="204"/>
    </row>
    <row r="13410" spans="2:21" x14ac:dyDescent="0.2">
      <c r="B13410" s="203"/>
      <c r="C13410" s="237"/>
      <c r="D13410" s="202"/>
      <c r="E13410" s="202"/>
      <c r="U13410" s="204"/>
    </row>
    <row r="13411" spans="2:21" x14ac:dyDescent="0.2">
      <c r="B13411" s="203"/>
      <c r="C13411" s="237"/>
      <c r="D13411" s="202"/>
      <c r="E13411" s="202"/>
      <c r="U13411" s="204"/>
    </row>
    <row r="13412" spans="2:21" x14ac:dyDescent="0.2">
      <c r="B13412" s="203"/>
      <c r="C13412" s="237"/>
      <c r="D13412" s="202"/>
      <c r="E13412" s="202"/>
      <c r="U13412" s="204"/>
    </row>
    <row r="13413" spans="2:21" x14ac:dyDescent="0.2">
      <c r="B13413" s="203"/>
      <c r="C13413" s="237"/>
      <c r="D13413" s="202"/>
      <c r="E13413" s="202"/>
      <c r="U13413" s="204"/>
    </row>
    <row r="13414" spans="2:21" x14ac:dyDescent="0.2">
      <c r="B13414" s="203"/>
      <c r="C13414" s="237"/>
      <c r="D13414" s="202"/>
      <c r="E13414" s="202"/>
      <c r="U13414" s="204"/>
    </row>
    <row r="13415" spans="2:21" x14ac:dyDescent="0.2">
      <c r="B13415" s="203"/>
      <c r="C13415" s="237"/>
      <c r="D13415" s="202"/>
      <c r="E13415" s="202"/>
      <c r="U13415" s="204"/>
    </row>
    <row r="13416" spans="2:21" x14ac:dyDescent="0.2">
      <c r="B13416" s="203"/>
      <c r="C13416" s="237"/>
      <c r="D13416" s="202"/>
      <c r="E13416" s="202"/>
      <c r="U13416" s="204"/>
    </row>
    <row r="13417" spans="2:21" x14ac:dyDescent="0.2">
      <c r="B13417" s="203"/>
      <c r="C13417" s="237"/>
      <c r="D13417" s="202"/>
      <c r="E13417" s="202"/>
      <c r="U13417" s="204"/>
    </row>
    <row r="13418" spans="2:21" x14ac:dyDescent="0.2">
      <c r="B13418" s="203"/>
      <c r="C13418" s="237"/>
      <c r="D13418" s="202"/>
      <c r="E13418" s="202"/>
      <c r="U13418" s="204"/>
    </row>
    <row r="13419" spans="2:21" x14ac:dyDescent="0.2">
      <c r="B13419" s="203"/>
      <c r="C13419" s="237"/>
      <c r="D13419" s="202"/>
      <c r="E13419" s="202"/>
      <c r="U13419" s="204"/>
    </row>
    <row r="13420" spans="2:21" x14ac:dyDescent="0.2">
      <c r="B13420" s="203"/>
      <c r="C13420" s="237"/>
      <c r="D13420" s="202"/>
      <c r="E13420" s="202"/>
      <c r="U13420" s="204"/>
    </row>
    <row r="13421" spans="2:21" x14ac:dyDescent="0.2">
      <c r="B13421" s="203"/>
      <c r="C13421" s="237"/>
      <c r="D13421" s="202"/>
      <c r="E13421" s="202"/>
      <c r="U13421" s="204"/>
    </row>
    <row r="13422" spans="2:21" x14ac:dyDescent="0.2">
      <c r="B13422" s="203"/>
      <c r="C13422" s="237"/>
      <c r="D13422" s="202"/>
      <c r="E13422" s="202"/>
      <c r="U13422" s="204"/>
    </row>
    <row r="13423" spans="2:21" x14ac:dyDescent="0.2">
      <c r="B13423" s="203"/>
      <c r="C13423" s="237"/>
      <c r="D13423" s="202"/>
      <c r="E13423" s="202"/>
      <c r="U13423" s="204"/>
    </row>
    <row r="13424" spans="2:21" x14ac:dyDescent="0.2">
      <c r="B13424" s="203"/>
      <c r="C13424" s="237"/>
      <c r="D13424" s="202"/>
      <c r="E13424" s="202"/>
      <c r="U13424" s="204"/>
    </row>
    <row r="13425" spans="2:21" x14ac:dyDescent="0.2">
      <c r="B13425" s="203"/>
      <c r="C13425" s="237"/>
      <c r="D13425" s="202"/>
      <c r="E13425" s="202"/>
      <c r="U13425" s="204"/>
    </row>
    <row r="13426" spans="2:21" x14ac:dyDescent="0.2">
      <c r="B13426" s="203"/>
      <c r="C13426" s="237"/>
      <c r="D13426" s="202"/>
      <c r="E13426" s="202"/>
      <c r="U13426" s="204"/>
    </row>
    <row r="13427" spans="2:21" x14ac:dyDescent="0.2">
      <c r="B13427" s="203"/>
      <c r="C13427" s="237"/>
      <c r="D13427" s="202"/>
      <c r="E13427" s="202"/>
      <c r="U13427" s="204"/>
    </row>
    <row r="13428" spans="2:21" x14ac:dyDescent="0.2">
      <c r="B13428" s="203"/>
      <c r="C13428" s="237"/>
      <c r="D13428" s="202"/>
      <c r="E13428" s="202"/>
      <c r="U13428" s="204"/>
    </row>
    <row r="13429" spans="2:21" x14ac:dyDescent="0.2">
      <c r="B13429" s="203"/>
      <c r="C13429" s="237"/>
      <c r="D13429" s="202"/>
      <c r="E13429" s="202"/>
      <c r="U13429" s="204"/>
    </row>
    <row r="13430" spans="2:21" x14ac:dyDescent="0.2">
      <c r="B13430" s="203"/>
      <c r="C13430" s="237"/>
      <c r="D13430" s="202"/>
      <c r="E13430" s="202"/>
      <c r="U13430" s="204"/>
    </row>
    <row r="13431" spans="2:21" x14ac:dyDescent="0.2">
      <c r="B13431" s="203"/>
      <c r="C13431" s="237"/>
      <c r="D13431" s="202"/>
      <c r="E13431" s="202"/>
      <c r="U13431" s="204"/>
    </row>
    <row r="13432" spans="2:21" x14ac:dyDescent="0.2">
      <c r="B13432" s="203"/>
      <c r="C13432" s="237"/>
      <c r="D13432" s="202"/>
      <c r="E13432" s="202"/>
      <c r="U13432" s="204"/>
    </row>
    <row r="13433" spans="2:21" x14ac:dyDescent="0.2">
      <c r="B13433" s="203"/>
      <c r="C13433" s="237"/>
      <c r="D13433" s="202"/>
      <c r="E13433" s="202"/>
      <c r="U13433" s="204"/>
    </row>
    <row r="13434" spans="2:21" x14ac:dyDescent="0.2">
      <c r="B13434" s="203"/>
      <c r="C13434" s="237"/>
      <c r="D13434" s="202"/>
      <c r="E13434" s="202"/>
      <c r="U13434" s="204"/>
    </row>
    <row r="13435" spans="2:21" x14ac:dyDescent="0.2">
      <c r="B13435" s="203"/>
      <c r="C13435" s="237"/>
      <c r="D13435" s="202"/>
      <c r="E13435" s="202"/>
      <c r="U13435" s="204"/>
    </row>
    <row r="13436" spans="2:21" x14ac:dyDescent="0.2">
      <c r="B13436" s="203"/>
      <c r="C13436" s="237"/>
      <c r="D13436" s="202"/>
      <c r="E13436" s="202"/>
      <c r="U13436" s="204"/>
    </row>
    <row r="13437" spans="2:21" x14ac:dyDescent="0.2">
      <c r="B13437" s="203"/>
      <c r="C13437" s="237"/>
      <c r="D13437" s="202"/>
      <c r="E13437" s="202"/>
      <c r="U13437" s="204"/>
    </row>
    <row r="13438" spans="2:21" x14ac:dyDescent="0.2">
      <c r="B13438" s="203"/>
      <c r="C13438" s="237"/>
      <c r="D13438" s="202"/>
      <c r="E13438" s="202"/>
      <c r="U13438" s="204"/>
    </row>
    <row r="13439" spans="2:21" x14ac:dyDescent="0.2">
      <c r="B13439" s="203"/>
      <c r="C13439" s="237"/>
      <c r="D13439" s="202"/>
      <c r="E13439" s="202"/>
      <c r="U13439" s="204"/>
    </row>
    <row r="13440" spans="2:21" x14ac:dyDescent="0.2">
      <c r="B13440" s="203"/>
      <c r="C13440" s="237"/>
      <c r="D13440" s="202"/>
      <c r="E13440" s="202"/>
      <c r="U13440" s="204"/>
    </row>
    <row r="13441" spans="2:21" x14ac:dyDescent="0.2">
      <c r="B13441" s="203"/>
      <c r="C13441" s="237"/>
      <c r="D13441" s="202"/>
      <c r="E13441" s="202"/>
      <c r="U13441" s="204"/>
    </row>
    <row r="13442" spans="2:21" x14ac:dyDescent="0.2">
      <c r="B13442" s="203"/>
      <c r="C13442" s="237"/>
      <c r="D13442" s="202"/>
      <c r="E13442" s="202"/>
      <c r="U13442" s="204"/>
    </row>
    <row r="13443" spans="2:21" x14ac:dyDescent="0.2">
      <c r="B13443" s="203"/>
      <c r="C13443" s="237"/>
      <c r="D13443" s="202"/>
      <c r="E13443" s="202"/>
      <c r="U13443" s="204"/>
    </row>
    <row r="13444" spans="2:21" x14ac:dyDescent="0.2">
      <c r="B13444" s="203"/>
      <c r="C13444" s="237"/>
      <c r="D13444" s="202"/>
      <c r="E13444" s="202"/>
      <c r="U13444" s="204"/>
    </row>
    <row r="13445" spans="2:21" x14ac:dyDescent="0.2">
      <c r="B13445" s="203"/>
      <c r="C13445" s="237"/>
      <c r="D13445" s="202"/>
      <c r="E13445" s="202"/>
      <c r="U13445" s="204"/>
    </row>
    <row r="13446" spans="2:21" x14ac:dyDescent="0.2">
      <c r="B13446" s="203"/>
      <c r="C13446" s="237"/>
      <c r="D13446" s="202"/>
      <c r="E13446" s="202"/>
      <c r="U13446" s="204"/>
    </row>
    <row r="13447" spans="2:21" x14ac:dyDescent="0.2">
      <c r="B13447" s="203"/>
      <c r="C13447" s="237"/>
      <c r="D13447" s="202"/>
      <c r="E13447" s="202"/>
      <c r="U13447" s="204"/>
    </row>
    <row r="13448" spans="2:21" x14ac:dyDescent="0.2">
      <c r="B13448" s="203"/>
      <c r="C13448" s="237"/>
      <c r="D13448" s="202"/>
      <c r="E13448" s="202"/>
      <c r="U13448" s="204"/>
    </row>
    <row r="13449" spans="2:21" x14ac:dyDescent="0.2">
      <c r="B13449" s="203"/>
      <c r="C13449" s="237"/>
      <c r="D13449" s="202"/>
      <c r="E13449" s="202"/>
      <c r="U13449" s="204"/>
    </row>
    <row r="13450" spans="2:21" x14ac:dyDescent="0.2">
      <c r="B13450" s="203"/>
      <c r="C13450" s="237"/>
      <c r="D13450" s="202"/>
      <c r="E13450" s="202"/>
      <c r="U13450" s="204"/>
    </row>
    <row r="13451" spans="2:21" x14ac:dyDescent="0.2">
      <c r="B13451" s="203"/>
      <c r="C13451" s="237"/>
      <c r="D13451" s="202"/>
      <c r="E13451" s="202"/>
      <c r="U13451" s="204"/>
    </row>
    <row r="13452" spans="2:21" x14ac:dyDescent="0.2">
      <c r="B13452" s="203"/>
      <c r="C13452" s="237"/>
      <c r="D13452" s="202"/>
      <c r="E13452" s="202"/>
      <c r="U13452" s="204"/>
    </row>
    <row r="13453" spans="2:21" x14ac:dyDescent="0.2">
      <c r="B13453" s="203"/>
      <c r="C13453" s="237"/>
      <c r="D13453" s="202"/>
      <c r="E13453" s="202"/>
      <c r="U13453" s="204"/>
    </row>
    <row r="13454" spans="2:21" x14ac:dyDescent="0.2">
      <c r="B13454" s="203"/>
      <c r="C13454" s="237"/>
      <c r="D13454" s="202"/>
      <c r="E13454" s="202"/>
      <c r="U13454" s="204"/>
    </row>
    <row r="13455" spans="2:21" x14ac:dyDescent="0.2">
      <c r="B13455" s="203"/>
      <c r="C13455" s="237"/>
      <c r="D13455" s="202"/>
      <c r="E13455" s="202"/>
      <c r="U13455" s="204"/>
    </row>
    <row r="13456" spans="2:21" x14ac:dyDescent="0.2">
      <c r="B13456" s="203"/>
      <c r="C13456" s="237"/>
      <c r="D13456" s="202"/>
      <c r="E13456" s="202"/>
      <c r="U13456" s="204"/>
    </row>
    <row r="13457" spans="2:21" x14ac:dyDescent="0.2">
      <c r="B13457" s="203"/>
      <c r="C13457" s="237"/>
      <c r="D13457" s="202"/>
      <c r="E13457" s="202"/>
      <c r="U13457" s="204"/>
    </row>
    <row r="13458" spans="2:21" x14ac:dyDescent="0.2">
      <c r="B13458" s="203"/>
      <c r="C13458" s="237"/>
      <c r="D13458" s="202"/>
      <c r="E13458" s="202"/>
      <c r="U13458" s="204"/>
    </row>
    <row r="13459" spans="2:21" x14ac:dyDescent="0.2">
      <c r="B13459" s="203"/>
      <c r="C13459" s="237"/>
      <c r="D13459" s="202"/>
      <c r="E13459" s="202"/>
      <c r="U13459" s="204"/>
    </row>
    <row r="13460" spans="2:21" x14ac:dyDescent="0.2">
      <c r="B13460" s="203"/>
      <c r="C13460" s="237"/>
      <c r="D13460" s="202"/>
      <c r="E13460" s="202"/>
      <c r="U13460" s="204"/>
    </row>
    <row r="13461" spans="2:21" x14ac:dyDescent="0.2">
      <c r="B13461" s="203"/>
      <c r="C13461" s="237"/>
      <c r="D13461" s="202"/>
      <c r="E13461" s="202"/>
      <c r="U13461" s="204"/>
    </row>
    <row r="13462" spans="2:21" x14ac:dyDescent="0.2">
      <c r="B13462" s="203"/>
      <c r="C13462" s="237"/>
      <c r="D13462" s="202"/>
      <c r="E13462" s="202"/>
      <c r="U13462" s="204"/>
    </row>
    <row r="13463" spans="2:21" x14ac:dyDescent="0.2">
      <c r="B13463" s="203"/>
      <c r="C13463" s="237"/>
      <c r="D13463" s="202"/>
      <c r="E13463" s="202"/>
      <c r="U13463" s="204"/>
    </row>
    <row r="13464" spans="2:21" x14ac:dyDescent="0.2">
      <c r="B13464" s="203"/>
      <c r="C13464" s="237"/>
      <c r="D13464" s="202"/>
      <c r="E13464" s="202"/>
      <c r="U13464" s="204"/>
    </row>
    <row r="13465" spans="2:21" x14ac:dyDescent="0.2">
      <c r="B13465" s="203"/>
      <c r="C13465" s="237"/>
      <c r="D13465" s="202"/>
      <c r="E13465" s="202"/>
      <c r="U13465" s="204"/>
    </row>
    <row r="13466" spans="2:21" x14ac:dyDescent="0.2">
      <c r="B13466" s="203"/>
      <c r="C13466" s="237"/>
      <c r="D13466" s="202"/>
      <c r="E13466" s="202"/>
      <c r="U13466" s="204"/>
    </row>
    <row r="13467" spans="2:21" x14ac:dyDescent="0.2">
      <c r="B13467" s="203"/>
      <c r="C13467" s="237"/>
      <c r="D13467" s="202"/>
      <c r="E13467" s="202"/>
      <c r="U13467" s="204"/>
    </row>
    <row r="13468" spans="2:21" x14ac:dyDescent="0.2">
      <c r="B13468" s="203"/>
      <c r="C13468" s="237"/>
      <c r="D13468" s="202"/>
      <c r="E13468" s="202"/>
      <c r="U13468" s="204"/>
    </row>
    <row r="13469" spans="2:21" x14ac:dyDescent="0.2">
      <c r="B13469" s="203"/>
      <c r="C13469" s="237"/>
      <c r="D13469" s="202"/>
      <c r="E13469" s="202"/>
      <c r="U13469" s="204"/>
    </row>
    <row r="13470" spans="2:21" x14ac:dyDescent="0.2">
      <c r="B13470" s="203"/>
      <c r="C13470" s="237"/>
      <c r="D13470" s="202"/>
      <c r="E13470" s="202"/>
      <c r="U13470" s="204"/>
    </row>
    <row r="13471" spans="2:21" x14ac:dyDescent="0.2">
      <c r="B13471" s="203"/>
      <c r="C13471" s="237"/>
      <c r="D13471" s="202"/>
      <c r="E13471" s="202"/>
      <c r="U13471" s="204"/>
    </row>
    <row r="13472" spans="2:21" x14ac:dyDescent="0.2">
      <c r="B13472" s="203"/>
      <c r="C13472" s="237"/>
      <c r="D13472" s="202"/>
      <c r="E13472" s="202"/>
      <c r="U13472" s="204"/>
    </row>
    <row r="13473" spans="2:21" x14ac:dyDescent="0.2">
      <c r="B13473" s="203"/>
      <c r="C13473" s="237"/>
      <c r="D13473" s="202"/>
      <c r="E13473" s="202"/>
      <c r="U13473" s="204"/>
    </row>
    <row r="13474" spans="2:21" x14ac:dyDescent="0.2">
      <c r="B13474" s="203"/>
      <c r="C13474" s="237"/>
      <c r="D13474" s="202"/>
      <c r="E13474" s="202"/>
      <c r="U13474" s="204"/>
    </row>
    <row r="13475" spans="2:21" x14ac:dyDescent="0.2">
      <c r="B13475" s="203"/>
      <c r="C13475" s="237"/>
      <c r="D13475" s="202"/>
      <c r="E13475" s="202"/>
      <c r="U13475" s="204"/>
    </row>
    <row r="13476" spans="2:21" x14ac:dyDescent="0.2">
      <c r="B13476" s="203"/>
      <c r="C13476" s="237"/>
      <c r="D13476" s="202"/>
      <c r="E13476" s="202"/>
      <c r="U13476" s="204"/>
    </row>
    <row r="13477" spans="2:21" x14ac:dyDescent="0.2">
      <c r="B13477" s="203"/>
      <c r="C13477" s="237"/>
      <c r="D13477" s="202"/>
      <c r="E13477" s="202"/>
      <c r="U13477" s="204"/>
    </row>
    <row r="13478" spans="2:21" x14ac:dyDescent="0.2">
      <c r="B13478" s="203"/>
      <c r="C13478" s="237"/>
      <c r="D13478" s="202"/>
      <c r="E13478" s="202"/>
      <c r="U13478" s="204"/>
    </row>
    <row r="13479" spans="2:21" x14ac:dyDescent="0.2">
      <c r="B13479" s="203"/>
      <c r="C13479" s="237"/>
      <c r="D13479" s="202"/>
      <c r="E13479" s="202"/>
      <c r="U13479" s="204"/>
    </row>
    <row r="13480" spans="2:21" x14ac:dyDescent="0.2">
      <c r="B13480" s="203"/>
      <c r="C13480" s="237"/>
      <c r="D13480" s="202"/>
      <c r="E13480" s="202"/>
      <c r="U13480" s="204"/>
    </row>
    <row r="13481" spans="2:21" x14ac:dyDescent="0.2">
      <c r="B13481" s="203"/>
      <c r="C13481" s="237"/>
      <c r="D13481" s="202"/>
      <c r="E13481" s="202"/>
      <c r="U13481" s="204"/>
    </row>
    <row r="13482" spans="2:21" x14ac:dyDescent="0.2">
      <c r="B13482" s="203"/>
      <c r="C13482" s="237"/>
      <c r="D13482" s="202"/>
      <c r="E13482" s="202"/>
      <c r="U13482" s="204"/>
    </row>
    <row r="13483" spans="2:21" x14ac:dyDescent="0.2">
      <c r="B13483" s="203"/>
      <c r="C13483" s="237"/>
      <c r="D13483" s="202"/>
      <c r="E13483" s="202"/>
      <c r="U13483" s="204"/>
    </row>
    <row r="13484" spans="2:21" x14ac:dyDescent="0.2">
      <c r="B13484" s="203"/>
      <c r="C13484" s="237"/>
      <c r="D13484" s="202"/>
      <c r="E13484" s="202"/>
      <c r="U13484" s="204"/>
    </row>
    <row r="13485" spans="2:21" x14ac:dyDescent="0.2">
      <c r="B13485" s="203"/>
      <c r="C13485" s="237"/>
      <c r="D13485" s="202"/>
      <c r="E13485" s="202"/>
      <c r="U13485" s="204"/>
    </row>
    <row r="13486" spans="2:21" x14ac:dyDescent="0.2">
      <c r="B13486" s="203"/>
      <c r="C13486" s="237"/>
      <c r="D13486" s="202"/>
      <c r="E13486" s="202"/>
      <c r="U13486" s="204"/>
    </row>
    <row r="13487" spans="2:21" x14ac:dyDescent="0.2">
      <c r="B13487" s="203"/>
      <c r="C13487" s="237"/>
      <c r="D13487" s="202"/>
      <c r="E13487" s="202"/>
      <c r="U13487" s="204"/>
    </row>
    <row r="13488" spans="2:21" x14ac:dyDescent="0.2">
      <c r="B13488" s="203"/>
      <c r="C13488" s="237"/>
      <c r="D13488" s="202"/>
      <c r="E13488" s="202"/>
      <c r="U13488" s="204"/>
    </row>
    <row r="13489" spans="2:21" x14ac:dyDescent="0.2">
      <c r="B13489" s="203"/>
      <c r="C13489" s="237"/>
      <c r="D13489" s="202"/>
      <c r="E13489" s="202"/>
      <c r="U13489" s="204"/>
    </row>
    <row r="13490" spans="2:21" x14ac:dyDescent="0.2">
      <c r="B13490" s="203"/>
      <c r="C13490" s="237"/>
      <c r="D13490" s="202"/>
      <c r="E13490" s="202"/>
      <c r="U13490" s="204"/>
    </row>
    <row r="13491" spans="2:21" x14ac:dyDescent="0.2">
      <c r="B13491" s="203"/>
      <c r="C13491" s="237"/>
      <c r="D13491" s="202"/>
      <c r="E13491" s="202"/>
      <c r="U13491" s="204"/>
    </row>
    <row r="13492" spans="2:21" x14ac:dyDescent="0.2">
      <c r="B13492" s="203"/>
      <c r="C13492" s="237"/>
      <c r="D13492" s="202"/>
      <c r="E13492" s="202"/>
      <c r="U13492" s="204"/>
    </row>
    <row r="13493" spans="2:21" x14ac:dyDescent="0.2">
      <c r="B13493" s="203"/>
      <c r="C13493" s="237"/>
      <c r="D13493" s="202"/>
      <c r="E13493" s="202"/>
      <c r="U13493" s="204"/>
    </row>
    <row r="13494" spans="2:21" x14ac:dyDescent="0.2">
      <c r="B13494" s="203"/>
      <c r="C13494" s="237"/>
      <c r="D13494" s="202"/>
      <c r="E13494" s="202"/>
      <c r="U13494" s="204"/>
    </row>
    <row r="13495" spans="2:21" x14ac:dyDescent="0.2">
      <c r="B13495" s="203"/>
      <c r="C13495" s="237"/>
      <c r="D13495" s="202"/>
      <c r="E13495" s="202"/>
      <c r="U13495" s="204"/>
    </row>
    <row r="13496" spans="2:21" x14ac:dyDescent="0.2">
      <c r="B13496" s="203"/>
      <c r="C13496" s="237"/>
      <c r="D13496" s="202"/>
      <c r="E13496" s="202"/>
      <c r="U13496" s="204"/>
    </row>
    <row r="13497" spans="2:21" x14ac:dyDescent="0.2">
      <c r="B13497" s="203"/>
      <c r="C13497" s="237"/>
      <c r="D13497" s="202"/>
      <c r="E13497" s="202"/>
      <c r="U13497" s="204"/>
    </row>
    <row r="13498" spans="2:21" x14ac:dyDescent="0.2">
      <c r="B13498" s="203"/>
      <c r="C13498" s="237"/>
      <c r="D13498" s="202"/>
      <c r="E13498" s="202"/>
      <c r="U13498" s="204"/>
    </row>
    <row r="13499" spans="2:21" x14ac:dyDescent="0.2">
      <c r="B13499" s="203"/>
      <c r="C13499" s="237"/>
      <c r="D13499" s="202"/>
      <c r="E13499" s="202"/>
      <c r="U13499" s="204"/>
    </row>
    <row r="13500" spans="2:21" x14ac:dyDescent="0.2">
      <c r="B13500" s="203"/>
      <c r="C13500" s="237"/>
      <c r="D13500" s="202"/>
      <c r="E13500" s="202"/>
      <c r="U13500" s="204"/>
    </row>
    <row r="13501" spans="2:21" x14ac:dyDescent="0.2">
      <c r="B13501" s="203"/>
      <c r="C13501" s="237"/>
      <c r="D13501" s="202"/>
      <c r="E13501" s="202"/>
      <c r="U13501" s="204"/>
    </row>
    <row r="13502" spans="2:21" x14ac:dyDescent="0.2">
      <c r="B13502" s="203"/>
      <c r="C13502" s="237"/>
      <c r="D13502" s="202"/>
      <c r="E13502" s="202"/>
      <c r="U13502" s="204"/>
    </row>
    <row r="13503" spans="2:21" x14ac:dyDescent="0.2">
      <c r="B13503" s="203"/>
      <c r="C13503" s="237"/>
      <c r="D13503" s="202"/>
      <c r="E13503" s="202"/>
      <c r="U13503" s="204"/>
    </row>
    <row r="13504" spans="2:21" x14ac:dyDescent="0.2">
      <c r="B13504" s="203"/>
      <c r="C13504" s="237"/>
      <c r="D13504" s="202"/>
      <c r="E13504" s="202"/>
      <c r="U13504" s="204"/>
    </row>
    <row r="13505" spans="2:21" x14ac:dyDescent="0.2">
      <c r="B13505" s="203"/>
      <c r="C13505" s="237"/>
      <c r="D13505" s="202"/>
      <c r="E13505" s="202"/>
      <c r="U13505" s="204"/>
    </row>
    <row r="13506" spans="2:21" x14ac:dyDescent="0.2">
      <c r="B13506" s="203"/>
      <c r="C13506" s="237"/>
      <c r="D13506" s="202"/>
      <c r="E13506" s="202"/>
      <c r="U13506" s="204"/>
    </row>
    <row r="13507" spans="2:21" x14ac:dyDescent="0.2">
      <c r="B13507" s="203"/>
      <c r="C13507" s="237"/>
      <c r="D13507" s="202"/>
      <c r="E13507" s="202"/>
      <c r="U13507" s="204"/>
    </row>
    <row r="13508" spans="2:21" x14ac:dyDescent="0.2">
      <c r="B13508" s="203"/>
      <c r="C13508" s="237"/>
      <c r="D13508" s="202"/>
      <c r="E13508" s="202"/>
      <c r="U13508" s="204"/>
    </row>
    <row r="13509" spans="2:21" x14ac:dyDescent="0.2">
      <c r="B13509" s="203"/>
      <c r="C13509" s="237"/>
      <c r="D13509" s="202"/>
      <c r="E13509" s="202"/>
      <c r="U13509" s="204"/>
    </row>
    <row r="13510" spans="2:21" x14ac:dyDescent="0.2">
      <c r="B13510" s="203"/>
      <c r="C13510" s="237"/>
      <c r="D13510" s="202"/>
      <c r="E13510" s="202"/>
      <c r="U13510" s="204"/>
    </row>
    <row r="13511" spans="2:21" x14ac:dyDescent="0.2">
      <c r="B13511" s="203"/>
      <c r="C13511" s="237"/>
      <c r="D13511" s="202"/>
      <c r="E13511" s="202"/>
      <c r="U13511" s="204"/>
    </row>
    <row r="13512" spans="2:21" x14ac:dyDescent="0.2">
      <c r="B13512" s="203"/>
      <c r="C13512" s="237"/>
      <c r="D13512" s="202"/>
      <c r="E13512" s="202"/>
      <c r="U13512" s="204"/>
    </row>
    <row r="13513" spans="2:21" x14ac:dyDescent="0.2">
      <c r="B13513" s="203"/>
      <c r="C13513" s="237"/>
      <c r="D13513" s="202"/>
      <c r="E13513" s="202"/>
      <c r="U13513" s="204"/>
    </row>
    <row r="13514" spans="2:21" x14ac:dyDescent="0.2">
      <c r="B13514" s="203"/>
      <c r="C13514" s="237"/>
      <c r="D13514" s="202"/>
      <c r="E13514" s="202"/>
      <c r="U13514" s="204"/>
    </row>
    <row r="13515" spans="2:21" x14ac:dyDescent="0.2">
      <c r="B13515" s="203"/>
      <c r="C13515" s="237"/>
      <c r="D13515" s="202"/>
      <c r="E13515" s="202"/>
      <c r="U13515" s="204"/>
    </row>
    <row r="13516" spans="2:21" x14ac:dyDescent="0.2">
      <c r="B13516" s="203"/>
      <c r="C13516" s="237"/>
      <c r="D13516" s="202"/>
      <c r="E13516" s="202"/>
      <c r="U13516" s="204"/>
    </row>
    <row r="13517" spans="2:21" x14ac:dyDescent="0.2">
      <c r="B13517" s="203"/>
      <c r="C13517" s="237"/>
      <c r="D13517" s="202"/>
      <c r="E13517" s="202"/>
      <c r="U13517" s="204"/>
    </row>
    <row r="13518" spans="2:21" x14ac:dyDescent="0.2">
      <c r="B13518" s="203"/>
      <c r="C13518" s="237"/>
      <c r="D13518" s="202"/>
      <c r="E13518" s="202"/>
      <c r="U13518" s="204"/>
    </row>
    <row r="13519" spans="2:21" x14ac:dyDescent="0.2">
      <c r="B13519" s="203"/>
      <c r="C13519" s="237"/>
      <c r="D13519" s="202"/>
      <c r="E13519" s="202"/>
      <c r="U13519" s="204"/>
    </row>
    <row r="13520" spans="2:21" x14ac:dyDescent="0.2">
      <c r="B13520" s="203"/>
      <c r="C13520" s="237"/>
      <c r="D13520" s="202"/>
      <c r="E13520" s="202"/>
      <c r="U13520" s="204"/>
    </row>
    <row r="13521" spans="2:21" x14ac:dyDescent="0.2">
      <c r="B13521" s="203"/>
      <c r="C13521" s="237"/>
      <c r="D13521" s="202"/>
      <c r="E13521" s="202"/>
      <c r="U13521" s="204"/>
    </row>
    <row r="13522" spans="2:21" x14ac:dyDescent="0.2">
      <c r="B13522" s="203"/>
      <c r="C13522" s="237"/>
      <c r="D13522" s="202"/>
      <c r="E13522" s="202"/>
      <c r="U13522" s="204"/>
    </row>
    <row r="13523" spans="2:21" x14ac:dyDescent="0.2">
      <c r="B13523" s="203"/>
      <c r="C13523" s="237"/>
      <c r="D13523" s="202"/>
      <c r="E13523" s="202"/>
      <c r="U13523" s="204"/>
    </row>
    <row r="13524" spans="2:21" x14ac:dyDescent="0.2">
      <c r="B13524" s="203"/>
      <c r="C13524" s="237"/>
      <c r="D13524" s="202"/>
      <c r="E13524" s="202"/>
      <c r="U13524" s="204"/>
    </row>
    <row r="13525" spans="2:21" x14ac:dyDescent="0.2">
      <c r="B13525" s="203"/>
      <c r="C13525" s="237"/>
      <c r="D13525" s="202"/>
      <c r="E13525" s="202"/>
      <c r="U13525" s="204"/>
    </row>
    <row r="13526" spans="2:21" x14ac:dyDescent="0.2">
      <c r="B13526" s="203"/>
      <c r="C13526" s="237"/>
      <c r="D13526" s="202"/>
      <c r="E13526" s="202"/>
      <c r="U13526" s="204"/>
    </row>
    <row r="13527" spans="2:21" x14ac:dyDescent="0.2">
      <c r="B13527" s="203"/>
      <c r="C13527" s="237"/>
      <c r="D13527" s="202"/>
      <c r="E13527" s="202"/>
      <c r="U13527" s="204"/>
    </row>
    <row r="13528" spans="2:21" x14ac:dyDescent="0.2">
      <c r="B13528" s="203"/>
      <c r="C13528" s="237"/>
      <c r="D13528" s="202"/>
      <c r="E13528" s="202"/>
      <c r="U13528" s="204"/>
    </row>
    <row r="13529" spans="2:21" x14ac:dyDescent="0.2">
      <c r="B13529" s="203"/>
      <c r="C13529" s="237"/>
      <c r="D13529" s="202"/>
      <c r="E13529" s="202"/>
      <c r="U13529" s="204"/>
    </row>
    <row r="13530" spans="2:21" x14ac:dyDescent="0.2">
      <c r="B13530" s="203"/>
      <c r="C13530" s="237"/>
      <c r="D13530" s="202"/>
      <c r="E13530" s="202"/>
      <c r="U13530" s="204"/>
    </row>
    <row r="13531" spans="2:21" x14ac:dyDescent="0.2">
      <c r="B13531" s="203"/>
      <c r="C13531" s="237"/>
      <c r="D13531" s="202"/>
      <c r="E13531" s="202"/>
      <c r="U13531" s="204"/>
    </row>
    <row r="13532" spans="2:21" x14ac:dyDescent="0.2">
      <c r="B13532" s="203"/>
      <c r="C13532" s="237"/>
      <c r="D13532" s="202"/>
      <c r="E13532" s="202"/>
      <c r="U13532" s="204"/>
    </row>
    <row r="13533" spans="2:21" x14ac:dyDescent="0.2">
      <c r="B13533" s="203"/>
      <c r="C13533" s="237"/>
      <c r="D13533" s="202"/>
      <c r="E13533" s="202"/>
      <c r="U13533" s="204"/>
    </row>
    <row r="13534" spans="2:21" x14ac:dyDescent="0.2">
      <c r="B13534" s="203"/>
      <c r="C13534" s="237"/>
      <c r="D13534" s="202"/>
      <c r="E13534" s="202"/>
      <c r="U13534" s="204"/>
    </row>
    <row r="13535" spans="2:21" x14ac:dyDescent="0.2">
      <c r="B13535" s="203"/>
      <c r="C13535" s="237"/>
      <c r="D13535" s="202"/>
      <c r="E13535" s="202"/>
      <c r="U13535" s="204"/>
    </row>
    <row r="13536" spans="2:21" x14ac:dyDescent="0.2">
      <c r="B13536" s="203"/>
      <c r="C13536" s="237"/>
      <c r="D13536" s="202"/>
      <c r="E13536" s="202"/>
      <c r="U13536" s="204"/>
    </row>
    <row r="13537" spans="2:21" x14ac:dyDescent="0.2">
      <c r="B13537" s="203"/>
      <c r="C13537" s="237"/>
      <c r="D13537" s="202"/>
      <c r="E13537" s="202"/>
      <c r="U13537" s="204"/>
    </row>
    <row r="13538" spans="2:21" x14ac:dyDescent="0.2">
      <c r="B13538" s="203"/>
      <c r="C13538" s="237"/>
      <c r="D13538" s="202"/>
      <c r="E13538" s="202"/>
      <c r="U13538" s="204"/>
    </row>
    <row r="13539" spans="2:21" x14ac:dyDescent="0.2">
      <c r="B13539" s="203"/>
      <c r="C13539" s="237"/>
      <c r="D13539" s="202"/>
      <c r="E13539" s="202"/>
      <c r="U13539" s="204"/>
    </row>
    <row r="13540" spans="2:21" x14ac:dyDescent="0.2">
      <c r="B13540" s="203"/>
      <c r="C13540" s="237"/>
      <c r="D13540" s="202"/>
      <c r="E13540" s="202"/>
      <c r="U13540" s="204"/>
    </row>
    <row r="13541" spans="2:21" x14ac:dyDescent="0.2">
      <c r="B13541" s="203"/>
      <c r="C13541" s="237"/>
      <c r="D13541" s="202"/>
      <c r="E13541" s="202"/>
      <c r="U13541" s="204"/>
    </row>
    <row r="13542" spans="2:21" x14ac:dyDescent="0.2">
      <c r="B13542" s="203"/>
      <c r="C13542" s="237"/>
      <c r="D13542" s="202"/>
      <c r="E13542" s="202"/>
      <c r="U13542" s="204"/>
    </row>
    <row r="13543" spans="2:21" x14ac:dyDescent="0.2">
      <c r="B13543" s="203"/>
      <c r="C13543" s="237"/>
      <c r="D13543" s="202"/>
      <c r="E13543" s="202"/>
      <c r="U13543" s="204"/>
    </row>
    <row r="13544" spans="2:21" x14ac:dyDescent="0.2">
      <c r="B13544" s="203"/>
      <c r="C13544" s="237"/>
      <c r="D13544" s="202"/>
      <c r="E13544" s="202"/>
      <c r="U13544" s="204"/>
    </row>
    <row r="13545" spans="2:21" x14ac:dyDescent="0.2">
      <c r="B13545" s="203"/>
      <c r="C13545" s="237"/>
      <c r="D13545" s="202"/>
      <c r="E13545" s="202"/>
      <c r="U13545" s="204"/>
    </row>
    <row r="13546" spans="2:21" x14ac:dyDescent="0.2">
      <c r="B13546" s="203"/>
      <c r="C13546" s="237"/>
      <c r="D13546" s="202"/>
      <c r="E13546" s="202"/>
      <c r="U13546" s="204"/>
    </row>
    <row r="13547" spans="2:21" x14ac:dyDescent="0.2">
      <c r="B13547" s="203"/>
      <c r="C13547" s="237"/>
      <c r="D13547" s="202"/>
      <c r="E13547" s="202"/>
      <c r="U13547" s="204"/>
    </row>
    <row r="13548" spans="2:21" x14ac:dyDescent="0.2">
      <c r="B13548" s="203"/>
      <c r="C13548" s="237"/>
      <c r="D13548" s="202"/>
      <c r="E13548" s="202"/>
      <c r="U13548" s="204"/>
    </row>
    <row r="13549" spans="2:21" x14ac:dyDescent="0.2">
      <c r="B13549" s="203"/>
      <c r="C13549" s="237"/>
      <c r="D13549" s="202"/>
      <c r="E13549" s="202"/>
      <c r="U13549" s="204"/>
    </row>
    <row r="13550" spans="2:21" x14ac:dyDescent="0.2">
      <c r="B13550" s="203"/>
      <c r="C13550" s="237"/>
      <c r="D13550" s="202"/>
      <c r="E13550" s="202"/>
      <c r="U13550" s="204"/>
    </row>
    <row r="13551" spans="2:21" x14ac:dyDescent="0.2">
      <c r="B13551" s="203"/>
      <c r="C13551" s="237"/>
      <c r="D13551" s="202"/>
      <c r="E13551" s="202"/>
      <c r="U13551" s="204"/>
    </row>
    <row r="13552" spans="2:21" x14ac:dyDescent="0.2">
      <c r="B13552" s="203"/>
      <c r="C13552" s="237"/>
      <c r="D13552" s="202"/>
      <c r="E13552" s="202"/>
      <c r="U13552" s="204"/>
    </row>
    <row r="13553" spans="2:21" x14ac:dyDescent="0.2">
      <c r="B13553" s="203"/>
      <c r="C13553" s="237"/>
      <c r="D13553" s="202"/>
      <c r="E13553" s="202"/>
      <c r="U13553" s="204"/>
    </row>
    <row r="13554" spans="2:21" x14ac:dyDescent="0.2">
      <c r="B13554" s="203"/>
      <c r="C13554" s="237"/>
      <c r="D13554" s="202"/>
      <c r="E13554" s="202"/>
      <c r="U13554" s="204"/>
    </row>
    <row r="13555" spans="2:21" x14ac:dyDescent="0.2">
      <c r="B13555" s="203"/>
      <c r="C13555" s="237"/>
      <c r="D13555" s="202"/>
      <c r="E13555" s="202"/>
      <c r="U13555" s="204"/>
    </row>
    <row r="13556" spans="2:21" x14ac:dyDescent="0.2">
      <c r="B13556" s="203"/>
      <c r="C13556" s="237"/>
      <c r="D13556" s="202"/>
      <c r="E13556" s="202"/>
      <c r="U13556" s="204"/>
    </row>
    <row r="13557" spans="2:21" x14ac:dyDescent="0.2">
      <c r="B13557" s="203"/>
      <c r="C13557" s="237"/>
      <c r="D13557" s="202"/>
      <c r="E13557" s="202"/>
      <c r="U13557" s="204"/>
    </row>
    <row r="13558" spans="2:21" x14ac:dyDescent="0.2">
      <c r="B13558" s="203"/>
      <c r="C13558" s="237"/>
      <c r="D13558" s="202"/>
      <c r="E13558" s="202"/>
      <c r="U13558" s="204"/>
    </row>
    <row r="13559" spans="2:21" x14ac:dyDescent="0.2">
      <c r="B13559" s="203"/>
      <c r="C13559" s="237"/>
      <c r="D13559" s="202"/>
      <c r="E13559" s="202"/>
      <c r="U13559" s="204"/>
    </row>
    <row r="13560" spans="2:21" x14ac:dyDescent="0.2">
      <c r="B13560" s="203"/>
      <c r="C13560" s="237"/>
      <c r="D13560" s="202"/>
      <c r="E13560" s="202"/>
      <c r="U13560" s="204"/>
    </row>
    <row r="13561" spans="2:21" x14ac:dyDescent="0.2">
      <c r="B13561" s="203"/>
      <c r="C13561" s="237"/>
      <c r="D13561" s="202"/>
      <c r="E13561" s="202"/>
      <c r="U13561" s="204"/>
    </row>
    <row r="13562" spans="2:21" x14ac:dyDescent="0.2">
      <c r="B13562" s="203"/>
      <c r="C13562" s="237"/>
      <c r="D13562" s="202"/>
      <c r="E13562" s="202"/>
      <c r="U13562" s="204"/>
    </row>
    <row r="13563" spans="2:21" x14ac:dyDescent="0.2">
      <c r="B13563" s="203"/>
      <c r="C13563" s="237"/>
      <c r="D13563" s="202"/>
      <c r="E13563" s="202"/>
      <c r="U13563" s="204"/>
    </row>
    <row r="13564" spans="2:21" x14ac:dyDescent="0.2">
      <c r="B13564" s="203"/>
      <c r="C13564" s="237"/>
      <c r="D13564" s="202"/>
      <c r="E13564" s="202"/>
      <c r="U13564" s="204"/>
    </row>
    <row r="13565" spans="2:21" x14ac:dyDescent="0.2">
      <c r="B13565" s="203"/>
      <c r="C13565" s="237"/>
      <c r="D13565" s="202"/>
      <c r="E13565" s="202"/>
      <c r="U13565" s="204"/>
    </row>
    <row r="13566" spans="2:21" x14ac:dyDescent="0.2">
      <c r="B13566" s="203"/>
      <c r="C13566" s="237"/>
      <c r="D13566" s="202"/>
      <c r="E13566" s="202"/>
      <c r="U13566" s="204"/>
    </row>
    <row r="13567" spans="2:21" x14ac:dyDescent="0.2">
      <c r="B13567" s="203"/>
      <c r="C13567" s="237"/>
      <c r="D13567" s="202"/>
      <c r="E13567" s="202"/>
      <c r="U13567" s="204"/>
    </row>
    <row r="13568" spans="2:21" x14ac:dyDescent="0.2">
      <c r="B13568" s="203"/>
      <c r="C13568" s="237"/>
      <c r="D13568" s="202"/>
      <c r="E13568" s="202"/>
      <c r="U13568" s="204"/>
    </row>
    <row r="13569" spans="2:21" x14ac:dyDescent="0.2">
      <c r="B13569" s="203"/>
      <c r="C13569" s="237"/>
      <c r="D13569" s="202"/>
      <c r="E13569" s="202"/>
      <c r="U13569" s="204"/>
    </row>
    <row r="13570" spans="2:21" x14ac:dyDescent="0.2">
      <c r="B13570" s="203"/>
      <c r="C13570" s="237"/>
      <c r="D13570" s="202"/>
      <c r="E13570" s="202"/>
      <c r="U13570" s="204"/>
    </row>
    <row r="13571" spans="2:21" x14ac:dyDescent="0.2">
      <c r="B13571" s="203"/>
      <c r="C13571" s="237"/>
      <c r="D13571" s="202"/>
      <c r="E13571" s="202"/>
      <c r="U13571" s="204"/>
    </row>
    <row r="13572" spans="2:21" x14ac:dyDescent="0.2">
      <c r="B13572" s="203"/>
      <c r="C13572" s="237"/>
      <c r="D13572" s="202"/>
      <c r="E13572" s="202"/>
      <c r="U13572" s="204"/>
    </row>
    <row r="13573" spans="2:21" x14ac:dyDescent="0.2">
      <c r="B13573" s="203"/>
      <c r="C13573" s="237"/>
      <c r="D13573" s="202"/>
      <c r="E13573" s="202"/>
      <c r="U13573" s="204"/>
    </row>
    <row r="13574" spans="2:21" x14ac:dyDescent="0.2">
      <c r="B13574" s="203"/>
      <c r="C13574" s="237"/>
      <c r="D13574" s="202"/>
      <c r="E13574" s="202"/>
      <c r="U13574" s="204"/>
    </row>
    <row r="13575" spans="2:21" x14ac:dyDescent="0.2">
      <c r="B13575" s="203"/>
      <c r="C13575" s="237"/>
      <c r="D13575" s="202"/>
      <c r="E13575" s="202"/>
      <c r="U13575" s="204"/>
    </row>
    <row r="13576" spans="2:21" x14ac:dyDescent="0.2">
      <c r="B13576" s="203"/>
      <c r="C13576" s="237"/>
      <c r="D13576" s="202"/>
      <c r="E13576" s="202"/>
      <c r="U13576" s="204"/>
    </row>
    <row r="13577" spans="2:21" x14ac:dyDescent="0.2">
      <c r="B13577" s="203"/>
      <c r="C13577" s="237"/>
      <c r="D13577" s="202"/>
      <c r="E13577" s="202"/>
      <c r="U13577" s="204"/>
    </row>
    <row r="13578" spans="2:21" x14ac:dyDescent="0.2">
      <c r="B13578" s="203"/>
      <c r="C13578" s="237"/>
      <c r="D13578" s="202"/>
      <c r="E13578" s="202"/>
      <c r="U13578" s="204"/>
    </row>
    <row r="13579" spans="2:21" x14ac:dyDescent="0.2">
      <c r="B13579" s="203"/>
      <c r="C13579" s="237"/>
      <c r="D13579" s="202"/>
      <c r="E13579" s="202"/>
      <c r="U13579" s="204"/>
    </row>
    <row r="13580" spans="2:21" x14ac:dyDescent="0.2">
      <c r="B13580" s="203"/>
      <c r="C13580" s="237"/>
      <c r="D13580" s="202"/>
      <c r="E13580" s="202"/>
      <c r="U13580" s="204"/>
    </row>
    <row r="13581" spans="2:21" x14ac:dyDescent="0.2">
      <c r="B13581" s="203"/>
      <c r="C13581" s="237"/>
      <c r="D13581" s="202"/>
      <c r="E13581" s="202"/>
      <c r="U13581" s="204"/>
    </row>
    <row r="13582" spans="2:21" x14ac:dyDescent="0.2">
      <c r="B13582" s="203"/>
      <c r="C13582" s="237"/>
      <c r="D13582" s="202"/>
      <c r="E13582" s="202"/>
      <c r="U13582" s="204"/>
    </row>
    <row r="13583" spans="2:21" x14ac:dyDescent="0.2">
      <c r="B13583" s="203"/>
      <c r="C13583" s="237"/>
      <c r="D13583" s="202"/>
      <c r="E13583" s="202"/>
      <c r="U13583" s="204"/>
    </row>
    <row r="13584" spans="2:21" x14ac:dyDescent="0.2">
      <c r="B13584" s="203"/>
      <c r="C13584" s="237"/>
      <c r="D13584" s="202"/>
      <c r="E13584" s="202"/>
      <c r="U13584" s="204"/>
    </row>
    <row r="13585" spans="2:21" x14ac:dyDescent="0.2">
      <c r="B13585" s="203"/>
      <c r="C13585" s="237"/>
      <c r="D13585" s="202"/>
      <c r="E13585" s="202"/>
      <c r="U13585" s="204"/>
    </row>
    <row r="13586" spans="2:21" x14ac:dyDescent="0.2">
      <c r="B13586" s="203"/>
      <c r="C13586" s="237"/>
      <c r="D13586" s="202"/>
      <c r="E13586" s="202"/>
      <c r="U13586" s="204"/>
    </row>
    <row r="13587" spans="2:21" x14ac:dyDescent="0.2">
      <c r="B13587" s="203"/>
      <c r="C13587" s="237"/>
      <c r="D13587" s="202"/>
      <c r="E13587" s="202"/>
      <c r="U13587" s="204"/>
    </row>
    <row r="13588" spans="2:21" x14ac:dyDescent="0.2">
      <c r="B13588" s="203"/>
      <c r="C13588" s="237"/>
      <c r="D13588" s="202"/>
      <c r="E13588" s="202"/>
      <c r="U13588" s="204"/>
    </row>
    <row r="13589" spans="2:21" x14ac:dyDescent="0.2">
      <c r="B13589" s="203"/>
      <c r="C13589" s="237"/>
      <c r="D13589" s="202"/>
      <c r="E13589" s="202"/>
      <c r="U13589" s="204"/>
    </row>
    <row r="13590" spans="2:21" x14ac:dyDescent="0.2">
      <c r="B13590" s="203"/>
      <c r="C13590" s="237"/>
      <c r="D13590" s="202"/>
      <c r="E13590" s="202"/>
      <c r="U13590" s="204"/>
    </row>
    <row r="13591" spans="2:21" x14ac:dyDescent="0.2">
      <c r="B13591" s="203"/>
      <c r="C13591" s="237"/>
      <c r="D13591" s="202"/>
      <c r="E13591" s="202"/>
      <c r="U13591" s="204"/>
    </row>
    <row r="13592" spans="2:21" x14ac:dyDescent="0.2">
      <c r="B13592" s="203"/>
      <c r="C13592" s="237"/>
      <c r="D13592" s="202"/>
      <c r="E13592" s="202"/>
      <c r="U13592" s="204"/>
    </row>
    <row r="13593" spans="2:21" x14ac:dyDescent="0.2">
      <c r="B13593" s="203"/>
      <c r="C13593" s="237"/>
      <c r="D13593" s="202"/>
      <c r="E13593" s="202"/>
      <c r="U13593" s="204"/>
    </row>
    <row r="13594" spans="2:21" x14ac:dyDescent="0.2">
      <c r="B13594" s="203"/>
      <c r="C13594" s="237"/>
      <c r="D13594" s="202"/>
      <c r="E13594" s="202"/>
      <c r="U13594" s="204"/>
    </row>
    <row r="13595" spans="2:21" x14ac:dyDescent="0.2">
      <c r="B13595" s="203"/>
      <c r="C13595" s="237"/>
      <c r="D13595" s="202"/>
      <c r="E13595" s="202"/>
      <c r="U13595" s="204"/>
    </row>
    <row r="13596" spans="2:21" x14ac:dyDescent="0.2">
      <c r="B13596" s="203"/>
      <c r="C13596" s="237"/>
      <c r="D13596" s="202"/>
      <c r="E13596" s="202"/>
      <c r="U13596" s="204"/>
    </row>
    <row r="13597" spans="2:21" x14ac:dyDescent="0.2">
      <c r="B13597" s="203"/>
      <c r="C13597" s="237"/>
      <c r="D13597" s="202"/>
      <c r="E13597" s="202"/>
      <c r="U13597" s="204"/>
    </row>
    <row r="13598" spans="2:21" x14ac:dyDescent="0.2">
      <c r="B13598" s="203"/>
      <c r="C13598" s="237"/>
      <c r="D13598" s="202"/>
      <c r="E13598" s="202"/>
      <c r="U13598" s="204"/>
    </row>
    <row r="13599" spans="2:21" x14ac:dyDescent="0.2">
      <c r="B13599" s="203"/>
      <c r="C13599" s="237"/>
      <c r="D13599" s="202"/>
      <c r="E13599" s="202"/>
      <c r="U13599" s="204"/>
    </row>
    <row r="13600" spans="2:21" x14ac:dyDescent="0.2">
      <c r="B13600" s="203"/>
      <c r="C13600" s="237"/>
      <c r="D13600" s="202"/>
      <c r="E13600" s="202"/>
      <c r="U13600" s="204"/>
    </row>
    <row r="13601" spans="2:21" x14ac:dyDescent="0.2">
      <c r="B13601" s="203"/>
      <c r="C13601" s="237"/>
      <c r="D13601" s="202"/>
      <c r="E13601" s="202"/>
      <c r="U13601" s="204"/>
    </row>
    <row r="13602" spans="2:21" x14ac:dyDescent="0.2">
      <c r="B13602" s="203"/>
      <c r="C13602" s="237"/>
      <c r="D13602" s="202"/>
      <c r="E13602" s="202"/>
      <c r="U13602" s="204"/>
    </row>
    <row r="13603" spans="2:21" x14ac:dyDescent="0.2">
      <c r="B13603" s="203"/>
      <c r="C13603" s="237"/>
      <c r="D13603" s="202"/>
      <c r="E13603" s="202"/>
      <c r="U13603" s="204"/>
    </row>
    <row r="13604" spans="2:21" x14ac:dyDescent="0.2">
      <c r="B13604" s="203"/>
      <c r="C13604" s="237"/>
      <c r="D13604" s="202"/>
      <c r="E13604" s="202"/>
      <c r="U13604" s="204"/>
    </row>
    <row r="13605" spans="2:21" x14ac:dyDescent="0.2">
      <c r="B13605" s="203"/>
      <c r="C13605" s="237"/>
      <c r="D13605" s="202"/>
      <c r="E13605" s="202"/>
      <c r="U13605" s="204"/>
    </row>
    <row r="13606" spans="2:21" x14ac:dyDescent="0.2">
      <c r="B13606" s="203"/>
      <c r="C13606" s="237"/>
      <c r="D13606" s="202"/>
      <c r="E13606" s="202"/>
      <c r="U13606" s="204"/>
    </row>
    <row r="13607" spans="2:21" x14ac:dyDescent="0.2">
      <c r="B13607" s="203"/>
      <c r="C13607" s="237"/>
      <c r="D13607" s="202"/>
      <c r="E13607" s="202"/>
      <c r="U13607" s="204"/>
    </row>
    <row r="13608" spans="2:21" x14ac:dyDescent="0.2">
      <c r="B13608" s="203"/>
      <c r="C13608" s="237"/>
      <c r="D13608" s="202"/>
      <c r="E13608" s="202"/>
      <c r="U13608" s="204"/>
    </row>
    <row r="13609" spans="2:21" x14ac:dyDescent="0.2">
      <c r="B13609" s="203"/>
      <c r="C13609" s="237"/>
      <c r="D13609" s="202"/>
      <c r="E13609" s="202"/>
      <c r="U13609" s="204"/>
    </row>
    <row r="13610" spans="2:21" x14ac:dyDescent="0.2">
      <c r="B13610" s="203"/>
      <c r="C13610" s="237"/>
      <c r="D13610" s="202"/>
      <c r="E13610" s="202"/>
      <c r="U13610" s="204"/>
    </row>
    <row r="13611" spans="2:21" x14ac:dyDescent="0.2">
      <c r="B13611" s="203"/>
      <c r="C13611" s="237"/>
      <c r="D13611" s="202"/>
      <c r="E13611" s="202"/>
      <c r="U13611" s="204"/>
    </row>
    <row r="13612" spans="2:21" x14ac:dyDescent="0.2">
      <c r="B13612" s="203"/>
      <c r="C13612" s="237"/>
      <c r="D13612" s="202"/>
      <c r="E13612" s="202"/>
      <c r="U13612" s="204"/>
    </row>
    <row r="13613" spans="2:21" x14ac:dyDescent="0.2">
      <c r="B13613" s="203"/>
      <c r="C13613" s="237"/>
      <c r="D13613" s="202"/>
      <c r="E13613" s="202"/>
      <c r="U13613" s="204"/>
    </row>
    <row r="13614" spans="2:21" x14ac:dyDescent="0.2">
      <c r="B13614" s="203"/>
      <c r="C13614" s="237"/>
      <c r="D13614" s="202"/>
      <c r="E13614" s="202"/>
      <c r="U13614" s="204"/>
    </row>
    <row r="13615" spans="2:21" x14ac:dyDescent="0.2">
      <c r="B13615" s="203"/>
      <c r="C13615" s="237"/>
      <c r="D13615" s="202"/>
      <c r="E13615" s="202"/>
      <c r="U13615" s="204"/>
    </row>
    <row r="13616" spans="2:21" x14ac:dyDescent="0.2">
      <c r="B13616" s="203"/>
      <c r="C13616" s="237"/>
      <c r="D13616" s="202"/>
      <c r="E13616" s="202"/>
      <c r="U13616" s="204"/>
    </row>
    <row r="13617" spans="2:21" x14ac:dyDescent="0.2">
      <c r="B13617" s="203"/>
      <c r="C13617" s="237"/>
      <c r="D13617" s="202"/>
      <c r="E13617" s="202"/>
      <c r="U13617" s="204"/>
    </row>
    <row r="13618" spans="2:21" x14ac:dyDescent="0.2">
      <c r="B13618" s="203"/>
      <c r="C13618" s="237"/>
      <c r="D13618" s="202"/>
      <c r="E13618" s="202"/>
      <c r="U13618" s="204"/>
    </row>
    <row r="13619" spans="2:21" x14ac:dyDescent="0.2">
      <c r="B13619" s="203"/>
      <c r="C13619" s="237"/>
      <c r="D13619" s="202"/>
      <c r="E13619" s="202"/>
      <c r="U13619" s="204"/>
    </row>
    <row r="13620" spans="2:21" x14ac:dyDescent="0.2">
      <c r="B13620" s="203"/>
      <c r="C13620" s="237"/>
      <c r="D13620" s="202"/>
      <c r="E13620" s="202"/>
      <c r="U13620" s="204"/>
    </row>
    <row r="13621" spans="2:21" x14ac:dyDescent="0.2">
      <c r="B13621" s="203"/>
      <c r="C13621" s="237"/>
      <c r="D13621" s="202"/>
      <c r="E13621" s="202"/>
      <c r="U13621" s="204"/>
    </row>
    <row r="13622" spans="2:21" x14ac:dyDescent="0.2">
      <c r="B13622" s="203"/>
      <c r="C13622" s="237"/>
      <c r="D13622" s="202"/>
      <c r="E13622" s="202"/>
      <c r="U13622" s="204"/>
    </row>
    <row r="13623" spans="2:21" x14ac:dyDescent="0.2">
      <c r="B13623" s="203"/>
      <c r="C13623" s="237"/>
      <c r="D13623" s="202"/>
      <c r="E13623" s="202"/>
      <c r="U13623" s="204"/>
    </row>
    <row r="13624" spans="2:21" x14ac:dyDescent="0.2">
      <c r="B13624" s="203"/>
      <c r="C13624" s="237"/>
      <c r="D13624" s="202"/>
      <c r="E13624" s="202"/>
      <c r="U13624" s="204"/>
    </row>
    <row r="13625" spans="2:21" x14ac:dyDescent="0.2">
      <c r="B13625" s="203"/>
      <c r="C13625" s="237"/>
      <c r="D13625" s="202"/>
      <c r="E13625" s="202"/>
      <c r="U13625" s="204"/>
    </row>
    <row r="13626" spans="2:21" x14ac:dyDescent="0.2">
      <c r="B13626" s="203"/>
      <c r="C13626" s="237"/>
      <c r="D13626" s="202"/>
      <c r="E13626" s="202"/>
      <c r="U13626" s="204"/>
    </row>
    <row r="13627" spans="2:21" x14ac:dyDescent="0.2">
      <c r="B13627" s="203"/>
      <c r="C13627" s="237"/>
      <c r="D13627" s="202"/>
      <c r="E13627" s="202"/>
      <c r="U13627" s="204"/>
    </row>
    <row r="13628" spans="2:21" x14ac:dyDescent="0.2">
      <c r="B13628" s="203"/>
      <c r="C13628" s="237"/>
      <c r="D13628" s="202"/>
      <c r="E13628" s="202"/>
      <c r="U13628" s="204"/>
    </row>
    <row r="13629" spans="2:21" x14ac:dyDescent="0.2">
      <c r="B13629" s="203"/>
      <c r="C13629" s="237"/>
      <c r="D13629" s="202"/>
      <c r="E13629" s="202"/>
      <c r="U13629" s="204"/>
    </row>
    <row r="13630" spans="2:21" x14ac:dyDescent="0.2">
      <c r="B13630" s="203"/>
      <c r="C13630" s="237"/>
      <c r="D13630" s="202"/>
      <c r="E13630" s="202"/>
      <c r="U13630" s="204"/>
    </row>
    <row r="13631" spans="2:21" x14ac:dyDescent="0.2">
      <c r="B13631" s="203"/>
      <c r="C13631" s="237"/>
      <c r="D13631" s="202"/>
      <c r="E13631" s="202"/>
      <c r="U13631" s="204"/>
    </row>
    <row r="13632" spans="2:21" x14ac:dyDescent="0.2">
      <c r="B13632" s="203"/>
      <c r="C13632" s="237"/>
      <c r="D13632" s="202"/>
      <c r="E13632" s="202"/>
      <c r="U13632" s="204"/>
    </row>
    <row r="13633" spans="2:21" x14ac:dyDescent="0.2">
      <c r="B13633" s="203"/>
      <c r="C13633" s="237"/>
      <c r="D13633" s="202"/>
      <c r="E13633" s="202"/>
      <c r="U13633" s="204"/>
    </row>
    <row r="13634" spans="2:21" x14ac:dyDescent="0.2">
      <c r="B13634" s="203"/>
      <c r="C13634" s="237"/>
      <c r="D13634" s="202"/>
      <c r="E13634" s="202"/>
      <c r="U13634" s="204"/>
    </row>
    <row r="13635" spans="2:21" x14ac:dyDescent="0.2">
      <c r="B13635" s="203"/>
      <c r="C13635" s="237"/>
      <c r="D13635" s="202"/>
      <c r="E13635" s="202"/>
      <c r="U13635" s="204"/>
    </row>
    <row r="13636" spans="2:21" x14ac:dyDescent="0.2">
      <c r="B13636" s="203"/>
      <c r="C13636" s="237"/>
      <c r="D13636" s="202"/>
      <c r="E13636" s="202"/>
      <c r="U13636" s="204"/>
    </row>
    <row r="13637" spans="2:21" x14ac:dyDescent="0.2">
      <c r="B13637" s="203"/>
      <c r="C13637" s="237"/>
      <c r="D13637" s="202"/>
      <c r="E13637" s="202"/>
      <c r="U13637" s="204"/>
    </row>
    <row r="13638" spans="2:21" x14ac:dyDescent="0.2">
      <c r="B13638" s="203"/>
      <c r="C13638" s="237"/>
      <c r="D13638" s="202"/>
      <c r="E13638" s="202"/>
      <c r="U13638" s="204"/>
    </row>
    <row r="13639" spans="2:21" x14ac:dyDescent="0.2">
      <c r="B13639" s="203"/>
      <c r="C13639" s="237"/>
      <c r="D13639" s="202"/>
      <c r="E13639" s="202"/>
      <c r="U13639" s="204"/>
    </row>
    <row r="13640" spans="2:21" x14ac:dyDescent="0.2">
      <c r="B13640" s="203"/>
      <c r="C13640" s="237"/>
      <c r="D13640" s="202"/>
      <c r="E13640" s="202"/>
      <c r="U13640" s="204"/>
    </row>
    <row r="13641" spans="2:21" x14ac:dyDescent="0.2">
      <c r="B13641" s="203"/>
      <c r="C13641" s="237"/>
      <c r="D13641" s="202"/>
      <c r="E13641" s="202"/>
      <c r="U13641" s="204"/>
    </row>
    <row r="13642" spans="2:21" x14ac:dyDescent="0.2">
      <c r="B13642" s="203"/>
      <c r="C13642" s="237"/>
      <c r="D13642" s="202"/>
      <c r="E13642" s="202"/>
      <c r="U13642" s="204"/>
    </row>
    <row r="13643" spans="2:21" x14ac:dyDescent="0.2">
      <c r="B13643" s="203"/>
      <c r="C13643" s="237"/>
      <c r="D13643" s="202"/>
      <c r="E13643" s="202"/>
      <c r="U13643" s="204"/>
    </row>
    <row r="13644" spans="2:21" x14ac:dyDescent="0.2">
      <c r="B13644" s="203"/>
      <c r="C13644" s="237"/>
      <c r="D13644" s="202"/>
      <c r="E13644" s="202"/>
      <c r="U13644" s="204"/>
    </row>
    <row r="13645" spans="2:21" x14ac:dyDescent="0.2">
      <c r="B13645" s="203"/>
      <c r="C13645" s="237"/>
      <c r="D13645" s="202"/>
      <c r="E13645" s="202"/>
      <c r="U13645" s="204"/>
    </row>
    <row r="13646" spans="2:21" x14ac:dyDescent="0.2">
      <c r="B13646" s="203"/>
      <c r="C13646" s="237"/>
      <c r="D13646" s="202"/>
      <c r="E13646" s="202"/>
      <c r="U13646" s="204"/>
    </row>
    <row r="13647" spans="2:21" x14ac:dyDescent="0.2">
      <c r="B13647" s="203"/>
      <c r="C13647" s="237"/>
      <c r="D13647" s="202"/>
      <c r="E13647" s="202"/>
      <c r="U13647" s="204"/>
    </row>
    <row r="13648" spans="2:21" x14ac:dyDescent="0.2">
      <c r="B13648" s="203"/>
      <c r="C13648" s="237"/>
      <c r="D13648" s="202"/>
      <c r="E13648" s="202"/>
      <c r="U13648" s="204"/>
    </row>
    <row r="13649" spans="2:21" x14ac:dyDescent="0.2">
      <c r="B13649" s="203"/>
      <c r="C13649" s="237"/>
      <c r="D13649" s="202"/>
      <c r="E13649" s="202"/>
      <c r="U13649" s="204"/>
    </row>
    <row r="13650" spans="2:21" x14ac:dyDescent="0.2">
      <c r="B13650" s="203"/>
      <c r="C13650" s="237"/>
      <c r="D13650" s="202"/>
      <c r="E13650" s="202"/>
      <c r="U13650" s="204"/>
    </row>
    <row r="13651" spans="2:21" x14ac:dyDescent="0.2">
      <c r="B13651" s="203"/>
      <c r="C13651" s="237"/>
      <c r="D13651" s="202"/>
      <c r="E13651" s="202"/>
      <c r="U13651" s="204"/>
    </row>
    <row r="13652" spans="2:21" x14ac:dyDescent="0.2">
      <c r="B13652" s="203"/>
      <c r="C13652" s="237"/>
      <c r="D13652" s="202"/>
      <c r="E13652" s="202"/>
      <c r="U13652" s="204"/>
    </row>
    <row r="13653" spans="2:21" x14ac:dyDescent="0.2">
      <c r="B13653" s="203"/>
      <c r="C13653" s="237"/>
      <c r="D13653" s="202"/>
      <c r="E13653" s="202"/>
      <c r="U13653" s="204"/>
    </row>
    <row r="13654" spans="2:21" x14ac:dyDescent="0.2">
      <c r="B13654" s="203"/>
      <c r="C13654" s="237"/>
      <c r="D13654" s="202"/>
      <c r="E13654" s="202"/>
      <c r="U13654" s="204"/>
    </row>
    <row r="13655" spans="2:21" x14ac:dyDescent="0.2">
      <c r="B13655" s="203"/>
      <c r="C13655" s="237"/>
      <c r="D13655" s="202"/>
      <c r="E13655" s="202"/>
      <c r="U13655" s="204"/>
    </row>
    <row r="13656" spans="2:21" x14ac:dyDescent="0.2">
      <c r="B13656" s="203"/>
      <c r="C13656" s="237"/>
      <c r="D13656" s="202"/>
      <c r="E13656" s="202"/>
      <c r="U13656" s="204"/>
    </row>
    <row r="13657" spans="2:21" x14ac:dyDescent="0.2">
      <c r="B13657" s="203"/>
      <c r="C13657" s="237"/>
      <c r="D13657" s="202"/>
      <c r="E13657" s="202"/>
      <c r="U13657" s="204"/>
    </row>
    <row r="13658" spans="2:21" x14ac:dyDescent="0.2">
      <c r="B13658" s="203"/>
      <c r="C13658" s="237"/>
      <c r="D13658" s="202"/>
      <c r="E13658" s="202"/>
      <c r="U13658" s="204"/>
    </row>
    <row r="13659" spans="2:21" x14ac:dyDescent="0.2">
      <c r="B13659" s="203"/>
      <c r="C13659" s="237"/>
      <c r="D13659" s="202"/>
      <c r="E13659" s="202"/>
      <c r="U13659" s="204"/>
    </row>
    <row r="13660" spans="2:21" x14ac:dyDescent="0.2">
      <c r="B13660" s="203"/>
      <c r="C13660" s="237"/>
      <c r="D13660" s="202"/>
      <c r="E13660" s="202"/>
      <c r="U13660" s="204"/>
    </row>
    <row r="13661" spans="2:21" x14ac:dyDescent="0.2">
      <c r="B13661" s="203"/>
      <c r="C13661" s="237"/>
      <c r="D13661" s="202"/>
      <c r="E13661" s="202"/>
      <c r="U13661" s="204"/>
    </row>
    <row r="13662" spans="2:21" x14ac:dyDescent="0.2">
      <c r="B13662" s="203"/>
      <c r="C13662" s="237"/>
      <c r="D13662" s="202"/>
      <c r="E13662" s="202"/>
      <c r="U13662" s="204"/>
    </row>
    <row r="13663" spans="2:21" x14ac:dyDescent="0.2">
      <c r="B13663" s="203"/>
      <c r="C13663" s="237"/>
      <c r="D13663" s="202"/>
      <c r="E13663" s="202"/>
      <c r="U13663" s="204"/>
    </row>
    <row r="13664" spans="2:21" x14ac:dyDescent="0.2">
      <c r="B13664" s="203"/>
      <c r="C13664" s="237"/>
      <c r="D13664" s="202"/>
      <c r="E13664" s="202"/>
      <c r="U13664" s="204"/>
    </row>
    <row r="13665" spans="2:21" x14ac:dyDescent="0.2">
      <c r="B13665" s="203"/>
      <c r="C13665" s="237"/>
      <c r="D13665" s="202"/>
      <c r="E13665" s="202"/>
      <c r="U13665" s="204"/>
    </row>
    <row r="13666" spans="2:21" x14ac:dyDescent="0.2">
      <c r="B13666" s="203"/>
      <c r="C13666" s="237"/>
      <c r="D13666" s="202"/>
      <c r="E13666" s="202"/>
      <c r="U13666" s="204"/>
    </row>
    <row r="13667" spans="2:21" x14ac:dyDescent="0.2">
      <c r="B13667" s="203"/>
      <c r="C13667" s="237"/>
      <c r="D13667" s="202"/>
      <c r="E13667" s="202"/>
      <c r="U13667" s="204"/>
    </row>
    <row r="13668" spans="2:21" x14ac:dyDescent="0.2">
      <c r="B13668" s="203"/>
      <c r="C13668" s="237"/>
      <c r="D13668" s="202"/>
      <c r="E13668" s="202"/>
      <c r="U13668" s="204"/>
    </row>
    <row r="13669" spans="2:21" x14ac:dyDescent="0.2">
      <c r="B13669" s="203"/>
      <c r="C13669" s="237"/>
      <c r="D13669" s="202"/>
      <c r="E13669" s="202"/>
      <c r="U13669" s="204"/>
    </row>
    <row r="13670" spans="2:21" x14ac:dyDescent="0.2">
      <c r="B13670" s="203"/>
      <c r="C13670" s="237"/>
      <c r="D13670" s="202"/>
      <c r="E13670" s="202"/>
      <c r="U13670" s="204"/>
    </row>
    <row r="13671" spans="2:21" x14ac:dyDescent="0.2">
      <c r="B13671" s="203"/>
      <c r="C13671" s="237"/>
      <c r="D13671" s="202"/>
      <c r="E13671" s="202"/>
      <c r="U13671" s="204"/>
    </row>
    <row r="13672" spans="2:21" x14ac:dyDescent="0.2">
      <c r="B13672" s="203"/>
      <c r="C13672" s="237"/>
      <c r="D13672" s="202"/>
      <c r="E13672" s="202"/>
      <c r="U13672" s="204"/>
    </row>
    <row r="13673" spans="2:21" x14ac:dyDescent="0.2">
      <c r="B13673" s="203"/>
      <c r="C13673" s="237"/>
      <c r="D13673" s="202"/>
      <c r="E13673" s="202"/>
      <c r="U13673" s="204"/>
    </row>
    <row r="13674" spans="2:21" x14ac:dyDescent="0.2">
      <c r="B13674" s="203"/>
      <c r="C13674" s="237"/>
      <c r="D13674" s="202"/>
      <c r="E13674" s="202"/>
      <c r="U13674" s="204"/>
    </row>
    <row r="13675" spans="2:21" x14ac:dyDescent="0.2">
      <c r="B13675" s="203"/>
      <c r="C13675" s="237"/>
      <c r="D13675" s="202"/>
      <c r="E13675" s="202"/>
      <c r="U13675" s="204"/>
    </row>
    <row r="13676" spans="2:21" x14ac:dyDescent="0.2">
      <c r="B13676" s="203"/>
      <c r="C13676" s="237"/>
      <c r="D13676" s="202"/>
      <c r="E13676" s="202"/>
      <c r="U13676" s="204"/>
    </row>
    <row r="13677" spans="2:21" x14ac:dyDescent="0.2">
      <c r="B13677" s="203"/>
      <c r="C13677" s="237"/>
      <c r="D13677" s="202"/>
      <c r="E13677" s="202"/>
      <c r="U13677" s="204"/>
    </row>
    <row r="13678" spans="2:21" x14ac:dyDescent="0.2">
      <c r="B13678" s="203"/>
      <c r="C13678" s="237"/>
      <c r="D13678" s="202"/>
      <c r="E13678" s="202"/>
      <c r="U13678" s="204"/>
    </row>
    <row r="13679" spans="2:21" x14ac:dyDescent="0.2">
      <c r="B13679" s="203"/>
      <c r="C13679" s="237"/>
      <c r="D13679" s="202"/>
      <c r="E13679" s="202"/>
      <c r="U13679" s="204"/>
    </row>
    <row r="13680" spans="2:21" x14ac:dyDescent="0.2">
      <c r="B13680" s="203"/>
      <c r="C13680" s="237"/>
      <c r="D13680" s="202"/>
      <c r="E13680" s="202"/>
      <c r="U13680" s="204"/>
    </row>
    <row r="13681" spans="2:21" x14ac:dyDescent="0.2">
      <c r="B13681" s="203"/>
      <c r="C13681" s="237"/>
      <c r="D13681" s="202"/>
      <c r="E13681" s="202"/>
      <c r="U13681" s="204"/>
    </row>
    <row r="13682" spans="2:21" x14ac:dyDescent="0.2">
      <c r="B13682" s="203"/>
      <c r="C13682" s="237"/>
      <c r="D13682" s="202"/>
      <c r="E13682" s="202"/>
      <c r="U13682" s="204"/>
    </row>
    <row r="13683" spans="2:21" x14ac:dyDescent="0.2">
      <c r="B13683" s="203"/>
      <c r="C13683" s="237"/>
      <c r="D13683" s="202"/>
      <c r="E13683" s="202"/>
      <c r="U13683" s="204"/>
    </row>
    <row r="13684" spans="2:21" x14ac:dyDescent="0.2">
      <c r="B13684" s="203"/>
      <c r="C13684" s="237"/>
      <c r="D13684" s="202"/>
      <c r="E13684" s="202"/>
      <c r="U13684" s="204"/>
    </row>
    <row r="13685" spans="2:21" x14ac:dyDescent="0.2">
      <c r="B13685" s="203"/>
      <c r="C13685" s="237"/>
      <c r="D13685" s="202"/>
      <c r="E13685" s="202"/>
      <c r="U13685" s="204"/>
    </row>
    <row r="13686" spans="2:21" x14ac:dyDescent="0.2">
      <c r="B13686" s="203"/>
      <c r="C13686" s="237"/>
      <c r="D13686" s="202"/>
      <c r="E13686" s="202"/>
      <c r="U13686" s="204"/>
    </row>
    <row r="13687" spans="2:21" x14ac:dyDescent="0.2">
      <c r="B13687" s="203"/>
      <c r="C13687" s="237"/>
      <c r="D13687" s="202"/>
      <c r="E13687" s="202"/>
      <c r="U13687" s="204"/>
    </row>
    <row r="13688" spans="2:21" x14ac:dyDescent="0.2">
      <c r="B13688" s="203"/>
      <c r="C13688" s="237"/>
      <c r="D13688" s="202"/>
      <c r="E13688" s="202"/>
      <c r="U13688" s="204"/>
    </row>
    <row r="13689" spans="2:21" x14ac:dyDescent="0.2">
      <c r="B13689" s="203"/>
      <c r="C13689" s="237"/>
      <c r="D13689" s="202"/>
      <c r="E13689" s="202"/>
      <c r="U13689" s="204"/>
    </row>
    <row r="13690" spans="2:21" x14ac:dyDescent="0.2">
      <c r="B13690" s="203"/>
      <c r="C13690" s="237"/>
      <c r="D13690" s="202"/>
      <c r="E13690" s="202"/>
      <c r="U13690" s="204"/>
    </row>
    <row r="13691" spans="2:21" x14ac:dyDescent="0.2">
      <c r="B13691" s="203"/>
      <c r="C13691" s="237"/>
      <c r="D13691" s="202"/>
      <c r="E13691" s="202"/>
      <c r="U13691" s="204"/>
    </row>
    <row r="13692" spans="2:21" x14ac:dyDescent="0.2">
      <c r="B13692" s="203"/>
      <c r="C13692" s="237"/>
      <c r="D13692" s="202"/>
      <c r="E13692" s="202"/>
      <c r="U13692" s="204"/>
    </row>
    <row r="13693" spans="2:21" x14ac:dyDescent="0.2">
      <c r="B13693" s="203"/>
      <c r="C13693" s="237"/>
      <c r="D13693" s="202"/>
      <c r="E13693" s="202"/>
      <c r="U13693" s="204"/>
    </row>
    <row r="13694" spans="2:21" x14ac:dyDescent="0.2">
      <c r="B13694" s="203"/>
      <c r="C13694" s="237"/>
      <c r="D13694" s="202"/>
      <c r="E13694" s="202"/>
      <c r="U13694" s="204"/>
    </row>
    <row r="13695" spans="2:21" x14ac:dyDescent="0.2">
      <c r="B13695" s="203"/>
      <c r="C13695" s="237"/>
      <c r="D13695" s="202"/>
      <c r="E13695" s="202"/>
      <c r="U13695" s="204"/>
    </row>
    <row r="13696" spans="2:21" x14ac:dyDescent="0.2">
      <c r="B13696" s="203"/>
      <c r="C13696" s="237"/>
      <c r="D13696" s="202"/>
      <c r="E13696" s="202"/>
      <c r="U13696" s="204"/>
    </row>
    <row r="13697" spans="2:21" x14ac:dyDescent="0.2">
      <c r="B13697" s="203"/>
      <c r="C13697" s="237"/>
      <c r="D13697" s="202"/>
      <c r="E13697" s="202"/>
      <c r="U13697" s="204"/>
    </row>
    <row r="13698" spans="2:21" x14ac:dyDescent="0.2">
      <c r="B13698" s="203"/>
      <c r="C13698" s="237"/>
      <c r="D13698" s="202"/>
      <c r="E13698" s="202"/>
      <c r="U13698" s="204"/>
    </row>
    <row r="13699" spans="2:21" x14ac:dyDescent="0.2">
      <c r="B13699" s="203"/>
      <c r="C13699" s="237"/>
      <c r="D13699" s="202"/>
      <c r="E13699" s="202"/>
      <c r="U13699" s="204"/>
    </row>
    <row r="13700" spans="2:21" x14ac:dyDescent="0.2">
      <c r="B13700" s="203"/>
      <c r="C13700" s="237"/>
      <c r="D13700" s="202"/>
      <c r="E13700" s="202"/>
      <c r="U13700" s="204"/>
    </row>
    <row r="13701" spans="2:21" x14ac:dyDescent="0.2">
      <c r="B13701" s="203"/>
      <c r="C13701" s="237"/>
      <c r="D13701" s="202"/>
      <c r="E13701" s="202"/>
      <c r="U13701" s="204"/>
    </row>
    <row r="13702" spans="2:21" x14ac:dyDescent="0.2">
      <c r="B13702" s="203"/>
      <c r="C13702" s="237"/>
      <c r="D13702" s="202"/>
      <c r="E13702" s="202"/>
      <c r="U13702" s="204"/>
    </row>
    <row r="13703" spans="2:21" x14ac:dyDescent="0.2">
      <c r="B13703" s="203"/>
      <c r="C13703" s="237"/>
      <c r="D13703" s="202"/>
      <c r="E13703" s="202"/>
      <c r="U13703" s="204"/>
    </row>
    <row r="13704" spans="2:21" x14ac:dyDescent="0.2">
      <c r="B13704" s="203"/>
      <c r="C13704" s="237"/>
      <c r="D13704" s="202"/>
      <c r="E13704" s="202"/>
      <c r="U13704" s="204"/>
    </row>
    <row r="13705" spans="2:21" x14ac:dyDescent="0.2">
      <c r="B13705" s="203"/>
      <c r="C13705" s="237"/>
      <c r="D13705" s="202"/>
      <c r="E13705" s="202"/>
      <c r="U13705" s="204"/>
    </row>
    <row r="13706" spans="2:21" x14ac:dyDescent="0.2">
      <c r="B13706" s="203"/>
      <c r="C13706" s="237"/>
      <c r="D13706" s="202"/>
      <c r="E13706" s="202"/>
      <c r="U13706" s="204"/>
    </row>
    <row r="13707" spans="2:21" x14ac:dyDescent="0.2">
      <c r="B13707" s="203"/>
      <c r="C13707" s="237"/>
      <c r="D13707" s="202"/>
      <c r="E13707" s="202"/>
      <c r="U13707" s="204"/>
    </row>
    <row r="13708" spans="2:21" x14ac:dyDescent="0.2">
      <c r="B13708" s="203"/>
      <c r="C13708" s="237"/>
      <c r="D13708" s="202"/>
      <c r="E13708" s="202"/>
      <c r="U13708" s="204"/>
    </row>
    <row r="13709" spans="2:21" x14ac:dyDescent="0.2">
      <c r="B13709" s="203"/>
      <c r="C13709" s="237"/>
      <c r="D13709" s="202"/>
      <c r="E13709" s="202"/>
      <c r="U13709" s="204"/>
    </row>
    <row r="13710" spans="2:21" x14ac:dyDescent="0.2">
      <c r="B13710" s="203"/>
      <c r="C13710" s="237"/>
      <c r="D13710" s="202"/>
      <c r="E13710" s="202"/>
      <c r="U13710" s="204"/>
    </row>
    <row r="13711" spans="2:21" x14ac:dyDescent="0.2">
      <c r="B13711" s="203"/>
      <c r="C13711" s="237"/>
      <c r="D13711" s="202"/>
      <c r="E13711" s="202"/>
      <c r="U13711" s="204"/>
    </row>
    <row r="13712" spans="2:21" x14ac:dyDescent="0.2">
      <c r="B13712" s="203"/>
      <c r="C13712" s="237"/>
      <c r="D13712" s="202"/>
      <c r="E13712" s="202"/>
      <c r="U13712" s="204"/>
    </row>
    <row r="13713" spans="2:21" x14ac:dyDescent="0.2">
      <c r="B13713" s="203"/>
      <c r="C13713" s="237"/>
      <c r="D13713" s="202"/>
      <c r="E13713" s="202"/>
      <c r="U13713" s="204"/>
    </row>
    <row r="13714" spans="2:21" x14ac:dyDescent="0.2">
      <c r="B13714" s="203"/>
      <c r="C13714" s="237"/>
      <c r="D13714" s="202"/>
      <c r="E13714" s="202"/>
      <c r="U13714" s="204"/>
    </row>
    <row r="13715" spans="2:21" x14ac:dyDescent="0.2">
      <c r="B13715" s="203"/>
      <c r="C13715" s="237"/>
      <c r="D13715" s="202"/>
      <c r="E13715" s="202"/>
      <c r="U13715" s="204"/>
    </row>
    <row r="13716" spans="2:21" x14ac:dyDescent="0.2">
      <c r="B13716" s="203"/>
      <c r="C13716" s="237"/>
      <c r="D13716" s="202"/>
      <c r="E13716" s="202"/>
      <c r="U13716" s="204"/>
    </row>
    <row r="13717" spans="2:21" x14ac:dyDescent="0.2">
      <c r="B13717" s="203"/>
      <c r="C13717" s="237"/>
      <c r="D13717" s="202"/>
      <c r="E13717" s="202"/>
      <c r="U13717" s="204"/>
    </row>
    <row r="13718" spans="2:21" x14ac:dyDescent="0.2">
      <c r="B13718" s="203"/>
      <c r="C13718" s="237"/>
      <c r="D13718" s="202"/>
      <c r="E13718" s="202"/>
      <c r="U13718" s="204"/>
    </row>
    <row r="13719" spans="2:21" x14ac:dyDescent="0.2">
      <c r="B13719" s="203"/>
      <c r="C13719" s="237"/>
      <c r="D13719" s="202"/>
      <c r="E13719" s="202"/>
      <c r="U13719" s="204"/>
    </row>
    <row r="13720" spans="2:21" x14ac:dyDescent="0.2">
      <c r="B13720" s="203"/>
      <c r="C13720" s="237"/>
      <c r="D13720" s="202"/>
      <c r="E13720" s="202"/>
      <c r="U13720" s="204"/>
    </row>
    <row r="13721" spans="2:21" x14ac:dyDescent="0.2">
      <c r="B13721" s="203"/>
      <c r="C13721" s="237"/>
      <c r="D13721" s="202"/>
      <c r="E13721" s="202"/>
      <c r="U13721" s="204"/>
    </row>
    <row r="13722" spans="2:21" x14ac:dyDescent="0.2">
      <c r="B13722" s="203"/>
      <c r="C13722" s="237"/>
      <c r="D13722" s="202"/>
      <c r="E13722" s="202"/>
      <c r="U13722" s="204"/>
    </row>
    <row r="13723" spans="2:21" x14ac:dyDescent="0.2">
      <c r="B13723" s="203"/>
      <c r="C13723" s="237"/>
      <c r="D13723" s="202"/>
      <c r="E13723" s="202"/>
      <c r="U13723" s="204"/>
    </row>
    <row r="13724" spans="2:21" x14ac:dyDescent="0.2">
      <c r="B13724" s="203"/>
      <c r="C13724" s="237"/>
      <c r="D13724" s="202"/>
      <c r="E13724" s="202"/>
      <c r="U13724" s="204"/>
    </row>
    <row r="13725" spans="2:21" x14ac:dyDescent="0.2">
      <c r="B13725" s="203"/>
      <c r="C13725" s="237"/>
      <c r="D13725" s="202"/>
      <c r="E13725" s="202"/>
      <c r="U13725" s="204"/>
    </row>
    <row r="13726" spans="2:21" x14ac:dyDescent="0.2">
      <c r="B13726" s="203"/>
      <c r="C13726" s="237"/>
      <c r="D13726" s="202"/>
      <c r="E13726" s="202"/>
      <c r="U13726" s="204"/>
    </row>
    <row r="13727" spans="2:21" x14ac:dyDescent="0.2">
      <c r="B13727" s="203"/>
      <c r="C13727" s="237"/>
      <c r="D13727" s="202"/>
      <c r="E13727" s="202"/>
      <c r="U13727" s="204"/>
    </row>
    <row r="13728" spans="2:21" x14ac:dyDescent="0.2">
      <c r="B13728" s="203"/>
      <c r="C13728" s="237"/>
      <c r="D13728" s="202"/>
      <c r="E13728" s="202"/>
      <c r="U13728" s="204"/>
    </row>
    <row r="13729" spans="2:21" x14ac:dyDescent="0.2">
      <c r="B13729" s="203"/>
      <c r="C13729" s="237"/>
      <c r="D13729" s="202"/>
      <c r="E13729" s="202"/>
      <c r="U13729" s="204"/>
    </row>
    <row r="13730" spans="2:21" x14ac:dyDescent="0.2">
      <c r="B13730" s="203"/>
      <c r="C13730" s="237"/>
      <c r="D13730" s="202"/>
      <c r="E13730" s="202"/>
      <c r="U13730" s="204"/>
    </row>
    <row r="13731" spans="2:21" x14ac:dyDescent="0.2">
      <c r="B13731" s="203"/>
      <c r="C13731" s="237"/>
      <c r="D13731" s="202"/>
      <c r="E13731" s="202"/>
      <c r="U13731" s="204"/>
    </row>
    <row r="13732" spans="2:21" x14ac:dyDescent="0.2">
      <c r="B13732" s="203"/>
      <c r="C13732" s="237"/>
      <c r="D13732" s="202"/>
      <c r="E13732" s="202"/>
      <c r="U13732" s="204"/>
    </row>
    <row r="13733" spans="2:21" x14ac:dyDescent="0.2">
      <c r="B13733" s="203"/>
      <c r="C13733" s="237"/>
      <c r="D13733" s="202"/>
      <c r="E13733" s="202"/>
      <c r="U13733" s="204"/>
    </row>
    <row r="13734" spans="2:21" x14ac:dyDescent="0.2">
      <c r="B13734" s="203"/>
      <c r="C13734" s="237"/>
      <c r="D13734" s="202"/>
      <c r="E13734" s="202"/>
      <c r="U13734" s="204"/>
    </row>
    <row r="13735" spans="2:21" x14ac:dyDescent="0.2">
      <c r="B13735" s="203"/>
      <c r="C13735" s="237"/>
      <c r="D13735" s="202"/>
      <c r="E13735" s="202"/>
      <c r="U13735" s="204"/>
    </row>
    <row r="13736" spans="2:21" x14ac:dyDescent="0.2">
      <c r="B13736" s="203"/>
      <c r="C13736" s="237"/>
      <c r="D13736" s="202"/>
      <c r="E13736" s="202"/>
      <c r="U13736" s="204"/>
    </row>
    <row r="13737" spans="2:21" x14ac:dyDescent="0.2">
      <c r="B13737" s="203"/>
      <c r="C13737" s="237"/>
      <c r="D13737" s="202"/>
      <c r="E13737" s="202"/>
      <c r="U13737" s="204"/>
    </row>
    <row r="13738" spans="2:21" x14ac:dyDescent="0.2">
      <c r="B13738" s="203"/>
      <c r="C13738" s="237"/>
      <c r="D13738" s="202"/>
      <c r="E13738" s="202"/>
      <c r="U13738" s="204"/>
    </row>
    <row r="13739" spans="2:21" x14ac:dyDescent="0.2">
      <c r="B13739" s="203"/>
      <c r="C13739" s="237"/>
      <c r="D13739" s="202"/>
      <c r="E13739" s="202"/>
      <c r="U13739" s="204"/>
    </row>
    <row r="13740" spans="2:21" x14ac:dyDescent="0.2">
      <c r="B13740" s="203"/>
      <c r="C13740" s="237"/>
      <c r="D13740" s="202"/>
      <c r="E13740" s="202"/>
      <c r="U13740" s="204"/>
    </row>
    <row r="13741" spans="2:21" x14ac:dyDescent="0.2">
      <c r="B13741" s="203"/>
      <c r="C13741" s="237"/>
      <c r="D13741" s="202"/>
      <c r="E13741" s="202"/>
      <c r="U13741" s="204"/>
    </row>
    <row r="13742" spans="2:21" x14ac:dyDescent="0.2">
      <c r="B13742" s="203"/>
      <c r="C13742" s="237"/>
      <c r="D13742" s="202"/>
      <c r="E13742" s="202"/>
      <c r="U13742" s="204"/>
    </row>
    <row r="13743" spans="2:21" x14ac:dyDescent="0.2">
      <c r="B13743" s="203"/>
      <c r="C13743" s="237"/>
      <c r="D13743" s="202"/>
      <c r="E13743" s="202"/>
      <c r="U13743" s="204"/>
    </row>
    <row r="13744" spans="2:21" x14ac:dyDescent="0.2">
      <c r="B13744" s="203"/>
      <c r="C13744" s="237"/>
      <c r="D13744" s="202"/>
      <c r="E13744" s="202"/>
      <c r="U13744" s="204"/>
    </row>
    <row r="13745" spans="2:21" x14ac:dyDescent="0.2">
      <c r="B13745" s="203"/>
      <c r="C13745" s="237"/>
      <c r="D13745" s="202"/>
      <c r="E13745" s="202"/>
      <c r="U13745" s="204"/>
    </row>
    <row r="13746" spans="2:21" x14ac:dyDescent="0.2">
      <c r="B13746" s="203"/>
      <c r="C13746" s="237"/>
      <c r="D13746" s="202"/>
      <c r="E13746" s="202"/>
      <c r="U13746" s="204"/>
    </row>
    <row r="13747" spans="2:21" x14ac:dyDescent="0.2">
      <c r="B13747" s="203"/>
      <c r="C13747" s="237"/>
      <c r="D13747" s="202"/>
      <c r="E13747" s="202"/>
      <c r="U13747" s="204"/>
    </row>
    <row r="13748" spans="2:21" x14ac:dyDescent="0.2">
      <c r="B13748" s="203"/>
      <c r="C13748" s="237"/>
      <c r="D13748" s="202"/>
      <c r="E13748" s="202"/>
      <c r="U13748" s="204"/>
    </row>
    <row r="13749" spans="2:21" x14ac:dyDescent="0.2">
      <c r="B13749" s="203"/>
      <c r="C13749" s="237"/>
      <c r="D13749" s="202"/>
      <c r="E13749" s="202"/>
      <c r="U13749" s="204"/>
    </row>
    <row r="13750" spans="2:21" x14ac:dyDescent="0.2">
      <c r="B13750" s="203"/>
      <c r="C13750" s="237"/>
      <c r="D13750" s="202"/>
      <c r="E13750" s="202"/>
      <c r="U13750" s="204"/>
    </row>
    <row r="13751" spans="2:21" x14ac:dyDescent="0.2">
      <c r="B13751" s="203"/>
      <c r="C13751" s="237"/>
      <c r="D13751" s="202"/>
      <c r="E13751" s="202"/>
      <c r="U13751" s="204"/>
    </row>
    <row r="13752" spans="2:21" x14ac:dyDescent="0.2">
      <c r="B13752" s="203"/>
      <c r="C13752" s="237"/>
      <c r="D13752" s="202"/>
      <c r="E13752" s="202"/>
      <c r="U13752" s="204"/>
    </row>
    <row r="13753" spans="2:21" x14ac:dyDescent="0.2">
      <c r="B13753" s="203"/>
      <c r="C13753" s="237"/>
      <c r="D13753" s="202"/>
      <c r="E13753" s="202"/>
      <c r="U13753" s="204"/>
    </row>
    <row r="13754" spans="2:21" x14ac:dyDescent="0.2">
      <c r="B13754" s="203"/>
      <c r="C13754" s="237"/>
      <c r="D13754" s="202"/>
      <c r="E13754" s="202"/>
      <c r="U13754" s="204"/>
    </row>
    <row r="13755" spans="2:21" x14ac:dyDescent="0.2">
      <c r="B13755" s="203"/>
      <c r="C13755" s="237"/>
      <c r="D13755" s="202"/>
      <c r="E13755" s="202"/>
      <c r="U13755" s="204"/>
    </row>
    <row r="13756" spans="2:21" x14ac:dyDescent="0.2">
      <c r="B13756" s="203"/>
      <c r="C13756" s="237"/>
      <c r="D13756" s="202"/>
      <c r="E13756" s="202"/>
      <c r="U13756" s="204"/>
    </row>
    <row r="13757" spans="2:21" x14ac:dyDescent="0.2">
      <c r="B13757" s="203"/>
      <c r="C13757" s="237"/>
      <c r="D13757" s="202"/>
      <c r="E13757" s="202"/>
      <c r="U13757" s="204"/>
    </row>
    <row r="13758" spans="2:21" x14ac:dyDescent="0.2">
      <c r="B13758" s="203"/>
      <c r="C13758" s="237"/>
      <c r="D13758" s="202"/>
      <c r="E13758" s="202"/>
      <c r="U13758" s="204"/>
    </row>
    <row r="13759" spans="2:21" x14ac:dyDescent="0.2">
      <c r="B13759" s="203"/>
      <c r="C13759" s="237"/>
      <c r="D13759" s="202"/>
      <c r="E13759" s="202"/>
      <c r="U13759" s="204"/>
    </row>
    <row r="13760" spans="2:21" x14ac:dyDescent="0.2">
      <c r="B13760" s="203"/>
      <c r="C13760" s="237"/>
      <c r="D13760" s="202"/>
      <c r="E13760" s="202"/>
      <c r="U13760" s="204"/>
    </row>
    <row r="13761" spans="2:21" x14ac:dyDescent="0.2">
      <c r="B13761" s="203"/>
      <c r="C13761" s="237"/>
      <c r="D13761" s="202"/>
      <c r="E13761" s="202"/>
      <c r="U13761" s="204"/>
    </row>
    <row r="13762" spans="2:21" x14ac:dyDescent="0.2">
      <c r="B13762" s="203"/>
      <c r="C13762" s="237"/>
      <c r="D13762" s="202"/>
      <c r="E13762" s="202"/>
      <c r="U13762" s="204"/>
    </row>
    <row r="13763" spans="2:21" x14ac:dyDescent="0.2">
      <c r="B13763" s="203"/>
      <c r="C13763" s="237"/>
      <c r="D13763" s="202"/>
      <c r="E13763" s="202"/>
      <c r="U13763" s="204"/>
    </row>
    <row r="13764" spans="2:21" x14ac:dyDescent="0.2">
      <c r="B13764" s="203"/>
      <c r="C13764" s="237"/>
      <c r="D13764" s="202"/>
      <c r="E13764" s="202"/>
      <c r="U13764" s="204"/>
    </row>
    <row r="13765" spans="2:21" x14ac:dyDescent="0.2">
      <c r="B13765" s="203"/>
      <c r="C13765" s="237"/>
      <c r="D13765" s="202"/>
      <c r="E13765" s="202"/>
      <c r="U13765" s="204"/>
    </row>
    <row r="13766" spans="2:21" x14ac:dyDescent="0.2">
      <c r="B13766" s="203"/>
      <c r="C13766" s="237"/>
      <c r="D13766" s="202"/>
      <c r="E13766" s="202"/>
      <c r="U13766" s="204"/>
    </row>
    <row r="13767" spans="2:21" x14ac:dyDescent="0.2">
      <c r="B13767" s="203"/>
      <c r="C13767" s="237"/>
      <c r="D13767" s="202"/>
      <c r="E13767" s="202"/>
      <c r="U13767" s="204"/>
    </row>
    <row r="13768" spans="2:21" x14ac:dyDescent="0.2">
      <c r="B13768" s="203"/>
      <c r="C13768" s="237"/>
      <c r="D13768" s="202"/>
      <c r="E13768" s="202"/>
      <c r="U13768" s="204"/>
    </row>
    <row r="13769" spans="2:21" x14ac:dyDescent="0.2">
      <c r="B13769" s="203"/>
      <c r="C13769" s="237"/>
      <c r="D13769" s="202"/>
      <c r="E13769" s="202"/>
      <c r="U13769" s="204"/>
    </row>
    <row r="13770" spans="2:21" x14ac:dyDescent="0.2">
      <c r="B13770" s="203"/>
      <c r="C13770" s="237"/>
      <c r="D13770" s="202"/>
      <c r="E13770" s="202"/>
      <c r="U13770" s="204"/>
    </row>
    <row r="13771" spans="2:21" x14ac:dyDescent="0.2">
      <c r="B13771" s="203"/>
      <c r="C13771" s="237"/>
      <c r="D13771" s="202"/>
      <c r="E13771" s="202"/>
      <c r="U13771" s="204"/>
    </row>
    <row r="13772" spans="2:21" x14ac:dyDescent="0.2">
      <c r="B13772" s="203"/>
      <c r="C13772" s="237"/>
      <c r="D13772" s="202"/>
      <c r="E13772" s="202"/>
      <c r="U13772" s="204"/>
    </row>
    <row r="13773" spans="2:21" x14ac:dyDescent="0.2">
      <c r="B13773" s="203"/>
      <c r="C13773" s="237"/>
      <c r="D13773" s="202"/>
      <c r="E13773" s="202"/>
      <c r="U13773" s="204"/>
    </row>
    <row r="13774" spans="2:21" x14ac:dyDescent="0.2">
      <c r="B13774" s="203"/>
      <c r="C13774" s="237"/>
      <c r="D13774" s="202"/>
      <c r="E13774" s="202"/>
      <c r="U13774" s="204"/>
    </row>
    <row r="13775" spans="2:21" x14ac:dyDescent="0.2">
      <c r="B13775" s="203"/>
      <c r="C13775" s="237"/>
      <c r="D13775" s="202"/>
      <c r="E13775" s="202"/>
      <c r="U13775" s="204"/>
    </row>
    <row r="13776" spans="2:21" x14ac:dyDescent="0.2">
      <c r="B13776" s="203"/>
      <c r="C13776" s="237"/>
      <c r="D13776" s="202"/>
      <c r="E13776" s="202"/>
      <c r="U13776" s="204"/>
    </row>
    <row r="13777" spans="2:21" x14ac:dyDescent="0.2">
      <c r="B13777" s="203"/>
      <c r="C13777" s="237"/>
      <c r="D13777" s="202"/>
      <c r="E13777" s="202"/>
      <c r="U13777" s="204"/>
    </row>
    <row r="13778" spans="2:21" x14ac:dyDescent="0.2">
      <c r="B13778" s="203"/>
      <c r="C13778" s="237"/>
      <c r="D13778" s="202"/>
      <c r="E13778" s="202"/>
      <c r="U13778" s="204"/>
    </row>
    <row r="13779" spans="2:21" x14ac:dyDescent="0.2">
      <c r="B13779" s="203"/>
      <c r="C13779" s="237"/>
      <c r="D13779" s="202"/>
      <c r="E13779" s="202"/>
      <c r="U13779" s="204"/>
    </row>
    <row r="13780" spans="2:21" x14ac:dyDescent="0.2">
      <c r="B13780" s="203"/>
      <c r="C13780" s="237"/>
      <c r="D13780" s="202"/>
      <c r="E13780" s="202"/>
      <c r="U13780" s="204"/>
    </row>
    <row r="13781" spans="2:21" x14ac:dyDescent="0.2">
      <c r="B13781" s="203"/>
      <c r="C13781" s="237"/>
      <c r="D13781" s="202"/>
      <c r="E13781" s="202"/>
      <c r="U13781" s="204"/>
    </row>
    <row r="13782" spans="2:21" x14ac:dyDescent="0.2">
      <c r="B13782" s="203"/>
      <c r="C13782" s="237"/>
      <c r="D13782" s="202"/>
      <c r="E13782" s="202"/>
      <c r="U13782" s="204"/>
    </row>
    <row r="13783" spans="2:21" x14ac:dyDescent="0.2">
      <c r="B13783" s="203"/>
      <c r="C13783" s="237"/>
      <c r="D13783" s="202"/>
      <c r="E13783" s="202"/>
      <c r="U13783" s="204"/>
    </row>
    <row r="13784" spans="2:21" x14ac:dyDescent="0.2">
      <c r="B13784" s="203"/>
      <c r="C13784" s="237"/>
      <c r="D13784" s="202"/>
      <c r="E13784" s="202"/>
      <c r="U13784" s="204"/>
    </row>
    <row r="13785" spans="2:21" x14ac:dyDescent="0.2">
      <c r="B13785" s="203"/>
      <c r="C13785" s="237"/>
      <c r="D13785" s="202"/>
      <c r="E13785" s="202"/>
      <c r="U13785" s="204"/>
    </row>
    <row r="13786" spans="2:21" x14ac:dyDescent="0.2">
      <c r="B13786" s="203"/>
      <c r="C13786" s="237"/>
      <c r="D13786" s="202"/>
      <c r="E13786" s="202"/>
      <c r="U13786" s="204"/>
    </row>
    <row r="13787" spans="2:21" x14ac:dyDescent="0.2">
      <c r="B13787" s="203"/>
      <c r="C13787" s="237"/>
      <c r="D13787" s="202"/>
      <c r="E13787" s="202"/>
      <c r="U13787" s="204"/>
    </row>
    <row r="13788" spans="2:21" x14ac:dyDescent="0.2">
      <c r="B13788" s="203"/>
      <c r="C13788" s="237"/>
      <c r="D13788" s="202"/>
      <c r="E13788" s="202"/>
      <c r="U13788" s="204"/>
    </row>
    <row r="13789" spans="2:21" x14ac:dyDescent="0.2">
      <c r="B13789" s="203"/>
      <c r="C13789" s="237"/>
      <c r="D13789" s="202"/>
      <c r="E13789" s="202"/>
      <c r="U13789" s="204"/>
    </row>
    <row r="13790" spans="2:21" x14ac:dyDescent="0.2">
      <c r="B13790" s="203"/>
      <c r="C13790" s="237"/>
      <c r="D13790" s="202"/>
      <c r="E13790" s="202"/>
      <c r="U13790" s="204"/>
    </row>
    <row r="13791" spans="2:21" x14ac:dyDescent="0.2">
      <c r="B13791" s="203"/>
      <c r="C13791" s="237"/>
      <c r="D13791" s="202"/>
      <c r="E13791" s="202"/>
      <c r="U13791" s="204"/>
    </row>
    <row r="13792" spans="2:21" x14ac:dyDescent="0.2">
      <c r="B13792" s="203"/>
      <c r="C13792" s="237"/>
      <c r="D13792" s="202"/>
      <c r="E13792" s="202"/>
      <c r="U13792" s="204"/>
    </row>
    <row r="13793" spans="2:21" x14ac:dyDescent="0.2">
      <c r="B13793" s="203"/>
      <c r="C13793" s="237"/>
      <c r="D13793" s="202"/>
      <c r="E13793" s="202"/>
      <c r="U13793" s="204"/>
    </row>
    <row r="13794" spans="2:21" x14ac:dyDescent="0.2">
      <c r="B13794" s="203"/>
      <c r="C13794" s="237"/>
      <c r="D13794" s="202"/>
      <c r="E13794" s="202"/>
      <c r="U13794" s="204"/>
    </row>
    <row r="13795" spans="2:21" x14ac:dyDescent="0.2">
      <c r="B13795" s="203"/>
      <c r="C13795" s="237"/>
      <c r="D13795" s="202"/>
      <c r="E13795" s="202"/>
      <c r="U13795" s="204"/>
    </row>
    <row r="13796" spans="2:21" x14ac:dyDescent="0.2">
      <c r="B13796" s="203"/>
      <c r="C13796" s="237"/>
      <c r="D13796" s="202"/>
      <c r="E13796" s="202"/>
      <c r="U13796" s="204"/>
    </row>
    <row r="13797" spans="2:21" x14ac:dyDescent="0.2">
      <c r="B13797" s="203"/>
      <c r="C13797" s="237"/>
      <c r="D13797" s="202"/>
      <c r="E13797" s="202"/>
      <c r="U13797" s="204"/>
    </row>
    <row r="13798" spans="2:21" x14ac:dyDescent="0.2">
      <c r="B13798" s="203"/>
      <c r="C13798" s="237"/>
      <c r="D13798" s="202"/>
      <c r="E13798" s="202"/>
      <c r="U13798" s="204"/>
    </row>
    <row r="13799" spans="2:21" x14ac:dyDescent="0.2">
      <c r="B13799" s="203"/>
      <c r="C13799" s="237"/>
      <c r="D13799" s="202"/>
      <c r="E13799" s="202"/>
      <c r="U13799" s="204"/>
    </row>
    <row r="13800" spans="2:21" x14ac:dyDescent="0.2">
      <c r="B13800" s="203"/>
      <c r="C13800" s="237"/>
      <c r="D13800" s="202"/>
      <c r="E13800" s="202"/>
      <c r="U13800" s="204"/>
    </row>
    <row r="13801" spans="2:21" x14ac:dyDescent="0.2">
      <c r="B13801" s="203"/>
      <c r="C13801" s="237"/>
      <c r="D13801" s="202"/>
      <c r="E13801" s="202"/>
      <c r="U13801" s="204"/>
    </row>
    <row r="13802" spans="2:21" x14ac:dyDescent="0.2">
      <c r="B13802" s="203"/>
      <c r="C13802" s="237"/>
      <c r="D13802" s="202"/>
      <c r="E13802" s="202"/>
      <c r="U13802" s="204"/>
    </row>
    <row r="13803" spans="2:21" x14ac:dyDescent="0.2">
      <c r="B13803" s="203"/>
      <c r="C13803" s="237"/>
      <c r="D13803" s="202"/>
      <c r="E13803" s="202"/>
      <c r="U13803" s="204"/>
    </row>
    <row r="13804" spans="2:21" x14ac:dyDescent="0.2">
      <c r="B13804" s="203"/>
      <c r="C13804" s="237"/>
      <c r="D13804" s="202"/>
      <c r="E13804" s="202"/>
      <c r="U13804" s="204"/>
    </row>
    <row r="13805" spans="2:21" x14ac:dyDescent="0.2">
      <c r="B13805" s="203"/>
      <c r="C13805" s="237"/>
      <c r="D13805" s="202"/>
      <c r="E13805" s="202"/>
      <c r="U13805" s="204"/>
    </row>
    <row r="13806" spans="2:21" x14ac:dyDescent="0.2">
      <c r="B13806" s="203"/>
      <c r="C13806" s="237"/>
      <c r="D13806" s="202"/>
      <c r="E13806" s="202"/>
      <c r="U13806" s="204"/>
    </row>
    <row r="13807" spans="2:21" x14ac:dyDescent="0.2">
      <c r="B13807" s="203"/>
      <c r="C13807" s="237"/>
      <c r="D13807" s="202"/>
      <c r="E13807" s="202"/>
      <c r="U13807" s="204"/>
    </row>
    <row r="13808" spans="2:21" x14ac:dyDescent="0.2">
      <c r="B13808" s="203"/>
      <c r="C13808" s="237"/>
      <c r="D13808" s="202"/>
      <c r="E13808" s="202"/>
      <c r="U13808" s="204"/>
    </row>
    <row r="13809" spans="2:21" x14ac:dyDescent="0.2">
      <c r="B13809" s="203"/>
      <c r="C13809" s="237"/>
      <c r="D13809" s="202"/>
      <c r="E13809" s="202"/>
      <c r="U13809" s="204"/>
    </row>
    <row r="13810" spans="2:21" x14ac:dyDescent="0.2">
      <c r="B13810" s="203"/>
      <c r="C13810" s="237"/>
      <c r="D13810" s="202"/>
      <c r="E13810" s="202"/>
      <c r="U13810" s="204"/>
    </row>
    <row r="13811" spans="2:21" x14ac:dyDescent="0.2">
      <c r="B13811" s="203"/>
      <c r="C13811" s="237"/>
      <c r="D13811" s="202"/>
      <c r="E13811" s="202"/>
      <c r="U13811" s="204"/>
    </row>
    <row r="13812" spans="2:21" x14ac:dyDescent="0.2">
      <c r="B13812" s="203"/>
      <c r="C13812" s="237"/>
      <c r="D13812" s="202"/>
      <c r="E13812" s="202"/>
      <c r="U13812" s="204"/>
    </row>
    <row r="13813" spans="2:21" x14ac:dyDescent="0.2">
      <c r="B13813" s="203"/>
      <c r="C13813" s="237"/>
      <c r="D13813" s="202"/>
      <c r="E13813" s="202"/>
      <c r="U13813" s="204"/>
    </row>
    <row r="13814" spans="2:21" x14ac:dyDescent="0.2">
      <c r="B13814" s="203"/>
      <c r="C13814" s="237"/>
      <c r="D13814" s="202"/>
      <c r="E13814" s="202"/>
      <c r="U13814" s="204"/>
    </row>
    <row r="13815" spans="2:21" x14ac:dyDescent="0.2">
      <c r="B13815" s="203"/>
      <c r="C13815" s="237"/>
      <c r="D13815" s="202"/>
      <c r="E13815" s="202"/>
      <c r="U13815" s="204"/>
    </row>
    <row r="13816" spans="2:21" x14ac:dyDescent="0.2">
      <c r="B13816" s="203"/>
      <c r="C13816" s="237"/>
      <c r="D13816" s="202"/>
      <c r="E13816" s="202"/>
      <c r="U13816" s="204"/>
    </row>
    <row r="13817" spans="2:21" x14ac:dyDescent="0.2">
      <c r="B13817" s="203"/>
      <c r="C13817" s="237"/>
      <c r="D13817" s="202"/>
      <c r="E13817" s="202"/>
      <c r="U13817" s="204"/>
    </row>
    <row r="13818" spans="2:21" x14ac:dyDescent="0.2">
      <c r="B13818" s="203"/>
      <c r="C13818" s="237"/>
      <c r="D13818" s="202"/>
      <c r="E13818" s="202"/>
      <c r="U13818" s="204"/>
    </row>
    <row r="13819" spans="2:21" x14ac:dyDescent="0.2">
      <c r="B13819" s="203"/>
      <c r="C13819" s="237"/>
      <c r="D13819" s="202"/>
      <c r="E13819" s="202"/>
      <c r="U13819" s="204"/>
    </row>
    <row r="13820" spans="2:21" x14ac:dyDescent="0.2">
      <c r="B13820" s="203"/>
      <c r="C13820" s="237"/>
      <c r="D13820" s="202"/>
      <c r="E13820" s="202"/>
      <c r="U13820" s="204"/>
    </row>
    <row r="13821" spans="2:21" x14ac:dyDescent="0.2">
      <c r="B13821" s="203"/>
      <c r="C13821" s="237"/>
      <c r="D13821" s="202"/>
      <c r="E13821" s="202"/>
      <c r="U13821" s="204"/>
    </row>
    <row r="13822" spans="2:21" x14ac:dyDescent="0.2">
      <c r="B13822" s="203"/>
      <c r="C13822" s="237"/>
      <c r="D13822" s="202"/>
      <c r="E13822" s="202"/>
      <c r="U13822" s="204"/>
    </row>
    <row r="13823" spans="2:21" x14ac:dyDescent="0.2">
      <c r="B13823" s="203"/>
      <c r="C13823" s="237"/>
      <c r="D13823" s="202"/>
      <c r="E13823" s="202"/>
      <c r="U13823" s="204"/>
    </row>
    <row r="13824" spans="2:21" x14ac:dyDescent="0.2">
      <c r="B13824" s="203"/>
      <c r="C13824" s="237"/>
      <c r="D13824" s="202"/>
      <c r="E13824" s="202"/>
      <c r="U13824" s="204"/>
    </row>
    <row r="13825" spans="2:21" x14ac:dyDescent="0.2">
      <c r="B13825" s="203"/>
      <c r="C13825" s="237"/>
      <c r="D13825" s="202"/>
      <c r="E13825" s="202"/>
      <c r="U13825" s="204"/>
    </row>
    <row r="13826" spans="2:21" x14ac:dyDescent="0.2">
      <c r="B13826" s="203"/>
      <c r="C13826" s="237"/>
      <c r="D13826" s="202"/>
      <c r="E13826" s="202"/>
      <c r="U13826" s="204"/>
    </row>
    <row r="13827" spans="2:21" x14ac:dyDescent="0.2">
      <c r="B13827" s="203"/>
      <c r="C13827" s="237"/>
      <c r="D13827" s="202"/>
      <c r="E13827" s="202"/>
      <c r="U13827" s="204"/>
    </row>
    <row r="13828" spans="2:21" x14ac:dyDescent="0.2">
      <c r="B13828" s="203"/>
      <c r="C13828" s="237"/>
      <c r="D13828" s="202"/>
      <c r="E13828" s="202"/>
      <c r="U13828" s="204"/>
    </row>
    <row r="13829" spans="2:21" x14ac:dyDescent="0.2">
      <c r="B13829" s="203"/>
      <c r="C13829" s="237"/>
      <c r="D13829" s="202"/>
      <c r="E13829" s="202"/>
      <c r="U13829" s="204"/>
    </row>
    <row r="13830" spans="2:21" x14ac:dyDescent="0.2">
      <c r="B13830" s="203"/>
      <c r="C13830" s="237"/>
      <c r="D13830" s="202"/>
      <c r="E13830" s="202"/>
      <c r="U13830" s="204"/>
    </row>
    <row r="13831" spans="2:21" x14ac:dyDescent="0.2">
      <c r="B13831" s="203"/>
      <c r="C13831" s="237"/>
      <c r="D13831" s="202"/>
      <c r="E13831" s="202"/>
      <c r="U13831" s="204"/>
    </row>
    <row r="13832" spans="2:21" x14ac:dyDescent="0.2">
      <c r="B13832" s="203"/>
      <c r="C13832" s="237"/>
      <c r="D13832" s="202"/>
      <c r="E13832" s="202"/>
      <c r="U13832" s="204"/>
    </row>
    <row r="13833" spans="2:21" x14ac:dyDescent="0.2">
      <c r="B13833" s="203"/>
      <c r="C13833" s="237"/>
      <c r="D13833" s="202"/>
      <c r="E13833" s="202"/>
      <c r="U13833" s="204"/>
    </row>
    <row r="13834" spans="2:21" x14ac:dyDescent="0.2">
      <c r="B13834" s="203"/>
      <c r="C13834" s="237"/>
      <c r="D13834" s="202"/>
      <c r="E13834" s="202"/>
      <c r="U13834" s="204"/>
    </row>
    <row r="13835" spans="2:21" x14ac:dyDescent="0.2">
      <c r="B13835" s="203"/>
      <c r="C13835" s="237"/>
      <c r="D13835" s="202"/>
      <c r="E13835" s="202"/>
      <c r="U13835" s="204"/>
    </row>
    <row r="13836" spans="2:21" x14ac:dyDescent="0.2">
      <c r="B13836" s="203"/>
      <c r="C13836" s="237"/>
      <c r="D13836" s="202"/>
      <c r="E13836" s="202"/>
      <c r="U13836" s="204"/>
    </row>
    <row r="13837" spans="2:21" x14ac:dyDescent="0.2">
      <c r="B13837" s="203"/>
      <c r="C13837" s="237"/>
      <c r="D13837" s="202"/>
      <c r="E13837" s="202"/>
      <c r="U13837" s="204"/>
    </row>
    <row r="13838" spans="2:21" x14ac:dyDescent="0.2">
      <c r="B13838" s="203"/>
      <c r="C13838" s="237"/>
      <c r="D13838" s="202"/>
      <c r="E13838" s="202"/>
      <c r="U13838" s="204"/>
    </row>
    <row r="13839" spans="2:21" x14ac:dyDescent="0.2">
      <c r="B13839" s="203"/>
      <c r="C13839" s="237"/>
      <c r="D13839" s="202"/>
      <c r="E13839" s="202"/>
      <c r="U13839" s="204"/>
    </row>
    <row r="13840" spans="2:21" x14ac:dyDescent="0.2">
      <c r="B13840" s="203"/>
      <c r="C13840" s="237"/>
      <c r="D13840" s="202"/>
      <c r="E13840" s="202"/>
      <c r="U13840" s="204"/>
    </row>
    <row r="13841" spans="2:21" x14ac:dyDescent="0.2">
      <c r="B13841" s="203"/>
      <c r="C13841" s="237"/>
      <c r="D13841" s="202"/>
      <c r="E13841" s="202"/>
      <c r="U13841" s="204"/>
    </row>
    <row r="13842" spans="2:21" x14ac:dyDescent="0.2">
      <c r="B13842" s="203"/>
      <c r="C13842" s="237"/>
      <c r="D13842" s="202"/>
      <c r="E13842" s="202"/>
      <c r="U13842" s="204"/>
    </row>
    <row r="13843" spans="2:21" x14ac:dyDescent="0.2">
      <c r="B13843" s="203"/>
      <c r="C13843" s="237"/>
      <c r="D13843" s="202"/>
      <c r="E13843" s="202"/>
      <c r="U13843" s="204"/>
    </row>
    <row r="13844" spans="2:21" x14ac:dyDescent="0.2">
      <c r="B13844" s="203"/>
      <c r="C13844" s="237"/>
      <c r="D13844" s="202"/>
      <c r="E13844" s="202"/>
      <c r="U13844" s="204"/>
    </row>
    <row r="13845" spans="2:21" x14ac:dyDescent="0.2">
      <c r="B13845" s="203"/>
      <c r="C13845" s="237"/>
      <c r="D13845" s="202"/>
      <c r="E13845" s="202"/>
      <c r="U13845" s="204"/>
    </row>
    <row r="13846" spans="2:21" x14ac:dyDescent="0.2">
      <c r="B13846" s="203"/>
      <c r="C13846" s="237"/>
      <c r="D13846" s="202"/>
      <c r="E13846" s="202"/>
      <c r="U13846" s="204"/>
    </row>
    <row r="13847" spans="2:21" x14ac:dyDescent="0.2">
      <c r="B13847" s="203"/>
      <c r="C13847" s="237"/>
      <c r="D13847" s="202"/>
      <c r="E13847" s="202"/>
      <c r="U13847" s="204"/>
    </row>
    <row r="13848" spans="2:21" x14ac:dyDescent="0.2">
      <c r="B13848" s="203"/>
      <c r="C13848" s="237"/>
      <c r="D13848" s="202"/>
      <c r="E13848" s="202"/>
      <c r="U13848" s="204"/>
    </row>
    <row r="13849" spans="2:21" x14ac:dyDescent="0.2">
      <c r="B13849" s="203"/>
      <c r="C13849" s="237"/>
      <c r="D13849" s="202"/>
      <c r="E13849" s="202"/>
      <c r="U13849" s="204"/>
    </row>
    <row r="13850" spans="2:21" x14ac:dyDescent="0.2">
      <c r="B13850" s="203"/>
      <c r="C13850" s="237"/>
      <c r="D13850" s="202"/>
      <c r="E13850" s="202"/>
      <c r="U13850" s="204"/>
    </row>
    <row r="13851" spans="2:21" x14ac:dyDescent="0.2">
      <c r="B13851" s="203"/>
      <c r="C13851" s="237"/>
      <c r="D13851" s="202"/>
      <c r="E13851" s="202"/>
      <c r="U13851" s="204"/>
    </row>
    <row r="13852" spans="2:21" x14ac:dyDescent="0.2">
      <c r="B13852" s="203"/>
      <c r="C13852" s="237"/>
      <c r="D13852" s="202"/>
      <c r="E13852" s="202"/>
      <c r="U13852" s="204"/>
    </row>
    <row r="13853" spans="2:21" x14ac:dyDescent="0.2">
      <c r="B13853" s="203"/>
      <c r="C13853" s="237"/>
      <c r="D13853" s="202"/>
      <c r="E13853" s="202"/>
      <c r="U13853" s="204"/>
    </row>
    <row r="13854" spans="2:21" x14ac:dyDescent="0.2">
      <c r="B13854" s="203"/>
      <c r="C13854" s="237"/>
      <c r="D13854" s="202"/>
      <c r="E13854" s="202"/>
      <c r="U13854" s="204"/>
    </row>
    <row r="13855" spans="2:21" x14ac:dyDescent="0.2">
      <c r="B13855" s="203"/>
      <c r="C13855" s="237"/>
      <c r="D13855" s="202"/>
      <c r="E13855" s="202"/>
      <c r="U13855" s="204"/>
    </row>
    <row r="13856" spans="2:21" x14ac:dyDescent="0.2">
      <c r="B13856" s="203"/>
      <c r="C13856" s="237"/>
      <c r="D13856" s="202"/>
      <c r="E13856" s="202"/>
      <c r="U13856" s="204"/>
    </row>
    <row r="13857" spans="2:21" x14ac:dyDescent="0.2">
      <c r="B13857" s="203"/>
      <c r="C13857" s="237"/>
      <c r="D13857" s="202"/>
      <c r="E13857" s="202"/>
      <c r="U13857" s="204"/>
    </row>
    <row r="13858" spans="2:21" x14ac:dyDescent="0.2">
      <c r="B13858" s="203"/>
      <c r="C13858" s="237"/>
      <c r="D13858" s="202"/>
      <c r="E13858" s="202"/>
      <c r="U13858" s="204"/>
    </row>
    <row r="13859" spans="2:21" x14ac:dyDescent="0.2">
      <c r="B13859" s="203"/>
      <c r="C13859" s="237"/>
      <c r="D13859" s="202"/>
      <c r="E13859" s="202"/>
      <c r="U13859" s="204"/>
    </row>
    <row r="13860" spans="2:21" x14ac:dyDescent="0.2">
      <c r="B13860" s="203"/>
      <c r="C13860" s="237"/>
      <c r="D13860" s="202"/>
      <c r="E13860" s="202"/>
      <c r="U13860" s="204"/>
    </row>
    <row r="13861" spans="2:21" x14ac:dyDescent="0.2">
      <c r="B13861" s="203"/>
      <c r="C13861" s="237"/>
      <c r="D13861" s="202"/>
      <c r="E13861" s="202"/>
      <c r="U13861" s="204"/>
    </row>
    <row r="13862" spans="2:21" x14ac:dyDescent="0.2">
      <c r="B13862" s="203"/>
      <c r="C13862" s="237"/>
      <c r="D13862" s="202"/>
      <c r="E13862" s="202"/>
      <c r="U13862" s="204"/>
    </row>
    <row r="13863" spans="2:21" x14ac:dyDescent="0.2">
      <c r="B13863" s="203"/>
      <c r="C13863" s="237"/>
      <c r="D13863" s="202"/>
      <c r="E13863" s="202"/>
      <c r="U13863" s="204"/>
    </row>
    <row r="13864" spans="2:21" x14ac:dyDescent="0.2">
      <c r="B13864" s="203"/>
      <c r="C13864" s="237"/>
      <c r="D13864" s="202"/>
      <c r="E13864" s="202"/>
      <c r="U13864" s="204"/>
    </row>
    <row r="13865" spans="2:21" x14ac:dyDescent="0.2">
      <c r="B13865" s="203"/>
      <c r="C13865" s="237"/>
      <c r="D13865" s="202"/>
      <c r="E13865" s="202"/>
      <c r="U13865" s="204"/>
    </row>
    <row r="13866" spans="2:21" x14ac:dyDescent="0.2">
      <c r="B13866" s="203"/>
      <c r="C13866" s="237"/>
      <c r="D13866" s="202"/>
      <c r="E13866" s="202"/>
      <c r="U13866" s="204"/>
    </row>
    <row r="13867" spans="2:21" x14ac:dyDescent="0.2">
      <c r="B13867" s="203"/>
      <c r="C13867" s="237"/>
      <c r="D13867" s="202"/>
      <c r="E13867" s="202"/>
      <c r="U13867" s="204"/>
    </row>
    <row r="13868" spans="2:21" x14ac:dyDescent="0.2">
      <c r="B13868" s="203"/>
      <c r="C13868" s="237"/>
      <c r="D13868" s="202"/>
      <c r="E13868" s="202"/>
      <c r="U13868" s="204"/>
    </row>
    <row r="13869" spans="2:21" x14ac:dyDescent="0.2">
      <c r="B13869" s="203"/>
      <c r="C13869" s="237"/>
      <c r="D13869" s="202"/>
      <c r="E13869" s="202"/>
      <c r="U13869" s="204"/>
    </row>
    <row r="13870" spans="2:21" x14ac:dyDescent="0.2">
      <c r="B13870" s="203"/>
      <c r="C13870" s="237"/>
      <c r="D13870" s="202"/>
      <c r="E13870" s="202"/>
      <c r="U13870" s="204"/>
    </row>
    <row r="13871" spans="2:21" x14ac:dyDescent="0.2">
      <c r="B13871" s="203"/>
      <c r="C13871" s="237"/>
      <c r="D13871" s="202"/>
      <c r="E13871" s="202"/>
      <c r="U13871" s="204"/>
    </row>
    <row r="13872" spans="2:21" x14ac:dyDescent="0.2">
      <c r="B13872" s="203"/>
      <c r="C13872" s="237"/>
      <c r="D13872" s="202"/>
      <c r="E13872" s="202"/>
      <c r="U13872" s="204"/>
    </row>
    <row r="13873" spans="2:21" x14ac:dyDescent="0.2">
      <c r="B13873" s="203"/>
      <c r="C13873" s="237"/>
      <c r="D13873" s="202"/>
      <c r="E13873" s="202"/>
      <c r="U13873" s="204"/>
    </row>
    <row r="13874" spans="2:21" x14ac:dyDescent="0.2">
      <c r="B13874" s="203"/>
      <c r="C13874" s="237"/>
      <c r="D13874" s="202"/>
      <c r="E13874" s="202"/>
      <c r="U13874" s="204"/>
    </row>
    <row r="13875" spans="2:21" x14ac:dyDescent="0.2">
      <c r="B13875" s="203"/>
      <c r="C13875" s="237"/>
      <c r="D13875" s="202"/>
      <c r="E13875" s="202"/>
      <c r="U13875" s="204"/>
    </row>
    <row r="13876" spans="2:21" x14ac:dyDescent="0.2">
      <c r="B13876" s="203"/>
      <c r="C13876" s="237"/>
      <c r="D13876" s="202"/>
      <c r="E13876" s="202"/>
      <c r="U13876" s="204"/>
    </row>
    <row r="13877" spans="2:21" x14ac:dyDescent="0.2">
      <c r="B13877" s="203"/>
      <c r="C13877" s="237"/>
      <c r="D13877" s="202"/>
      <c r="E13877" s="202"/>
      <c r="U13877" s="204"/>
    </row>
    <row r="13878" spans="2:21" x14ac:dyDescent="0.2">
      <c r="B13878" s="203"/>
      <c r="C13878" s="237"/>
      <c r="D13878" s="202"/>
      <c r="E13878" s="202"/>
      <c r="U13878" s="204"/>
    </row>
    <row r="13879" spans="2:21" x14ac:dyDescent="0.2">
      <c r="B13879" s="203"/>
      <c r="C13879" s="237"/>
      <c r="D13879" s="202"/>
      <c r="E13879" s="202"/>
      <c r="U13879" s="204"/>
    </row>
    <row r="13880" spans="2:21" x14ac:dyDescent="0.2">
      <c r="B13880" s="203"/>
      <c r="C13880" s="237"/>
      <c r="D13880" s="202"/>
      <c r="E13880" s="202"/>
      <c r="U13880" s="204"/>
    </row>
    <row r="13881" spans="2:21" x14ac:dyDescent="0.2">
      <c r="B13881" s="203"/>
      <c r="C13881" s="237"/>
      <c r="D13881" s="202"/>
      <c r="E13881" s="202"/>
      <c r="U13881" s="204"/>
    </row>
    <row r="13882" spans="2:21" x14ac:dyDescent="0.2">
      <c r="B13882" s="203"/>
      <c r="C13882" s="237"/>
      <c r="D13882" s="202"/>
      <c r="E13882" s="202"/>
      <c r="U13882" s="204"/>
    </row>
    <row r="13883" spans="2:21" x14ac:dyDescent="0.2">
      <c r="B13883" s="203"/>
      <c r="C13883" s="237"/>
      <c r="D13883" s="202"/>
      <c r="E13883" s="202"/>
      <c r="U13883" s="204"/>
    </row>
    <row r="13884" spans="2:21" x14ac:dyDescent="0.2">
      <c r="B13884" s="203"/>
      <c r="C13884" s="237"/>
      <c r="D13884" s="202"/>
      <c r="E13884" s="202"/>
      <c r="U13884" s="204"/>
    </row>
    <row r="13885" spans="2:21" x14ac:dyDescent="0.2">
      <c r="B13885" s="203"/>
      <c r="C13885" s="237"/>
      <c r="D13885" s="202"/>
      <c r="E13885" s="202"/>
      <c r="U13885" s="204"/>
    </row>
    <row r="13886" spans="2:21" x14ac:dyDescent="0.2">
      <c r="B13886" s="203"/>
      <c r="C13886" s="237"/>
      <c r="D13886" s="202"/>
      <c r="E13886" s="202"/>
      <c r="U13886" s="204"/>
    </row>
    <row r="13887" spans="2:21" x14ac:dyDescent="0.2">
      <c r="B13887" s="203"/>
      <c r="C13887" s="237"/>
      <c r="D13887" s="202"/>
      <c r="E13887" s="202"/>
      <c r="U13887" s="204"/>
    </row>
    <row r="13888" spans="2:21" x14ac:dyDescent="0.2">
      <c r="B13888" s="203"/>
      <c r="C13888" s="237"/>
      <c r="D13888" s="202"/>
      <c r="E13888" s="202"/>
      <c r="U13888" s="204"/>
    </row>
    <row r="13889" spans="2:21" x14ac:dyDescent="0.2">
      <c r="B13889" s="203"/>
      <c r="C13889" s="237"/>
      <c r="D13889" s="202"/>
      <c r="E13889" s="202"/>
      <c r="U13889" s="204"/>
    </row>
    <row r="13890" spans="2:21" x14ac:dyDescent="0.2">
      <c r="B13890" s="203"/>
      <c r="C13890" s="237"/>
      <c r="D13890" s="202"/>
      <c r="E13890" s="202"/>
      <c r="U13890" s="204"/>
    </row>
    <row r="13891" spans="2:21" x14ac:dyDescent="0.2">
      <c r="B13891" s="203"/>
      <c r="C13891" s="237"/>
      <c r="D13891" s="202"/>
      <c r="E13891" s="202"/>
      <c r="U13891" s="204"/>
    </row>
    <row r="13892" spans="2:21" x14ac:dyDescent="0.2">
      <c r="B13892" s="203"/>
      <c r="C13892" s="237"/>
      <c r="D13892" s="202"/>
      <c r="E13892" s="202"/>
      <c r="U13892" s="204"/>
    </row>
    <row r="13893" spans="2:21" x14ac:dyDescent="0.2">
      <c r="B13893" s="203"/>
      <c r="C13893" s="237"/>
      <c r="D13893" s="202"/>
      <c r="E13893" s="202"/>
      <c r="U13893" s="204"/>
    </row>
    <row r="13894" spans="2:21" x14ac:dyDescent="0.2">
      <c r="B13894" s="203"/>
      <c r="C13894" s="237"/>
      <c r="D13894" s="202"/>
      <c r="E13894" s="202"/>
      <c r="U13894" s="204"/>
    </row>
    <row r="13895" spans="2:21" x14ac:dyDescent="0.2">
      <c r="B13895" s="203"/>
      <c r="C13895" s="237"/>
      <c r="D13895" s="202"/>
      <c r="E13895" s="202"/>
      <c r="U13895" s="204"/>
    </row>
    <row r="13896" spans="2:21" x14ac:dyDescent="0.2">
      <c r="B13896" s="203"/>
      <c r="C13896" s="237"/>
      <c r="D13896" s="202"/>
      <c r="E13896" s="202"/>
      <c r="U13896" s="204"/>
    </row>
    <row r="13897" spans="2:21" x14ac:dyDescent="0.2">
      <c r="B13897" s="203"/>
      <c r="C13897" s="237"/>
      <c r="D13897" s="202"/>
      <c r="E13897" s="202"/>
      <c r="U13897" s="204"/>
    </row>
    <row r="13898" spans="2:21" x14ac:dyDescent="0.2">
      <c r="B13898" s="203"/>
      <c r="C13898" s="237"/>
      <c r="D13898" s="202"/>
      <c r="E13898" s="202"/>
      <c r="U13898" s="204"/>
    </row>
    <row r="13899" spans="2:21" x14ac:dyDescent="0.2">
      <c r="B13899" s="203"/>
      <c r="C13899" s="237"/>
      <c r="D13899" s="202"/>
      <c r="E13899" s="202"/>
      <c r="U13899" s="204"/>
    </row>
    <row r="13900" spans="2:21" x14ac:dyDescent="0.2">
      <c r="B13900" s="203"/>
      <c r="C13900" s="237"/>
      <c r="D13900" s="202"/>
      <c r="E13900" s="202"/>
      <c r="U13900" s="204"/>
    </row>
    <row r="13901" spans="2:21" x14ac:dyDescent="0.2">
      <c r="B13901" s="203"/>
      <c r="C13901" s="237"/>
      <c r="D13901" s="202"/>
      <c r="E13901" s="202"/>
      <c r="U13901" s="204"/>
    </row>
    <row r="13902" spans="2:21" x14ac:dyDescent="0.2">
      <c r="B13902" s="203"/>
      <c r="C13902" s="237"/>
      <c r="D13902" s="202"/>
      <c r="E13902" s="202"/>
      <c r="U13902" s="204"/>
    </row>
    <row r="13903" spans="2:21" x14ac:dyDescent="0.2">
      <c r="B13903" s="203"/>
      <c r="C13903" s="237"/>
      <c r="D13903" s="202"/>
      <c r="E13903" s="202"/>
      <c r="U13903" s="204"/>
    </row>
    <row r="13904" spans="2:21" x14ac:dyDescent="0.2">
      <c r="B13904" s="203"/>
      <c r="C13904" s="237"/>
      <c r="D13904" s="202"/>
      <c r="E13904" s="202"/>
      <c r="U13904" s="204"/>
    </row>
    <row r="13905" spans="2:21" x14ac:dyDescent="0.2">
      <c r="B13905" s="203"/>
      <c r="C13905" s="237"/>
      <c r="D13905" s="202"/>
      <c r="E13905" s="202"/>
      <c r="U13905" s="204"/>
    </row>
    <row r="13906" spans="2:21" x14ac:dyDescent="0.2">
      <c r="B13906" s="203"/>
      <c r="C13906" s="237"/>
      <c r="D13906" s="202"/>
      <c r="E13906" s="202"/>
      <c r="U13906" s="204"/>
    </row>
    <row r="13907" spans="2:21" x14ac:dyDescent="0.2">
      <c r="B13907" s="203"/>
      <c r="C13907" s="237"/>
      <c r="D13907" s="202"/>
      <c r="E13907" s="202"/>
      <c r="U13907" s="204"/>
    </row>
    <row r="13908" spans="2:21" x14ac:dyDescent="0.2">
      <c r="B13908" s="203"/>
      <c r="C13908" s="237"/>
      <c r="D13908" s="202"/>
      <c r="E13908" s="202"/>
      <c r="U13908" s="204"/>
    </row>
    <row r="13909" spans="2:21" x14ac:dyDescent="0.2">
      <c r="B13909" s="203"/>
      <c r="C13909" s="237"/>
      <c r="D13909" s="202"/>
      <c r="E13909" s="202"/>
      <c r="U13909" s="204"/>
    </row>
    <row r="13910" spans="2:21" x14ac:dyDescent="0.2">
      <c r="B13910" s="203"/>
      <c r="C13910" s="237"/>
      <c r="D13910" s="202"/>
      <c r="E13910" s="202"/>
      <c r="U13910" s="204"/>
    </row>
    <row r="13911" spans="2:21" x14ac:dyDescent="0.2">
      <c r="B13911" s="203"/>
      <c r="C13911" s="237"/>
      <c r="D13911" s="202"/>
      <c r="E13911" s="202"/>
      <c r="U13911" s="204"/>
    </row>
    <row r="13912" spans="2:21" x14ac:dyDescent="0.2">
      <c r="B13912" s="203"/>
      <c r="C13912" s="237"/>
      <c r="D13912" s="202"/>
      <c r="E13912" s="202"/>
      <c r="U13912" s="204"/>
    </row>
    <row r="13913" spans="2:21" x14ac:dyDescent="0.2">
      <c r="B13913" s="203"/>
      <c r="C13913" s="237"/>
      <c r="D13913" s="202"/>
      <c r="E13913" s="202"/>
      <c r="U13913" s="204"/>
    </row>
    <row r="13914" spans="2:21" x14ac:dyDescent="0.2">
      <c r="B13914" s="203"/>
      <c r="C13914" s="237"/>
      <c r="D13914" s="202"/>
      <c r="E13914" s="202"/>
      <c r="U13914" s="204"/>
    </row>
    <row r="13915" spans="2:21" x14ac:dyDescent="0.2">
      <c r="B13915" s="203"/>
      <c r="C13915" s="237"/>
      <c r="D13915" s="202"/>
      <c r="E13915" s="202"/>
      <c r="U13915" s="204"/>
    </row>
    <row r="13916" spans="2:21" x14ac:dyDescent="0.2">
      <c r="B13916" s="203"/>
      <c r="C13916" s="237"/>
      <c r="D13916" s="202"/>
      <c r="E13916" s="202"/>
      <c r="U13916" s="204"/>
    </row>
    <row r="13917" spans="2:21" x14ac:dyDescent="0.2">
      <c r="B13917" s="203"/>
      <c r="C13917" s="237"/>
      <c r="D13917" s="202"/>
      <c r="E13917" s="202"/>
      <c r="U13917" s="204"/>
    </row>
    <row r="13918" spans="2:21" x14ac:dyDescent="0.2">
      <c r="B13918" s="203"/>
      <c r="C13918" s="237"/>
      <c r="D13918" s="202"/>
      <c r="E13918" s="202"/>
      <c r="U13918" s="204"/>
    </row>
    <row r="13919" spans="2:21" x14ac:dyDescent="0.2">
      <c r="B13919" s="203"/>
      <c r="C13919" s="237"/>
      <c r="D13919" s="202"/>
      <c r="E13919" s="202"/>
      <c r="U13919" s="204"/>
    </row>
    <row r="13920" spans="2:21" x14ac:dyDescent="0.2">
      <c r="B13920" s="203"/>
      <c r="C13920" s="237"/>
      <c r="D13920" s="202"/>
      <c r="E13920" s="202"/>
      <c r="U13920" s="204"/>
    </row>
    <row r="13921" spans="2:21" x14ac:dyDescent="0.2">
      <c r="B13921" s="203"/>
      <c r="C13921" s="237"/>
      <c r="D13921" s="202"/>
      <c r="E13921" s="202"/>
      <c r="U13921" s="204"/>
    </row>
    <row r="13922" spans="2:21" x14ac:dyDescent="0.2">
      <c r="B13922" s="203"/>
      <c r="C13922" s="237"/>
      <c r="D13922" s="202"/>
      <c r="E13922" s="202"/>
      <c r="U13922" s="204"/>
    </row>
    <row r="13923" spans="2:21" x14ac:dyDescent="0.2">
      <c r="B13923" s="203"/>
      <c r="C13923" s="237"/>
      <c r="D13923" s="202"/>
      <c r="E13923" s="202"/>
      <c r="U13923" s="204"/>
    </row>
    <row r="13924" spans="2:21" x14ac:dyDescent="0.2">
      <c r="B13924" s="203"/>
      <c r="C13924" s="237"/>
      <c r="D13924" s="202"/>
      <c r="E13924" s="202"/>
      <c r="U13924" s="204"/>
    </row>
    <row r="13925" spans="2:21" x14ac:dyDescent="0.2">
      <c r="B13925" s="203"/>
      <c r="C13925" s="237"/>
      <c r="D13925" s="202"/>
      <c r="E13925" s="202"/>
      <c r="U13925" s="204"/>
    </row>
    <row r="13926" spans="2:21" x14ac:dyDescent="0.2">
      <c r="B13926" s="203"/>
      <c r="C13926" s="237"/>
      <c r="D13926" s="202"/>
      <c r="E13926" s="202"/>
      <c r="U13926" s="204"/>
    </row>
    <row r="13927" spans="2:21" x14ac:dyDescent="0.2">
      <c r="B13927" s="203"/>
      <c r="C13927" s="237"/>
      <c r="D13927" s="202"/>
      <c r="E13927" s="202"/>
      <c r="U13927" s="204"/>
    </row>
    <row r="13928" spans="2:21" x14ac:dyDescent="0.2">
      <c r="B13928" s="203"/>
      <c r="C13928" s="237"/>
      <c r="D13928" s="202"/>
      <c r="E13928" s="202"/>
      <c r="U13928" s="204"/>
    </row>
    <row r="13929" spans="2:21" x14ac:dyDescent="0.2">
      <c r="B13929" s="203"/>
      <c r="C13929" s="237"/>
      <c r="D13929" s="202"/>
      <c r="E13929" s="202"/>
      <c r="U13929" s="204"/>
    </row>
    <row r="13930" spans="2:21" x14ac:dyDescent="0.2">
      <c r="B13930" s="203"/>
      <c r="C13930" s="237"/>
      <c r="D13930" s="202"/>
      <c r="E13930" s="202"/>
      <c r="U13930" s="204"/>
    </row>
    <row r="13931" spans="2:21" x14ac:dyDescent="0.2">
      <c r="B13931" s="203"/>
      <c r="C13931" s="237"/>
      <c r="D13931" s="202"/>
      <c r="E13931" s="202"/>
      <c r="U13931" s="204"/>
    </row>
    <row r="13932" spans="2:21" x14ac:dyDescent="0.2">
      <c r="B13932" s="203"/>
      <c r="C13932" s="237"/>
      <c r="D13932" s="202"/>
      <c r="E13932" s="202"/>
      <c r="U13932" s="204"/>
    </row>
    <row r="13933" spans="2:21" x14ac:dyDescent="0.2">
      <c r="B13933" s="203"/>
      <c r="C13933" s="237"/>
      <c r="D13933" s="202"/>
      <c r="E13933" s="202"/>
      <c r="U13933" s="204"/>
    </row>
    <row r="13934" spans="2:21" x14ac:dyDescent="0.2">
      <c r="B13934" s="203"/>
      <c r="C13934" s="237"/>
      <c r="D13934" s="202"/>
      <c r="E13934" s="202"/>
      <c r="U13934" s="204"/>
    </row>
    <row r="13935" spans="2:21" x14ac:dyDescent="0.2">
      <c r="B13935" s="203"/>
      <c r="C13935" s="237"/>
      <c r="D13935" s="202"/>
      <c r="E13935" s="202"/>
      <c r="U13935" s="204"/>
    </row>
    <row r="13936" spans="2:21" x14ac:dyDescent="0.2">
      <c r="B13936" s="203"/>
      <c r="C13936" s="237"/>
      <c r="D13936" s="202"/>
      <c r="E13936" s="202"/>
      <c r="U13936" s="204"/>
    </row>
    <row r="13937" spans="2:21" x14ac:dyDescent="0.2">
      <c r="B13937" s="203"/>
      <c r="C13937" s="237"/>
      <c r="D13937" s="202"/>
      <c r="E13937" s="202"/>
      <c r="U13937" s="204"/>
    </row>
    <row r="13938" spans="2:21" x14ac:dyDescent="0.2">
      <c r="B13938" s="203"/>
      <c r="C13938" s="237"/>
      <c r="D13938" s="202"/>
      <c r="E13938" s="202"/>
      <c r="U13938" s="204"/>
    </row>
    <row r="13939" spans="2:21" x14ac:dyDescent="0.2">
      <c r="B13939" s="203"/>
      <c r="C13939" s="237"/>
      <c r="D13939" s="202"/>
      <c r="E13939" s="202"/>
      <c r="U13939" s="204"/>
    </row>
    <row r="13940" spans="2:21" x14ac:dyDescent="0.2">
      <c r="B13940" s="203"/>
      <c r="C13940" s="237"/>
      <c r="D13940" s="202"/>
      <c r="E13940" s="202"/>
      <c r="U13940" s="204"/>
    </row>
    <row r="13941" spans="2:21" x14ac:dyDescent="0.2">
      <c r="B13941" s="203"/>
      <c r="C13941" s="237"/>
      <c r="D13941" s="202"/>
      <c r="E13941" s="202"/>
      <c r="U13941" s="204"/>
    </row>
    <row r="13942" spans="2:21" x14ac:dyDescent="0.2">
      <c r="B13942" s="203"/>
      <c r="C13942" s="237"/>
      <c r="D13942" s="202"/>
      <c r="E13942" s="202"/>
      <c r="U13942" s="204"/>
    </row>
    <row r="13943" spans="2:21" x14ac:dyDescent="0.2">
      <c r="B13943" s="203"/>
      <c r="C13943" s="237"/>
      <c r="D13943" s="202"/>
      <c r="E13943" s="202"/>
      <c r="U13943" s="204"/>
    </row>
    <row r="13944" spans="2:21" x14ac:dyDescent="0.2">
      <c r="B13944" s="203"/>
      <c r="C13944" s="237"/>
      <c r="D13944" s="202"/>
      <c r="E13944" s="202"/>
      <c r="U13944" s="204"/>
    </row>
    <row r="13945" spans="2:21" x14ac:dyDescent="0.2">
      <c r="B13945" s="203"/>
      <c r="C13945" s="237"/>
      <c r="D13945" s="202"/>
      <c r="E13945" s="202"/>
      <c r="U13945" s="204"/>
    </row>
    <row r="13946" spans="2:21" x14ac:dyDescent="0.2">
      <c r="B13946" s="203"/>
      <c r="C13946" s="237"/>
      <c r="D13946" s="202"/>
      <c r="E13946" s="202"/>
      <c r="U13946" s="204"/>
    </row>
    <row r="13947" spans="2:21" x14ac:dyDescent="0.2">
      <c r="B13947" s="203"/>
      <c r="C13947" s="237"/>
      <c r="D13947" s="202"/>
      <c r="E13947" s="202"/>
      <c r="U13947" s="204"/>
    </row>
    <row r="13948" spans="2:21" x14ac:dyDescent="0.2">
      <c r="B13948" s="203"/>
      <c r="C13948" s="237"/>
      <c r="D13948" s="202"/>
      <c r="E13948" s="202"/>
      <c r="U13948" s="204"/>
    </row>
    <row r="13949" spans="2:21" x14ac:dyDescent="0.2">
      <c r="B13949" s="203"/>
      <c r="C13949" s="237"/>
      <c r="D13949" s="202"/>
      <c r="E13949" s="202"/>
      <c r="U13949" s="204"/>
    </row>
    <row r="13950" spans="2:21" x14ac:dyDescent="0.2">
      <c r="B13950" s="203"/>
      <c r="C13950" s="237"/>
      <c r="D13950" s="202"/>
      <c r="E13950" s="202"/>
      <c r="U13950" s="204"/>
    </row>
    <row r="13951" spans="2:21" x14ac:dyDescent="0.2">
      <c r="B13951" s="203"/>
      <c r="C13951" s="237"/>
      <c r="D13951" s="202"/>
      <c r="E13951" s="202"/>
      <c r="U13951" s="204"/>
    </row>
    <row r="13952" spans="2:21" x14ac:dyDescent="0.2">
      <c r="B13952" s="203"/>
      <c r="C13952" s="237"/>
      <c r="D13952" s="202"/>
      <c r="E13952" s="202"/>
      <c r="U13952" s="204"/>
    </row>
    <row r="13953" spans="2:21" x14ac:dyDescent="0.2">
      <c r="B13953" s="203"/>
      <c r="C13953" s="237"/>
      <c r="D13953" s="202"/>
      <c r="E13953" s="202"/>
      <c r="U13953" s="204"/>
    </row>
    <row r="13954" spans="2:21" x14ac:dyDescent="0.2">
      <c r="B13954" s="203"/>
      <c r="C13954" s="237"/>
      <c r="D13954" s="202"/>
      <c r="E13954" s="202"/>
      <c r="U13954" s="204"/>
    </row>
    <row r="13955" spans="2:21" x14ac:dyDescent="0.2">
      <c r="B13955" s="203"/>
      <c r="C13955" s="237"/>
      <c r="D13955" s="202"/>
      <c r="E13955" s="202"/>
      <c r="U13955" s="204"/>
    </row>
    <row r="13956" spans="2:21" x14ac:dyDescent="0.2">
      <c r="B13956" s="203"/>
      <c r="C13956" s="237"/>
      <c r="D13956" s="202"/>
      <c r="E13956" s="202"/>
      <c r="U13956" s="204"/>
    </row>
    <row r="13957" spans="2:21" x14ac:dyDescent="0.2">
      <c r="B13957" s="203"/>
      <c r="C13957" s="237"/>
      <c r="D13957" s="202"/>
      <c r="E13957" s="202"/>
      <c r="U13957" s="204"/>
    </row>
    <row r="13958" spans="2:21" x14ac:dyDescent="0.2">
      <c r="B13958" s="203"/>
      <c r="C13958" s="237"/>
      <c r="D13958" s="202"/>
      <c r="E13958" s="202"/>
      <c r="U13958" s="204"/>
    </row>
    <row r="13959" spans="2:21" x14ac:dyDescent="0.2">
      <c r="B13959" s="203"/>
      <c r="C13959" s="237"/>
      <c r="D13959" s="202"/>
      <c r="E13959" s="202"/>
      <c r="U13959" s="204"/>
    </row>
    <row r="13960" spans="2:21" x14ac:dyDescent="0.2">
      <c r="B13960" s="203"/>
      <c r="C13960" s="237"/>
      <c r="D13960" s="202"/>
      <c r="E13960" s="202"/>
      <c r="U13960" s="204"/>
    </row>
    <row r="13961" spans="2:21" x14ac:dyDescent="0.2">
      <c r="B13961" s="203"/>
      <c r="C13961" s="237"/>
      <c r="D13961" s="202"/>
      <c r="E13961" s="202"/>
      <c r="U13961" s="204"/>
    </row>
    <row r="13962" spans="2:21" x14ac:dyDescent="0.2">
      <c r="B13962" s="203"/>
      <c r="C13962" s="237"/>
      <c r="D13962" s="202"/>
      <c r="E13962" s="202"/>
      <c r="U13962" s="204"/>
    </row>
    <row r="13963" spans="2:21" x14ac:dyDescent="0.2">
      <c r="B13963" s="203"/>
      <c r="C13963" s="237"/>
      <c r="D13963" s="202"/>
      <c r="E13963" s="202"/>
      <c r="U13963" s="204"/>
    </row>
    <row r="13964" spans="2:21" x14ac:dyDescent="0.2">
      <c r="B13964" s="203"/>
      <c r="C13964" s="237"/>
      <c r="D13964" s="202"/>
      <c r="E13964" s="202"/>
      <c r="U13964" s="204"/>
    </row>
    <row r="13965" spans="2:21" x14ac:dyDescent="0.2">
      <c r="B13965" s="203"/>
      <c r="C13965" s="237"/>
      <c r="D13965" s="202"/>
      <c r="E13965" s="202"/>
      <c r="U13965" s="204"/>
    </row>
    <row r="13966" spans="2:21" x14ac:dyDescent="0.2">
      <c r="B13966" s="203"/>
      <c r="C13966" s="237"/>
      <c r="D13966" s="202"/>
      <c r="E13966" s="202"/>
      <c r="U13966" s="204"/>
    </row>
    <row r="13967" spans="2:21" x14ac:dyDescent="0.2">
      <c r="B13967" s="203"/>
      <c r="C13967" s="237"/>
      <c r="D13967" s="202"/>
      <c r="E13967" s="202"/>
      <c r="U13967" s="204"/>
    </row>
    <row r="13968" spans="2:21" x14ac:dyDescent="0.2">
      <c r="B13968" s="203"/>
      <c r="C13968" s="237"/>
      <c r="D13968" s="202"/>
      <c r="E13968" s="202"/>
      <c r="U13968" s="204"/>
    </row>
    <row r="13969" spans="2:21" x14ac:dyDescent="0.2">
      <c r="B13969" s="203"/>
      <c r="C13969" s="237"/>
      <c r="D13969" s="202"/>
      <c r="E13969" s="202"/>
      <c r="U13969" s="204"/>
    </row>
    <row r="13970" spans="2:21" x14ac:dyDescent="0.2">
      <c r="B13970" s="203"/>
      <c r="C13970" s="237"/>
      <c r="D13970" s="202"/>
      <c r="E13970" s="202"/>
      <c r="U13970" s="204"/>
    </row>
    <row r="13971" spans="2:21" x14ac:dyDescent="0.2">
      <c r="B13971" s="203"/>
      <c r="C13971" s="237"/>
      <c r="D13971" s="202"/>
      <c r="E13971" s="202"/>
      <c r="U13971" s="204"/>
    </row>
    <row r="13972" spans="2:21" x14ac:dyDescent="0.2">
      <c r="B13972" s="203"/>
      <c r="C13972" s="237"/>
      <c r="D13972" s="202"/>
      <c r="E13972" s="202"/>
      <c r="U13972" s="204"/>
    </row>
    <row r="13973" spans="2:21" x14ac:dyDescent="0.2">
      <c r="B13973" s="203"/>
      <c r="C13973" s="237"/>
      <c r="D13973" s="202"/>
      <c r="E13973" s="202"/>
      <c r="U13973" s="204"/>
    </row>
    <row r="13974" spans="2:21" x14ac:dyDescent="0.2">
      <c r="B13974" s="203"/>
      <c r="C13974" s="237"/>
      <c r="D13974" s="202"/>
      <c r="E13974" s="202"/>
      <c r="U13974" s="204"/>
    </row>
    <row r="13975" spans="2:21" x14ac:dyDescent="0.2">
      <c r="B13975" s="203"/>
      <c r="C13975" s="237"/>
      <c r="D13975" s="202"/>
      <c r="E13975" s="202"/>
      <c r="U13975" s="204"/>
    </row>
    <row r="13976" spans="2:21" x14ac:dyDescent="0.2">
      <c r="B13976" s="203"/>
      <c r="C13976" s="237"/>
      <c r="D13976" s="202"/>
      <c r="E13976" s="202"/>
      <c r="U13976" s="204"/>
    </row>
    <row r="13977" spans="2:21" x14ac:dyDescent="0.2">
      <c r="B13977" s="203"/>
      <c r="C13977" s="237"/>
      <c r="D13977" s="202"/>
      <c r="E13977" s="202"/>
      <c r="U13977" s="204"/>
    </row>
    <row r="13978" spans="2:21" x14ac:dyDescent="0.2">
      <c r="B13978" s="203"/>
      <c r="C13978" s="237"/>
      <c r="D13978" s="202"/>
      <c r="E13978" s="202"/>
      <c r="U13978" s="204"/>
    </row>
    <row r="13979" spans="2:21" x14ac:dyDescent="0.2">
      <c r="B13979" s="203"/>
      <c r="C13979" s="237"/>
      <c r="D13979" s="202"/>
      <c r="E13979" s="202"/>
      <c r="U13979" s="204"/>
    </row>
    <row r="13980" spans="2:21" x14ac:dyDescent="0.2">
      <c r="B13980" s="203"/>
      <c r="C13980" s="237"/>
      <c r="D13980" s="202"/>
      <c r="E13980" s="202"/>
      <c r="U13980" s="204"/>
    </row>
    <row r="13981" spans="2:21" x14ac:dyDescent="0.2">
      <c r="B13981" s="203"/>
      <c r="C13981" s="237"/>
      <c r="D13981" s="202"/>
      <c r="E13981" s="202"/>
      <c r="U13981" s="204"/>
    </row>
    <row r="13982" spans="2:21" x14ac:dyDescent="0.2">
      <c r="B13982" s="203"/>
      <c r="C13982" s="237"/>
      <c r="D13982" s="202"/>
      <c r="E13982" s="202"/>
      <c r="U13982" s="204"/>
    </row>
    <row r="13983" spans="2:21" x14ac:dyDescent="0.2">
      <c r="B13983" s="203"/>
      <c r="C13983" s="237"/>
      <c r="D13983" s="202"/>
      <c r="E13983" s="202"/>
      <c r="U13983" s="204"/>
    </row>
    <row r="13984" spans="2:21" x14ac:dyDescent="0.2">
      <c r="B13984" s="203"/>
      <c r="C13984" s="237"/>
      <c r="D13984" s="202"/>
      <c r="E13984" s="202"/>
      <c r="U13984" s="204"/>
    </row>
    <row r="13985" spans="2:21" x14ac:dyDescent="0.2">
      <c r="B13985" s="203"/>
      <c r="C13985" s="237"/>
      <c r="D13985" s="202"/>
      <c r="E13985" s="202"/>
      <c r="U13985" s="204"/>
    </row>
    <row r="13986" spans="2:21" x14ac:dyDescent="0.2">
      <c r="B13986" s="203"/>
      <c r="C13986" s="237"/>
      <c r="D13986" s="202"/>
      <c r="E13986" s="202"/>
      <c r="U13986" s="204"/>
    </row>
    <row r="13987" spans="2:21" x14ac:dyDescent="0.2">
      <c r="B13987" s="203"/>
      <c r="C13987" s="237"/>
      <c r="D13987" s="202"/>
      <c r="E13987" s="202"/>
      <c r="U13987" s="204"/>
    </row>
    <row r="13988" spans="2:21" x14ac:dyDescent="0.2">
      <c r="B13988" s="203"/>
      <c r="C13988" s="237"/>
      <c r="D13988" s="202"/>
      <c r="E13988" s="202"/>
      <c r="U13988" s="204"/>
    </row>
    <row r="13989" spans="2:21" x14ac:dyDescent="0.2">
      <c r="B13989" s="203"/>
      <c r="C13989" s="237"/>
      <c r="D13989" s="202"/>
      <c r="E13989" s="202"/>
      <c r="U13989" s="204"/>
    </row>
    <row r="13990" spans="2:21" x14ac:dyDescent="0.2">
      <c r="B13990" s="203"/>
      <c r="C13990" s="237"/>
      <c r="D13990" s="202"/>
      <c r="E13990" s="202"/>
      <c r="U13990" s="204"/>
    </row>
    <row r="13991" spans="2:21" x14ac:dyDescent="0.2">
      <c r="B13991" s="203"/>
      <c r="C13991" s="237"/>
      <c r="D13991" s="202"/>
      <c r="E13991" s="202"/>
      <c r="U13991" s="204"/>
    </row>
    <row r="13992" spans="2:21" x14ac:dyDescent="0.2">
      <c r="B13992" s="203"/>
      <c r="C13992" s="237"/>
      <c r="D13992" s="202"/>
      <c r="E13992" s="202"/>
      <c r="U13992" s="204"/>
    </row>
    <row r="13993" spans="2:21" x14ac:dyDescent="0.2">
      <c r="B13993" s="203"/>
      <c r="C13993" s="237"/>
      <c r="D13993" s="202"/>
      <c r="E13993" s="202"/>
      <c r="U13993" s="204"/>
    </row>
    <row r="13994" spans="2:21" x14ac:dyDescent="0.2">
      <c r="B13994" s="203"/>
      <c r="C13994" s="237"/>
      <c r="D13994" s="202"/>
      <c r="E13994" s="202"/>
      <c r="U13994" s="204"/>
    </row>
    <row r="13995" spans="2:21" x14ac:dyDescent="0.2">
      <c r="B13995" s="203"/>
      <c r="C13995" s="237"/>
      <c r="D13995" s="202"/>
      <c r="E13995" s="202"/>
      <c r="U13995" s="204"/>
    </row>
    <row r="13996" spans="2:21" x14ac:dyDescent="0.2">
      <c r="B13996" s="203"/>
      <c r="C13996" s="237"/>
      <c r="D13996" s="202"/>
      <c r="E13996" s="202"/>
      <c r="U13996" s="204"/>
    </row>
    <row r="13997" spans="2:21" x14ac:dyDescent="0.2">
      <c r="B13997" s="203"/>
      <c r="C13997" s="237"/>
      <c r="D13997" s="202"/>
      <c r="E13997" s="202"/>
      <c r="U13997" s="204"/>
    </row>
    <row r="13998" spans="2:21" x14ac:dyDescent="0.2">
      <c r="B13998" s="203"/>
      <c r="C13998" s="237"/>
      <c r="D13998" s="202"/>
      <c r="E13998" s="202"/>
      <c r="U13998" s="204"/>
    </row>
    <row r="13999" spans="2:21" x14ac:dyDescent="0.2">
      <c r="B13999" s="203"/>
      <c r="C13999" s="237"/>
      <c r="D13999" s="202"/>
      <c r="E13999" s="202"/>
      <c r="U13999" s="204"/>
    </row>
    <row r="14000" spans="2:21" x14ac:dyDescent="0.2">
      <c r="B14000" s="203"/>
      <c r="C14000" s="237"/>
      <c r="D14000" s="202"/>
      <c r="E14000" s="202"/>
      <c r="U14000" s="204"/>
    </row>
    <row r="14001" spans="2:21" x14ac:dyDescent="0.2">
      <c r="B14001" s="203"/>
      <c r="C14001" s="237"/>
      <c r="D14001" s="202"/>
      <c r="E14001" s="202"/>
      <c r="U14001" s="204"/>
    </row>
    <row r="14002" spans="2:21" x14ac:dyDescent="0.2">
      <c r="B14002" s="203"/>
      <c r="C14002" s="237"/>
      <c r="D14002" s="202"/>
      <c r="E14002" s="202"/>
      <c r="U14002" s="204"/>
    </row>
    <row r="14003" spans="2:21" x14ac:dyDescent="0.2">
      <c r="B14003" s="203"/>
      <c r="C14003" s="237"/>
      <c r="D14003" s="202"/>
      <c r="E14003" s="202"/>
      <c r="U14003" s="204"/>
    </row>
    <row r="14004" spans="2:21" x14ac:dyDescent="0.2">
      <c r="B14004" s="203"/>
      <c r="C14004" s="237"/>
      <c r="D14004" s="202"/>
      <c r="E14004" s="202"/>
      <c r="U14004" s="204"/>
    </row>
    <row r="14005" spans="2:21" x14ac:dyDescent="0.2">
      <c r="B14005" s="203"/>
      <c r="C14005" s="237"/>
      <c r="D14005" s="202"/>
      <c r="E14005" s="202"/>
      <c r="U14005" s="204"/>
    </row>
    <row r="14006" spans="2:21" x14ac:dyDescent="0.2">
      <c r="B14006" s="203"/>
      <c r="C14006" s="237"/>
      <c r="D14006" s="202"/>
      <c r="E14006" s="202"/>
      <c r="U14006" s="204"/>
    </row>
    <row r="14007" spans="2:21" x14ac:dyDescent="0.2">
      <c r="B14007" s="203"/>
      <c r="C14007" s="237"/>
      <c r="D14007" s="202"/>
      <c r="E14007" s="202"/>
      <c r="U14007" s="204"/>
    </row>
    <row r="14008" spans="2:21" x14ac:dyDescent="0.2">
      <c r="B14008" s="203"/>
      <c r="C14008" s="237"/>
      <c r="D14008" s="202"/>
      <c r="E14008" s="202"/>
      <c r="U14008" s="204"/>
    </row>
    <row r="14009" spans="2:21" x14ac:dyDescent="0.2">
      <c r="B14009" s="203"/>
      <c r="C14009" s="237"/>
      <c r="D14009" s="202"/>
      <c r="E14009" s="202"/>
      <c r="U14009" s="204"/>
    </row>
    <row r="14010" spans="2:21" x14ac:dyDescent="0.2">
      <c r="B14010" s="203"/>
      <c r="C14010" s="237"/>
      <c r="D14010" s="202"/>
      <c r="E14010" s="202"/>
      <c r="U14010" s="204"/>
    </row>
    <row r="14011" spans="2:21" x14ac:dyDescent="0.2">
      <c r="B14011" s="203"/>
      <c r="C14011" s="237"/>
      <c r="D14011" s="202"/>
      <c r="E14011" s="202"/>
      <c r="U14011" s="204"/>
    </row>
    <row r="14012" spans="2:21" x14ac:dyDescent="0.2">
      <c r="B14012" s="203"/>
      <c r="C14012" s="237"/>
      <c r="D14012" s="202"/>
      <c r="E14012" s="202"/>
      <c r="U14012" s="204"/>
    </row>
    <row r="14013" spans="2:21" x14ac:dyDescent="0.2">
      <c r="B14013" s="203"/>
      <c r="C14013" s="237"/>
      <c r="D14013" s="202"/>
      <c r="E14013" s="202"/>
      <c r="U14013" s="204"/>
    </row>
    <row r="14014" spans="2:21" x14ac:dyDescent="0.2">
      <c r="B14014" s="203"/>
      <c r="C14014" s="237"/>
      <c r="D14014" s="202"/>
      <c r="E14014" s="202"/>
      <c r="U14014" s="204"/>
    </row>
    <row r="14015" spans="2:21" x14ac:dyDescent="0.2">
      <c r="B14015" s="203"/>
      <c r="C14015" s="237"/>
      <c r="D14015" s="202"/>
      <c r="E14015" s="202"/>
      <c r="U14015" s="204"/>
    </row>
    <row r="14016" spans="2:21" x14ac:dyDescent="0.2">
      <c r="B14016" s="203"/>
      <c r="C14016" s="237"/>
      <c r="D14016" s="202"/>
      <c r="E14016" s="202"/>
      <c r="U14016" s="204"/>
    </row>
    <row r="14017" spans="2:21" x14ac:dyDescent="0.2">
      <c r="B14017" s="203"/>
      <c r="C14017" s="237"/>
      <c r="D14017" s="202"/>
      <c r="E14017" s="202"/>
      <c r="U14017" s="204"/>
    </row>
    <row r="14018" spans="2:21" x14ac:dyDescent="0.2">
      <c r="B14018" s="203"/>
      <c r="C14018" s="237"/>
      <c r="D14018" s="202"/>
      <c r="E14018" s="202"/>
      <c r="U14018" s="204"/>
    </row>
    <row r="14019" spans="2:21" x14ac:dyDescent="0.2">
      <c r="B14019" s="203"/>
      <c r="C14019" s="237"/>
      <c r="D14019" s="202"/>
      <c r="E14019" s="202"/>
      <c r="U14019" s="204"/>
    </row>
    <row r="14020" spans="2:21" x14ac:dyDescent="0.2">
      <c r="B14020" s="203"/>
      <c r="C14020" s="237"/>
      <c r="D14020" s="202"/>
      <c r="E14020" s="202"/>
      <c r="U14020" s="204"/>
    </row>
    <row r="14021" spans="2:21" x14ac:dyDescent="0.2">
      <c r="B14021" s="203"/>
      <c r="C14021" s="237"/>
      <c r="D14021" s="202"/>
      <c r="E14021" s="202"/>
      <c r="U14021" s="204"/>
    </row>
    <row r="14022" spans="2:21" x14ac:dyDescent="0.2">
      <c r="B14022" s="203"/>
      <c r="C14022" s="237"/>
      <c r="D14022" s="202"/>
      <c r="E14022" s="202"/>
      <c r="U14022" s="204"/>
    </row>
    <row r="14023" spans="2:21" x14ac:dyDescent="0.2">
      <c r="B14023" s="203"/>
      <c r="C14023" s="237"/>
      <c r="D14023" s="202"/>
      <c r="E14023" s="202"/>
      <c r="U14023" s="204"/>
    </row>
    <row r="14024" spans="2:21" x14ac:dyDescent="0.2">
      <c r="B14024" s="203"/>
      <c r="C14024" s="237"/>
      <c r="D14024" s="202"/>
      <c r="E14024" s="202"/>
      <c r="U14024" s="204"/>
    </row>
    <row r="14025" spans="2:21" x14ac:dyDescent="0.2">
      <c r="B14025" s="203"/>
      <c r="C14025" s="237"/>
      <c r="D14025" s="202"/>
      <c r="E14025" s="202"/>
      <c r="U14025" s="204"/>
    </row>
    <row r="14026" spans="2:21" x14ac:dyDescent="0.2">
      <c r="B14026" s="203"/>
      <c r="C14026" s="237"/>
      <c r="D14026" s="202"/>
      <c r="E14026" s="202"/>
      <c r="U14026" s="204"/>
    </row>
    <row r="14027" spans="2:21" x14ac:dyDescent="0.2">
      <c r="B14027" s="203"/>
      <c r="C14027" s="237"/>
      <c r="D14027" s="202"/>
      <c r="E14027" s="202"/>
      <c r="U14027" s="204"/>
    </row>
    <row r="14028" spans="2:21" x14ac:dyDescent="0.2">
      <c r="B14028" s="203"/>
      <c r="C14028" s="237"/>
      <c r="D14028" s="202"/>
      <c r="E14028" s="202"/>
      <c r="U14028" s="204"/>
    </row>
    <row r="14029" spans="2:21" x14ac:dyDescent="0.2">
      <c r="B14029" s="203"/>
      <c r="C14029" s="237"/>
      <c r="D14029" s="202"/>
      <c r="E14029" s="202"/>
      <c r="U14029" s="204"/>
    </row>
    <row r="14030" spans="2:21" x14ac:dyDescent="0.2">
      <c r="B14030" s="203"/>
      <c r="C14030" s="237"/>
      <c r="D14030" s="202"/>
      <c r="E14030" s="202"/>
      <c r="U14030" s="204"/>
    </row>
    <row r="14031" spans="2:21" x14ac:dyDescent="0.2">
      <c r="B14031" s="203"/>
      <c r="C14031" s="237"/>
      <c r="D14031" s="202"/>
      <c r="E14031" s="202"/>
      <c r="U14031" s="204"/>
    </row>
    <row r="14032" spans="2:21" x14ac:dyDescent="0.2">
      <c r="B14032" s="203"/>
      <c r="C14032" s="237"/>
      <c r="D14032" s="202"/>
      <c r="E14032" s="202"/>
      <c r="U14032" s="204"/>
    </row>
    <row r="14033" spans="2:21" x14ac:dyDescent="0.2">
      <c r="B14033" s="203"/>
      <c r="C14033" s="237"/>
      <c r="D14033" s="202"/>
      <c r="E14033" s="202"/>
      <c r="U14033" s="204"/>
    </row>
    <row r="14034" spans="2:21" x14ac:dyDescent="0.2">
      <c r="B14034" s="203"/>
      <c r="C14034" s="237"/>
      <c r="D14034" s="202"/>
      <c r="E14034" s="202"/>
      <c r="U14034" s="204"/>
    </row>
    <row r="14035" spans="2:21" x14ac:dyDescent="0.2">
      <c r="B14035" s="203"/>
      <c r="C14035" s="237"/>
      <c r="D14035" s="202"/>
      <c r="E14035" s="202"/>
      <c r="U14035" s="204"/>
    </row>
    <row r="14036" spans="2:21" x14ac:dyDescent="0.2">
      <c r="B14036" s="203"/>
      <c r="C14036" s="237"/>
      <c r="D14036" s="202"/>
      <c r="E14036" s="202"/>
      <c r="U14036" s="204"/>
    </row>
    <row r="14037" spans="2:21" x14ac:dyDescent="0.2">
      <c r="B14037" s="203"/>
      <c r="C14037" s="237"/>
      <c r="D14037" s="202"/>
      <c r="E14037" s="202"/>
      <c r="U14037" s="204"/>
    </row>
    <row r="14038" spans="2:21" x14ac:dyDescent="0.2">
      <c r="B14038" s="203"/>
      <c r="C14038" s="237"/>
      <c r="D14038" s="202"/>
      <c r="E14038" s="202"/>
      <c r="U14038" s="204"/>
    </row>
    <row r="14039" spans="2:21" x14ac:dyDescent="0.2">
      <c r="B14039" s="203"/>
      <c r="C14039" s="237"/>
      <c r="D14039" s="202"/>
      <c r="E14039" s="202"/>
      <c r="U14039" s="204"/>
    </row>
    <row r="14040" spans="2:21" x14ac:dyDescent="0.2">
      <c r="B14040" s="203"/>
      <c r="C14040" s="237"/>
      <c r="D14040" s="202"/>
      <c r="E14040" s="202"/>
      <c r="U14040" s="204"/>
    </row>
    <row r="14041" spans="2:21" x14ac:dyDescent="0.2">
      <c r="B14041" s="203"/>
      <c r="C14041" s="237"/>
      <c r="D14041" s="202"/>
      <c r="E14041" s="202"/>
      <c r="U14041" s="204"/>
    </row>
    <row r="14042" spans="2:21" x14ac:dyDescent="0.2">
      <c r="B14042" s="203"/>
      <c r="C14042" s="237"/>
      <c r="D14042" s="202"/>
      <c r="E14042" s="202"/>
      <c r="U14042" s="204"/>
    </row>
    <row r="14043" spans="2:21" x14ac:dyDescent="0.2">
      <c r="B14043" s="203"/>
      <c r="C14043" s="237"/>
      <c r="D14043" s="202"/>
      <c r="E14043" s="202"/>
      <c r="U14043" s="204"/>
    </row>
    <row r="14044" spans="2:21" x14ac:dyDescent="0.2">
      <c r="B14044" s="203"/>
      <c r="C14044" s="237"/>
      <c r="D14044" s="202"/>
      <c r="E14044" s="202"/>
      <c r="U14044" s="204"/>
    </row>
    <row r="14045" spans="2:21" x14ac:dyDescent="0.2">
      <c r="B14045" s="203"/>
      <c r="C14045" s="237"/>
      <c r="D14045" s="202"/>
      <c r="E14045" s="202"/>
      <c r="U14045" s="204"/>
    </row>
    <row r="14046" spans="2:21" x14ac:dyDescent="0.2">
      <c r="B14046" s="203"/>
      <c r="C14046" s="237"/>
      <c r="D14046" s="202"/>
      <c r="E14046" s="202"/>
      <c r="U14046" s="204"/>
    </row>
    <row r="14047" spans="2:21" x14ac:dyDescent="0.2">
      <c r="B14047" s="203"/>
      <c r="C14047" s="237"/>
      <c r="D14047" s="202"/>
      <c r="E14047" s="202"/>
      <c r="U14047" s="204"/>
    </row>
    <row r="14048" spans="2:21" x14ac:dyDescent="0.2">
      <c r="B14048" s="203"/>
      <c r="C14048" s="237"/>
      <c r="D14048" s="202"/>
      <c r="E14048" s="202"/>
      <c r="U14048" s="204"/>
    </row>
    <row r="14049" spans="2:21" x14ac:dyDescent="0.2">
      <c r="B14049" s="203"/>
      <c r="C14049" s="237"/>
      <c r="D14049" s="202"/>
      <c r="E14049" s="202"/>
      <c r="U14049" s="204"/>
    </row>
    <row r="14050" spans="2:21" x14ac:dyDescent="0.2">
      <c r="B14050" s="203"/>
      <c r="C14050" s="237"/>
      <c r="D14050" s="202"/>
      <c r="E14050" s="202"/>
      <c r="U14050" s="204"/>
    </row>
    <row r="14051" spans="2:21" x14ac:dyDescent="0.2">
      <c r="B14051" s="203"/>
      <c r="C14051" s="237"/>
      <c r="D14051" s="202"/>
      <c r="E14051" s="202"/>
      <c r="U14051" s="204"/>
    </row>
    <row r="14052" spans="2:21" x14ac:dyDescent="0.2">
      <c r="B14052" s="203"/>
      <c r="C14052" s="237"/>
      <c r="D14052" s="202"/>
      <c r="E14052" s="202"/>
      <c r="U14052" s="204"/>
    </row>
    <row r="14053" spans="2:21" x14ac:dyDescent="0.2">
      <c r="B14053" s="203"/>
      <c r="C14053" s="237"/>
      <c r="D14053" s="202"/>
      <c r="E14053" s="202"/>
      <c r="U14053" s="204"/>
    </row>
    <row r="14054" spans="2:21" x14ac:dyDescent="0.2">
      <c r="B14054" s="203"/>
      <c r="C14054" s="237"/>
      <c r="D14054" s="202"/>
      <c r="E14054" s="202"/>
      <c r="U14054" s="204"/>
    </row>
    <row r="14055" spans="2:21" x14ac:dyDescent="0.2">
      <c r="B14055" s="203"/>
      <c r="C14055" s="237"/>
      <c r="D14055" s="202"/>
      <c r="E14055" s="202"/>
      <c r="U14055" s="204"/>
    </row>
    <row r="14056" spans="2:21" x14ac:dyDescent="0.2">
      <c r="B14056" s="203"/>
      <c r="C14056" s="237"/>
      <c r="D14056" s="202"/>
      <c r="E14056" s="202"/>
      <c r="U14056" s="204"/>
    </row>
    <row r="14057" spans="2:21" x14ac:dyDescent="0.2">
      <c r="B14057" s="203"/>
      <c r="C14057" s="237"/>
      <c r="D14057" s="202"/>
      <c r="E14057" s="202"/>
      <c r="U14057" s="204"/>
    </row>
    <row r="14058" spans="2:21" x14ac:dyDescent="0.2">
      <c r="B14058" s="203"/>
      <c r="C14058" s="237"/>
      <c r="D14058" s="202"/>
      <c r="E14058" s="202"/>
      <c r="U14058" s="204"/>
    </row>
    <row r="14059" spans="2:21" x14ac:dyDescent="0.2">
      <c r="B14059" s="203"/>
      <c r="C14059" s="237"/>
      <c r="D14059" s="202"/>
      <c r="E14059" s="202"/>
      <c r="U14059" s="204"/>
    </row>
    <row r="14060" spans="2:21" x14ac:dyDescent="0.2">
      <c r="B14060" s="203"/>
      <c r="C14060" s="237"/>
      <c r="D14060" s="202"/>
      <c r="E14060" s="202"/>
      <c r="U14060" s="204"/>
    </row>
    <row r="14061" spans="2:21" x14ac:dyDescent="0.2">
      <c r="B14061" s="203"/>
      <c r="C14061" s="237"/>
      <c r="D14061" s="202"/>
      <c r="E14061" s="202"/>
      <c r="U14061" s="204"/>
    </row>
    <row r="14062" spans="2:21" x14ac:dyDescent="0.2">
      <c r="B14062" s="203"/>
      <c r="C14062" s="237"/>
      <c r="D14062" s="202"/>
      <c r="E14062" s="202"/>
      <c r="U14062" s="204"/>
    </row>
    <row r="14063" spans="2:21" x14ac:dyDescent="0.2">
      <c r="B14063" s="203"/>
      <c r="C14063" s="237"/>
      <c r="D14063" s="202"/>
      <c r="E14063" s="202"/>
      <c r="U14063" s="204"/>
    </row>
    <row r="14064" spans="2:21" x14ac:dyDescent="0.2">
      <c r="B14064" s="203"/>
      <c r="C14064" s="237"/>
      <c r="D14064" s="202"/>
      <c r="E14064" s="202"/>
      <c r="U14064" s="204"/>
    </row>
    <row r="14065" spans="2:21" x14ac:dyDescent="0.2">
      <c r="B14065" s="203"/>
      <c r="C14065" s="237"/>
      <c r="D14065" s="202"/>
      <c r="E14065" s="202"/>
      <c r="U14065" s="204"/>
    </row>
    <row r="14066" spans="2:21" x14ac:dyDescent="0.2">
      <c r="B14066" s="203"/>
      <c r="C14066" s="237"/>
      <c r="D14066" s="202"/>
      <c r="E14066" s="202"/>
      <c r="U14066" s="204"/>
    </row>
    <row r="14067" spans="2:21" x14ac:dyDescent="0.2">
      <c r="B14067" s="203"/>
      <c r="C14067" s="237"/>
      <c r="D14067" s="202"/>
      <c r="E14067" s="202"/>
      <c r="U14067" s="204"/>
    </row>
    <row r="14068" spans="2:21" x14ac:dyDescent="0.2">
      <c r="B14068" s="203"/>
      <c r="C14068" s="237"/>
      <c r="D14068" s="202"/>
      <c r="E14068" s="202"/>
      <c r="U14068" s="204"/>
    </row>
    <row r="14069" spans="2:21" x14ac:dyDescent="0.2">
      <c r="B14069" s="203"/>
      <c r="C14069" s="237"/>
      <c r="D14069" s="202"/>
      <c r="E14069" s="202"/>
      <c r="U14069" s="204"/>
    </row>
    <row r="14070" spans="2:21" x14ac:dyDescent="0.2">
      <c r="B14070" s="203"/>
      <c r="C14070" s="237"/>
      <c r="D14070" s="202"/>
      <c r="E14070" s="202"/>
      <c r="U14070" s="204"/>
    </row>
    <row r="14071" spans="2:21" x14ac:dyDescent="0.2">
      <c r="B14071" s="203"/>
      <c r="C14071" s="237"/>
      <c r="D14071" s="202"/>
      <c r="E14071" s="202"/>
      <c r="U14071" s="204"/>
    </row>
    <row r="14072" spans="2:21" x14ac:dyDescent="0.2">
      <c r="B14072" s="203"/>
      <c r="C14072" s="237"/>
      <c r="D14072" s="202"/>
      <c r="E14072" s="202"/>
      <c r="U14072" s="204"/>
    </row>
    <row r="14073" spans="2:21" x14ac:dyDescent="0.2">
      <c r="B14073" s="203"/>
      <c r="C14073" s="237"/>
      <c r="D14073" s="202"/>
      <c r="E14073" s="202"/>
      <c r="U14073" s="204"/>
    </row>
    <row r="14074" spans="2:21" x14ac:dyDescent="0.2">
      <c r="B14074" s="203"/>
      <c r="C14074" s="237"/>
      <c r="D14074" s="202"/>
      <c r="E14074" s="202"/>
      <c r="U14074" s="204"/>
    </row>
    <row r="14075" spans="2:21" x14ac:dyDescent="0.2">
      <c r="B14075" s="203"/>
      <c r="C14075" s="237"/>
      <c r="D14075" s="202"/>
      <c r="E14075" s="202"/>
      <c r="U14075" s="204"/>
    </row>
    <row r="14076" spans="2:21" x14ac:dyDescent="0.2">
      <c r="B14076" s="203"/>
      <c r="C14076" s="237"/>
      <c r="D14076" s="202"/>
      <c r="E14076" s="202"/>
      <c r="U14076" s="204"/>
    </row>
    <row r="14077" spans="2:21" x14ac:dyDescent="0.2">
      <c r="B14077" s="203"/>
      <c r="C14077" s="237"/>
      <c r="D14077" s="202"/>
      <c r="E14077" s="202"/>
      <c r="U14077" s="204"/>
    </row>
    <row r="14078" spans="2:21" x14ac:dyDescent="0.2">
      <c r="B14078" s="203"/>
      <c r="C14078" s="237"/>
      <c r="D14078" s="202"/>
      <c r="E14078" s="202"/>
      <c r="U14078" s="204"/>
    </row>
    <row r="14079" spans="2:21" x14ac:dyDescent="0.2">
      <c r="B14079" s="203"/>
      <c r="C14079" s="237"/>
      <c r="D14079" s="202"/>
      <c r="E14079" s="202"/>
      <c r="U14079" s="204"/>
    </row>
    <row r="14080" spans="2:21" x14ac:dyDescent="0.2">
      <c r="B14080" s="203"/>
      <c r="C14080" s="237"/>
      <c r="D14080" s="202"/>
      <c r="E14080" s="202"/>
      <c r="U14080" s="204"/>
    </row>
    <row r="14081" spans="2:21" x14ac:dyDescent="0.2">
      <c r="B14081" s="203"/>
      <c r="C14081" s="237"/>
      <c r="D14081" s="202"/>
      <c r="E14081" s="202"/>
      <c r="U14081" s="204"/>
    </row>
    <row r="14082" spans="2:21" x14ac:dyDescent="0.2">
      <c r="B14082" s="203"/>
      <c r="C14082" s="237"/>
      <c r="D14082" s="202"/>
      <c r="E14082" s="202"/>
      <c r="U14082" s="204"/>
    </row>
    <row r="14083" spans="2:21" x14ac:dyDescent="0.2">
      <c r="B14083" s="203"/>
      <c r="C14083" s="237"/>
      <c r="D14083" s="202"/>
      <c r="E14083" s="202"/>
      <c r="U14083" s="204"/>
    </row>
    <row r="14084" spans="2:21" x14ac:dyDescent="0.2">
      <c r="B14084" s="203"/>
      <c r="C14084" s="237"/>
      <c r="D14084" s="202"/>
      <c r="E14084" s="202"/>
      <c r="U14084" s="204"/>
    </row>
    <row r="14085" spans="2:21" x14ac:dyDescent="0.2">
      <c r="B14085" s="203"/>
      <c r="C14085" s="237"/>
      <c r="D14085" s="202"/>
      <c r="E14085" s="202"/>
      <c r="U14085" s="204"/>
    </row>
    <row r="14086" spans="2:21" x14ac:dyDescent="0.2">
      <c r="B14086" s="203"/>
      <c r="C14086" s="237"/>
      <c r="D14086" s="202"/>
      <c r="E14086" s="202"/>
      <c r="U14086" s="204"/>
    </row>
    <row r="14087" spans="2:21" x14ac:dyDescent="0.2">
      <c r="B14087" s="203"/>
      <c r="C14087" s="237"/>
      <c r="D14087" s="202"/>
      <c r="E14087" s="202"/>
      <c r="U14087" s="204"/>
    </row>
    <row r="14088" spans="2:21" x14ac:dyDescent="0.2">
      <c r="B14088" s="203"/>
      <c r="C14088" s="237"/>
      <c r="D14088" s="202"/>
      <c r="E14088" s="202"/>
      <c r="U14088" s="204"/>
    </row>
    <row r="14089" spans="2:21" x14ac:dyDescent="0.2">
      <c r="B14089" s="203"/>
      <c r="C14089" s="237"/>
      <c r="D14089" s="202"/>
      <c r="E14089" s="202"/>
      <c r="U14089" s="204"/>
    </row>
    <row r="14090" spans="2:21" x14ac:dyDescent="0.2">
      <c r="B14090" s="203"/>
      <c r="C14090" s="237"/>
      <c r="D14090" s="202"/>
      <c r="E14090" s="202"/>
      <c r="U14090" s="204"/>
    </row>
    <row r="14091" spans="2:21" x14ac:dyDescent="0.2">
      <c r="B14091" s="203"/>
      <c r="C14091" s="237"/>
      <c r="D14091" s="202"/>
      <c r="E14091" s="202"/>
      <c r="U14091" s="204"/>
    </row>
    <row r="14092" spans="2:21" x14ac:dyDescent="0.2">
      <c r="B14092" s="203"/>
      <c r="C14092" s="237"/>
      <c r="D14092" s="202"/>
      <c r="E14092" s="202"/>
      <c r="U14092" s="204"/>
    </row>
    <row r="14093" spans="2:21" x14ac:dyDescent="0.2">
      <c r="B14093" s="203"/>
      <c r="C14093" s="237"/>
      <c r="D14093" s="202"/>
      <c r="E14093" s="202"/>
      <c r="U14093" s="204"/>
    </row>
    <row r="14094" spans="2:21" x14ac:dyDescent="0.2">
      <c r="B14094" s="203"/>
      <c r="C14094" s="237"/>
      <c r="D14094" s="202"/>
      <c r="E14094" s="202"/>
      <c r="U14094" s="204"/>
    </row>
    <row r="14095" spans="2:21" x14ac:dyDescent="0.2">
      <c r="B14095" s="203"/>
      <c r="C14095" s="237"/>
      <c r="D14095" s="202"/>
      <c r="E14095" s="202"/>
      <c r="U14095" s="204"/>
    </row>
    <row r="14096" spans="2:21" x14ac:dyDescent="0.2">
      <c r="B14096" s="203"/>
      <c r="C14096" s="237"/>
      <c r="D14096" s="202"/>
      <c r="E14096" s="202"/>
      <c r="U14096" s="204"/>
    </row>
    <row r="14097" spans="2:21" x14ac:dyDescent="0.2">
      <c r="B14097" s="203"/>
      <c r="C14097" s="237"/>
      <c r="D14097" s="202"/>
      <c r="E14097" s="202"/>
      <c r="U14097" s="204"/>
    </row>
    <row r="14098" spans="2:21" x14ac:dyDescent="0.2">
      <c r="B14098" s="203"/>
      <c r="C14098" s="237"/>
      <c r="D14098" s="202"/>
      <c r="E14098" s="202"/>
      <c r="U14098" s="204"/>
    </row>
    <row r="14099" spans="2:21" x14ac:dyDescent="0.2">
      <c r="B14099" s="203"/>
      <c r="C14099" s="237"/>
      <c r="D14099" s="202"/>
      <c r="E14099" s="202"/>
      <c r="U14099" s="204"/>
    </row>
    <row r="14100" spans="2:21" x14ac:dyDescent="0.2">
      <c r="B14100" s="203"/>
      <c r="C14100" s="237"/>
      <c r="D14100" s="202"/>
      <c r="E14100" s="202"/>
      <c r="U14100" s="204"/>
    </row>
    <row r="14101" spans="2:21" x14ac:dyDescent="0.2">
      <c r="B14101" s="203"/>
      <c r="C14101" s="237"/>
      <c r="D14101" s="202"/>
      <c r="E14101" s="202"/>
      <c r="U14101" s="204"/>
    </row>
    <row r="14102" spans="2:21" x14ac:dyDescent="0.2">
      <c r="B14102" s="203"/>
      <c r="C14102" s="237"/>
      <c r="D14102" s="202"/>
      <c r="E14102" s="202"/>
      <c r="U14102" s="204"/>
    </row>
    <row r="14103" spans="2:21" x14ac:dyDescent="0.2">
      <c r="B14103" s="203"/>
      <c r="C14103" s="237"/>
      <c r="D14103" s="202"/>
      <c r="E14103" s="202"/>
      <c r="U14103" s="204"/>
    </row>
    <row r="14104" spans="2:21" x14ac:dyDescent="0.2">
      <c r="B14104" s="203"/>
      <c r="C14104" s="237"/>
      <c r="D14104" s="202"/>
      <c r="E14104" s="202"/>
      <c r="U14104" s="204"/>
    </row>
    <row r="14105" spans="2:21" x14ac:dyDescent="0.2">
      <c r="B14105" s="203"/>
      <c r="C14105" s="237"/>
      <c r="D14105" s="202"/>
      <c r="E14105" s="202"/>
      <c r="U14105" s="204"/>
    </row>
    <row r="14106" spans="2:21" x14ac:dyDescent="0.2">
      <c r="B14106" s="203"/>
      <c r="C14106" s="237"/>
      <c r="D14106" s="202"/>
      <c r="E14106" s="202"/>
      <c r="U14106" s="204"/>
    </row>
    <row r="14107" spans="2:21" x14ac:dyDescent="0.2">
      <c r="B14107" s="203"/>
      <c r="C14107" s="237"/>
      <c r="D14107" s="202"/>
      <c r="E14107" s="202"/>
      <c r="U14107" s="204"/>
    </row>
    <row r="14108" spans="2:21" x14ac:dyDescent="0.2">
      <c r="B14108" s="203"/>
      <c r="C14108" s="237"/>
      <c r="D14108" s="202"/>
      <c r="E14108" s="202"/>
      <c r="U14108" s="204"/>
    </row>
    <row r="14109" spans="2:21" x14ac:dyDescent="0.2">
      <c r="B14109" s="203"/>
      <c r="C14109" s="237"/>
      <c r="D14109" s="202"/>
      <c r="E14109" s="202"/>
      <c r="U14109" s="204"/>
    </row>
    <row r="14110" spans="2:21" x14ac:dyDescent="0.2">
      <c r="B14110" s="203"/>
      <c r="C14110" s="237"/>
      <c r="D14110" s="202"/>
      <c r="E14110" s="202"/>
      <c r="U14110" s="204"/>
    </row>
    <row r="14111" spans="2:21" x14ac:dyDescent="0.2">
      <c r="B14111" s="203"/>
      <c r="C14111" s="237"/>
      <c r="D14111" s="202"/>
      <c r="E14111" s="202"/>
      <c r="U14111" s="204"/>
    </row>
    <row r="14112" spans="2:21" x14ac:dyDescent="0.2">
      <c r="B14112" s="203"/>
      <c r="C14112" s="237"/>
      <c r="D14112" s="202"/>
      <c r="E14112" s="202"/>
      <c r="U14112" s="204"/>
    </row>
    <row r="14113" spans="2:21" x14ac:dyDescent="0.2">
      <c r="B14113" s="203"/>
      <c r="C14113" s="237"/>
      <c r="D14113" s="202"/>
      <c r="E14113" s="202"/>
      <c r="U14113" s="204"/>
    </row>
    <row r="14114" spans="2:21" x14ac:dyDescent="0.2">
      <c r="B14114" s="203"/>
      <c r="C14114" s="237"/>
      <c r="D14114" s="202"/>
      <c r="E14114" s="202"/>
      <c r="U14114" s="204"/>
    </row>
    <row r="14115" spans="2:21" x14ac:dyDescent="0.2">
      <c r="B14115" s="203"/>
      <c r="C14115" s="237"/>
      <c r="D14115" s="202"/>
      <c r="E14115" s="202"/>
      <c r="U14115" s="204"/>
    </row>
    <row r="14116" spans="2:21" x14ac:dyDescent="0.2">
      <c r="B14116" s="203"/>
      <c r="C14116" s="237"/>
      <c r="D14116" s="202"/>
      <c r="E14116" s="202"/>
      <c r="U14116" s="204"/>
    </row>
    <row r="14117" spans="2:21" x14ac:dyDescent="0.2">
      <c r="B14117" s="203"/>
      <c r="C14117" s="237"/>
      <c r="D14117" s="202"/>
      <c r="E14117" s="202"/>
      <c r="U14117" s="204"/>
    </row>
    <row r="14118" spans="2:21" x14ac:dyDescent="0.2">
      <c r="B14118" s="203"/>
      <c r="C14118" s="237"/>
      <c r="D14118" s="202"/>
      <c r="E14118" s="202"/>
      <c r="U14118" s="204"/>
    </row>
    <row r="14119" spans="2:21" x14ac:dyDescent="0.2">
      <c r="B14119" s="203"/>
      <c r="C14119" s="237"/>
      <c r="D14119" s="202"/>
      <c r="E14119" s="202"/>
      <c r="U14119" s="204"/>
    </row>
    <row r="14120" spans="2:21" x14ac:dyDescent="0.2">
      <c r="B14120" s="203"/>
      <c r="C14120" s="237"/>
      <c r="D14120" s="202"/>
      <c r="E14120" s="202"/>
      <c r="U14120" s="204"/>
    </row>
    <row r="14121" spans="2:21" x14ac:dyDescent="0.2">
      <c r="B14121" s="203"/>
      <c r="C14121" s="237"/>
      <c r="D14121" s="202"/>
      <c r="E14121" s="202"/>
      <c r="U14121" s="204"/>
    </row>
    <row r="14122" spans="2:21" x14ac:dyDescent="0.2">
      <c r="B14122" s="203"/>
      <c r="C14122" s="237"/>
      <c r="D14122" s="202"/>
      <c r="E14122" s="202"/>
      <c r="U14122" s="204"/>
    </row>
    <row r="14123" spans="2:21" x14ac:dyDescent="0.2">
      <c r="B14123" s="203"/>
      <c r="C14123" s="237"/>
      <c r="D14123" s="202"/>
      <c r="E14123" s="202"/>
      <c r="U14123" s="204"/>
    </row>
    <row r="14124" spans="2:21" x14ac:dyDescent="0.2">
      <c r="B14124" s="203"/>
      <c r="C14124" s="237"/>
      <c r="D14124" s="202"/>
      <c r="E14124" s="202"/>
      <c r="U14124" s="204"/>
    </row>
    <row r="14125" spans="2:21" x14ac:dyDescent="0.2">
      <c r="B14125" s="203"/>
      <c r="C14125" s="237"/>
      <c r="D14125" s="202"/>
      <c r="E14125" s="202"/>
      <c r="U14125" s="204"/>
    </row>
    <row r="14126" spans="2:21" x14ac:dyDescent="0.2">
      <c r="B14126" s="203"/>
      <c r="C14126" s="237"/>
      <c r="D14126" s="202"/>
      <c r="E14126" s="202"/>
      <c r="U14126" s="204"/>
    </row>
    <row r="14127" spans="2:21" x14ac:dyDescent="0.2">
      <c r="B14127" s="203"/>
      <c r="C14127" s="237"/>
      <c r="D14127" s="202"/>
      <c r="E14127" s="202"/>
      <c r="U14127" s="204"/>
    </row>
    <row r="14128" spans="2:21" x14ac:dyDescent="0.2">
      <c r="B14128" s="203"/>
      <c r="C14128" s="237"/>
      <c r="D14128" s="202"/>
      <c r="E14128" s="202"/>
      <c r="U14128" s="204"/>
    </row>
    <row r="14129" spans="2:21" x14ac:dyDescent="0.2">
      <c r="B14129" s="203"/>
      <c r="C14129" s="237"/>
      <c r="D14129" s="202"/>
      <c r="E14129" s="202"/>
      <c r="U14129" s="204"/>
    </row>
    <row r="14130" spans="2:21" x14ac:dyDescent="0.2">
      <c r="B14130" s="203"/>
      <c r="C14130" s="237"/>
      <c r="D14130" s="202"/>
      <c r="E14130" s="202"/>
      <c r="U14130" s="204"/>
    </row>
    <row r="14131" spans="2:21" x14ac:dyDescent="0.2">
      <c r="B14131" s="203"/>
      <c r="C14131" s="237"/>
      <c r="D14131" s="202"/>
      <c r="E14131" s="202"/>
      <c r="U14131" s="204"/>
    </row>
    <row r="14132" spans="2:21" x14ac:dyDescent="0.2">
      <c r="B14132" s="203"/>
      <c r="C14132" s="237"/>
      <c r="D14132" s="202"/>
      <c r="E14132" s="202"/>
      <c r="U14132" s="204"/>
    </row>
    <row r="14133" spans="2:21" x14ac:dyDescent="0.2">
      <c r="B14133" s="203"/>
      <c r="C14133" s="237"/>
      <c r="D14133" s="202"/>
      <c r="E14133" s="202"/>
      <c r="U14133" s="204"/>
    </row>
    <row r="14134" spans="2:21" x14ac:dyDescent="0.2">
      <c r="B14134" s="203"/>
      <c r="C14134" s="237"/>
      <c r="D14134" s="202"/>
      <c r="E14134" s="202"/>
      <c r="U14134" s="204"/>
    </row>
    <row r="14135" spans="2:21" x14ac:dyDescent="0.2">
      <c r="B14135" s="203"/>
      <c r="C14135" s="237"/>
      <c r="D14135" s="202"/>
      <c r="E14135" s="202"/>
      <c r="U14135" s="204"/>
    </row>
    <row r="14136" spans="2:21" x14ac:dyDescent="0.2">
      <c r="B14136" s="203"/>
      <c r="C14136" s="237"/>
      <c r="D14136" s="202"/>
      <c r="E14136" s="202"/>
      <c r="U14136" s="204"/>
    </row>
    <row r="14137" spans="2:21" x14ac:dyDescent="0.2">
      <c r="B14137" s="203"/>
      <c r="C14137" s="237"/>
      <c r="D14137" s="202"/>
      <c r="E14137" s="202"/>
      <c r="U14137" s="204"/>
    </row>
    <row r="14138" spans="2:21" x14ac:dyDescent="0.2">
      <c r="B14138" s="203"/>
      <c r="C14138" s="237"/>
      <c r="D14138" s="202"/>
      <c r="E14138" s="202"/>
      <c r="U14138" s="204"/>
    </row>
    <row r="14139" spans="2:21" x14ac:dyDescent="0.2">
      <c r="B14139" s="203"/>
      <c r="C14139" s="237"/>
      <c r="D14139" s="202"/>
      <c r="E14139" s="202"/>
      <c r="U14139" s="204"/>
    </row>
    <row r="14140" spans="2:21" x14ac:dyDescent="0.2">
      <c r="B14140" s="203"/>
      <c r="C14140" s="237"/>
      <c r="D14140" s="202"/>
      <c r="E14140" s="202"/>
      <c r="U14140" s="204"/>
    </row>
    <row r="14141" spans="2:21" x14ac:dyDescent="0.2">
      <c r="B14141" s="203"/>
      <c r="C14141" s="237"/>
      <c r="D14141" s="202"/>
      <c r="E14141" s="202"/>
      <c r="U14141" s="204"/>
    </row>
    <row r="14142" spans="2:21" x14ac:dyDescent="0.2">
      <c r="B14142" s="203"/>
      <c r="C14142" s="237"/>
      <c r="D14142" s="202"/>
      <c r="E14142" s="202"/>
      <c r="U14142" s="204"/>
    </row>
    <row r="14143" spans="2:21" x14ac:dyDescent="0.2">
      <c r="B14143" s="203"/>
      <c r="C14143" s="237"/>
      <c r="D14143" s="202"/>
      <c r="E14143" s="202"/>
      <c r="U14143" s="204"/>
    </row>
    <row r="14144" spans="2:21" x14ac:dyDescent="0.2">
      <c r="B14144" s="203"/>
      <c r="C14144" s="237"/>
      <c r="D14144" s="202"/>
      <c r="E14144" s="202"/>
      <c r="U14144" s="204"/>
    </row>
    <row r="14145" spans="2:21" x14ac:dyDescent="0.2">
      <c r="B14145" s="203"/>
      <c r="C14145" s="237"/>
      <c r="D14145" s="202"/>
      <c r="E14145" s="202"/>
      <c r="U14145" s="204"/>
    </row>
    <row r="14146" spans="2:21" x14ac:dyDescent="0.2">
      <c r="B14146" s="203"/>
      <c r="C14146" s="237"/>
      <c r="D14146" s="202"/>
      <c r="E14146" s="202"/>
      <c r="U14146" s="204"/>
    </row>
    <row r="14147" spans="2:21" x14ac:dyDescent="0.2">
      <c r="B14147" s="203"/>
      <c r="C14147" s="237"/>
      <c r="D14147" s="202"/>
      <c r="E14147" s="202"/>
      <c r="U14147" s="204"/>
    </row>
    <row r="14148" spans="2:21" x14ac:dyDescent="0.2">
      <c r="B14148" s="203"/>
      <c r="C14148" s="237"/>
      <c r="D14148" s="202"/>
      <c r="E14148" s="202"/>
      <c r="U14148" s="204"/>
    </row>
    <row r="14149" spans="2:21" x14ac:dyDescent="0.2">
      <c r="B14149" s="203"/>
      <c r="C14149" s="237"/>
      <c r="D14149" s="202"/>
      <c r="E14149" s="202"/>
      <c r="U14149" s="204"/>
    </row>
    <row r="14150" spans="2:21" x14ac:dyDescent="0.2">
      <c r="B14150" s="203"/>
      <c r="C14150" s="237"/>
      <c r="D14150" s="202"/>
      <c r="E14150" s="202"/>
      <c r="U14150" s="204"/>
    </row>
    <row r="14151" spans="2:21" x14ac:dyDescent="0.2">
      <c r="B14151" s="203"/>
      <c r="C14151" s="237"/>
      <c r="D14151" s="202"/>
      <c r="E14151" s="202"/>
      <c r="U14151" s="204"/>
    </row>
    <row r="14152" spans="2:21" x14ac:dyDescent="0.2">
      <c r="B14152" s="203"/>
      <c r="C14152" s="237"/>
      <c r="D14152" s="202"/>
      <c r="E14152" s="202"/>
      <c r="U14152" s="204"/>
    </row>
    <row r="14153" spans="2:21" x14ac:dyDescent="0.2">
      <c r="B14153" s="203"/>
      <c r="C14153" s="237"/>
      <c r="D14153" s="202"/>
      <c r="E14153" s="202"/>
      <c r="U14153" s="204"/>
    </row>
    <row r="14154" spans="2:21" x14ac:dyDescent="0.2">
      <c r="B14154" s="203"/>
      <c r="C14154" s="237"/>
      <c r="D14154" s="202"/>
      <c r="E14154" s="202"/>
      <c r="U14154" s="204"/>
    </row>
    <row r="14155" spans="2:21" x14ac:dyDescent="0.2">
      <c r="B14155" s="203"/>
      <c r="C14155" s="237"/>
      <c r="D14155" s="202"/>
      <c r="E14155" s="202"/>
      <c r="U14155" s="204"/>
    </row>
    <row r="14156" spans="2:21" x14ac:dyDescent="0.2">
      <c r="B14156" s="203"/>
      <c r="C14156" s="237"/>
      <c r="D14156" s="202"/>
      <c r="E14156" s="202"/>
      <c r="U14156" s="204"/>
    </row>
    <row r="14157" spans="2:21" x14ac:dyDescent="0.2">
      <c r="B14157" s="203"/>
      <c r="C14157" s="237"/>
      <c r="D14157" s="202"/>
      <c r="E14157" s="202"/>
      <c r="U14157" s="204"/>
    </row>
    <row r="14158" spans="2:21" x14ac:dyDescent="0.2">
      <c r="B14158" s="203"/>
      <c r="C14158" s="237"/>
      <c r="D14158" s="202"/>
      <c r="E14158" s="202"/>
      <c r="U14158" s="204"/>
    </row>
    <row r="14159" spans="2:21" x14ac:dyDescent="0.2">
      <c r="B14159" s="203"/>
      <c r="C14159" s="237"/>
      <c r="D14159" s="202"/>
      <c r="E14159" s="202"/>
      <c r="U14159" s="204"/>
    </row>
    <row r="14160" spans="2:21" x14ac:dyDescent="0.2">
      <c r="B14160" s="203"/>
      <c r="C14160" s="237"/>
      <c r="D14160" s="202"/>
      <c r="E14160" s="202"/>
      <c r="U14160" s="204"/>
    </row>
    <row r="14161" spans="2:21" x14ac:dyDescent="0.2">
      <c r="B14161" s="203"/>
      <c r="C14161" s="237"/>
      <c r="D14161" s="202"/>
      <c r="E14161" s="202"/>
      <c r="U14161" s="204"/>
    </row>
    <row r="14162" spans="2:21" x14ac:dyDescent="0.2">
      <c r="B14162" s="203"/>
      <c r="C14162" s="237"/>
      <c r="D14162" s="202"/>
      <c r="E14162" s="202"/>
      <c r="U14162" s="204"/>
    </row>
    <row r="14163" spans="2:21" x14ac:dyDescent="0.2">
      <c r="B14163" s="203"/>
      <c r="C14163" s="237"/>
      <c r="D14163" s="202"/>
      <c r="E14163" s="202"/>
      <c r="U14163" s="204"/>
    </row>
    <row r="14164" spans="2:21" x14ac:dyDescent="0.2">
      <c r="B14164" s="203"/>
      <c r="C14164" s="237"/>
      <c r="D14164" s="202"/>
      <c r="E14164" s="202"/>
      <c r="U14164" s="204"/>
    </row>
    <row r="14165" spans="2:21" x14ac:dyDescent="0.2">
      <c r="B14165" s="203"/>
      <c r="C14165" s="237"/>
      <c r="D14165" s="202"/>
      <c r="E14165" s="202"/>
      <c r="U14165" s="204"/>
    </row>
    <row r="14166" spans="2:21" x14ac:dyDescent="0.2">
      <c r="B14166" s="203"/>
      <c r="C14166" s="237"/>
      <c r="D14166" s="202"/>
      <c r="E14166" s="202"/>
      <c r="U14166" s="204"/>
    </row>
    <row r="14167" spans="2:21" x14ac:dyDescent="0.2">
      <c r="B14167" s="203"/>
      <c r="C14167" s="237"/>
      <c r="D14167" s="202"/>
      <c r="E14167" s="202"/>
      <c r="U14167" s="204"/>
    </row>
    <row r="14168" spans="2:21" x14ac:dyDescent="0.2">
      <c r="B14168" s="203"/>
      <c r="C14168" s="237"/>
      <c r="D14168" s="202"/>
      <c r="E14168" s="202"/>
      <c r="U14168" s="204"/>
    </row>
    <row r="14169" spans="2:21" x14ac:dyDescent="0.2">
      <c r="B14169" s="203"/>
      <c r="C14169" s="237"/>
      <c r="D14169" s="202"/>
      <c r="E14169" s="202"/>
      <c r="U14169" s="204"/>
    </row>
    <row r="14170" spans="2:21" x14ac:dyDescent="0.2">
      <c r="B14170" s="203"/>
      <c r="C14170" s="237"/>
      <c r="D14170" s="202"/>
      <c r="E14170" s="202"/>
      <c r="U14170" s="204"/>
    </row>
    <row r="14171" spans="2:21" x14ac:dyDescent="0.2">
      <c r="B14171" s="203"/>
      <c r="C14171" s="237"/>
      <c r="D14171" s="202"/>
      <c r="E14171" s="202"/>
      <c r="U14171" s="204"/>
    </row>
    <row r="14172" spans="2:21" x14ac:dyDescent="0.2">
      <c r="B14172" s="203"/>
      <c r="C14172" s="237"/>
      <c r="D14172" s="202"/>
      <c r="E14172" s="202"/>
      <c r="U14172" s="204"/>
    </row>
    <row r="14173" spans="2:21" x14ac:dyDescent="0.2">
      <c r="B14173" s="203"/>
      <c r="C14173" s="237"/>
      <c r="D14173" s="202"/>
      <c r="E14173" s="202"/>
      <c r="U14173" s="204"/>
    </row>
    <row r="14174" spans="2:21" x14ac:dyDescent="0.2">
      <c r="B14174" s="203"/>
      <c r="C14174" s="237"/>
      <c r="D14174" s="202"/>
      <c r="E14174" s="202"/>
      <c r="U14174" s="204"/>
    </row>
    <row r="14175" spans="2:21" x14ac:dyDescent="0.2">
      <c r="B14175" s="203"/>
      <c r="C14175" s="237"/>
      <c r="D14175" s="202"/>
      <c r="E14175" s="202"/>
      <c r="U14175" s="204"/>
    </row>
    <row r="14176" spans="2:21" x14ac:dyDescent="0.2">
      <c r="B14176" s="203"/>
      <c r="C14176" s="237"/>
      <c r="D14176" s="202"/>
      <c r="E14176" s="202"/>
      <c r="U14176" s="204"/>
    </row>
    <row r="14177" spans="2:21" x14ac:dyDescent="0.2">
      <c r="B14177" s="203"/>
      <c r="C14177" s="237"/>
      <c r="D14177" s="202"/>
      <c r="E14177" s="202"/>
      <c r="U14177" s="204"/>
    </row>
    <row r="14178" spans="2:21" x14ac:dyDescent="0.2">
      <c r="B14178" s="203"/>
      <c r="C14178" s="237"/>
      <c r="D14178" s="202"/>
      <c r="E14178" s="202"/>
      <c r="U14178" s="204"/>
    </row>
    <row r="14179" spans="2:21" x14ac:dyDescent="0.2">
      <c r="B14179" s="203"/>
      <c r="C14179" s="237"/>
      <c r="D14179" s="202"/>
      <c r="E14179" s="202"/>
      <c r="U14179" s="204"/>
    </row>
    <row r="14180" spans="2:21" x14ac:dyDescent="0.2">
      <c r="B14180" s="203"/>
      <c r="C14180" s="237"/>
      <c r="D14180" s="202"/>
      <c r="E14180" s="202"/>
      <c r="U14180" s="204"/>
    </row>
    <row r="14181" spans="2:21" x14ac:dyDescent="0.2">
      <c r="B14181" s="203"/>
      <c r="C14181" s="237"/>
      <c r="D14181" s="202"/>
      <c r="E14181" s="202"/>
      <c r="U14181" s="204"/>
    </row>
    <row r="14182" spans="2:21" x14ac:dyDescent="0.2">
      <c r="B14182" s="203"/>
      <c r="C14182" s="237"/>
      <c r="D14182" s="202"/>
      <c r="E14182" s="202"/>
      <c r="U14182" s="204"/>
    </row>
    <row r="14183" spans="2:21" x14ac:dyDescent="0.2">
      <c r="B14183" s="203"/>
      <c r="C14183" s="237"/>
      <c r="D14183" s="202"/>
      <c r="E14183" s="202"/>
      <c r="U14183" s="204"/>
    </row>
    <row r="14184" spans="2:21" x14ac:dyDescent="0.2">
      <c r="B14184" s="203"/>
      <c r="C14184" s="237"/>
      <c r="D14184" s="202"/>
      <c r="E14184" s="202"/>
      <c r="U14184" s="204"/>
    </row>
    <row r="14185" spans="2:21" x14ac:dyDescent="0.2">
      <c r="B14185" s="203"/>
      <c r="C14185" s="237"/>
      <c r="D14185" s="202"/>
      <c r="E14185" s="202"/>
      <c r="U14185" s="204"/>
    </row>
    <row r="14186" spans="2:21" x14ac:dyDescent="0.2">
      <c r="B14186" s="203"/>
      <c r="C14186" s="237"/>
      <c r="D14186" s="202"/>
      <c r="E14186" s="202"/>
      <c r="U14186" s="204"/>
    </row>
    <row r="14187" spans="2:21" x14ac:dyDescent="0.2">
      <c r="B14187" s="203"/>
      <c r="C14187" s="237"/>
      <c r="D14187" s="202"/>
      <c r="E14187" s="202"/>
      <c r="U14187" s="204"/>
    </row>
    <row r="14188" spans="2:21" x14ac:dyDescent="0.2">
      <c r="B14188" s="203"/>
      <c r="C14188" s="237"/>
      <c r="D14188" s="202"/>
      <c r="E14188" s="202"/>
      <c r="U14188" s="204"/>
    </row>
    <row r="14189" spans="2:21" x14ac:dyDescent="0.2">
      <c r="B14189" s="203"/>
      <c r="C14189" s="237"/>
      <c r="D14189" s="202"/>
      <c r="E14189" s="202"/>
      <c r="U14189" s="204"/>
    </row>
    <row r="14190" spans="2:21" x14ac:dyDescent="0.2">
      <c r="B14190" s="203"/>
      <c r="C14190" s="237"/>
      <c r="D14190" s="202"/>
      <c r="E14190" s="202"/>
      <c r="U14190" s="204"/>
    </row>
    <row r="14191" spans="2:21" x14ac:dyDescent="0.2">
      <c r="B14191" s="203"/>
      <c r="C14191" s="237"/>
      <c r="D14191" s="202"/>
      <c r="E14191" s="202"/>
      <c r="U14191" s="204"/>
    </row>
    <row r="14192" spans="2:21" x14ac:dyDescent="0.2">
      <c r="B14192" s="203"/>
      <c r="C14192" s="237"/>
      <c r="D14192" s="202"/>
      <c r="E14192" s="202"/>
      <c r="U14192" s="204"/>
    </row>
    <row r="14193" spans="2:21" x14ac:dyDescent="0.2">
      <c r="B14193" s="203"/>
      <c r="C14193" s="237"/>
      <c r="D14193" s="202"/>
      <c r="E14193" s="202"/>
      <c r="U14193" s="204"/>
    </row>
    <row r="14194" spans="2:21" x14ac:dyDescent="0.2">
      <c r="B14194" s="203"/>
      <c r="C14194" s="237"/>
      <c r="D14194" s="202"/>
      <c r="E14194" s="202"/>
      <c r="U14194" s="204"/>
    </row>
    <row r="14195" spans="2:21" x14ac:dyDescent="0.2">
      <c r="B14195" s="203"/>
      <c r="C14195" s="237"/>
      <c r="D14195" s="202"/>
      <c r="E14195" s="202"/>
      <c r="U14195" s="204"/>
    </row>
    <row r="14196" spans="2:21" x14ac:dyDescent="0.2">
      <c r="B14196" s="203"/>
      <c r="C14196" s="237"/>
      <c r="D14196" s="202"/>
      <c r="E14196" s="202"/>
      <c r="U14196" s="204"/>
    </row>
    <row r="14197" spans="2:21" x14ac:dyDescent="0.2">
      <c r="B14197" s="203"/>
      <c r="C14197" s="237"/>
      <c r="D14197" s="202"/>
      <c r="E14197" s="202"/>
      <c r="U14197" s="204"/>
    </row>
    <row r="14198" spans="2:21" x14ac:dyDescent="0.2">
      <c r="B14198" s="203"/>
      <c r="C14198" s="237"/>
      <c r="D14198" s="202"/>
      <c r="E14198" s="202"/>
      <c r="U14198" s="204"/>
    </row>
    <row r="14199" spans="2:21" x14ac:dyDescent="0.2">
      <c r="B14199" s="203"/>
      <c r="C14199" s="237"/>
      <c r="D14199" s="202"/>
      <c r="E14199" s="202"/>
      <c r="U14199" s="204"/>
    </row>
    <row r="14200" spans="2:21" x14ac:dyDescent="0.2">
      <c r="B14200" s="203"/>
      <c r="C14200" s="237"/>
      <c r="D14200" s="202"/>
      <c r="E14200" s="202"/>
      <c r="U14200" s="204"/>
    </row>
    <row r="14201" spans="2:21" x14ac:dyDescent="0.2">
      <c r="B14201" s="203"/>
      <c r="C14201" s="237"/>
      <c r="D14201" s="202"/>
      <c r="E14201" s="202"/>
      <c r="U14201" s="204"/>
    </row>
    <row r="14202" spans="2:21" x14ac:dyDescent="0.2">
      <c r="B14202" s="203"/>
      <c r="C14202" s="237"/>
      <c r="D14202" s="202"/>
      <c r="E14202" s="202"/>
      <c r="U14202" s="204"/>
    </row>
    <row r="14203" spans="2:21" x14ac:dyDescent="0.2">
      <c r="B14203" s="203"/>
      <c r="C14203" s="237"/>
      <c r="D14203" s="202"/>
      <c r="E14203" s="202"/>
      <c r="U14203" s="204"/>
    </row>
    <row r="14204" spans="2:21" x14ac:dyDescent="0.2">
      <c r="B14204" s="203"/>
      <c r="C14204" s="237"/>
      <c r="D14204" s="202"/>
      <c r="E14204" s="202"/>
      <c r="U14204" s="204"/>
    </row>
    <row r="14205" spans="2:21" x14ac:dyDescent="0.2">
      <c r="B14205" s="203"/>
      <c r="C14205" s="237"/>
      <c r="D14205" s="202"/>
      <c r="E14205" s="202"/>
      <c r="U14205" s="204"/>
    </row>
    <row r="14206" spans="2:21" x14ac:dyDescent="0.2">
      <c r="B14206" s="203"/>
      <c r="C14206" s="237"/>
      <c r="D14206" s="202"/>
      <c r="E14206" s="202"/>
      <c r="U14206" s="204"/>
    </row>
    <row r="14207" spans="2:21" x14ac:dyDescent="0.2">
      <c r="B14207" s="203"/>
      <c r="C14207" s="237"/>
      <c r="D14207" s="202"/>
      <c r="E14207" s="202"/>
      <c r="U14207" s="204"/>
    </row>
    <row r="14208" spans="2:21" x14ac:dyDescent="0.2">
      <c r="B14208" s="203"/>
      <c r="C14208" s="237"/>
      <c r="D14208" s="202"/>
      <c r="E14208" s="202"/>
      <c r="U14208" s="204"/>
    </row>
    <row r="14209" spans="2:21" x14ac:dyDescent="0.2">
      <c r="B14209" s="203"/>
      <c r="C14209" s="237"/>
      <c r="D14209" s="202"/>
      <c r="E14209" s="202"/>
      <c r="U14209" s="204"/>
    </row>
    <row r="14210" spans="2:21" x14ac:dyDescent="0.2">
      <c r="B14210" s="203"/>
      <c r="C14210" s="237"/>
      <c r="D14210" s="202"/>
      <c r="E14210" s="202"/>
      <c r="U14210" s="204"/>
    </row>
    <row r="14211" spans="2:21" x14ac:dyDescent="0.2">
      <c r="B14211" s="203"/>
      <c r="C14211" s="237"/>
      <c r="D14211" s="202"/>
      <c r="E14211" s="202"/>
      <c r="U14211" s="204"/>
    </row>
    <row r="14212" spans="2:21" x14ac:dyDescent="0.2">
      <c r="B14212" s="203"/>
      <c r="C14212" s="237"/>
      <c r="D14212" s="202"/>
      <c r="E14212" s="202"/>
      <c r="U14212" s="204"/>
    </row>
    <row r="14213" spans="2:21" x14ac:dyDescent="0.2">
      <c r="B14213" s="203"/>
      <c r="C14213" s="237"/>
      <c r="D14213" s="202"/>
      <c r="E14213" s="202"/>
      <c r="U14213" s="204"/>
    </row>
    <row r="14214" spans="2:21" x14ac:dyDescent="0.2">
      <c r="B14214" s="203"/>
      <c r="C14214" s="237"/>
      <c r="D14214" s="202"/>
      <c r="E14214" s="202"/>
      <c r="U14214" s="204"/>
    </row>
    <row r="14215" spans="2:21" x14ac:dyDescent="0.2">
      <c r="B14215" s="203"/>
      <c r="C14215" s="237"/>
      <c r="D14215" s="202"/>
      <c r="E14215" s="202"/>
      <c r="U14215" s="204"/>
    </row>
    <row r="14216" spans="2:21" x14ac:dyDescent="0.2">
      <c r="B14216" s="203"/>
      <c r="C14216" s="237"/>
      <c r="D14216" s="202"/>
      <c r="E14216" s="202"/>
      <c r="U14216" s="204"/>
    </row>
    <row r="14217" spans="2:21" x14ac:dyDescent="0.2">
      <c r="B14217" s="203"/>
      <c r="C14217" s="237"/>
      <c r="D14217" s="202"/>
      <c r="E14217" s="202"/>
      <c r="U14217" s="204"/>
    </row>
    <row r="14218" spans="2:21" x14ac:dyDescent="0.2">
      <c r="B14218" s="203"/>
      <c r="C14218" s="237"/>
      <c r="D14218" s="202"/>
      <c r="E14218" s="202"/>
      <c r="U14218" s="204"/>
    </row>
    <row r="14219" spans="2:21" x14ac:dyDescent="0.2">
      <c r="B14219" s="203"/>
      <c r="C14219" s="237"/>
      <c r="D14219" s="202"/>
      <c r="E14219" s="202"/>
      <c r="U14219" s="204"/>
    </row>
    <row r="14220" spans="2:21" x14ac:dyDescent="0.2">
      <c r="B14220" s="203"/>
      <c r="C14220" s="237"/>
      <c r="D14220" s="202"/>
      <c r="E14220" s="202"/>
      <c r="U14220" s="204"/>
    </row>
    <row r="14221" spans="2:21" x14ac:dyDescent="0.2">
      <c r="B14221" s="203"/>
      <c r="C14221" s="237"/>
      <c r="D14221" s="202"/>
      <c r="E14221" s="202"/>
      <c r="U14221" s="204"/>
    </row>
    <row r="14222" spans="2:21" x14ac:dyDescent="0.2">
      <c r="B14222" s="203"/>
      <c r="C14222" s="237"/>
      <c r="D14222" s="202"/>
      <c r="E14222" s="202"/>
      <c r="U14222" s="204"/>
    </row>
    <row r="14223" spans="2:21" x14ac:dyDescent="0.2">
      <c r="B14223" s="203"/>
      <c r="C14223" s="237"/>
      <c r="D14223" s="202"/>
      <c r="E14223" s="202"/>
      <c r="U14223" s="204"/>
    </row>
    <row r="14224" spans="2:21" x14ac:dyDescent="0.2">
      <c r="B14224" s="203"/>
      <c r="C14224" s="237"/>
      <c r="D14224" s="202"/>
      <c r="E14224" s="202"/>
      <c r="U14224" s="204"/>
    </row>
    <row r="14225" spans="2:21" x14ac:dyDescent="0.2">
      <c r="B14225" s="203"/>
      <c r="C14225" s="237"/>
      <c r="D14225" s="202"/>
      <c r="E14225" s="202"/>
      <c r="U14225" s="204"/>
    </row>
    <row r="14226" spans="2:21" x14ac:dyDescent="0.2">
      <c r="B14226" s="203"/>
      <c r="C14226" s="237"/>
      <c r="D14226" s="202"/>
      <c r="E14226" s="202"/>
      <c r="U14226" s="204"/>
    </row>
    <row r="14227" spans="2:21" x14ac:dyDescent="0.2">
      <c r="B14227" s="203"/>
      <c r="C14227" s="237"/>
      <c r="D14227" s="202"/>
      <c r="E14227" s="202"/>
      <c r="U14227" s="204"/>
    </row>
    <row r="14228" spans="2:21" x14ac:dyDescent="0.2">
      <c r="B14228" s="203"/>
      <c r="C14228" s="237"/>
      <c r="D14228" s="202"/>
      <c r="E14228" s="202"/>
      <c r="U14228" s="204"/>
    </row>
    <row r="14229" spans="2:21" x14ac:dyDescent="0.2">
      <c r="B14229" s="203"/>
      <c r="C14229" s="237"/>
      <c r="D14229" s="202"/>
      <c r="E14229" s="202"/>
      <c r="U14229" s="204"/>
    </row>
    <row r="14230" spans="2:21" x14ac:dyDescent="0.2">
      <c r="B14230" s="203"/>
      <c r="C14230" s="237"/>
      <c r="D14230" s="202"/>
      <c r="E14230" s="202"/>
      <c r="U14230" s="204"/>
    </row>
    <row r="14231" spans="2:21" x14ac:dyDescent="0.2">
      <c r="B14231" s="203"/>
      <c r="C14231" s="237"/>
      <c r="D14231" s="202"/>
      <c r="E14231" s="202"/>
      <c r="U14231" s="204"/>
    </row>
    <row r="14232" spans="2:21" x14ac:dyDescent="0.2">
      <c r="B14232" s="203"/>
      <c r="C14232" s="237"/>
      <c r="D14232" s="202"/>
      <c r="E14232" s="202"/>
      <c r="U14232" s="204"/>
    </row>
    <row r="14233" spans="2:21" x14ac:dyDescent="0.2">
      <c r="B14233" s="203"/>
      <c r="C14233" s="237"/>
      <c r="D14233" s="202"/>
      <c r="E14233" s="202"/>
      <c r="U14233" s="204"/>
    </row>
    <row r="14234" spans="2:21" x14ac:dyDescent="0.2">
      <c r="B14234" s="203"/>
      <c r="C14234" s="237"/>
      <c r="D14234" s="202"/>
      <c r="E14234" s="202"/>
      <c r="U14234" s="204"/>
    </row>
    <row r="14235" spans="2:21" x14ac:dyDescent="0.2">
      <c r="B14235" s="203"/>
      <c r="C14235" s="237"/>
      <c r="D14235" s="202"/>
      <c r="E14235" s="202"/>
      <c r="U14235" s="204"/>
    </row>
    <row r="14236" spans="2:21" x14ac:dyDescent="0.2">
      <c r="B14236" s="203"/>
      <c r="C14236" s="237"/>
      <c r="D14236" s="202"/>
      <c r="E14236" s="202"/>
      <c r="U14236" s="204"/>
    </row>
    <row r="14237" spans="2:21" x14ac:dyDescent="0.2">
      <c r="B14237" s="203"/>
      <c r="C14237" s="237"/>
      <c r="D14237" s="202"/>
      <c r="E14237" s="202"/>
      <c r="U14237" s="204"/>
    </row>
    <row r="14238" spans="2:21" x14ac:dyDescent="0.2">
      <c r="B14238" s="203"/>
      <c r="C14238" s="237"/>
      <c r="D14238" s="202"/>
      <c r="E14238" s="202"/>
      <c r="U14238" s="204"/>
    </row>
    <row r="14239" spans="2:21" x14ac:dyDescent="0.2">
      <c r="B14239" s="203"/>
      <c r="C14239" s="237"/>
      <c r="D14239" s="202"/>
      <c r="E14239" s="202"/>
      <c r="U14239" s="204"/>
    </row>
    <row r="14240" spans="2:21" x14ac:dyDescent="0.2">
      <c r="B14240" s="203"/>
      <c r="C14240" s="237"/>
      <c r="D14240" s="202"/>
      <c r="E14240" s="202"/>
      <c r="U14240" s="204"/>
    </row>
    <row r="14241" spans="2:21" x14ac:dyDescent="0.2">
      <c r="B14241" s="203"/>
      <c r="C14241" s="237"/>
      <c r="D14241" s="202"/>
      <c r="E14241" s="202"/>
      <c r="U14241" s="204"/>
    </row>
    <row r="14242" spans="2:21" x14ac:dyDescent="0.2">
      <c r="B14242" s="203"/>
      <c r="C14242" s="237"/>
      <c r="D14242" s="202"/>
      <c r="E14242" s="202"/>
      <c r="U14242" s="204"/>
    </row>
    <row r="14243" spans="2:21" x14ac:dyDescent="0.2">
      <c r="B14243" s="203"/>
      <c r="C14243" s="237"/>
      <c r="D14243" s="202"/>
      <c r="E14243" s="202"/>
      <c r="U14243" s="204"/>
    </row>
    <row r="14244" spans="2:21" x14ac:dyDescent="0.2">
      <c r="B14244" s="203"/>
      <c r="C14244" s="237"/>
      <c r="D14244" s="202"/>
      <c r="E14244" s="202"/>
      <c r="U14244" s="204"/>
    </row>
    <row r="14245" spans="2:21" x14ac:dyDescent="0.2">
      <c r="B14245" s="203"/>
      <c r="C14245" s="237"/>
      <c r="D14245" s="202"/>
      <c r="E14245" s="202"/>
      <c r="U14245" s="204"/>
    </row>
    <row r="14246" spans="2:21" x14ac:dyDescent="0.2">
      <c r="B14246" s="203"/>
      <c r="C14246" s="237"/>
      <c r="D14246" s="202"/>
      <c r="E14246" s="202"/>
      <c r="U14246" s="204"/>
    </row>
    <row r="14247" spans="2:21" x14ac:dyDescent="0.2">
      <c r="B14247" s="203"/>
      <c r="C14247" s="237"/>
      <c r="D14247" s="202"/>
      <c r="E14247" s="202"/>
      <c r="U14247" s="204"/>
    </row>
    <row r="14248" spans="2:21" x14ac:dyDescent="0.2">
      <c r="B14248" s="203"/>
      <c r="C14248" s="237"/>
      <c r="D14248" s="202"/>
      <c r="E14248" s="202"/>
      <c r="U14248" s="204"/>
    </row>
    <row r="14249" spans="2:21" x14ac:dyDescent="0.2">
      <c r="B14249" s="203"/>
      <c r="C14249" s="237"/>
      <c r="D14249" s="202"/>
      <c r="E14249" s="202"/>
      <c r="U14249" s="204"/>
    </row>
    <row r="14250" spans="2:21" x14ac:dyDescent="0.2">
      <c r="B14250" s="203"/>
      <c r="C14250" s="237"/>
      <c r="D14250" s="202"/>
      <c r="E14250" s="202"/>
      <c r="U14250" s="204"/>
    </row>
    <row r="14251" spans="2:21" x14ac:dyDescent="0.2">
      <c r="B14251" s="203"/>
      <c r="C14251" s="237"/>
      <c r="D14251" s="202"/>
      <c r="E14251" s="202"/>
      <c r="U14251" s="204"/>
    </row>
    <row r="14252" spans="2:21" x14ac:dyDescent="0.2">
      <c r="B14252" s="203"/>
      <c r="C14252" s="237"/>
      <c r="D14252" s="202"/>
      <c r="E14252" s="202"/>
      <c r="U14252" s="204"/>
    </row>
    <row r="14253" spans="2:21" x14ac:dyDescent="0.2">
      <c r="B14253" s="203"/>
      <c r="C14253" s="237"/>
      <c r="D14253" s="202"/>
      <c r="E14253" s="202"/>
      <c r="U14253" s="204"/>
    </row>
    <row r="14254" spans="2:21" x14ac:dyDescent="0.2">
      <c r="B14254" s="203"/>
      <c r="C14254" s="237"/>
      <c r="D14254" s="202"/>
      <c r="E14254" s="202"/>
      <c r="U14254" s="204"/>
    </row>
    <row r="14255" spans="2:21" x14ac:dyDescent="0.2">
      <c r="B14255" s="203"/>
      <c r="C14255" s="237"/>
      <c r="D14255" s="202"/>
      <c r="E14255" s="202"/>
      <c r="U14255" s="204"/>
    </row>
    <row r="14256" spans="2:21" x14ac:dyDescent="0.2">
      <c r="B14256" s="203"/>
      <c r="C14256" s="237"/>
      <c r="D14256" s="202"/>
      <c r="E14256" s="202"/>
      <c r="U14256" s="204"/>
    </row>
    <row r="14257" spans="2:21" x14ac:dyDescent="0.2">
      <c r="B14257" s="203"/>
      <c r="C14257" s="237"/>
      <c r="D14257" s="202"/>
      <c r="E14257" s="202"/>
      <c r="U14257" s="204"/>
    </row>
    <row r="14258" spans="2:21" x14ac:dyDescent="0.2">
      <c r="B14258" s="203"/>
      <c r="C14258" s="237"/>
      <c r="D14258" s="202"/>
      <c r="E14258" s="202"/>
      <c r="U14258" s="204"/>
    </row>
    <row r="14259" spans="2:21" x14ac:dyDescent="0.2">
      <c r="B14259" s="203"/>
      <c r="C14259" s="237"/>
      <c r="D14259" s="202"/>
      <c r="E14259" s="202"/>
      <c r="U14259" s="204"/>
    </row>
    <row r="14260" spans="2:21" x14ac:dyDescent="0.2">
      <c r="B14260" s="203"/>
      <c r="C14260" s="237"/>
      <c r="D14260" s="202"/>
      <c r="E14260" s="202"/>
      <c r="U14260" s="204"/>
    </row>
    <row r="14261" spans="2:21" x14ac:dyDescent="0.2">
      <c r="B14261" s="203"/>
      <c r="C14261" s="237"/>
      <c r="D14261" s="202"/>
      <c r="E14261" s="202"/>
      <c r="U14261" s="204"/>
    </row>
    <row r="14262" spans="2:21" x14ac:dyDescent="0.2">
      <c r="B14262" s="203"/>
      <c r="C14262" s="237"/>
      <c r="D14262" s="202"/>
      <c r="E14262" s="202"/>
      <c r="U14262" s="204"/>
    </row>
    <row r="14263" spans="2:21" x14ac:dyDescent="0.2">
      <c r="B14263" s="203"/>
      <c r="C14263" s="237"/>
      <c r="D14263" s="202"/>
      <c r="E14263" s="202"/>
      <c r="U14263" s="204"/>
    </row>
    <row r="14264" spans="2:21" x14ac:dyDescent="0.2">
      <c r="B14264" s="203"/>
      <c r="C14264" s="237"/>
      <c r="D14264" s="202"/>
      <c r="E14264" s="202"/>
      <c r="U14264" s="204"/>
    </row>
    <row r="14265" spans="2:21" x14ac:dyDescent="0.2">
      <c r="B14265" s="203"/>
      <c r="C14265" s="237"/>
      <c r="D14265" s="202"/>
      <c r="E14265" s="202"/>
      <c r="U14265" s="204"/>
    </row>
    <row r="14266" spans="2:21" x14ac:dyDescent="0.2">
      <c r="B14266" s="203"/>
      <c r="C14266" s="237"/>
      <c r="D14266" s="202"/>
      <c r="E14266" s="202"/>
      <c r="U14266" s="204"/>
    </row>
    <row r="14267" spans="2:21" x14ac:dyDescent="0.2">
      <c r="B14267" s="203"/>
      <c r="C14267" s="237"/>
      <c r="D14267" s="202"/>
      <c r="E14267" s="202"/>
      <c r="U14267" s="204"/>
    </row>
    <row r="14268" spans="2:21" x14ac:dyDescent="0.2">
      <c r="B14268" s="203"/>
      <c r="C14268" s="237"/>
      <c r="D14268" s="202"/>
      <c r="E14268" s="202"/>
      <c r="U14268" s="204"/>
    </row>
    <row r="14269" spans="2:21" x14ac:dyDescent="0.2">
      <c r="B14269" s="203"/>
      <c r="C14269" s="237"/>
      <c r="D14269" s="202"/>
      <c r="E14269" s="202"/>
      <c r="U14269" s="204"/>
    </row>
    <row r="14270" spans="2:21" x14ac:dyDescent="0.2">
      <c r="B14270" s="203"/>
      <c r="C14270" s="237"/>
      <c r="D14270" s="202"/>
      <c r="E14270" s="202"/>
      <c r="U14270" s="204"/>
    </row>
    <row r="14271" spans="2:21" x14ac:dyDescent="0.2">
      <c r="B14271" s="203"/>
      <c r="C14271" s="237"/>
      <c r="D14271" s="202"/>
      <c r="E14271" s="202"/>
      <c r="U14271" s="204"/>
    </row>
    <row r="14272" spans="2:21" x14ac:dyDescent="0.2">
      <c r="B14272" s="203"/>
      <c r="C14272" s="237"/>
      <c r="D14272" s="202"/>
      <c r="E14272" s="202"/>
      <c r="U14272" s="204"/>
    </row>
    <row r="14273" spans="2:21" x14ac:dyDescent="0.2">
      <c r="B14273" s="203"/>
      <c r="C14273" s="237"/>
      <c r="D14273" s="202"/>
      <c r="E14273" s="202"/>
      <c r="U14273" s="204"/>
    </row>
    <row r="14274" spans="2:21" x14ac:dyDescent="0.2">
      <c r="B14274" s="203"/>
      <c r="C14274" s="237"/>
      <c r="D14274" s="202"/>
      <c r="E14274" s="202"/>
      <c r="U14274" s="204"/>
    </row>
    <row r="14275" spans="2:21" x14ac:dyDescent="0.2">
      <c r="B14275" s="203"/>
      <c r="C14275" s="237"/>
      <c r="D14275" s="202"/>
      <c r="E14275" s="202"/>
      <c r="U14275" s="204"/>
    </row>
    <row r="14276" spans="2:21" x14ac:dyDescent="0.2">
      <c r="B14276" s="203"/>
      <c r="C14276" s="237"/>
      <c r="D14276" s="202"/>
      <c r="E14276" s="202"/>
      <c r="U14276" s="204"/>
    </row>
    <row r="14277" spans="2:21" x14ac:dyDescent="0.2">
      <c r="B14277" s="203"/>
      <c r="C14277" s="237"/>
      <c r="D14277" s="202"/>
      <c r="E14277" s="202"/>
      <c r="U14277" s="204"/>
    </row>
    <row r="14278" spans="2:21" x14ac:dyDescent="0.2">
      <c r="B14278" s="203"/>
      <c r="C14278" s="237"/>
      <c r="D14278" s="202"/>
      <c r="E14278" s="202"/>
      <c r="U14278" s="204"/>
    </row>
    <row r="14279" spans="2:21" x14ac:dyDescent="0.2">
      <c r="B14279" s="203"/>
      <c r="C14279" s="237"/>
      <c r="D14279" s="202"/>
      <c r="E14279" s="202"/>
      <c r="U14279" s="204"/>
    </row>
    <row r="14280" spans="2:21" x14ac:dyDescent="0.2">
      <c r="B14280" s="203"/>
      <c r="C14280" s="237"/>
      <c r="D14280" s="202"/>
      <c r="E14280" s="202"/>
      <c r="U14280" s="204"/>
    </row>
    <row r="14281" spans="2:21" x14ac:dyDescent="0.2">
      <c r="B14281" s="203"/>
      <c r="C14281" s="237"/>
      <c r="D14281" s="202"/>
      <c r="E14281" s="202"/>
      <c r="U14281" s="204"/>
    </row>
    <row r="14282" spans="2:21" x14ac:dyDescent="0.2">
      <c r="B14282" s="203"/>
      <c r="C14282" s="237"/>
      <c r="D14282" s="202"/>
      <c r="E14282" s="202"/>
      <c r="U14282" s="204"/>
    </row>
    <row r="14283" spans="2:21" x14ac:dyDescent="0.2">
      <c r="B14283" s="203"/>
      <c r="C14283" s="237"/>
      <c r="D14283" s="202"/>
      <c r="E14283" s="202"/>
      <c r="U14283" s="204"/>
    </row>
    <row r="14284" spans="2:21" x14ac:dyDescent="0.2">
      <c r="B14284" s="203"/>
      <c r="C14284" s="237"/>
      <c r="D14284" s="202"/>
      <c r="E14284" s="202"/>
      <c r="U14284" s="204"/>
    </row>
    <row r="14285" spans="2:21" x14ac:dyDescent="0.2">
      <c r="B14285" s="203"/>
      <c r="C14285" s="237"/>
      <c r="D14285" s="202"/>
      <c r="E14285" s="202"/>
      <c r="U14285" s="204"/>
    </row>
    <row r="14286" spans="2:21" x14ac:dyDescent="0.2">
      <c r="B14286" s="203"/>
      <c r="C14286" s="237"/>
      <c r="D14286" s="202"/>
      <c r="E14286" s="202"/>
      <c r="U14286" s="204"/>
    </row>
    <row r="14287" spans="2:21" x14ac:dyDescent="0.2">
      <c r="B14287" s="203"/>
      <c r="C14287" s="237"/>
      <c r="D14287" s="202"/>
      <c r="E14287" s="202"/>
      <c r="U14287" s="204"/>
    </row>
    <row r="14288" spans="2:21" x14ac:dyDescent="0.2">
      <c r="B14288" s="203"/>
      <c r="C14288" s="237"/>
      <c r="D14288" s="202"/>
      <c r="E14288" s="202"/>
      <c r="U14288" s="204"/>
    </row>
    <row r="14289" spans="2:21" x14ac:dyDescent="0.2">
      <c r="B14289" s="203"/>
      <c r="C14289" s="237"/>
      <c r="D14289" s="202"/>
      <c r="E14289" s="202"/>
      <c r="U14289" s="204"/>
    </row>
    <row r="14290" spans="2:21" x14ac:dyDescent="0.2">
      <c r="B14290" s="203"/>
      <c r="C14290" s="237"/>
      <c r="D14290" s="202"/>
      <c r="E14290" s="202"/>
      <c r="U14290" s="204"/>
    </row>
    <row r="14291" spans="2:21" x14ac:dyDescent="0.2">
      <c r="B14291" s="203"/>
      <c r="C14291" s="237"/>
      <c r="D14291" s="202"/>
      <c r="E14291" s="202"/>
      <c r="U14291" s="204"/>
    </row>
    <row r="14292" spans="2:21" x14ac:dyDescent="0.2">
      <c r="B14292" s="203"/>
      <c r="C14292" s="237"/>
      <c r="D14292" s="202"/>
      <c r="E14292" s="202"/>
      <c r="U14292" s="204"/>
    </row>
    <row r="14293" spans="2:21" x14ac:dyDescent="0.2">
      <c r="B14293" s="203"/>
      <c r="C14293" s="237"/>
      <c r="D14293" s="202"/>
      <c r="E14293" s="202"/>
      <c r="U14293" s="204"/>
    </row>
    <row r="14294" spans="2:21" x14ac:dyDescent="0.2">
      <c r="B14294" s="203"/>
      <c r="C14294" s="237"/>
      <c r="D14294" s="202"/>
      <c r="E14294" s="202"/>
      <c r="U14294" s="204"/>
    </row>
    <row r="14295" spans="2:21" x14ac:dyDescent="0.2">
      <c r="B14295" s="203"/>
      <c r="C14295" s="237"/>
      <c r="D14295" s="202"/>
      <c r="E14295" s="202"/>
      <c r="U14295" s="204"/>
    </row>
    <row r="14296" spans="2:21" x14ac:dyDescent="0.2">
      <c r="B14296" s="203"/>
      <c r="C14296" s="237"/>
      <c r="D14296" s="202"/>
      <c r="E14296" s="202"/>
      <c r="U14296" s="204"/>
    </row>
    <row r="14297" spans="2:21" x14ac:dyDescent="0.2">
      <c r="B14297" s="203"/>
      <c r="C14297" s="237"/>
      <c r="D14297" s="202"/>
      <c r="E14297" s="202"/>
      <c r="U14297" s="204"/>
    </row>
    <row r="14298" spans="2:21" x14ac:dyDescent="0.2">
      <c r="B14298" s="203"/>
      <c r="C14298" s="237"/>
      <c r="D14298" s="202"/>
      <c r="E14298" s="202"/>
      <c r="U14298" s="204"/>
    </row>
    <row r="14299" spans="2:21" x14ac:dyDescent="0.2">
      <c r="B14299" s="203"/>
      <c r="C14299" s="237"/>
      <c r="D14299" s="202"/>
      <c r="E14299" s="202"/>
      <c r="U14299" s="204"/>
    </row>
    <row r="14300" spans="2:21" x14ac:dyDescent="0.2">
      <c r="B14300" s="203"/>
      <c r="C14300" s="237"/>
      <c r="D14300" s="202"/>
      <c r="E14300" s="202"/>
      <c r="U14300" s="204"/>
    </row>
    <row r="14301" spans="2:21" x14ac:dyDescent="0.2">
      <c r="B14301" s="203"/>
      <c r="C14301" s="237"/>
      <c r="D14301" s="202"/>
      <c r="E14301" s="202"/>
      <c r="U14301" s="204"/>
    </row>
    <row r="14302" spans="2:21" x14ac:dyDescent="0.2">
      <c r="B14302" s="203"/>
      <c r="C14302" s="237"/>
      <c r="D14302" s="202"/>
      <c r="E14302" s="202"/>
      <c r="U14302" s="204"/>
    </row>
    <row r="14303" spans="2:21" x14ac:dyDescent="0.2">
      <c r="B14303" s="203"/>
      <c r="C14303" s="237"/>
      <c r="D14303" s="202"/>
      <c r="E14303" s="202"/>
      <c r="U14303" s="204"/>
    </row>
    <row r="14304" spans="2:21" x14ac:dyDescent="0.2">
      <c r="B14304" s="203"/>
      <c r="C14304" s="237"/>
      <c r="D14304" s="202"/>
      <c r="E14304" s="202"/>
      <c r="U14304" s="204"/>
    </row>
    <row r="14305" spans="2:21" x14ac:dyDescent="0.2">
      <c r="B14305" s="203"/>
      <c r="C14305" s="237"/>
      <c r="D14305" s="202"/>
      <c r="E14305" s="202"/>
      <c r="U14305" s="204"/>
    </row>
    <row r="14306" spans="2:21" x14ac:dyDescent="0.2">
      <c r="B14306" s="203"/>
      <c r="C14306" s="237"/>
      <c r="D14306" s="202"/>
      <c r="E14306" s="202"/>
      <c r="U14306" s="204"/>
    </row>
    <row r="14307" spans="2:21" x14ac:dyDescent="0.2">
      <c r="B14307" s="203"/>
      <c r="C14307" s="237"/>
      <c r="D14307" s="202"/>
      <c r="E14307" s="202"/>
      <c r="U14307" s="204"/>
    </row>
    <row r="14308" spans="2:21" x14ac:dyDescent="0.2">
      <c r="B14308" s="203"/>
      <c r="C14308" s="237"/>
      <c r="D14308" s="202"/>
      <c r="E14308" s="202"/>
      <c r="U14308" s="204"/>
    </row>
    <row r="14309" spans="2:21" x14ac:dyDescent="0.2">
      <c r="B14309" s="203"/>
      <c r="C14309" s="237"/>
      <c r="D14309" s="202"/>
      <c r="E14309" s="202"/>
      <c r="U14309" s="204"/>
    </row>
    <row r="14310" spans="2:21" x14ac:dyDescent="0.2">
      <c r="B14310" s="203"/>
      <c r="C14310" s="237"/>
      <c r="D14310" s="202"/>
      <c r="E14310" s="202"/>
      <c r="U14310" s="204"/>
    </row>
    <row r="14311" spans="2:21" x14ac:dyDescent="0.2">
      <c r="B14311" s="203"/>
      <c r="C14311" s="237"/>
      <c r="D14311" s="202"/>
      <c r="E14311" s="202"/>
      <c r="U14311" s="204"/>
    </row>
    <row r="14312" spans="2:21" x14ac:dyDescent="0.2">
      <c r="B14312" s="203"/>
      <c r="C14312" s="237"/>
      <c r="D14312" s="202"/>
      <c r="E14312" s="202"/>
      <c r="U14312" s="204"/>
    </row>
    <row r="14313" spans="2:21" x14ac:dyDescent="0.2">
      <c r="B14313" s="203"/>
      <c r="C14313" s="237"/>
      <c r="D14313" s="202"/>
      <c r="E14313" s="202"/>
      <c r="U14313" s="204"/>
    </row>
    <row r="14314" spans="2:21" x14ac:dyDescent="0.2">
      <c r="B14314" s="203"/>
      <c r="C14314" s="237"/>
      <c r="D14314" s="202"/>
      <c r="E14314" s="202"/>
      <c r="U14314" s="204"/>
    </row>
    <row r="14315" spans="2:21" x14ac:dyDescent="0.2">
      <c r="B14315" s="203"/>
      <c r="C14315" s="237"/>
      <c r="D14315" s="202"/>
      <c r="E14315" s="202"/>
      <c r="U14315" s="204"/>
    </row>
    <row r="14316" spans="2:21" x14ac:dyDescent="0.2">
      <c r="B14316" s="203"/>
      <c r="C14316" s="237"/>
      <c r="D14316" s="202"/>
      <c r="E14316" s="202"/>
      <c r="U14316" s="204"/>
    </row>
    <row r="14317" spans="2:21" x14ac:dyDescent="0.2">
      <c r="B14317" s="203"/>
      <c r="C14317" s="237"/>
      <c r="D14317" s="202"/>
      <c r="E14317" s="202"/>
      <c r="U14317" s="204"/>
    </row>
    <row r="14318" spans="2:21" x14ac:dyDescent="0.2">
      <c r="B14318" s="203"/>
      <c r="C14318" s="237"/>
      <c r="D14318" s="202"/>
      <c r="E14318" s="202"/>
      <c r="U14318" s="204"/>
    </row>
    <row r="14319" spans="2:21" x14ac:dyDescent="0.2">
      <c r="B14319" s="203"/>
      <c r="C14319" s="237"/>
      <c r="D14319" s="202"/>
      <c r="E14319" s="202"/>
      <c r="U14319" s="204"/>
    </row>
    <row r="14320" spans="2:21" x14ac:dyDescent="0.2">
      <c r="B14320" s="203"/>
      <c r="C14320" s="237"/>
      <c r="D14320" s="202"/>
      <c r="E14320" s="202"/>
      <c r="U14320" s="204"/>
    </row>
    <row r="14321" spans="2:21" x14ac:dyDescent="0.2">
      <c r="B14321" s="203"/>
      <c r="C14321" s="237"/>
      <c r="D14321" s="202"/>
      <c r="E14321" s="202"/>
      <c r="U14321" s="204"/>
    </row>
    <row r="14322" spans="2:21" x14ac:dyDescent="0.2">
      <c r="B14322" s="203"/>
      <c r="C14322" s="237"/>
      <c r="D14322" s="202"/>
      <c r="E14322" s="202"/>
      <c r="U14322" s="204"/>
    </row>
    <row r="14323" spans="2:21" x14ac:dyDescent="0.2">
      <c r="B14323" s="203"/>
      <c r="C14323" s="237"/>
      <c r="D14323" s="202"/>
      <c r="E14323" s="202"/>
      <c r="U14323" s="204"/>
    </row>
    <row r="14324" spans="2:21" x14ac:dyDescent="0.2">
      <c r="B14324" s="203"/>
      <c r="C14324" s="237"/>
      <c r="D14324" s="202"/>
      <c r="E14324" s="202"/>
      <c r="U14324" s="204"/>
    </row>
    <row r="14325" spans="2:21" x14ac:dyDescent="0.2">
      <c r="B14325" s="203"/>
      <c r="C14325" s="237"/>
      <c r="D14325" s="202"/>
      <c r="E14325" s="202"/>
      <c r="U14325" s="204"/>
    </row>
    <row r="14326" spans="2:21" x14ac:dyDescent="0.2">
      <c r="B14326" s="203"/>
      <c r="C14326" s="237"/>
      <c r="D14326" s="202"/>
      <c r="E14326" s="202"/>
      <c r="U14326" s="204"/>
    </row>
    <row r="14327" spans="2:21" x14ac:dyDescent="0.2">
      <c r="B14327" s="203"/>
      <c r="C14327" s="237"/>
      <c r="D14327" s="202"/>
      <c r="E14327" s="202"/>
      <c r="U14327" s="204"/>
    </row>
    <row r="14328" spans="2:21" x14ac:dyDescent="0.2">
      <c r="B14328" s="203"/>
      <c r="C14328" s="237"/>
      <c r="D14328" s="202"/>
      <c r="E14328" s="202"/>
      <c r="U14328" s="204"/>
    </row>
    <row r="14329" spans="2:21" x14ac:dyDescent="0.2">
      <c r="B14329" s="203"/>
      <c r="C14329" s="237"/>
      <c r="D14329" s="202"/>
      <c r="E14329" s="202"/>
      <c r="U14329" s="204"/>
    </row>
    <row r="14330" spans="2:21" x14ac:dyDescent="0.2">
      <c r="B14330" s="203"/>
      <c r="C14330" s="237"/>
      <c r="D14330" s="202"/>
      <c r="E14330" s="202"/>
      <c r="U14330" s="204"/>
    </row>
    <row r="14331" spans="2:21" x14ac:dyDescent="0.2">
      <c r="B14331" s="203"/>
      <c r="C14331" s="237"/>
      <c r="D14331" s="202"/>
      <c r="E14331" s="202"/>
      <c r="U14331" s="204"/>
    </row>
    <row r="14332" spans="2:21" x14ac:dyDescent="0.2">
      <c r="B14332" s="203"/>
      <c r="C14332" s="237"/>
      <c r="D14332" s="202"/>
      <c r="E14332" s="202"/>
      <c r="U14332" s="204"/>
    </row>
    <row r="14333" spans="2:21" x14ac:dyDescent="0.2">
      <c r="B14333" s="203"/>
      <c r="C14333" s="237"/>
      <c r="D14333" s="202"/>
      <c r="E14333" s="202"/>
      <c r="U14333" s="204"/>
    </row>
    <row r="14334" spans="2:21" x14ac:dyDescent="0.2">
      <c r="B14334" s="203"/>
      <c r="C14334" s="237"/>
      <c r="D14334" s="202"/>
      <c r="E14334" s="202"/>
      <c r="U14334" s="204"/>
    </row>
    <row r="14335" spans="2:21" x14ac:dyDescent="0.2">
      <c r="B14335" s="203"/>
      <c r="C14335" s="237"/>
      <c r="D14335" s="202"/>
      <c r="E14335" s="202"/>
      <c r="U14335" s="204"/>
    </row>
    <row r="14336" spans="2:21" x14ac:dyDescent="0.2">
      <c r="B14336" s="203"/>
      <c r="C14336" s="237"/>
      <c r="D14336" s="202"/>
      <c r="E14336" s="202"/>
      <c r="U14336" s="204"/>
    </row>
    <row r="14337" spans="2:21" x14ac:dyDescent="0.2">
      <c r="B14337" s="203"/>
      <c r="C14337" s="237"/>
      <c r="D14337" s="202"/>
      <c r="E14337" s="202"/>
      <c r="U14337" s="204"/>
    </row>
    <row r="14338" spans="2:21" x14ac:dyDescent="0.2">
      <c r="B14338" s="203"/>
      <c r="C14338" s="237"/>
      <c r="D14338" s="202"/>
      <c r="E14338" s="202"/>
      <c r="U14338" s="204"/>
    </row>
    <row r="14339" spans="2:21" x14ac:dyDescent="0.2">
      <c r="B14339" s="203"/>
      <c r="C14339" s="237"/>
      <c r="D14339" s="202"/>
      <c r="E14339" s="202"/>
      <c r="U14339" s="204"/>
    </row>
    <row r="14340" spans="2:21" x14ac:dyDescent="0.2">
      <c r="B14340" s="203"/>
      <c r="C14340" s="237"/>
      <c r="D14340" s="202"/>
      <c r="E14340" s="202"/>
      <c r="U14340" s="204"/>
    </row>
    <row r="14341" spans="2:21" x14ac:dyDescent="0.2">
      <c r="B14341" s="203"/>
      <c r="C14341" s="237"/>
      <c r="D14341" s="202"/>
      <c r="E14341" s="202"/>
      <c r="U14341" s="204"/>
    </row>
    <row r="14342" spans="2:21" x14ac:dyDescent="0.2">
      <c r="B14342" s="203"/>
      <c r="C14342" s="237"/>
      <c r="D14342" s="202"/>
      <c r="E14342" s="202"/>
      <c r="U14342" s="204"/>
    </row>
    <row r="14343" spans="2:21" x14ac:dyDescent="0.2">
      <c r="B14343" s="203"/>
      <c r="C14343" s="237"/>
      <c r="D14343" s="202"/>
      <c r="E14343" s="202"/>
      <c r="U14343" s="204"/>
    </row>
    <row r="14344" spans="2:21" x14ac:dyDescent="0.2">
      <c r="B14344" s="203"/>
      <c r="C14344" s="237"/>
      <c r="D14344" s="202"/>
      <c r="E14344" s="202"/>
      <c r="U14344" s="204"/>
    </row>
    <row r="14345" spans="2:21" x14ac:dyDescent="0.2">
      <c r="B14345" s="203"/>
      <c r="C14345" s="237"/>
      <c r="D14345" s="202"/>
      <c r="E14345" s="202"/>
      <c r="U14345" s="204"/>
    </row>
    <row r="14346" spans="2:21" x14ac:dyDescent="0.2">
      <c r="B14346" s="203"/>
      <c r="C14346" s="237"/>
      <c r="D14346" s="202"/>
      <c r="E14346" s="202"/>
      <c r="U14346" s="204"/>
    </row>
    <row r="14347" spans="2:21" x14ac:dyDescent="0.2">
      <c r="B14347" s="203"/>
      <c r="C14347" s="237"/>
      <c r="D14347" s="202"/>
      <c r="E14347" s="202"/>
      <c r="U14347" s="204"/>
    </row>
    <row r="14348" spans="2:21" x14ac:dyDescent="0.2">
      <c r="B14348" s="203"/>
      <c r="C14348" s="237"/>
      <c r="D14348" s="202"/>
      <c r="E14348" s="202"/>
      <c r="U14348" s="204"/>
    </row>
    <row r="14349" spans="2:21" x14ac:dyDescent="0.2">
      <c r="B14349" s="203"/>
      <c r="C14349" s="237"/>
      <c r="D14349" s="202"/>
      <c r="E14349" s="202"/>
      <c r="U14349" s="204"/>
    </row>
    <row r="14350" spans="2:21" x14ac:dyDescent="0.2">
      <c r="B14350" s="203"/>
      <c r="C14350" s="237"/>
      <c r="D14350" s="202"/>
      <c r="E14350" s="202"/>
      <c r="U14350" s="204"/>
    </row>
    <row r="14351" spans="2:21" x14ac:dyDescent="0.2">
      <c r="B14351" s="203"/>
      <c r="C14351" s="237"/>
      <c r="D14351" s="202"/>
      <c r="E14351" s="202"/>
      <c r="U14351" s="204"/>
    </row>
    <row r="14352" spans="2:21" x14ac:dyDescent="0.2">
      <c r="B14352" s="203"/>
      <c r="C14352" s="237"/>
      <c r="D14352" s="202"/>
      <c r="E14352" s="202"/>
      <c r="U14352" s="204"/>
    </row>
    <row r="14353" spans="2:21" x14ac:dyDescent="0.2">
      <c r="B14353" s="203"/>
      <c r="C14353" s="237"/>
      <c r="D14353" s="202"/>
      <c r="E14353" s="202"/>
      <c r="U14353" s="204"/>
    </row>
    <row r="14354" spans="2:21" x14ac:dyDescent="0.2">
      <c r="B14354" s="203"/>
      <c r="C14354" s="237"/>
      <c r="D14354" s="202"/>
      <c r="E14354" s="202"/>
      <c r="U14354" s="204"/>
    </row>
    <row r="14355" spans="2:21" x14ac:dyDescent="0.2">
      <c r="B14355" s="203"/>
      <c r="C14355" s="237"/>
      <c r="D14355" s="202"/>
      <c r="E14355" s="202"/>
      <c r="U14355" s="204"/>
    </row>
    <row r="14356" spans="2:21" x14ac:dyDescent="0.2">
      <c r="B14356" s="203"/>
      <c r="C14356" s="237"/>
      <c r="D14356" s="202"/>
      <c r="E14356" s="202"/>
      <c r="U14356" s="204"/>
    </row>
    <row r="14357" spans="2:21" x14ac:dyDescent="0.2">
      <c r="B14357" s="203"/>
      <c r="C14357" s="237"/>
      <c r="D14357" s="202"/>
      <c r="E14357" s="202"/>
      <c r="U14357" s="204"/>
    </row>
    <row r="14358" spans="2:21" x14ac:dyDescent="0.2">
      <c r="B14358" s="203"/>
      <c r="C14358" s="237"/>
      <c r="D14358" s="202"/>
      <c r="E14358" s="202"/>
      <c r="U14358" s="204"/>
    </row>
    <row r="14359" spans="2:21" x14ac:dyDescent="0.2">
      <c r="B14359" s="203"/>
      <c r="C14359" s="237"/>
      <c r="D14359" s="202"/>
      <c r="E14359" s="202"/>
      <c r="U14359" s="204"/>
    </row>
    <row r="14360" spans="2:21" x14ac:dyDescent="0.2">
      <c r="B14360" s="203"/>
      <c r="C14360" s="237"/>
      <c r="D14360" s="202"/>
      <c r="E14360" s="202"/>
      <c r="U14360" s="204"/>
    </row>
    <row r="14361" spans="2:21" x14ac:dyDescent="0.2">
      <c r="B14361" s="203"/>
      <c r="C14361" s="237"/>
      <c r="D14361" s="202"/>
      <c r="E14361" s="202"/>
      <c r="U14361" s="204"/>
    </row>
    <row r="14362" spans="2:21" x14ac:dyDescent="0.2">
      <c r="B14362" s="203"/>
      <c r="C14362" s="237"/>
      <c r="D14362" s="202"/>
      <c r="E14362" s="202"/>
      <c r="U14362" s="204"/>
    </row>
    <row r="14363" spans="2:21" x14ac:dyDescent="0.2">
      <c r="B14363" s="203"/>
      <c r="C14363" s="237"/>
      <c r="D14363" s="202"/>
      <c r="E14363" s="202"/>
      <c r="U14363" s="204"/>
    </row>
    <row r="14364" spans="2:21" x14ac:dyDescent="0.2">
      <c r="B14364" s="203"/>
      <c r="C14364" s="237"/>
      <c r="D14364" s="202"/>
      <c r="E14364" s="202"/>
      <c r="U14364" s="204"/>
    </row>
    <row r="14365" spans="2:21" x14ac:dyDescent="0.2">
      <c r="B14365" s="203"/>
      <c r="C14365" s="237"/>
      <c r="D14365" s="202"/>
      <c r="E14365" s="202"/>
      <c r="U14365" s="204"/>
    </row>
    <row r="14366" spans="2:21" x14ac:dyDescent="0.2">
      <c r="B14366" s="203"/>
      <c r="C14366" s="237"/>
      <c r="D14366" s="202"/>
      <c r="E14366" s="202"/>
      <c r="U14366" s="204"/>
    </row>
    <row r="14367" spans="2:21" x14ac:dyDescent="0.2">
      <c r="B14367" s="203"/>
      <c r="C14367" s="237"/>
      <c r="D14367" s="202"/>
      <c r="E14367" s="202"/>
      <c r="U14367" s="204"/>
    </row>
    <row r="14368" spans="2:21" x14ac:dyDescent="0.2">
      <c r="B14368" s="203"/>
      <c r="C14368" s="237"/>
      <c r="D14368" s="202"/>
      <c r="E14368" s="202"/>
      <c r="U14368" s="204"/>
    </row>
    <row r="14369" spans="2:21" x14ac:dyDescent="0.2">
      <c r="B14369" s="203"/>
      <c r="C14369" s="237"/>
      <c r="D14369" s="202"/>
      <c r="E14369" s="202"/>
      <c r="U14369" s="204"/>
    </row>
    <row r="14370" spans="2:21" x14ac:dyDescent="0.2">
      <c r="B14370" s="203"/>
      <c r="C14370" s="237"/>
      <c r="D14370" s="202"/>
      <c r="E14370" s="202"/>
      <c r="U14370" s="204"/>
    </row>
    <row r="14371" spans="2:21" x14ac:dyDescent="0.2">
      <c r="B14371" s="203"/>
      <c r="C14371" s="237"/>
      <c r="D14371" s="202"/>
      <c r="E14371" s="202"/>
      <c r="U14371" s="204"/>
    </row>
    <row r="14372" spans="2:21" x14ac:dyDescent="0.2">
      <c r="B14372" s="203"/>
      <c r="C14372" s="237"/>
      <c r="D14372" s="202"/>
      <c r="E14372" s="202"/>
      <c r="U14372" s="204"/>
    </row>
    <row r="14373" spans="2:21" x14ac:dyDescent="0.2">
      <c r="B14373" s="203"/>
      <c r="C14373" s="237"/>
      <c r="D14373" s="202"/>
      <c r="E14373" s="202"/>
      <c r="U14373" s="204"/>
    </row>
    <row r="14374" spans="2:21" x14ac:dyDescent="0.2">
      <c r="B14374" s="203"/>
      <c r="C14374" s="237"/>
      <c r="D14374" s="202"/>
      <c r="E14374" s="202"/>
      <c r="U14374" s="204"/>
    </row>
    <row r="14375" spans="2:21" x14ac:dyDescent="0.2">
      <c r="B14375" s="203"/>
      <c r="C14375" s="237"/>
      <c r="D14375" s="202"/>
      <c r="E14375" s="202"/>
      <c r="U14375" s="204"/>
    </row>
    <row r="14376" spans="2:21" x14ac:dyDescent="0.2">
      <c r="B14376" s="203"/>
      <c r="C14376" s="237"/>
      <c r="D14376" s="202"/>
      <c r="E14376" s="202"/>
      <c r="U14376" s="204"/>
    </row>
    <row r="14377" spans="2:21" x14ac:dyDescent="0.2">
      <c r="B14377" s="203"/>
      <c r="C14377" s="237"/>
      <c r="D14377" s="202"/>
      <c r="E14377" s="202"/>
      <c r="U14377" s="204"/>
    </row>
    <row r="14378" spans="2:21" x14ac:dyDescent="0.2">
      <c r="B14378" s="203"/>
      <c r="C14378" s="237"/>
      <c r="D14378" s="202"/>
      <c r="E14378" s="202"/>
      <c r="U14378" s="204"/>
    </row>
    <row r="14379" spans="2:21" x14ac:dyDescent="0.2">
      <c r="B14379" s="203"/>
      <c r="C14379" s="237"/>
      <c r="D14379" s="202"/>
      <c r="E14379" s="202"/>
      <c r="U14379" s="204"/>
    </row>
    <row r="14380" spans="2:21" x14ac:dyDescent="0.2">
      <c r="B14380" s="203"/>
      <c r="C14380" s="237"/>
      <c r="D14380" s="202"/>
      <c r="E14380" s="202"/>
      <c r="U14380" s="204"/>
    </row>
    <row r="14381" spans="2:21" x14ac:dyDescent="0.2">
      <c r="B14381" s="203"/>
      <c r="C14381" s="237"/>
      <c r="D14381" s="202"/>
      <c r="E14381" s="202"/>
      <c r="U14381" s="204"/>
    </row>
    <row r="14382" spans="2:21" x14ac:dyDescent="0.2">
      <c r="B14382" s="203"/>
      <c r="C14382" s="237"/>
      <c r="D14382" s="202"/>
      <c r="E14382" s="202"/>
      <c r="U14382" s="204"/>
    </row>
    <row r="14383" spans="2:21" x14ac:dyDescent="0.2">
      <c r="B14383" s="203"/>
      <c r="C14383" s="237"/>
      <c r="D14383" s="202"/>
      <c r="E14383" s="202"/>
      <c r="U14383" s="204"/>
    </row>
    <row r="14384" spans="2:21" x14ac:dyDescent="0.2">
      <c r="B14384" s="203"/>
      <c r="C14384" s="237"/>
      <c r="D14384" s="202"/>
      <c r="E14384" s="202"/>
      <c r="U14384" s="204"/>
    </row>
    <row r="14385" spans="2:21" x14ac:dyDescent="0.2">
      <c r="B14385" s="203"/>
      <c r="C14385" s="237"/>
      <c r="D14385" s="202"/>
      <c r="E14385" s="202"/>
      <c r="U14385" s="204"/>
    </row>
    <row r="14386" spans="2:21" x14ac:dyDescent="0.2">
      <c r="B14386" s="203"/>
      <c r="C14386" s="237"/>
      <c r="D14386" s="202"/>
      <c r="E14386" s="202"/>
      <c r="U14386" s="204"/>
    </row>
    <row r="14387" spans="2:21" x14ac:dyDescent="0.2">
      <c r="B14387" s="203"/>
      <c r="C14387" s="237"/>
      <c r="D14387" s="202"/>
      <c r="E14387" s="202"/>
      <c r="U14387" s="204"/>
    </row>
    <row r="14388" spans="2:21" x14ac:dyDescent="0.2">
      <c r="B14388" s="203"/>
      <c r="C14388" s="237"/>
      <c r="D14388" s="202"/>
      <c r="E14388" s="202"/>
      <c r="U14388" s="204"/>
    </row>
    <row r="14389" spans="2:21" x14ac:dyDescent="0.2">
      <c r="B14389" s="203"/>
      <c r="C14389" s="237"/>
      <c r="D14389" s="202"/>
      <c r="E14389" s="202"/>
      <c r="U14389" s="204"/>
    </row>
    <row r="14390" spans="2:21" x14ac:dyDescent="0.2">
      <c r="B14390" s="203"/>
      <c r="C14390" s="237"/>
      <c r="D14390" s="202"/>
      <c r="E14390" s="202"/>
      <c r="U14390" s="204"/>
    </row>
    <row r="14391" spans="2:21" x14ac:dyDescent="0.2">
      <c r="B14391" s="203"/>
      <c r="C14391" s="237"/>
      <c r="D14391" s="202"/>
      <c r="E14391" s="202"/>
      <c r="U14391" s="204"/>
    </row>
    <row r="14392" spans="2:21" x14ac:dyDescent="0.2">
      <c r="B14392" s="203"/>
      <c r="C14392" s="237"/>
      <c r="D14392" s="202"/>
      <c r="E14392" s="202"/>
      <c r="U14392" s="204"/>
    </row>
    <row r="14393" spans="2:21" x14ac:dyDescent="0.2">
      <c r="B14393" s="203"/>
      <c r="C14393" s="237"/>
      <c r="D14393" s="202"/>
      <c r="E14393" s="202"/>
      <c r="U14393" s="204"/>
    </row>
    <row r="14394" spans="2:21" x14ac:dyDescent="0.2">
      <c r="B14394" s="203"/>
      <c r="C14394" s="237"/>
      <c r="D14394" s="202"/>
      <c r="E14394" s="202"/>
      <c r="U14394" s="204"/>
    </row>
    <row r="14395" spans="2:21" x14ac:dyDescent="0.2">
      <c r="B14395" s="203"/>
      <c r="C14395" s="237"/>
      <c r="D14395" s="202"/>
      <c r="E14395" s="202"/>
      <c r="U14395" s="204"/>
    </row>
    <row r="14396" spans="2:21" x14ac:dyDescent="0.2">
      <c r="B14396" s="203"/>
      <c r="C14396" s="237"/>
      <c r="D14396" s="202"/>
      <c r="E14396" s="202"/>
      <c r="U14396" s="204"/>
    </row>
    <row r="14397" spans="2:21" x14ac:dyDescent="0.2">
      <c r="B14397" s="203"/>
      <c r="C14397" s="237"/>
      <c r="D14397" s="202"/>
      <c r="E14397" s="202"/>
      <c r="U14397" s="204"/>
    </row>
    <row r="14398" spans="2:21" x14ac:dyDescent="0.2">
      <c r="B14398" s="203"/>
      <c r="C14398" s="237"/>
      <c r="D14398" s="202"/>
      <c r="E14398" s="202"/>
      <c r="U14398" s="204"/>
    </row>
    <row r="14399" spans="2:21" x14ac:dyDescent="0.2">
      <c r="B14399" s="203"/>
      <c r="C14399" s="237"/>
      <c r="D14399" s="202"/>
      <c r="E14399" s="202"/>
      <c r="U14399" s="204"/>
    </row>
    <row r="14400" spans="2:21" x14ac:dyDescent="0.2">
      <c r="B14400" s="203"/>
      <c r="C14400" s="237"/>
      <c r="D14400" s="202"/>
      <c r="E14400" s="202"/>
      <c r="U14400" s="204"/>
    </row>
    <row r="14401" spans="2:21" x14ac:dyDescent="0.2">
      <c r="B14401" s="203"/>
      <c r="C14401" s="237"/>
      <c r="D14401" s="202"/>
      <c r="E14401" s="202"/>
      <c r="U14401" s="204"/>
    </row>
    <row r="14402" spans="2:21" x14ac:dyDescent="0.2">
      <c r="B14402" s="203"/>
      <c r="C14402" s="237"/>
      <c r="D14402" s="202"/>
      <c r="E14402" s="202"/>
      <c r="U14402" s="204"/>
    </row>
    <row r="14403" spans="2:21" x14ac:dyDescent="0.2">
      <c r="B14403" s="203"/>
      <c r="C14403" s="237"/>
      <c r="D14403" s="202"/>
      <c r="E14403" s="202"/>
      <c r="U14403" s="204"/>
    </row>
    <row r="14404" spans="2:21" x14ac:dyDescent="0.2">
      <c r="B14404" s="203"/>
      <c r="C14404" s="237"/>
      <c r="D14404" s="202"/>
      <c r="E14404" s="202"/>
      <c r="U14404" s="204"/>
    </row>
    <row r="14405" spans="2:21" x14ac:dyDescent="0.2">
      <c r="B14405" s="203"/>
      <c r="C14405" s="237"/>
      <c r="D14405" s="202"/>
      <c r="E14405" s="202"/>
      <c r="U14405" s="204"/>
    </row>
    <row r="14406" spans="2:21" x14ac:dyDescent="0.2">
      <c r="B14406" s="203"/>
      <c r="C14406" s="237"/>
      <c r="D14406" s="202"/>
      <c r="E14406" s="202"/>
      <c r="U14406" s="204"/>
    </row>
    <row r="14407" spans="2:21" x14ac:dyDescent="0.2">
      <c r="B14407" s="203"/>
      <c r="C14407" s="237"/>
      <c r="D14407" s="202"/>
      <c r="E14407" s="202"/>
      <c r="U14407" s="204"/>
    </row>
    <row r="14408" spans="2:21" x14ac:dyDescent="0.2">
      <c r="B14408" s="203"/>
      <c r="C14408" s="237"/>
      <c r="D14408" s="202"/>
      <c r="E14408" s="202"/>
      <c r="U14408" s="204"/>
    </row>
    <row r="14409" spans="2:21" x14ac:dyDescent="0.2">
      <c r="B14409" s="203"/>
      <c r="C14409" s="237"/>
      <c r="D14409" s="202"/>
      <c r="E14409" s="202"/>
      <c r="U14409" s="204"/>
    </row>
    <row r="14410" spans="2:21" x14ac:dyDescent="0.2">
      <c r="B14410" s="203"/>
      <c r="C14410" s="237"/>
      <c r="D14410" s="202"/>
      <c r="E14410" s="202"/>
      <c r="U14410" s="204"/>
    </row>
    <row r="14411" spans="2:21" x14ac:dyDescent="0.2">
      <c r="B14411" s="203"/>
      <c r="C14411" s="237"/>
      <c r="D14411" s="202"/>
      <c r="E14411" s="202"/>
      <c r="U14411" s="204"/>
    </row>
    <row r="14412" spans="2:21" x14ac:dyDescent="0.2">
      <c r="B14412" s="203"/>
      <c r="C14412" s="237"/>
      <c r="D14412" s="202"/>
      <c r="E14412" s="202"/>
      <c r="U14412" s="204"/>
    </row>
    <row r="14413" spans="2:21" x14ac:dyDescent="0.2">
      <c r="B14413" s="203"/>
      <c r="C14413" s="237"/>
      <c r="D14413" s="202"/>
      <c r="E14413" s="202"/>
      <c r="U14413" s="204"/>
    </row>
    <row r="14414" spans="2:21" x14ac:dyDescent="0.2">
      <c r="B14414" s="203"/>
      <c r="C14414" s="237"/>
      <c r="D14414" s="202"/>
      <c r="E14414" s="202"/>
      <c r="U14414" s="204"/>
    </row>
    <row r="14415" spans="2:21" x14ac:dyDescent="0.2">
      <c r="B14415" s="203"/>
      <c r="C14415" s="237"/>
      <c r="D14415" s="202"/>
      <c r="E14415" s="202"/>
      <c r="U14415" s="204"/>
    </row>
    <row r="14416" spans="2:21" x14ac:dyDescent="0.2">
      <c r="B14416" s="203"/>
      <c r="C14416" s="237"/>
      <c r="D14416" s="202"/>
      <c r="E14416" s="202"/>
      <c r="U14416" s="204"/>
    </row>
    <row r="14417" spans="2:21" x14ac:dyDescent="0.2">
      <c r="B14417" s="203"/>
      <c r="C14417" s="237"/>
      <c r="D14417" s="202"/>
      <c r="E14417" s="202"/>
      <c r="U14417" s="204"/>
    </row>
    <row r="14418" spans="2:21" x14ac:dyDescent="0.2">
      <c r="B14418" s="203"/>
      <c r="C14418" s="237"/>
      <c r="D14418" s="202"/>
      <c r="E14418" s="202"/>
      <c r="U14418" s="204"/>
    </row>
    <row r="14419" spans="2:21" x14ac:dyDescent="0.2">
      <c r="B14419" s="203"/>
      <c r="C14419" s="237"/>
      <c r="D14419" s="202"/>
      <c r="E14419" s="202"/>
      <c r="U14419" s="204"/>
    </row>
    <row r="14420" spans="2:21" x14ac:dyDescent="0.2">
      <c r="B14420" s="203"/>
      <c r="C14420" s="237"/>
      <c r="D14420" s="202"/>
      <c r="E14420" s="202"/>
      <c r="U14420" s="204"/>
    </row>
    <row r="14421" spans="2:21" x14ac:dyDescent="0.2">
      <c r="B14421" s="203"/>
      <c r="C14421" s="237"/>
      <c r="D14421" s="202"/>
      <c r="E14421" s="202"/>
      <c r="U14421" s="204"/>
    </row>
    <row r="14422" spans="2:21" x14ac:dyDescent="0.2">
      <c r="B14422" s="203"/>
      <c r="C14422" s="237"/>
      <c r="D14422" s="202"/>
      <c r="E14422" s="202"/>
      <c r="U14422" s="204"/>
    </row>
    <row r="14423" spans="2:21" x14ac:dyDescent="0.2">
      <c r="B14423" s="203"/>
      <c r="C14423" s="237"/>
      <c r="D14423" s="202"/>
      <c r="E14423" s="202"/>
      <c r="U14423" s="204"/>
    </row>
    <row r="14424" spans="2:21" x14ac:dyDescent="0.2">
      <c r="B14424" s="203"/>
      <c r="C14424" s="237"/>
      <c r="D14424" s="202"/>
      <c r="E14424" s="202"/>
      <c r="U14424" s="204"/>
    </row>
    <row r="14425" spans="2:21" x14ac:dyDescent="0.2">
      <c r="B14425" s="203"/>
      <c r="C14425" s="237"/>
      <c r="D14425" s="202"/>
      <c r="E14425" s="202"/>
      <c r="U14425" s="204"/>
    </row>
    <row r="14426" spans="2:21" x14ac:dyDescent="0.2">
      <c r="B14426" s="203"/>
      <c r="C14426" s="237"/>
      <c r="D14426" s="202"/>
      <c r="E14426" s="202"/>
      <c r="U14426" s="204"/>
    </row>
    <row r="14427" spans="2:21" x14ac:dyDescent="0.2">
      <c r="B14427" s="203"/>
      <c r="C14427" s="237"/>
      <c r="D14427" s="202"/>
      <c r="E14427" s="202"/>
      <c r="U14427" s="204"/>
    </row>
    <row r="14428" spans="2:21" x14ac:dyDescent="0.2">
      <c r="B14428" s="203"/>
      <c r="C14428" s="237"/>
      <c r="D14428" s="202"/>
      <c r="E14428" s="202"/>
      <c r="U14428" s="204"/>
    </row>
    <row r="14429" spans="2:21" x14ac:dyDescent="0.2">
      <c r="B14429" s="203"/>
      <c r="C14429" s="237"/>
      <c r="D14429" s="202"/>
      <c r="E14429" s="202"/>
      <c r="U14429" s="204"/>
    </row>
    <row r="14430" spans="2:21" x14ac:dyDescent="0.2">
      <c r="B14430" s="203"/>
      <c r="C14430" s="237"/>
      <c r="D14430" s="202"/>
      <c r="E14430" s="202"/>
      <c r="U14430" s="204"/>
    </row>
    <row r="14431" spans="2:21" x14ac:dyDescent="0.2">
      <c r="B14431" s="203"/>
      <c r="C14431" s="237"/>
      <c r="D14431" s="202"/>
      <c r="E14431" s="202"/>
      <c r="U14431" s="204"/>
    </row>
    <row r="14432" spans="2:21" x14ac:dyDescent="0.2">
      <c r="B14432" s="203"/>
      <c r="C14432" s="237"/>
      <c r="D14432" s="202"/>
      <c r="E14432" s="202"/>
      <c r="U14432" s="204"/>
    </row>
    <row r="14433" spans="2:21" x14ac:dyDescent="0.2">
      <c r="B14433" s="203"/>
      <c r="C14433" s="237"/>
      <c r="D14433" s="202"/>
      <c r="E14433" s="202"/>
      <c r="U14433" s="204"/>
    </row>
    <row r="14434" spans="2:21" x14ac:dyDescent="0.2">
      <c r="B14434" s="203"/>
      <c r="C14434" s="237"/>
      <c r="D14434" s="202"/>
      <c r="E14434" s="202"/>
      <c r="U14434" s="204"/>
    </row>
    <row r="14435" spans="2:21" x14ac:dyDescent="0.2">
      <c r="B14435" s="203"/>
      <c r="C14435" s="237"/>
      <c r="D14435" s="202"/>
      <c r="E14435" s="202"/>
      <c r="U14435" s="204"/>
    </row>
    <row r="14436" spans="2:21" x14ac:dyDescent="0.2">
      <c r="B14436" s="203"/>
      <c r="C14436" s="237"/>
      <c r="D14436" s="202"/>
      <c r="E14436" s="202"/>
      <c r="U14436" s="204"/>
    </row>
    <row r="14437" spans="2:21" x14ac:dyDescent="0.2">
      <c r="B14437" s="203"/>
      <c r="C14437" s="237"/>
      <c r="D14437" s="202"/>
      <c r="E14437" s="202"/>
      <c r="U14437" s="204"/>
    </row>
    <row r="14438" spans="2:21" x14ac:dyDescent="0.2">
      <c r="B14438" s="203"/>
      <c r="C14438" s="237"/>
      <c r="D14438" s="202"/>
      <c r="E14438" s="202"/>
      <c r="U14438" s="204"/>
    </row>
    <row r="14439" spans="2:21" x14ac:dyDescent="0.2">
      <c r="B14439" s="203"/>
      <c r="C14439" s="237"/>
      <c r="D14439" s="202"/>
      <c r="E14439" s="202"/>
      <c r="U14439" s="204"/>
    </row>
    <row r="14440" spans="2:21" x14ac:dyDescent="0.2">
      <c r="B14440" s="203"/>
      <c r="C14440" s="237"/>
      <c r="D14440" s="202"/>
      <c r="E14440" s="202"/>
      <c r="U14440" s="204"/>
    </row>
    <row r="14441" spans="2:21" x14ac:dyDescent="0.2">
      <c r="B14441" s="203"/>
      <c r="C14441" s="237"/>
      <c r="D14441" s="202"/>
      <c r="E14441" s="202"/>
      <c r="U14441" s="204"/>
    </row>
    <row r="14442" spans="2:21" x14ac:dyDescent="0.2">
      <c r="B14442" s="203"/>
      <c r="C14442" s="237"/>
      <c r="D14442" s="202"/>
      <c r="E14442" s="202"/>
      <c r="U14442" s="204"/>
    </row>
    <row r="14443" spans="2:21" x14ac:dyDescent="0.2">
      <c r="B14443" s="203"/>
      <c r="C14443" s="237"/>
      <c r="D14443" s="202"/>
      <c r="E14443" s="202"/>
      <c r="U14443" s="204"/>
    </row>
    <row r="14444" spans="2:21" x14ac:dyDescent="0.2">
      <c r="B14444" s="203"/>
      <c r="C14444" s="237"/>
      <c r="D14444" s="202"/>
      <c r="E14444" s="202"/>
      <c r="U14444" s="204"/>
    </row>
    <row r="14445" spans="2:21" x14ac:dyDescent="0.2">
      <c r="B14445" s="203"/>
      <c r="C14445" s="237"/>
      <c r="D14445" s="202"/>
      <c r="E14445" s="202"/>
      <c r="U14445" s="204"/>
    </row>
    <row r="14446" spans="2:21" x14ac:dyDescent="0.2">
      <c r="B14446" s="203"/>
      <c r="C14446" s="237"/>
      <c r="D14446" s="202"/>
      <c r="E14446" s="202"/>
      <c r="U14446" s="204"/>
    </row>
    <row r="14447" spans="2:21" x14ac:dyDescent="0.2">
      <c r="B14447" s="203"/>
      <c r="C14447" s="237"/>
      <c r="D14447" s="202"/>
      <c r="E14447" s="202"/>
      <c r="U14447" s="204"/>
    </row>
    <row r="14448" spans="2:21" x14ac:dyDescent="0.2">
      <c r="B14448" s="203"/>
      <c r="C14448" s="237"/>
      <c r="D14448" s="202"/>
      <c r="E14448" s="202"/>
      <c r="U14448" s="204"/>
    </row>
    <row r="14449" spans="2:21" x14ac:dyDescent="0.2">
      <c r="B14449" s="203"/>
      <c r="C14449" s="237"/>
      <c r="D14449" s="202"/>
      <c r="E14449" s="202"/>
      <c r="U14449" s="204"/>
    </row>
    <row r="14450" spans="2:21" x14ac:dyDescent="0.2">
      <c r="B14450" s="203"/>
      <c r="C14450" s="237"/>
      <c r="D14450" s="202"/>
      <c r="E14450" s="202"/>
      <c r="U14450" s="204"/>
    </row>
    <row r="14451" spans="2:21" x14ac:dyDescent="0.2">
      <c r="B14451" s="203"/>
      <c r="C14451" s="237"/>
      <c r="D14451" s="202"/>
      <c r="E14451" s="202"/>
      <c r="U14451" s="204"/>
    </row>
    <row r="14452" spans="2:21" x14ac:dyDescent="0.2">
      <c r="B14452" s="203"/>
      <c r="C14452" s="237"/>
      <c r="D14452" s="202"/>
      <c r="E14452" s="202"/>
      <c r="U14452" s="204"/>
    </row>
    <row r="14453" spans="2:21" x14ac:dyDescent="0.2">
      <c r="B14453" s="203"/>
      <c r="C14453" s="237"/>
      <c r="D14453" s="202"/>
      <c r="E14453" s="202"/>
      <c r="U14453" s="204"/>
    </row>
    <row r="14454" spans="2:21" x14ac:dyDescent="0.2">
      <c r="B14454" s="203"/>
      <c r="C14454" s="237"/>
      <c r="D14454" s="202"/>
      <c r="E14454" s="202"/>
      <c r="U14454" s="204"/>
    </row>
    <row r="14455" spans="2:21" x14ac:dyDescent="0.2">
      <c r="B14455" s="203"/>
      <c r="C14455" s="237"/>
      <c r="D14455" s="202"/>
      <c r="E14455" s="202"/>
      <c r="U14455" s="204"/>
    </row>
    <row r="14456" spans="2:21" x14ac:dyDescent="0.2">
      <c r="B14456" s="203"/>
      <c r="C14456" s="237"/>
      <c r="D14456" s="202"/>
      <c r="E14456" s="202"/>
      <c r="U14456" s="204"/>
    </row>
    <row r="14457" spans="2:21" x14ac:dyDescent="0.2">
      <c r="B14457" s="203"/>
      <c r="C14457" s="237"/>
      <c r="D14457" s="202"/>
      <c r="E14457" s="202"/>
      <c r="U14457" s="204"/>
    </row>
    <row r="14458" spans="2:21" x14ac:dyDescent="0.2">
      <c r="B14458" s="203"/>
      <c r="C14458" s="237"/>
      <c r="D14458" s="202"/>
      <c r="E14458" s="202"/>
      <c r="U14458" s="204"/>
    </row>
    <row r="14459" spans="2:21" x14ac:dyDescent="0.2">
      <c r="B14459" s="203"/>
      <c r="C14459" s="237"/>
      <c r="D14459" s="202"/>
      <c r="E14459" s="202"/>
      <c r="U14459" s="204"/>
    </row>
    <row r="14460" spans="2:21" x14ac:dyDescent="0.2">
      <c r="B14460" s="203"/>
      <c r="C14460" s="237"/>
      <c r="D14460" s="202"/>
      <c r="E14460" s="202"/>
      <c r="U14460" s="204"/>
    </row>
    <row r="14461" spans="2:21" x14ac:dyDescent="0.2">
      <c r="B14461" s="203"/>
      <c r="C14461" s="237"/>
      <c r="D14461" s="202"/>
      <c r="E14461" s="202"/>
      <c r="U14461" s="204"/>
    </row>
    <row r="14462" spans="2:21" x14ac:dyDescent="0.2">
      <c r="B14462" s="203"/>
      <c r="C14462" s="237"/>
      <c r="D14462" s="202"/>
      <c r="E14462" s="202"/>
      <c r="U14462" s="204"/>
    </row>
    <row r="14463" spans="2:21" x14ac:dyDescent="0.2">
      <c r="B14463" s="203"/>
      <c r="C14463" s="237"/>
      <c r="D14463" s="202"/>
      <c r="E14463" s="202"/>
      <c r="U14463" s="204"/>
    </row>
    <row r="14464" spans="2:21" x14ac:dyDescent="0.2">
      <c r="B14464" s="203"/>
      <c r="C14464" s="237"/>
      <c r="D14464" s="202"/>
      <c r="E14464" s="202"/>
      <c r="U14464" s="204"/>
    </row>
    <row r="14465" spans="2:21" x14ac:dyDescent="0.2">
      <c r="B14465" s="203"/>
      <c r="C14465" s="237"/>
      <c r="D14465" s="202"/>
      <c r="E14465" s="202"/>
      <c r="U14465" s="204"/>
    </row>
    <row r="14466" spans="2:21" x14ac:dyDescent="0.2">
      <c r="B14466" s="203"/>
      <c r="C14466" s="237"/>
      <c r="D14466" s="202"/>
      <c r="E14466" s="202"/>
      <c r="U14466" s="204"/>
    </row>
    <row r="14467" spans="2:21" x14ac:dyDescent="0.2">
      <c r="B14467" s="203"/>
      <c r="C14467" s="237"/>
      <c r="D14467" s="202"/>
      <c r="E14467" s="202"/>
      <c r="U14467" s="204"/>
    </row>
    <row r="14468" spans="2:21" x14ac:dyDescent="0.2">
      <c r="B14468" s="203"/>
      <c r="C14468" s="237"/>
      <c r="D14468" s="202"/>
      <c r="E14468" s="202"/>
      <c r="U14468" s="204"/>
    </row>
    <row r="14469" spans="2:21" x14ac:dyDescent="0.2">
      <c r="B14469" s="203"/>
      <c r="C14469" s="237"/>
      <c r="D14469" s="202"/>
      <c r="E14469" s="202"/>
      <c r="U14469" s="204"/>
    </row>
    <row r="14470" spans="2:21" x14ac:dyDescent="0.2">
      <c r="B14470" s="203"/>
      <c r="C14470" s="237"/>
      <c r="D14470" s="202"/>
      <c r="E14470" s="202"/>
      <c r="U14470" s="204"/>
    </row>
    <row r="14471" spans="2:21" x14ac:dyDescent="0.2">
      <c r="B14471" s="203"/>
      <c r="C14471" s="237"/>
      <c r="D14471" s="202"/>
      <c r="E14471" s="202"/>
      <c r="U14471" s="204"/>
    </row>
    <row r="14472" spans="2:21" x14ac:dyDescent="0.2">
      <c r="B14472" s="203"/>
      <c r="C14472" s="237"/>
      <c r="D14472" s="202"/>
      <c r="E14472" s="202"/>
      <c r="U14472" s="204"/>
    </row>
    <row r="14473" spans="2:21" x14ac:dyDescent="0.2">
      <c r="B14473" s="203"/>
      <c r="C14473" s="237"/>
      <c r="D14473" s="202"/>
      <c r="E14473" s="202"/>
      <c r="U14473" s="204"/>
    </row>
    <row r="14474" spans="2:21" x14ac:dyDescent="0.2">
      <c r="B14474" s="203"/>
      <c r="C14474" s="237"/>
      <c r="D14474" s="202"/>
      <c r="E14474" s="202"/>
      <c r="U14474" s="204"/>
    </row>
    <row r="14475" spans="2:21" x14ac:dyDescent="0.2">
      <c r="B14475" s="203"/>
      <c r="C14475" s="237"/>
      <c r="D14475" s="202"/>
      <c r="E14475" s="202"/>
      <c r="U14475" s="204"/>
    </row>
    <row r="14476" spans="2:21" x14ac:dyDescent="0.2">
      <c r="B14476" s="203"/>
      <c r="C14476" s="237"/>
      <c r="D14476" s="202"/>
      <c r="E14476" s="202"/>
      <c r="U14476" s="204"/>
    </row>
    <row r="14477" spans="2:21" x14ac:dyDescent="0.2">
      <c r="B14477" s="203"/>
      <c r="C14477" s="237"/>
      <c r="D14477" s="202"/>
      <c r="E14477" s="202"/>
      <c r="U14477" s="204"/>
    </row>
    <row r="14478" spans="2:21" x14ac:dyDescent="0.2">
      <c r="B14478" s="203"/>
      <c r="C14478" s="237"/>
      <c r="D14478" s="202"/>
      <c r="E14478" s="202"/>
      <c r="U14478" s="204"/>
    </row>
    <row r="14479" spans="2:21" x14ac:dyDescent="0.2">
      <c r="B14479" s="203"/>
      <c r="C14479" s="237"/>
      <c r="D14479" s="202"/>
      <c r="E14479" s="202"/>
      <c r="U14479" s="204"/>
    </row>
    <row r="14480" spans="2:21" x14ac:dyDescent="0.2">
      <c r="B14480" s="203"/>
      <c r="C14480" s="237"/>
      <c r="D14480" s="202"/>
      <c r="E14480" s="202"/>
      <c r="U14480" s="204"/>
    </row>
    <row r="14481" spans="2:21" x14ac:dyDescent="0.2">
      <c r="B14481" s="203"/>
      <c r="C14481" s="237"/>
      <c r="D14481" s="202"/>
      <c r="E14481" s="202"/>
      <c r="U14481" s="204"/>
    </row>
    <row r="14482" spans="2:21" x14ac:dyDescent="0.2">
      <c r="B14482" s="203"/>
      <c r="C14482" s="237"/>
      <c r="D14482" s="202"/>
      <c r="E14482" s="202"/>
      <c r="U14482" s="204"/>
    </row>
    <row r="14483" spans="2:21" x14ac:dyDescent="0.2">
      <c r="B14483" s="203"/>
      <c r="C14483" s="237"/>
      <c r="D14483" s="202"/>
      <c r="E14483" s="202"/>
      <c r="U14483" s="204"/>
    </row>
    <row r="14484" spans="2:21" x14ac:dyDescent="0.2">
      <c r="B14484" s="203"/>
      <c r="C14484" s="237"/>
      <c r="D14484" s="202"/>
      <c r="E14484" s="202"/>
      <c r="U14484" s="204"/>
    </row>
    <row r="14485" spans="2:21" x14ac:dyDescent="0.2">
      <c r="B14485" s="203"/>
      <c r="C14485" s="237"/>
      <c r="D14485" s="202"/>
      <c r="E14485" s="202"/>
      <c r="U14485" s="204"/>
    </row>
    <row r="14486" spans="2:21" x14ac:dyDescent="0.2">
      <c r="B14486" s="203"/>
      <c r="C14486" s="237"/>
      <c r="D14486" s="202"/>
      <c r="E14486" s="202"/>
      <c r="U14486" s="204"/>
    </row>
    <row r="14487" spans="2:21" x14ac:dyDescent="0.2">
      <c r="B14487" s="203"/>
      <c r="C14487" s="237"/>
      <c r="D14487" s="202"/>
      <c r="E14487" s="202"/>
      <c r="U14487" s="204"/>
    </row>
    <row r="14488" spans="2:21" x14ac:dyDescent="0.2">
      <c r="B14488" s="203"/>
      <c r="C14488" s="237"/>
      <c r="D14488" s="202"/>
      <c r="E14488" s="202"/>
      <c r="U14488" s="204"/>
    </row>
    <row r="14489" spans="2:21" x14ac:dyDescent="0.2">
      <c r="B14489" s="203"/>
      <c r="C14489" s="237"/>
      <c r="D14489" s="202"/>
      <c r="E14489" s="202"/>
      <c r="U14489" s="204"/>
    </row>
    <row r="14490" spans="2:21" x14ac:dyDescent="0.2">
      <c r="B14490" s="203"/>
      <c r="C14490" s="237"/>
      <c r="D14490" s="202"/>
      <c r="E14490" s="202"/>
      <c r="U14490" s="204"/>
    </row>
    <row r="14491" spans="2:21" x14ac:dyDescent="0.2">
      <c r="B14491" s="203"/>
      <c r="C14491" s="237"/>
      <c r="D14491" s="202"/>
      <c r="E14491" s="202"/>
      <c r="U14491" s="204"/>
    </row>
    <row r="14492" spans="2:21" x14ac:dyDescent="0.2">
      <c r="B14492" s="203"/>
      <c r="C14492" s="237"/>
      <c r="D14492" s="202"/>
      <c r="E14492" s="202"/>
      <c r="U14492" s="204"/>
    </row>
    <row r="14493" spans="2:21" x14ac:dyDescent="0.2">
      <c r="B14493" s="203"/>
      <c r="C14493" s="237"/>
      <c r="D14493" s="202"/>
      <c r="E14493" s="202"/>
      <c r="U14493" s="204"/>
    </row>
    <row r="14494" spans="2:21" x14ac:dyDescent="0.2">
      <c r="B14494" s="203"/>
      <c r="C14494" s="237"/>
      <c r="D14494" s="202"/>
      <c r="E14494" s="202"/>
      <c r="U14494" s="204"/>
    </row>
    <row r="14495" spans="2:21" x14ac:dyDescent="0.2">
      <c r="B14495" s="203"/>
      <c r="C14495" s="237"/>
      <c r="D14495" s="202"/>
      <c r="E14495" s="202"/>
      <c r="U14495" s="204"/>
    </row>
    <row r="14496" spans="2:21" x14ac:dyDescent="0.2">
      <c r="B14496" s="203"/>
      <c r="C14496" s="237"/>
      <c r="D14496" s="202"/>
      <c r="E14496" s="202"/>
      <c r="U14496" s="204"/>
    </row>
    <row r="14497" spans="2:21" x14ac:dyDescent="0.2">
      <c r="B14497" s="203"/>
      <c r="C14497" s="237"/>
      <c r="D14497" s="202"/>
      <c r="E14497" s="202"/>
      <c r="U14497" s="204"/>
    </row>
    <row r="14498" spans="2:21" x14ac:dyDescent="0.2">
      <c r="B14498" s="203"/>
      <c r="C14498" s="237"/>
      <c r="D14498" s="202"/>
      <c r="E14498" s="202"/>
      <c r="U14498" s="204"/>
    </row>
    <row r="14499" spans="2:21" x14ac:dyDescent="0.2">
      <c r="B14499" s="203"/>
      <c r="C14499" s="237"/>
      <c r="D14499" s="202"/>
      <c r="E14499" s="202"/>
      <c r="U14499" s="204"/>
    </row>
    <row r="14500" spans="2:21" x14ac:dyDescent="0.2">
      <c r="B14500" s="203"/>
      <c r="C14500" s="237"/>
      <c r="D14500" s="202"/>
      <c r="E14500" s="202"/>
      <c r="U14500" s="204"/>
    </row>
    <row r="14501" spans="2:21" x14ac:dyDescent="0.2">
      <c r="B14501" s="203"/>
      <c r="C14501" s="237"/>
      <c r="D14501" s="202"/>
      <c r="E14501" s="202"/>
      <c r="U14501" s="204"/>
    </row>
    <row r="14502" spans="2:21" x14ac:dyDescent="0.2">
      <c r="B14502" s="203"/>
      <c r="C14502" s="237"/>
      <c r="D14502" s="202"/>
      <c r="E14502" s="202"/>
      <c r="U14502" s="204"/>
    </row>
    <row r="14503" spans="2:21" x14ac:dyDescent="0.2">
      <c r="B14503" s="203"/>
      <c r="C14503" s="237"/>
      <c r="D14503" s="202"/>
      <c r="E14503" s="202"/>
      <c r="U14503" s="204"/>
    </row>
    <row r="14504" spans="2:21" x14ac:dyDescent="0.2">
      <c r="B14504" s="203"/>
      <c r="C14504" s="237"/>
      <c r="D14504" s="202"/>
      <c r="E14504" s="202"/>
      <c r="U14504" s="204"/>
    </row>
    <row r="14505" spans="2:21" x14ac:dyDescent="0.2">
      <c r="B14505" s="203"/>
      <c r="C14505" s="237"/>
      <c r="D14505" s="202"/>
      <c r="E14505" s="202"/>
      <c r="U14505" s="204"/>
    </row>
    <row r="14506" spans="2:21" x14ac:dyDescent="0.2">
      <c r="B14506" s="203"/>
      <c r="C14506" s="237"/>
      <c r="D14506" s="202"/>
      <c r="E14506" s="202"/>
      <c r="U14506" s="204"/>
    </row>
    <row r="14507" spans="2:21" x14ac:dyDescent="0.2">
      <c r="B14507" s="203"/>
      <c r="C14507" s="237"/>
      <c r="D14507" s="202"/>
      <c r="E14507" s="202"/>
      <c r="U14507" s="204"/>
    </row>
    <row r="14508" spans="2:21" x14ac:dyDescent="0.2">
      <c r="B14508" s="203"/>
      <c r="C14508" s="237"/>
      <c r="D14508" s="202"/>
      <c r="E14508" s="202"/>
      <c r="U14508" s="204"/>
    </row>
    <row r="14509" spans="2:21" x14ac:dyDescent="0.2">
      <c r="B14509" s="203"/>
      <c r="C14509" s="237"/>
      <c r="D14509" s="202"/>
      <c r="E14509" s="202"/>
      <c r="U14509" s="204"/>
    </row>
    <row r="14510" spans="2:21" x14ac:dyDescent="0.2">
      <c r="B14510" s="203"/>
      <c r="C14510" s="237"/>
      <c r="D14510" s="202"/>
      <c r="E14510" s="202"/>
      <c r="U14510" s="204"/>
    </row>
    <row r="14511" spans="2:21" x14ac:dyDescent="0.2">
      <c r="B14511" s="203"/>
      <c r="C14511" s="237"/>
      <c r="D14511" s="202"/>
      <c r="E14511" s="202"/>
      <c r="U14511" s="204"/>
    </row>
    <row r="14512" spans="2:21" x14ac:dyDescent="0.2">
      <c r="B14512" s="203"/>
      <c r="C14512" s="237"/>
      <c r="D14512" s="202"/>
      <c r="E14512" s="202"/>
      <c r="U14512" s="204"/>
    </row>
    <row r="14513" spans="2:21" x14ac:dyDescent="0.2">
      <c r="B14513" s="203"/>
      <c r="C14513" s="237"/>
      <c r="D14513" s="202"/>
      <c r="E14513" s="202"/>
      <c r="U14513" s="204"/>
    </row>
    <row r="14514" spans="2:21" x14ac:dyDescent="0.2">
      <c r="B14514" s="203"/>
      <c r="C14514" s="237"/>
      <c r="D14514" s="202"/>
      <c r="E14514" s="202"/>
      <c r="U14514" s="204"/>
    </row>
    <row r="14515" spans="2:21" x14ac:dyDescent="0.2">
      <c r="B14515" s="203"/>
      <c r="C14515" s="237"/>
      <c r="D14515" s="202"/>
      <c r="E14515" s="202"/>
      <c r="U14515" s="204"/>
    </row>
    <row r="14516" spans="2:21" x14ac:dyDescent="0.2">
      <c r="B14516" s="203"/>
      <c r="C14516" s="237"/>
      <c r="D14516" s="202"/>
      <c r="E14516" s="202"/>
      <c r="U14516" s="204"/>
    </row>
    <row r="14517" spans="2:21" x14ac:dyDescent="0.2">
      <c r="B14517" s="203"/>
      <c r="C14517" s="237"/>
      <c r="D14517" s="202"/>
      <c r="E14517" s="202"/>
      <c r="U14517" s="204"/>
    </row>
    <row r="14518" spans="2:21" x14ac:dyDescent="0.2">
      <c r="B14518" s="203"/>
      <c r="C14518" s="237"/>
      <c r="D14518" s="202"/>
      <c r="E14518" s="202"/>
      <c r="U14518" s="204"/>
    </row>
    <row r="14519" spans="2:21" x14ac:dyDescent="0.2">
      <c r="B14519" s="203"/>
      <c r="C14519" s="237"/>
      <c r="D14519" s="202"/>
      <c r="E14519" s="202"/>
      <c r="U14519" s="204"/>
    </row>
    <row r="14520" spans="2:21" x14ac:dyDescent="0.2">
      <c r="B14520" s="203"/>
      <c r="C14520" s="237"/>
      <c r="D14520" s="202"/>
      <c r="E14520" s="202"/>
      <c r="U14520" s="204"/>
    </row>
    <row r="14521" spans="2:21" x14ac:dyDescent="0.2">
      <c r="B14521" s="203"/>
      <c r="C14521" s="237"/>
      <c r="D14521" s="202"/>
      <c r="E14521" s="202"/>
      <c r="U14521" s="204"/>
    </row>
    <row r="14522" spans="2:21" x14ac:dyDescent="0.2">
      <c r="B14522" s="203"/>
      <c r="C14522" s="237"/>
      <c r="D14522" s="202"/>
      <c r="E14522" s="202"/>
      <c r="U14522" s="204"/>
    </row>
    <row r="14523" spans="2:21" x14ac:dyDescent="0.2">
      <c r="B14523" s="203"/>
      <c r="C14523" s="237"/>
      <c r="D14523" s="202"/>
      <c r="E14523" s="202"/>
      <c r="U14523" s="204"/>
    </row>
    <row r="14524" spans="2:21" x14ac:dyDescent="0.2">
      <c r="B14524" s="203"/>
      <c r="C14524" s="237"/>
      <c r="D14524" s="202"/>
      <c r="E14524" s="202"/>
      <c r="U14524" s="204"/>
    </row>
    <row r="14525" spans="2:21" x14ac:dyDescent="0.2">
      <c r="B14525" s="203"/>
      <c r="C14525" s="237"/>
      <c r="D14525" s="202"/>
      <c r="E14525" s="202"/>
      <c r="U14525" s="204"/>
    </row>
    <row r="14526" spans="2:21" x14ac:dyDescent="0.2">
      <c r="B14526" s="203"/>
      <c r="C14526" s="237"/>
      <c r="D14526" s="202"/>
      <c r="E14526" s="202"/>
      <c r="U14526" s="204"/>
    </row>
    <row r="14527" spans="2:21" x14ac:dyDescent="0.2">
      <c r="B14527" s="203"/>
      <c r="C14527" s="237"/>
      <c r="D14527" s="202"/>
      <c r="E14527" s="202"/>
      <c r="U14527" s="204"/>
    </row>
    <row r="14528" spans="2:21" x14ac:dyDescent="0.2">
      <c r="B14528" s="203"/>
      <c r="C14528" s="237"/>
      <c r="D14528" s="202"/>
      <c r="E14528" s="202"/>
      <c r="U14528" s="204"/>
    </row>
    <row r="14529" spans="2:21" x14ac:dyDescent="0.2">
      <c r="B14529" s="203"/>
      <c r="C14529" s="237"/>
      <c r="D14529" s="202"/>
      <c r="E14529" s="202"/>
      <c r="U14529" s="204"/>
    </row>
    <row r="14530" spans="2:21" x14ac:dyDescent="0.2">
      <c r="B14530" s="203"/>
      <c r="C14530" s="237"/>
      <c r="D14530" s="202"/>
      <c r="E14530" s="202"/>
      <c r="U14530" s="204"/>
    </row>
    <row r="14531" spans="2:21" x14ac:dyDescent="0.2">
      <c r="B14531" s="203"/>
      <c r="C14531" s="237"/>
      <c r="D14531" s="202"/>
      <c r="E14531" s="202"/>
      <c r="U14531" s="204"/>
    </row>
    <row r="14532" spans="2:21" x14ac:dyDescent="0.2">
      <c r="B14532" s="203"/>
      <c r="C14532" s="237"/>
      <c r="D14532" s="202"/>
      <c r="E14532" s="202"/>
      <c r="U14532" s="204"/>
    </row>
    <row r="14533" spans="2:21" x14ac:dyDescent="0.2">
      <c r="B14533" s="203"/>
      <c r="C14533" s="237"/>
      <c r="D14533" s="202"/>
      <c r="E14533" s="202"/>
      <c r="U14533" s="204"/>
    </row>
    <row r="14534" spans="2:21" x14ac:dyDescent="0.2">
      <c r="B14534" s="203"/>
      <c r="C14534" s="237"/>
      <c r="D14534" s="202"/>
      <c r="E14534" s="202"/>
      <c r="U14534" s="204"/>
    </row>
    <row r="14535" spans="2:21" x14ac:dyDescent="0.2">
      <c r="B14535" s="203"/>
      <c r="C14535" s="237"/>
      <c r="D14535" s="202"/>
      <c r="E14535" s="202"/>
      <c r="U14535" s="204"/>
    </row>
    <row r="14536" spans="2:21" x14ac:dyDescent="0.2">
      <c r="B14536" s="203"/>
      <c r="C14536" s="237"/>
      <c r="D14536" s="202"/>
      <c r="E14536" s="202"/>
      <c r="U14536" s="204"/>
    </row>
    <row r="14537" spans="2:21" x14ac:dyDescent="0.2">
      <c r="B14537" s="203"/>
      <c r="C14537" s="237"/>
      <c r="D14537" s="202"/>
      <c r="E14537" s="202"/>
      <c r="U14537" s="204"/>
    </row>
    <row r="14538" spans="2:21" x14ac:dyDescent="0.2">
      <c r="B14538" s="203"/>
      <c r="C14538" s="237"/>
      <c r="D14538" s="202"/>
      <c r="E14538" s="202"/>
      <c r="U14538" s="204"/>
    </row>
    <row r="14539" spans="2:21" x14ac:dyDescent="0.2">
      <c r="B14539" s="203"/>
      <c r="C14539" s="237"/>
      <c r="D14539" s="202"/>
      <c r="E14539" s="202"/>
      <c r="U14539" s="204"/>
    </row>
    <row r="14540" spans="2:21" x14ac:dyDescent="0.2">
      <c r="B14540" s="203"/>
      <c r="C14540" s="237"/>
      <c r="D14540" s="202"/>
      <c r="E14540" s="202"/>
      <c r="U14540" s="204"/>
    </row>
    <row r="14541" spans="2:21" x14ac:dyDescent="0.2">
      <c r="B14541" s="203"/>
      <c r="C14541" s="237"/>
      <c r="D14541" s="202"/>
      <c r="E14541" s="202"/>
      <c r="U14541" s="204"/>
    </row>
    <row r="14542" spans="2:21" x14ac:dyDescent="0.2">
      <c r="B14542" s="203"/>
      <c r="C14542" s="237"/>
      <c r="D14542" s="202"/>
      <c r="E14542" s="202"/>
      <c r="U14542" s="204"/>
    </row>
    <row r="14543" spans="2:21" x14ac:dyDescent="0.2">
      <c r="B14543" s="203"/>
      <c r="C14543" s="237"/>
      <c r="D14543" s="202"/>
      <c r="E14543" s="202"/>
      <c r="U14543" s="204"/>
    </row>
    <row r="14544" spans="2:21" x14ac:dyDescent="0.2">
      <c r="B14544" s="203"/>
      <c r="C14544" s="237"/>
      <c r="D14544" s="202"/>
      <c r="E14544" s="202"/>
      <c r="U14544" s="204"/>
    </row>
    <row r="14545" spans="2:21" x14ac:dyDescent="0.2">
      <c r="B14545" s="203"/>
      <c r="C14545" s="237"/>
      <c r="D14545" s="202"/>
      <c r="E14545" s="202"/>
      <c r="U14545" s="204"/>
    </row>
    <row r="14546" spans="2:21" x14ac:dyDescent="0.2">
      <c r="B14546" s="203"/>
      <c r="C14546" s="237"/>
      <c r="D14546" s="202"/>
      <c r="E14546" s="202"/>
      <c r="U14546" s="204"/>
    </row>
    <row r="14547" spans="2:21" x14ac:dyDescent="0.2">
      <c r="B14547" s="203"/>
      <c r="C14547" s="237"/>
      <c r="D14547" s="202"/>
      <c r="E14547" s="202"/>
      <c r="U14547" s="204"/>
    </row>
    <row r="14548" spans="2:21" x14ac:dyDescent="0.2">
      <c r="B14548" s="203"/>
      <c r="C14548" s="237"/>
      <c r="D14548" s="202"/>
      <c r="E14548" s="202"/>
      <c r="U14548" s="204"/>
    </row>
    <row r="14549" spans="2:21" x14ac:dyDescent="0.2">
      <c r="B14549" s="203"/>
      <c r="C14549" s="237"/>
      <c r="D14549" s="202"/>
      <c r="E14549" s="202"/>
      <c r="U14549" s="204"/>
    </row>
    <row r="14550" spans="2:21" x14ac:dyDescent="0.2">
      <c r="B14550" s="203"/>
      <c r="C14550" s="237"/>
      <c r="D14550" s="202"/>
      <c r="E14550" s="202"/>
      <c r="U14550" s="204"/>
    </row>
    <row r="14551" spans="2:21" x14ac:dyDescent="0.2">
      <c r="B14551" s="203"/>
      <c r="C14551" s="237"/>
      <c r="D14551" s="202"/>
      <c r="E14551" s="202"/>
      <c r="U14551" s="204"/>
    </row>
    <row r="14552" spans="2:21" x14ac:dyDescent="0.2">
      <c r="B14552" s="203"/>
      <c r="C14552" s="237"/>
      <c r="D14552" s="202"/>
      <c r="E14552" s="202"/>
      <c r="U14552" s="204"/>
    </row>
    <row r="14553" spans="2:21" x14ac:dyDescent="0.2">
      <c r="B14553" s="203"/>
      <c r="C14553" s="237"/>
      <c r="D14553" s="202"/>
      <c r="E14553" s="202"/>
      <c r="U14553" s="204"/>
    </row>
    <row r="14554" spans="2:21" x14ac:dyDescent="0.2">
      <c r="B14554" s="203"/>
      <c r="C14554" s="237"/>
      <c r="D14554" s="202"/>
      <c r="E14554" s="202"/>
      <c r="U14554" s="204"/>
    </row>
    <row r="14555" spans="2:21" x14ac:dyDescent="0.2">
      <c r="B14555" s="203"/>
      <c r="C14555" s="237"/>
      <c r="D14555" s="202"/>
      <c r="E14555" s="202"/>
      <c r="U14555" s="204"/>
    </row>
    <row r="14556" spans="2:21" x14ac:dyDescent="0.2">
      <c r="B14556" s="203"/>
      <c r="C14556" s="237"/>
      <c r="D14556" s="202"/>
      <c r="E14556" s="202"/>
      <c r="U14556" s="204"/>
    </row>
    <row r="14557" spans="2:21" x14ac:dyDescent="0.2">
      <c r="B14557" s="203"/>
      <c r="C14557" s="237"/>
      <c r="D14557" s="202"/>
      <c r="E14557" s="202"/>
      <c r="U14557" s="204"/>
    </row>
    <row r="14558" spans="2:21" x14ac:dyDescent="0.2">
      <c r="B14558" s="203"/>
      <c r="C14558" s="237"/>
      <c r="D14558" s="202"/>
      <c r="E14558" s="202"/>
      <c r="U14558" s="204"/>
    </row>
    <row r="14559" spans="2:21" x14ac:dyDescent="0.2">
      <c r="B14559" s="203"/>
      <c r="C14559" s="237"/>
      <c r="D14559" s="202"/>
      <c r="E14559" s="202"/>
      <c r="U14559" s="204"/>
    </row>
    <row r="14560" spans="2:21" x14ac:dyDescent="0.2">
      <c r="B14560" s="203"/>
      <c r="C14560" s="237"/>
      <c r="D14560" s="202"/>
      <c r="E14560" s="202"/>
      <c r="U14560" s="204"/>
    </row>
    <row r="14561" spans="2:21" x14ac:dyDescent="0.2">
      <c r="B14561" s="203"/>
      <c r="C14561" s="237"/>
      <c r="D14561" s="202"/>
      <c r="E14561" s="202"/>
      <c r="U14561" s="204"/>
    </row>
    <row r="14562" spans="2:21" x14ac:dyDescent="0.2">
      <c r="B14562" s="203"/>
      <c r="C14562" s="237"/>
      <c r="D14562" s="202"/>
      <c r="E14562" s="202"/>
      <c r="U14562" s="204"/>
    </row>
    <row r="14563" spans="2:21" x14ac:dyDescent="0.2">
      <c r="B14563" s="203"/>
      <c r="C14563" s="237"/>
      <c r="D14563" s="202"/>
      <c r="E14563" s="202"/>
      <c r="U14563" s="204"/>
    </row>
    <row r="14564" spans="2:21" x14ac:dyDescent="0.2">
      <c r="B14564" s="203"/>
      <c r="C14564" s="237"/>
      <c r="D14564" s="202"/>
      <c r="E14564" s="202"/>
      <c r="U14564" s="204"/>
    </row>
    <row r="14565" spans="2:21" x14ac:dyDescent="0.2">
      <c r="B14565" s="203"/>
      <c r="C14565" s="237"/>
      <c r="D14565" s="202"/>
      <c r="E14565" s="202"/>
      <c r="U14565" s="204"/>
    </row>
    <row r="14566" spans="2:21" x14ac:dyDescent="0.2">
      <c r="B14566" s="203"/>
      <c r="C14566" s="237"/>
      <c r="D14566" s="202"/>
      <c r="E14566" s="202"/>
      <c r="U14566" s="204"/>
    </row>
    <row r="14567" spans="2:21" x14ac:dyDescent="0.2">
      <c r="B14567" s="203"/>
      <c r="C14567" s="237"/>
      <c r="D14567" s="202"/>
      <c r="E14567" s="202"/>
      <c r="U14567" s="204"/>
    </row>
    <row r="14568" spans="2:21" x14ac:dyDescent="0.2">
      <c r="B14568" s="203"/>
      <c r="C14568" s="237"/>
      <c r="D14568" s="202"/>
      <c r="E14568" s="202"/>
      <c r="U14568" s="204"/>
    </row>
    <row r="14569" spans="2:21" x14ac:dyDescent="0.2">
      <c r="B14569" s="203"/>
      <c r="C14569" s="237"/>
      <c r="D14569" s="202"/>
      <c r="E14569" s="202"/>
      <c r="U14569" s="204"/>
    </row>
    <row r="14570" spans="2:21" x14ac:dyDescent="0.2">
      <c r="B14570" s="203"/>
      <c r="C14570" s="237"/>
      <c r="D14570" s="202"/>
      <c r="E14570" s="202"/>
      <c r="U14570" s="204"/>
    </row>
    <row r="14571" spans="2:21" x14ac:dyDescent="0.2">
      <c r="B14571" s="203"/>
      <c r="C14571" s="237"/>
      <c r="D14571" s="202"/>
      <c r="E14571" s="202"/>
      <c r="U14571" s="204"/>
    </row>
    <row r="14572" spans="2:21" x14ac:dyDescent="0.2">
      <c r="B14572" s="203"/>
      <c r="C14572" s="237"/>
      <c r="D14572" s="202"/>
      <c r="E14572" s="202"/>
      <c r="U14572" s="204"/>
    </row>
    <row r="14573" spans="2:21" x14ac:dyDescent="0.2">
      <c r="B14573" s="203"/>
      <c r="C14573" s="237"/>
      <c r="D14573" s="202"/>
      <c r="E14573" s="202"/>
      <c r="U14573" s="204"/>
    </row>
    <row r="14574" spans="2:21" x14ac:dyDescent="0.2">
      <c r="B14574" s="203"/>
      <c r="C14574" s="237"/>
      <c r="D14574" s="202"/>
      <c r="E14574" s="202"/>
      <c r="U14574" s="204"/>
    </row>
    <row r="14575" spans="2:21" x14ac:dyDescent="0.2">
      <c r="B14575" s="203"/>
      <c r="C14575" s="237"/>
      <c r="D14575" s="202"/>
      <c r="E14575" s="202"/>
      <c r="U14575" s="204"/>
    </row>
    <row r="14576" spans="2:21" x14ac:dyDescent="0.2">
      <c r="B14576" s="203"/>
      <c r="C14576" s="237"/>
      <c r="D14576" s="202"/>
      <c r="E14576" s="202"/>
      <c r="U14576" s="204"/>
    </row>
    <row r="14577" spans="2:21" x14ac:dyDescent="0.2">
      <c r="B14577" s="203"/>
      <c r="C14577" s="237"/>
      <c r="D14577" s="202"/>
      <c r="E14577" s="202"/>
      <c r="U14577" s="204"/>
    </row>
    <row r="14578" spans="2:21" x14ac:dyDescent="0.2">
      <c r="B14578" s="203"/>
      <c r="C14578" s="237"/>
      <c r="D14578" s="202"/>
      <c r="E14578" s="202"/>
      <c r="U14578" s="204"/>
    </row>
    <row r="14579" spans="2:21" x14ac:dyDescent="0.2">
      <c r="B14579" s="203"/>
      <c r="C14579" s="237"/>
      <c r="D14579" s="202"/>
      <c r="E14579" s="202"/>
      <c r="U14579" s="204"/>
    </row>
    <row r="14580" spans="2:21" x14ac:dyDescent="0.2">
      <c r="B14580" s="203"/>
      <c r="C14580" s="237"/>
      <c r="D14580" s="202"/>
      <c r="E14580" s="202"/>
      <c r="U14580" s="204"/>
    </row>
    <row r="14581" spans="2:21" x14ac:dyDescent="0.2">
      <c r="B14581" s="203"/>
      <c r="C14581" s="237"/>
      <c r="D14581" s="202"/>
      <c r="E14581" s="202"/>
      <c r="U14581" s="204"/>
    </row>
    <row r="14582" spans="2:21" x14ac:dyDescent="0.2">
      <c r="B14582" s="203"/>
      <c r="C14582" s="237"/>
      <c r="D14582" s="202"/>
      <c r="E14582" s="202"/>
      <c r="U14582" s="204"/>
    </row>
    <row r="14583" spans="2:21" x14ac:dyDescent="0.2">
      <c r="B14583" s="203"/>
      <c r="C14583" s="237"/>
      <c r="D14583" s="202"/>
      <c r="E14583" s="202"/>
      <c r="U14583" s="204"/>
    </row>
    <row r="14584" spans="2:21" x14ac:dyDescent="0.2">
      <c r="B14584" s="203"/>
      <c r="C14584" s="237"/>
      <c r="D14584" s="202"/>
      <c r="E14584" s="202"/>
      <c r="U14584" s="204"/>
    </row>
    <row r="14585" spans="2:21" x14ac:dyDescent="0.2">
      <c r="B14585" s="203"/>
      <c r="C14585" s="237"/>
      <c r="D14585" s="202"/>
      <c r="E14585" s="202"/>
      <c r="U14585" s="204"/>
    </row>
    <row r="14586" spans="2:21" x14ac:dyDescent="0.2">
      <c r="B14586" s="203"/>
      <c r="C14586" s="237"/>
      <c r="D14586" s="202"/>
      <c r="E14586" s="202"/>
      <c r="U14586" s="204"/>
    </row>
    <row r="14587" spans="2:21" x14ac:dyDescent="0.2">
      <c r="B14587" s="203"/>
      <c r="C14587" s="237"/>
      <c r="D14587" s="202"/>
      <c r="E14587" s="202"/>
      <c r="U14587" s="204"/>
    </row>
    <row r="14588" spans="2:21" x14ac:dyDescent="0.2">
      <c r="B14588" s="203"/>
      <c r="C14588" s="237"/>
      <c r="D14588" s="202"/>
      <c r="E14588" s="202"/>
      <c r="U14588" s="204"/>
    </row>
    <row r="14589" spans="2:21" x14ac:dyDescent="0.2">
      <c r="B14589" s="203"/>
      <c r="C14589" s="237"/>
      <c r="D14589" s="202"/>
      <c r="E14589" s="202"/>
      <c r="U14589" s="204"/>
    </row>
    <row r="14590" spans="2:21" x14ac:dyDescent="0.2">
      <c r="B14590" s="203"/>
      <c r="C14590" s="237"/>
      <c r="D14590" s="202"/>
      <c r="E14590" s="202"/>
      <c r="U14590" s="204"/>
    </row>
    <row r="14591" spans="2:21" x14ac:dyDescent="0.2">
      <c r="B14591" s="203"/>
      <c r="C14591" s="237"/>
      <c r="D14591" s="202"/>
      <c r="E14591" s="202"/>
      <c r="U14591" s="204"/>
    </row>
    <row r="14592" spans="2:21" x14ac:dyDescent="0.2">
      <c r="B14592" s="203"/>
      <c r="C14592" s="237"/>
      <c r="D14592" s="202"/>
      <c r="E14592" s="202"/>
      <c r="U14592" s="204"/>
    </row>
    <row r="14593" spans="2:21" x14ac:dyDescent="0.2">
      <c r="B14593" s="203"/>
      <c r="C14593" s="237"/>
      <c r="D14593" s="202"/>
      <c r="E14593" s="202"/>
      <c r="U14593" s="204"/>
    </row>
    <row r="14594" spans="2:21" x14ac:dyDescent="0.2">
      <c r="B14594" s="203"/>
      <c r="C14594" s="237"/>
      <c r="D14594" s="202"/>
      <c r="E14594" s="202"/>
      <c r="U14594" s="204"/>
    </row>
    <row r="14595" spans="2:21" x14ac:dyDescent="0.2">
      <c r="B14595" s="203"/>
      <c r="C14595" s="237"/>
      <c r="D14595" s="202"/>
      <c r="E14595" s="202"/>
      <c r="U14595" s="204"/>
    </row>
    <row r="14596" spans="2:21" x14ac:dyDescent="0.2">
      <c r="B14596" s="203"/>
      <c r="C14596" s="237"/>
      <c r="D14596" s="202"/>
      <c r="E14596" s="202"/>
      <c r="U14596" s="204"/>
    </row>
    <row r="14597" spans="2:21" x14ac:dyDescent="0.2">
      <c r="B14597" s="203"/>
      <c r="C14597" s="237"/>
      <c r="D14597" s="202"/>
      <c r="E14597" s="202"/>
      <c r="U14597" s="204"/>
    </row>
    <row r="14598" spans="2:21" x14ac:dyDescent="0.2">
      <c r="B14598" s="203"/>
      <c r="C14598" s="237"/>
      <c r="D14598" s="202"/>
      <c r="E14598" s="202"/>
      <c r="U14598" s="204"/>
    </row>
    <row r="14599" spans="2:21" x14ac:dyDescent="0.2">
      <c r="B14599" s="203"/>
      <c r="C14599" s="237"/>
      <c r="D14599" s="202"/>
      <c r="E14599" s="202"/>
      <c r="U14599" s="204"/>
    </row>
    <row r="14600" spans="2:21" x14ac:dyDescent="0.2">
      <c r="B14600" s="203"/>
      <c r="C14600" s="237"/>
      <c r="D14600" s="202"/>
      <c r="E14600" s="202"/>
      <c r="U14600" s="204"/>
    </row>
    <row r="14601" spans="2:21" x14ac:dyDescent="0.2">
      <c r="B14601" s="203"/>
      <c r="C14601" s="237"/>
      <c r="D14601" s="202"/>
      <c r="E14601" s="202"/>
      <c r="U14601" s="204"/>
    </row>
    <row r="14602" spans="2:21" x14ac:dyDescent="0.2">
      <c r="B14602" s="203"/>
      <c r="C14602" s="237"/>
      <c r="D14602" s="202"/>
      <c r="E14602" s="202"/>
      <c r="U14602" s="204"/>
    </row>
    <row r="14603" spans="2:21" x14ac:dyDescent="0.2">
      <c r="B14603" s="203"/>
      <c r="C14603" s="237"/>
      <c r="D14603" s="202"/>
      <c r="E14603" s="202"/>
      <c r="U14603" s="204"/>
    </row>
    <row r="14604" spans="2:21" x14ac:dyDescent="0.2">
      <c r="B14604" s="203"/>
      <c r="C14604" s="237"/>
      <c r="D14604" s="202"/>
      <c r="E14604" s="202"/>
      <c r="U14604" s="204"/>
    </row>
    <row r="14605" spans="2:21" x14ac:dyDescent="0.2">
      <c r="B14605" s="203"/>
      <c r="C14605" s="237"/>
      <c r="D14605" s="202"/>
      <c r="E14605" s="202"/>
      <c r="U14605" s="204"/>
    </row>
    <row r="14606" spans="2:21" x14ac:dyDescent="0.2">
      <c r="B14606" s="203"/>
      <c r="C14606" s="237"/>
      <c r="D14606" s="202"/>
      <c r="E14606" s="202"/>
      <c r="U14606" s="204"/>
    </row>
    <row r="14607" spans="2:21" x14ac:dyDescent="0.2">
      <c r="B14607" s="203"/>
      <c r="C14607" s="237"/>
      <c r="D14607" s="202"/>
      <c r="E14607" s="202"/>
      <c r="U14607" s="204"/>
    </row>
    <row r="14608" spans="2:21" x14ac:dyDescent="0.2">
      <c r="B14608" s="203"/>
      <c r="C14608" s="237"/>
      <c r="D14608" s="202"/>
      <c r="E14608" s="202"/>
      <c r="U14608" s="204"/>
    </row>
    <row r="14609" spans="2:21" x14ac:dyDescent="0.2">
      <c r="B14609" s="203"/>
      <c r="C14609" s="237"/>
      <c r="D14609" s="202"/>
      <c r="E14609" s="202"/>
      <c r="U14609" s="204"/>
    </row>
    <row r="14610" spans="2:21" x14ac:dyDescent="0.2">
      <c r="B14610" s="203"/>
      <c r="C14610" s="237"/>
      <c r="D14610" s="202"/>
      <c r="E14610" s="202"/>
      <c r="U14610" s="204"/>
    </row>
    <row r="14611" spans="2:21" x14ac:dyDescent="0.2">
      <c r="B14611" s="203"/>
      <c r="C14611" s="237"/>
      <c r="D14611" s="202"/>
      <c r="E14611" s="202"/>
      <c r="U14611" s="204"/>
    </row>
    <row r="14612" spans="2:21" x14ac:dyDescent="0.2">
      <c r="B14612" s="203"/>
      <c r="C14612" s="237"/>
      <c r="D14612" s="202"/>
      <c r="E14612" s="202"/>
      <c r="U14612" s="204"/>
    </row>
    <row r="14613" spans="2:21" x14ac:dyDescent="0.2">
      <c r="B14613" s="203"/>
      <c r="C14613" s="237"/>
      <c r="D14613" s="202"/>
      <c r="E14613" s="202"/>
      <c r="U14613" s="204"/>
    </row>
    <row r="14614" spans="2:21" x14ac:dyDescent="0.2">
      <c r="B14614" s="203"/>
      <c r="C14614" s="237"/>
      <c r="D14614" s="202"/>
      <c r="E14614" s="202"/>
      <c r="U14614" s="204"/>
    </row>
    <row r="14615" spans="2:21" x14ac:dyDescent="0.2">
      <c r="B14615" s="203"/>
      <c r="C14615" s="237"/>
      <c r="D14615" s="202"/>
      <c r="E14615" s="202"/>
      <c r="U14615" s="204"/>
    </row>
    <row r="14616" spans="2:21" x14ac:dyDescent="0.2">
      <c r="B14616" s="203"/>
      <c r="C14616" s="237"/>
      <c r="D14616" s="202"/>
      <c r="E14616" s="202"/>
      <c r="U14616" s="204"/>
    </row>
    <row r="14617" spans="2:21" x14ac:dyDescent="0.2">
      <c r="B14617" s="203"/>
      <c r="C14617" s="237"/>
      <c r="D14617" s="202"/>
      <c r="E14617" s="202"/>
      <c r="U14617" s="204"/>
    </row>
    <row r="14618" spans="2:21" x14ac:dyDescent="0.2">
      <c r="B14618" s="203"/>
      <c r="C14618" s="237"/>
      <c r="D14618" s="202"/>
      <c r="E14618" s="202"/>
      <c r="U14618" s="204"/>
    </row>
    <row r="14619" spans="2:21" x14ac:dyDescent="0.2">
      <c r="B14619" s="203"/>
      <c r="C14619" s="237"/>
      <c r="D14619" s="202"/>
      <c r="E14619" s="202"/>
      <c r="U14619" s="204"/>
    </row>
    <row r="14620" spans="2:21" x14ac:dyDescent="0.2">
      <c r="B14620" s="203"/>
      <c r="C14620" s="237"/>
      <c r="D14620" s="202"/>
      <c r="E14620" s="202"/>
      <c r="U14620" s="204"/>
    </row>
    <row r="14621" spans="2:21" x14ac:dyDescent="0.2">
      <c r="B14621" s="203"/>
      <c r="C14621" s="237"/>
      <c r="D14621" s="202"/>
      <c r="E14621" s="202"/>
      <c r="U14621" s="204"/>
    </row>
    <row r="14622" spans="2:21" x14ac:dyDescent="0.2">
      <c r="B14622" s="203"/>
      <c r="C14622" s="237"/>
      <c r="D14622" s="202"/>
      <c r="E14622" s="202"/>
      <c r="U14622" s="204"/>
    </row>
    <row r="14623" spans="2:21" x14ac:dyDescent="0.2">
      <c r="B14623" s="203"/>
      <c r="C14623" s="237"/>
      <c r="D14623" s="202"/>
      <c r="E14623" s="202"/>
      <c r="U14623" s="204"/>
    </row>
    <row r="14624" spans="2:21" x14ac:dyDescent="0.2">
      <c r="B14624" s="203"/>
      <c r="C14624" s="237"/>
      <c r="D14624" s="202"/>
      <c r="E14624" s="202"/>
      <c r="U14624" s="204"/>
    </row>
    <row r="14625" spans="2:21" x14ac:dyDescent="0.2">
      <c r="B14625" s="203"/>
      <c r="C14625" s="237"/>
      <c r="D14625" s="202"/>
      <c r="E14625" s="202"/>
      <c r="U14625" s="204"/>
    </row>
    <row r="14626" spans="2:21" x14ac:dyDescent="0.2">
      <c r="B14626" s="203"/>
      <c r="C14626" s="237"/>
      <c r="D14626" s="202"/>
      <c r="E14626" s="202"/>
      <c r="U14626" s="204"/>
    </row>
    <row r="14627" spans="2:21" x14ac:dyDescent="0.2">
      <c r="B14627" s="203"/>
      <c r="C14627" s="237"/>
      <c r="D14627" s="202"/>
      <c r="E14627" s="202"/>
      <c r="U14627" s="204"/>
    </row>
    <row r="14628" spans="2:21" x14ac:dyDescent="0.2">
      <c r="B14628" s="203"/>
      <c r="C14628" s="237"/>
      <c r="D14628" s="202"/>
      <c r="E14628" s="202"/>
      <c r="U14628" s="204"/>
    </row>
    <row r="14629" spans="2:21" x14ac:dyDescent="0.2">
      <c r="B14629" s="203"/>
      <c r="C14629" s="237"/>
      <c r="D14629" s="202"/>
      <c r="E14629" s="202"/>
      <c r="U14629" s="204"/>
    </row>
    <row r="14630" spans="2:21" x14ac:dyDescent="0.2">
      <c r="B14630" s="203"/>
      <c r="C14630" s="237"/>
      <c r="D14630" s="202"/>
      <c r="E14630" s="202"/>
      <c r="U14630" s="204"/>
    </row>
    <row r="14631" spans="2:21" x14ac:dyDescent="0.2">
      <c r="B14631" s="203"/>
      <c r="C14631" s="237"/>
      <c r="D14631" s="202"/>
      <c r="E14631" s="202"/>
      <c r="U14631" s="204"/>
    </row>
    <row r="14632" spans="2:21" x14ac:dyDescent="0.2">
      <c r="B14632" s="203"/>
      <c r="C14632" s="237"/>
      <c r="D14632" s="202"/>
      <c r="E14632" s="202"/>
      <c r="U14632" s="204"/>
    </row>
    <row r="14633" spans="2:21" x14ac:dyDescent="0.2">
      <c r="B14633" s="203"/>
      <c r="C14633" s="237"/>
      <c r="D14633" s="202"/>
      <c r="E14633" s="202"/>
      <c r="U14633" s="204"/>
    </row>
    <row r="14634" spans="2:21" x14ac:dyDescent="0.2">
      <c r="B14634" s="203"/>
      <c r="C14634" s="237"/>
      <c r="D14634" s="202"/>
      <c r="E14634" s="202"/>
      <c r="U14634" s="204"/>
    </row>
    <row r="14635" spans="2:21" x14ac:dyDescent="0.2">
      <c r="B14635" s="203"/>
      <c r="C14635" s="237"/>
      <c r="D14635" s="202"/>
      <c r="E14635" s="202"/>
      <c r="U14635" s="204"/>
    </row>
    <row r="14636" spans="2:21" x14ac:dyDescent="0.2">
      <c r="B14636" s="203"/>
      <c r="C14636" s="237"/>
      <c r="D14636" s="202"/>
      <c r="E14636" s="202"/>
      <c r="U14636" s="204"/>
    </row>
    <row r="14637" spans="2:21" x14ac:dyDescent="0.2">
      <c r="B14637" s="203"/>
      <c r="C14637" s="237"/>
      <c r="D14637" s="202"/>
      <c r="E14637" s="202"/>
      <c r="U14637" s="204"/>
    </row>
    <row r="14638" spans="2:21" x14ac:dyDescent="0.2">
      <c r="B14638" s="203"/>
      <c r="C14638" s="237"/>
      <c r="D14638" s="202"/>
      <c r="E14638" s="202"/>
      <c r="U14638" s="204"/>
    </row>
    <row r="14639" spans="2:21" x14ac:dyDescent="0.2">
      <c r="B14639" s="203"/>
      <c r="C14639" s="237"/>
      <c r="D14639" s="202"/>
      <c r="E14639" s="202"/>
      <c r="U14639" s="204"/>
    </row>
    <row r="14640" spans="2:21" x14ac:dyDescent="0.2">
      <c r="B14640" s="203"/>
      <c r="C14640" s="237"/>
      <c r="D14640" s="202"/>
      <c r="E14640" s="202"/>
      <c r="U14640" s="204"/>
    </row>
    <row r="14641" spans="2:21" x14ac:dyDescent="0.2">
      <c r="B14641" s="203"/>
      <c r="C14641" s="237"/>
      <c r="D14641" s="202"/>
      <c r="E14641" s="202"/>
      <c r="U14641" s="204"/>
    </row>
    <row r="14642" spans="2:21" x14ac:dyDescent="0.2">
      <c r="B14642" s="203"/>
      <c r="C14642" s="237"/>
      <c r="D14642" s="202"/>
      <c r="E14642" s="202"/>
      <c r="U14642" s="204"/>
    </row>
    <row r="14643" spans="2:21" x14ac:dyDescent="0.2">
      <c r="B14643" s="203"/>
      <c r="C14643" s="237"/>
      <c r="D14643" s="202"/>
      <c r="E14643" s="202"/>
      <c r="U14643" s="204"/>
    </row>
    <row r="14644" spans="2:21" x14ac:dyDescent="0.2">
      <c r="B14644" s="203"/>
      <c r="C14644" s="237"/>
      <c r="D14644" s="202"/>
      <c r="E14644" s="202"/>
      <c r="U14644" s="204"/>
    </row>
    <row r="14645" spans="2:21" x14ac:dyDescent="0.2">
      <c r="B14645" s="203"/>
      <c r="C14645" s="237"/>
      <c r="D14645" s="202"/>
      <c r="E14645" s="202"/>
      <c r="U14645" s="204"/>
    </row>
    <row r="14646" spans="2:21" x14ac:dyDescent="0.2">
      <c r="B14646" s="203"/>
      <c r="C14646" s="237"/>
      <c r="D14646" s="202"/>
      <c r="E14646" s="202"/>
      <c r="U14646" s="204"/>
    </row>
    <row r="14647" spans="2:21" x14ac:dyDescent="0.2">
      <c r="B14647" s="203"/>
      <c r="C14647" s="237"/>
      <c r="D14647" s="202"/>
      <c r="E14647" s="202"/>
      <c r="U14647" s="204"/>
    </row>
    <row r="14648" spans="2:21" x14ac:dyDescent="0.2">
      <c r="B14648" s="203"/>
      <c r="C14648" s="237"/>
      <c r="D14648" s="202"/>
      <c r="E14648" s="202"/>
      <c r="U14648" s="204"/>
    </row>
    <row r="14649" spans="2:21" x14ac:dyDescent="0.2">
      <c r="B14649" s="203"/>
      <c r="C14649" s="237"/>
      <c r="D14649" s="202"/>
      <c r="E14649" s="202"/>
      <c r="U14649" s="204"/>
    </row>
    <row r="14650" spans="2:21" x14ac:dyDescent="0.2">
      <c r="B14650" s="203"/>
      <c r="C14650" s="237"/>
      <c r="D14650" s="202"/>
      <c r="E14650" s="202"/>
      <c r="U14650" s="204"/>
    </row>
    <row r="14651" spans="2:21" x14ac:dyDescent="0.2">
      <c r="B14651" s="203"/>
      <c r="C14651" s="237"/>
      <c r="D14651" s="202"/>
      <c r="E14651" s="202"/>
      <c r="U14651" s="204"/>
    </row>
    <row r="14652" spans="2:21" x14ac:dyDescent="0.2">
      <c r="B14652" s="203"/>
      <c r="C14652" s="237"/>
      <c r="D14652" s="202"/>
      <c r="E14652" s="202"/>
      <c r="U14652" s="204"/>
    </row>
    <row r="14653" spans="2:21" x14ac:dyDescent="0.2">
      <c r="B14653" s="203"/>
      <c r="C14653" s="237"/>
      <c r="D14653" s="202"/>
      <c r="E14653" s="202"/>
      <c r="U14653" s="204"/>
    </row>
    <row r="14654" spans="2:21" x14ac:dyDescent="0.2">
      <c r="B14654" s="203"/>
      <c r="C14654" s="237"/>
      <c r="D14654" s="202"/>
      <c r="E14654" s="202"/>
      <c r="U14654" s="204"/>
    </row>
    <row r="14655" spans="2:21" x14ac:dyDescent="0.2">
      <c r="B14655" s="203"/>
      <c r="C14655" s="237"/>
      <c r="D14655" s="202"/>
      <c r="E14655" s="202"/>
      <c r="U14655" s="204"/>
    </row>
    <row r="14656" spans="2:21" x14ac:dyDescent="0.2">
      <c r="B14656" s="203"/>
      <c r="C14656" s="237"/>
      <c r="D14656" s="202"/>
      <c r="E14656" s="202"/>
      <c r="U14656" s="204"/>
    </row>
    <row r="14657" spans="2:21" x14ac:dyDescent="0.2">
      <c r="B14657" s="203"/>
      <c r="C14657" s="237"/>
      <c r="D14657" s="202"/>
      <c r="E14657" s="202"/>
      <c r="U14657" s="204"/>
    </row>
    <row r="14658" spans="2:21" x14ac:dyDescent="0.2">
      <c r="B14658" s="203"/>
      <c r="C14658" s="237"/>
      <c r="D14658" s="202"/>
      <c r="E14658" s="202"/>
      <c r="U14658" s="204"/>
    </row>
    <row r="14659" spans="2:21" x14ac:dyDescent="0.2">
      <c r="B14659" s="203"/>
      <c r="C14659" s="237"/>
      <c r="D14659" s="202"/>
      <c r="E14659" s="202"/>
      <c r="U14659" s="204"/>
    </row>
    <row r="14660" spans="2:21" x14ac:dyDescent="0.2">
      <c r="B14660" s="203"/>
      <c r="C14660" s="237"/>
      <c r="D14660" s="202"/>
      <c r="E14660" s="202"/>
      <c r="U14660" s="204"/>
    </row>
    <row r="14661" spans="2:21" x14ac:dyDescent="0.2">
      <c r="B14661" s="203"/>
      <c r="C14661" s="237"/>
      <c r="D14661" s="202"/>
      <c r="E14661" s="202"/>
      <c r="U14661" s="204"/>
    </row>
    <row r="14662" spans="2:21" x14ac:dyDescent="0.2">
      <c r="B14662" s="203"/>
      <c r="C14662" s="237"/>
      <c r="D14662" s="202"/>
      <c r="E14662" s="202"/>
      <c r="U14662" s="204"/>
    </row>
    <row r="14663" spans="2:21" x14ac:dyDescent="0.2">
      <c r="B14663" s="203"/>
      <c r="C14663" s="237"/>
      <c r="D14663" s="202"/>
      <c r="E14663" s="202"/>
      <c r="U14663" s="204"/>
    </row>
    <row r="14664" spans="2:21" x14ac:dyDescent="0.2">
      <c r="B14664" s="203"/>
      <c r="C14664" s="237"/>
      <c r="D14664" s="202"/>
      <c r="E14664" s="202"/>
      <c r="U14664" s="204"/>
    </row>
    <row r="14665" spans="2:21" x14ac:dyDescent="0.2">
      <c r="B14665" s="203"/>
      <c r="C14665" s="237"/>
      <c r="D14665" s="202"/>
      <c r="E14665" s="202"/>
      <c r="U14665" s="204"/>
    </row>
    <row r="14666" spans="2:21" x14ac:dyDescent="0.2">
      <c r="B14666" s="203"/>
      <c r="C14666" s="237"/>
      <c r="D14666" s="202"/>
      <c r="E14666" s="202"/>
      <c r="U14666" s="204"/>
    </row>
    <row r="14667" spans="2:21" x14ac:dyDescent="0.2">
      <c r="B14667" s="203"/>
      <c r="C14667" s="237"/>
      <c r="D14667" s="202"/>
      <c r="E14667" s="202"/>
      <c r="U14667" s="204"/>
    </row>
    <row r="14668" spans="2:21" x14ac:dyDescent="0.2">
      <c r="B14668" s="203"/>
      <c r="C14668" s="237"/>
      <c r="D14668" s="202"/>
      <c r="E14668" s="202"/>
      <c r="U14668" s="204"/>
    </row>
    <row r="14669" spans="2:21" x14ac:dyDescent="0.2">
      <c r="B14669" s="203"/>
      <c r="C14669" s="237"/>
      <c r="D14669" s="202"/>
      <c r="E14669" s="202"/>
      <c r="U14669" s="204"/>
    </row>
    <row r="14670" spans="2:21" x14ac:dyDescent="0.2">
      <c r="B14670" s="203"/>
      <c r="C14670" s="237"/>
      <c r="D14670" s="202"/>
      <c r="E14670" s="202"/>
      <c r="U14670" s="204"/>
    </row>
    <row r="14671" spans="2:21" x14ac:dyDescent="0.2">
      <c r="B14671" s="203"/>
      <c r="C14671" s="237"/>
      <c r="D14671" s="202"/>
      <c r="E14671" s="202"/>
      <c r="U14671" s="204"/>
    </row>
    <row r="14672" spans="2:21" x14ac:dyDescent="0.2">
      <c r="B14672" s="203"/>
      <c r="C14672" s="237"/>
      <c r="D14672" s="202"/>
      <c r="E14672" s="202"/>
      <c r="U14672" s="204"/>
    </row>
    <row r="14673" spans="2:21" x14ac:dyDescent="0.2">
      <c r="B14673" s="203"/>
      <c r="C14673" s="237"/>
      <c r="D14673" s="202"/>
      <c r="E14673" s="202"/>
      <c r="U14673" s="204"/>
    </row>
    <row r="14674" spans="2:21" x14ac:dyDescent="0.2">
      <c r="B14674" s="203"/>
      <c r="C14674" s="237"/>
      <c r="D14674" s="202"/>
      <c r="E14674" s="202"/>
      <c r="U14674" s="204"/>
    </row>
    <row r="14675" spans="2:21" x14ac:dyDescent="0.2">
      <c r="B14675" s="203"/>
      <c r="C14675" s="237"/>
      <c r="D14675" s="202"/>
      <c r="E14675" s="202"/>
      <c r="U14675" s="204"/>
    </row>
    <row r="14676" spans="2:21" x14ac:dyDescent="0.2">
      <c r="B14676" s="203"/>
      <c r="C14676" s="237"/>
      <c r="D14676" s="202"/>
      <c r="E14676" s="202"/>
      <c r="U14676" s="204"/>
    </row>
    <row r="14677" spans="2:21" x14ac:dyDescent="0.2">
      <c r="B14677" s="203"/>
      <c r="C14677" s="237"/>
      <c r="D14677" s="202"/>
      <c r="E14677" s="202"/>
      <c r="U14677" s="204"/>
    </row>
    <row r="14678" spans="2:21" x14ac:dyDescent="0.2">
      <c r="B14678" s="203"/>
      <c r="C14678" s="237"/>
      <c r="D14678" s="202"/>
      <c r="E14678" s="202"/>
      <c r="U14678" s="204"/>
    </row>
    <row r="14679" spans="2:21" x14ac:dyDescent="0.2">
      <c r="B14679" s="203"/>
      <c r="C14679" s="237"/>
      <c r="D14679" s="202"/>
      <c r="E14679" s="202"/>
      <c r="U14679" s="204"/>
    </row>
    <row r="14680" spans="2:21" x14ac:dyDescent="0.2">
      <c r="B14680" s="203"/>
      <c r="C14680" s="237"/>
      <c r="D14680" s="202"/>
      <c r="E14680" s="202"/>
      <c r="U14680" s="204"/>
    </row>
    <row r="14681" spans="2:21" x14ac:dyDescent="0.2">
      <c r="B14681" s="203"/>
      <c r="C14681" s="237"/>
      <c r="D14681" s="202"/>
      <c r="E14681" s="202"/>
      <c r="U14681" s="204"/>
    </row>
    <row r="14682" spans="2:21" x14ac:dyDescent="0.2">
      <c r="B14682" s="203"/>
      <c r="C14682" s="237"/>
      <c r="D14682" s="202"/>
      <c r="E14682" s="202"/>
      <c r="U14682" s="204"/>
    </row>
    <row r="14683" spans="2:21" x14ac:dyDescent="0.2">
      <c r="B14683" s="203"/>
      <c r="C14683" s="237"/>
      <c r="D14683" s="202"/>
      <c r="E14683" s="202"/>
      <c r="U14683" s="204"/>
    </row>
    <row r="14684" spans="2:21" x14ac:dyDescent="0.2">
      <c r="B14684" s="203"/>
      <c r="C14684" s="237"/>
      <c r="D14684" s="202"/>
      <c r="E14684" s="202"/>
      <c r="U14684" s="204"/>
    </row>
    <row r="14685" spans="2:21" x14ac:dyDescent="0.2">
      <c r="B14685" s="203"/>
      <c r="C14685" s="237"/>
      <c r="D14685" s="202"/>
      <c r="E14685" s="202"/>
      <c r="U14685" s="204"/>
    </row>
    <row r="14686" spans="2:21" x14ac:dyDescent="0.2">
      <c r="B14686" s="203"/>
      <c r="C14686" s="237"/>
      <c r="D14686" s="202"/>
      <c r="E14686" s="202"/>
      <c r="U14686" s="204"/>
    </row>
    <row r="14687" spans="2:21" x14ac:dyDescent="0.2">
      <c r="B14687" s="203"/>
      <c r="C14687" s="237"/>
      <c r="D14687" s="202"/>
      <c r="E14687" s="202"/>
      <c r="U14687" s="204"/>
    </row>
    <row r="14688" spans="2:21" x14ac:dyDescent="0.2">
      <c r="B14688" s="203"/>
      <c r="C14688" s="237"/>
      <c r="D14688" s="202"/>
      <c r="E14688" s="202"/>
      <c r="U14688" s="204"/>
    </row>
    <row r="14689" spans="2:21" x14ac:dyDescent="0.2">
      <c r="B14689" s="203"/>
      <c r="C14689" s="237"/>
      <c r="D14689" s="202"/>
      <c r="E14689" s="202"/>
      <c r="U14689" s="204"/>
    </row>
    <row r="14690" spans="2:21" x14ac:dyDescent="0.2">
      <c r="B14690" s="203"/>
      <c r="C14690" s="237"/>
      <c r="D14690" s="202"/>
      <c r="E14690" s="202"/>
      <c r="U14690" s="204"/>
    </row>
    <row r="14691" spans="2:21" x14ac:dyDescent="0.2">
      <c r="B14691" s="203"/>
      <c r="C14691" s="237"/>
      <c r="D14691" s="202"/>
      <c r="E14691" s="202"/>
      <c r="U14691" s="204"/>
    </row>
    <row r="14692" spans="2:21" x14ac:dyDescent="0.2">
      <c r="B14692" s="203"/>
      <c r="C14692" s="237"/>
      <c r="D14692" s="202"/>
      <c r="E14692" s="202"/>
      <c r="U14692" s="204"/>
    </row>
    <row r="14693" spans="2:21" x14ac:dyDescent="0.2">
      <c r="B14693" s="203"/>
      <c r="C14693" s="237"/>
      <c r="D14693" s="202"/>
      <c r="E14693" s="202"/>
      <c r="U14693" s="204"/>
    </row>
    <row r="14694" spans="2:21" x14ac:dyDescent="0.2">
      <c r="B14694" s="203"/>
      <c r="C14694" s="237"/>
      <c r="D14694" s="202"/>
      <c r="E14694" s="202"/>
      <c r="U14694" s="204"/>
    </row>
    <row r="14695" spans="2:21" x14ac:dyDescent="0.2">
      <c r="B14695" s="203"/>
      <c r="C14695" s="237"/>
      <c r="D14695" s="202"/>
      <c r="E14695" s="202"/>
      <c r="U14695" s="204"/>
    </row>
    <row r="14696" spans="2:21" x14ac:dyDescent="0.2">
      <c r="B14696" s="203"/>
      <c r="C14696" s="237"/>
      <c r="D14696" s="202"/>
      <c r="E14696" s="202"/>
      <c r="U14696" s="204"/>
    </row>
    <row r="14697" spans="2:21" x14ac:dyDescent="0.2">
      <c r="B14697" s="203"/>
      <c r="C14697" s="237"/>
      <c r="D14697" s="202"/>
      <c r="E14697" s="202"/>
      <c r="U14697" s="204"/>
    </row>
    <row r="14698" spans="2:21" x14ac:dyDescent="0.2">
      <c r="B14698" s="203"/>
      <c r="C14698" s="237"/>
      <c r="D14698" s="202"/>
      <c r="E14698" s="202"/>
      <c r="U14698" s="204"/>
    </row>
    <row r="14699" spans="2:21" x14ac:dyDescent="0.2">
      <c r="B14699" s="203"/>
      <c r="C14699" s="237"/>
      <c r="D14699" s="202"/>
      <c r="E14699" s="202"/>
      <c r="U14699" s="204"/>
    </row>
    <row r="14700" spans="2:21" x14ac:dyDescent="0.2">
      <c r="B14700" s="203"/>
      <c r="C14700" s="237"/>
      <c r="D14700" s="202"/>
      <c r="E14700" s="202"/>
      <c r="U14700" s="204"/>
    </row>
    <row r="14701" spans="2:21" x14ac:dyDescent="0.2">
      <c r="B14701" s="203"/>
      <c r="C14701" s="237"/>
      <c r="D14701" s="202"/>
      <c r="E14701" s="202"/>
      <c r="U14701" s="204"/>
    </row>
    <row r="14702" spans="2:21" x14ac:dyDescent="0.2">
      <c r="B14702" s="203"/>
      <c r="C14702" s="237"/>
      <c r="D14702" s="202"/>
      <c r="E14702" s="202"/>
      <c r="U14702" s="204"/>
    </row>
    <row r="14703" spans="2:21" x14ac:dyDescent="0.2">
      <c r="B14703" s="203"/>
      <c r="C14703" s="237"/>
      <c r="D14703" s="202"/>
      <c r="E14703" s="202"/>
      <c r="U14703" s="204"/>
    </row>
    <row r="14704" spans="2:21" x14ac:dyDescent="0.2">
      <c r="B14704" s="203"/>
      <c r="C14704" s="237"/>
      <c r="D14704" s="202"/>
      <c r="E14704" s="202"/>
      <c r="U14704" s="204"/>
    </row>
    <row r="14705" spans="2:21" x14ac:dyDescent="0.2">
      <c r="B14705" s="203"/>
      <c r="C14705" s="237"/>
      <c r="D14705" s="202"/>
      <c r="E14705" s="202"/>
      <c r="U14705" s="204"/>
    </row>
    <row r="14706" spans="2:21" x14ac:dyDescent="0.2">
      <c r="B14706" s="203"/>
      <c r="C14706" s="237"/>
      <c r="D14706" s="202"/>
      <c r="E14706" s="202"/>
      <c r="U14706" s="204"/>
    </row>
    <row r="14707" spans="2:21" x14ac:dyDescent="0.2">
      <c r="B14707" s="203"/>
      <c r="C14707" s="237"/>
      <c r="D14707" s="202"/>
      <c r="E14707" s="202"/>
      <c r="U14707" s="204"/>
    </row>
    <row r="14708" spans="2:21" x14ac:dyDescent="0.2">
      <c r="B14708" s="203"/>
      <c r="C14708" s="237"/>
      <c r="D14708" s="202"/>
      <c r="E14708" s="202"/>
      <c r="U14708" s="204"/>
    </row>
    <row r="14709" spans="2:21" x14ac:dyDescent="0.2">
      <c r="B14709" s="203"/>
      <c r="C14709" s="237"/>
      <c r="D14709" s="202"/>
      <c r="E14709" s="202"/>
      <c r="U14709" s="204"/>
    </row>
    <row r="14710" spans="2:21" x14ac:dyDescent="0.2">
      <c r="B14710" s="203"/>
      <c r="C14710" s="237"/>
      <c r="D14710" s="202"/>
      <c r="E14710" s="202"/>
      <c r="U14710" s="204"/>
    </row>
    <row r="14711" spans="2:21" x14ac:dyDescent="0.2">
      <c r="B14711" s="203"/>
      <c r="C14711" s="237"/>
      <c r="D14711" s="202"/>
      <c r="E14711" s="202"/>
      <c r="U14711" s="204"/>
    </row>
    <row r="14712" spans="2:21" x14ac:dyDescent="0.2">
      <c r="B14712" s="203"/>
      <c r="C14712" s="237"/>
      <c r="D14712" s="202"/>
      <c r="E14712" s="202"/>
      <c r="U14712" s="204"/>
    </row>
    <row r="14713" spans="2:21" x14ac:dyDescent="0.2">
      <c r="B14713" s="203"/>
      <c r="C14713" s="237"/>
      <c r="D14713" s="202"/>
      <c r="E14713" s="202"/>
      <c r="U14713" s="204"/>
    </row>
    <row r="14714" spans="2:21" x14ac:dyDescent="0.2">
      <c r="B14714" s="203"/>
      <c r="C14714" s="237"/>
      <c r="D14714" s="202"/>
      <c r="E14714" s="202"/>
      <c r="U14714" s="204"/>
    </row>
    <row r="14715" spans="2:21" x14ac:dyDescent="0.2">
      <c r="B14715" s="203"/>
      <c r="C14715" s="237"/>
      <c r="D14715" s="202"/>
      <c r="E14715" s="202"/>
      <c r="U14715" s="204"/>
    </row>
    <row r="14716" spans="2:21" x14ac:dyDescent="0.2">
      <c r="B14716" s="203"/>
      <c r="C14716" s="237"/>
      <c r="D14716" s="202"/>
      <c r="E14716" s="202"/>
      <c r="U14716" s="204"/>
    </row>
    <row r="14717" spans="2:21" x14ac:dyDescent="0.2">
      <c r="B14717" s="203"/>
      <c r="C14717" s="237"/>
      <c r="D14717" s="202"/>
      <c r="E14717" s="202"/>
      <c r="U14717" s="204"/>
    </row>
    <row r="14718" spans="2:21" x14ac:dyDescent="0.2">
      <c r="B14718" s="203"/>
      <c r="C14718" s="237"/>
      <c r="D14718" s="202"/>
      <c r="E14718" s="202"/>
      <c r="U14718" s="204"/>
    </row>
    <row r="14719" spans="2:21" x14ac:dyDescent="0.2">
      <c r="B14719" s="203"/>
      <c r="C14719" s="237"/>
      <c r="D14719" s="202"/>
      <c r="E14719" s="202"/>
      <c r="U14719" s="204"/>
    </row>
    <row r="14720" spans="2:21" x14ac:dyDescent="0.2">
      <c r="B14720" s="203"/>
      <c r="C14720" s="237"/>
      <c r="D14720" s="202"/>
      <c r="E14720" s="202"/>
      <c r="U14720" s="204"/>
    </row>
    <row r="14721" spans="2:21" x14ac:dyDescent="0.2">
      <c r="B14721" s="203"/>
      <c r="C14721" s="237"/>
      <c r="D14721" s="202"/>
      <c r="E14721" s="202"/>
      <c r="U14721" s="204"/>
    </row>
    <row r="14722" spans="2:21" x14ac:dyDescent="0.2">
      <c r="B14722" s="203"/>
      <c r="C14722" s="237"/>
      <c r="D14722" s="202"/>
      <c r="E14722" s="202"/>
      <c r="U14722" s="204"/>
    </row>
    <row r="14723" spans="2:21" x14ac:dyDescent="0.2">
      <c r="B14723" s="203"/>
      <c r="C14723" s="237"/>
      <c r="D14723" s="202"/>
      <c r="E14723" s="202"/>
      <c r="U14723" s="204"/>
    </row>
    <row r="14724" spans="2:21" x14ac:dyDescent="0.2">
      <c r="B14724" s="203"/>
      <c r="C14724" s="237"/>
      <c r="D14724" s="202"/>
      <c r="E14724" s="202"/>
      <c r="U14724" s="204"/>
    </row>
    <row r="14725" spans="2:21" x14ac:dyDescent="0.2">
      <c r="B14725" s="203"/>
      <c r="C14725" s="237"/>
      <c r="D14725" s="202"/>
      <c r="E14725" s="202"/>
      <c r="U14725" s="204"/>
    </row>
    <row r="14726" spans="2:21" x14ac:dyDescent="0.2">
      <c r="B14726" s="203"/>
      <c r="C14726" s="237"/>
      <c r="D14726" s="202"/>
      <c r="E14726" s="202"/>
      <c r="U14726" s="204"/>
    </row>
    <row r="14727" spans="2:21" x14ac:dyDescent="0.2">
      <c r="B14727" s="203"/>
      <c r="C14727" s="237"/>
      <c r="D14727" s="202"/>
      <c r="E14727" s="202"/>
      <c r="U14727" s="204"/>
    </row>
    <row r="14728" spans="2:21" x14ac:dyDescent="0.2">
      <c r="B14728" s="203"/>
      <c r="C14728" s="237"/>
      <c r="D14728" s="202"/>
      <c r="E14728" s="202"/>
      <c r="U14728" s="204"/>
    </row>
    <row r="14729" spans="2:21" x14ac:dyDescent="0.2">
      <c r="B14729" s="203"/>
      <c r="C14729" s="237"/>
      <c r="D14729" s="202"/>
      <c r="E14729" s="202"/>
      <c r="U14729" s="204"/>
    </row>
    <row r="14730" spans="2:21" x14ac:dyDescent="0.2">
      <c r="B14730" s="203"/>
      <c r="C14730" s="237"/>
      <c r="D14730" s="202"/>
      <c r="E14730" s="202"/>
      <c r="U14730" s="204"/>
    </row>
    <row r="14731" spans="2:21" x14ac:dyDescent="0.2">
      <c r="B14731" s="203"/>
      <c r="C14731" s="237"/>
      <c r="D14731" s="202"/>
      <c r="E14731" s="202"/>
      <c r="U14731" s="204"/>
    </row>
    <row r="14732" spans="2:21" x14ac:dyDescent="0.2">
      <c r="B14732" s="203"/>
      <c r="C14732" s="237"/>
      <c r="D14732" s="202"/>
      <c r="E14732" s="202"/>
      <c r="U14732" s="204"/>
    </row>
    <row r="14733" spans="2:21" x14ac:dyDescent="0.2">
      <c r="B14733" s="203"/>
      <c r="C14733" s="237"/>
      <c r="D14733" s="202"/>
      <c r="E14733" s="202"/>
      <c r="U14733" s="204"/>
    </row>
    <row r="14734" spans="2:21" x14ac:dyDescent="0.2">
      <c r="B14734" s="203"/>
      <c r="C14734" s="237"/>
      <c r="D14734" s="202"/>
      <c r="E14734" s="202"/>
      <c r="U14734" s="204"/>
    </row>
    <row r="14735" spans="2:21" x14ac:dyDescent="0.2">
      <c r="B14735" s="203"/>
      <c r="C14735" s="237"/>
      <c r="D14735" s="202"/>
      <c r="E14735" s="202"/>
      <c r="U14735" s="204"/>
    </row>
    <row r="14736" spans="2:21" x14ac:dyDescent="0.2">
      <c r="B14736" s="203"/>
      <c r="C14736" s="237"/>
      <c r="D14736" s="202"/>
      <c r="E14736" s="202"/>
      <c r="U14736" s="204"/>
    </row>
    <row r="14737" spans="2:21" x14ac:dyDescent="0.2">
      <c r="B14737" s="203"/>
      <c r="C14737" s="237"/>
      <c r="D14737" s="202"/>
      <c r="E14737" s="202"/>
      <c r="U14737" s="204"/>
    </row>
    <row r="14738" spans="2:21" x14ac:dyDescent="0.2">
      <c r="B14738" s="203"/>
      <c r="C14738" s="237"/>
      <c r="D14738" s="202"/>
      <c r="E14738" s="202"/>
      <c r="U14738" s="204"/>
    </row>
    <row r="14739" spans="2:21" x14ac:dyDescent="0.2">
      <c r="B14739" s="203"/>
      <c r="C14739" s="237"/>
      <c r="D14739" s="202"/>
      <c r="E14739" s="202"/>
      <c r="U14739" s="204"/>
    </row>
    <row r="14740" spans="2:21" x14ac:dyDescent="0.2">
      <c r="B14740" s="203"/>
      <c r="C14740" s="237"/>
      <c r="D14740" s="202"/>
      <c r="E14740" s="202"/>
      <c r="U14740" s="204"/>
    </row>
    <row r="14741" spans="2:21" x14ac:dyDescent="0.2">
      <c r="B14741" s="203"/>
      <c r="C14741" s="237"/>
      <c r="D14741" s="202"/>
      <c r="E14741" s="202"/>
      <c r="U14741" s="204"/>
    </row>
    <row r="14742" spans="2:21" x14ac:dyDescent="0.2">
      <c r="B14742" s="203"/>
      <c r="C14742" s="237"/>
      <c r="D14742" s="202"/>
      <c r="E14742" s="202"/>
      <c r="U14742" s="204"/>
    </row>
    <row r="14743" spans="2:21" x14ac:dyDescent="0.2">
      <c r="B14743" s="203"/>
      <c r="C14743" s="237"/>
      <c r="D14743" s="202"/>
      <c r="E14743" s="202"/>
      <c r="U14743" s="204"/>
    </row>
    <row r="14744" spans="2:21" x14ac:dyDescent="0.2">
      <c r="B14744" s="203"/>
      <c r="C14744" s="237"/>
      <c r="D14744" s="202"/>
      <c r="E14744" s="202"/>
      <c r="U14744" s="204"/>
    </row>
    <row r="14745" spans="2:21" x14ac:dyDescent="0.2">
      <c r="B14745" s="203"/>
      <c r="C14745" s="237"/>
      <c r="D14745" s="202"/>
      <c r="E14745" s="202"/>
      <c r="U14745" s="204"/>
    </row>
    <row r="14746" spans="2:21" x14ac:dyDescent="0.2">
      <c r="B14746" s="203"/>
      <c r="C14746" s="237"/>
      <c r="D14746" s="202"/>
      <c r="E14746" s="202"/>
      <c r="U14746" s="204"/>
    </row>
    <row r="14747" spans="2:21" x14ac:dyDescent="0.2">
      <c r="B14747" s="203"/>
      <c r="C14747" s="237"/>
      <c r="D14747" s="202"/>
      <c r="E14747" s="202"/>
      <c r="U14747" s="204"/>
    </row>
    <row r="14748" spans="2:21" x14ac:dyDescent="0.2">
      <c r="B14748" s="203"/>
      <c r="C14748" s="237"/>
      <c r="D14748" s="202"/>
      <c r="E14748" s="202"/>
      <c r="U14748" s="204"/>
    </row>
    <row r="14749" spans="2:21" x14ac:dyDescent="0.2">
      <c r="B14749" s="203"/>
      <c r="C14749" s="237"/>
      <c r="D14749" s="202"/>
      <c r="E14749" s="202"/>
      <c r="U14749" s="204"/>
    </row>
    <row r="14750" spans="2:21" x14ac:dyDescent="0.2">
      <c r="B14750" s="203"/>
      <c r="C14750" s="237"/>
      <c r="D14750" s="202"/>
      <c r="E14750" s="202"/>
      <c r="U14750" s="204"/>
    </row>
    <row r="14751" spans="2:21" x14ac:dyDescent="0.2">
      <c r="B14751" s="203"/>
      <c r="C14751" s="237"/>
      <c r="D14751" s="202"/>
      <c r="E14751" s="202"/>
      <c r="U14751" s="204"/>
    </row>
    <row r="14752" spans="2:21" x14ac:dyDescent="0.2">
      <c r="B14752" s="203"/>
      <c r="C14752" s="237"/>
      <c r="D14752" s="202"/>
      <c r="E14752" s="202"/>
      <c r="U14752" s="204"/>
    </row>
    <row r="14753" spans="2:21" x14ac:dyDescent="0.2">
      <c r="B14753" s="203"/>
      <c r="C14753" s="237"/>
      <c r="D14753" s="202"/>
      <c r="E14753" s="202"/>
      <c r="U14753" s="204"/>
    </row>
    <row r="14754" spans="2:21" x14ac:dyDescent="0.2">
      <c r="B14754" s="203"/>
      <c r="C14754" s="237"/>
      <c r="D14754" s="202"/>
      <c r="E14754" s="202"/>
      <c r="U14754" s="204"/>
    </row>
    <row r="14755" spans="2:21" x14ac:dyDescent="0.2">
      <c r="B14755" s="203"/>
      <c r="C14755" s="237"/>
      <c r="D14755" s="202"/>
      <c r="E14755" s="202"/>
      <c r="U14755" s="204"/>
    </row>
    <row r="14756" spans="2:21" x14ac:dyDescent="0.2">
      <c r="B14756" s="203"/>
      <c r="C14756" s="237"/>
      <c r="D14756" s="202"/>
      <c r="E14756" s="202"/>
      <c r="U14756" s="204"/>
    </row>
    <row r="14757" spans="2:21" x14ac:dyDescent="0.2">
      <c r="B14757" s="203"/>
      <c r="C14757" s="237"/>
      <c r="D14757" s="202"/>
      <c r="E14757" s="202"/>
      <c r="U14757" s="204"/>
    </row>
    <row r="14758" spans="2:21" x14ac:dyDescent="0.2">
      <c r="B14758" s="203"/>
      <c r="C14758" s="237"/>
      <c r="D14758" s="202"/>
      <c r="E14758" s="202"/>
      <c r="U14758" s="204"/>
    </row>
    <row r="14759" spans="2:21" x14ac:dyDescent="0.2">
      <c r="B14759" s="203"/>
      <c r="C14759" s="237"/>
      <c r="D14759" s="202"/>
      <c r="E14759" s="202"/>
      <c r="U14759" s="204"/>
    </row>
    <row r="14760" spans="2:21" x14ac:dyDescent="0.2">
      <c r="B14760" s="203"/>
      <c r="C14760" s="237"/>
      <c r="D14760" s="202"/>
      <c r="E14760" s="202"/>
      <c r="U14760" s="204"/>
    </row>
    <row r="14761" spans="2:21" x14ac:dyDescent="0.2">
      <c r="B14761" s="203"/>
      <c r="C14761" s="237"/>
      <c r="D14761" s="202"/>
      <c r="E14761" s="202"/>
      <c r="U14761" s="204"/>
    </row>
    <row r="14762" spans="2:21" x14ac:dyDescent="0.2">
      <c r="B14762" s="203"/>
      <c r="C14762" s="237"/>
      <c r="D14762" s="202"/>
      <c r="E14762" s="202"/>
      <c r="U14762" s="204"/>
    </row>
    <row r="14763" spans="2:21" x14ac:dyDescent="0.2">
      <c r="B14763" s="203"/>
      <c r="C14763" s="237"/>
      <c r="D14763" s="202"/>
      <c r="E14763" s="202"/>
      <c r="U14763" s="204"/>
    </row>
    <row r="14764" spans="2:21" x14ac:dyDescent="0.2">
      <c r="B14764" s="203"/>
      <c r="C14764" s="237"/>
      <c r="D14764" s="202"/>
      <c r="E14764" s="202"/>
      <c r="U14764" s="204"/>
    </row>
    <row r="14765" spans="2:21" x14ac:dyDescent="0.2">
      <c r="B14765" s="203"/>
      <c r="C14765" s="237"/>
      <c r="D14765" s="202"/>
      <c r="E14765" s="202"/>
      <c r="U14765" s="204"/>
    </row>
    <row r="14766" spans="2:21" x14ac:dyDescent="0.2">
      <c r="B14766" s="203"/>
      <c r="C14766" s="237"/>
      <c r="D14766" s="202"/>
      <c r="E14766" s="202"/>
      <c r="U14766" s="204"/>
    </row>
    <row r="14767" spans="2:21" x14ac:dyDescent="0.2">
      <c r="B14767" s="203"/>
      <c r="C14767" s="237"/>
      <c r="D14767" s="202"/>
      <c r="E14767" s="202"/>
      <c r="U14767" s="204"/>
    </row>
    <row r="14768" spans="2:21" x14ac:dyDescent="0.2">
      <c r="B14768" s="203"/>
      <c r="C14768" s="237"/>
      <c r="D14768" s="202"/>
      <c r="E14768" s="202"/>
      <c r="U14768" s="204"/>
    </row>
    <row r="14769" spans="2:21" x14ac:dyDescent="0.2">
      <c r="B14769" s="203"/>
      <c r="C14769" s="237"/>
      <c r="D14769" s="202"/>
      <c r="E14769" s="202"/>
      <c r="U14769" s="204"/>
    </row>
    <row r="14770" spans="2:21" x14ac:dyDescent="0.2">
      <c r="B14770" s="203"/>
      <c r="C14770" s="237"/>
      <c r="D14770" s="202"/>
      <c r="E14770" s="202"/>
      <c r="U14770" s="204"/>
    </row>
    <row r="14771" spans="2:21" x14ac:dyDescent="0.2">
      <c r="B14771" s="203"/>
      <c r="C14771" s="237"/>
      <c r="D14771" s="202"/>
      <c r="E14771" s="202"/>
      <c r="U14771" s="204"/>
    </row>
    <row r="14772" spans="2:21" x14ac:dyDescent="0.2">
      <c r="B14772" s="203"/>
      <c r="C14772" s="237"/>
      <c r="D14772" s="202"/>
      <c r="E14772" s="202"/>
      <c r="U14772" s="204"/>
    </row>
    <row r="14773" spans="2:21" x14ac:dyDescent="0.2">
      <c r="B14773" s="203"/>
      <c r="C14773" s="237"/>
      <c r="D14773" s="202"/>
      <c r="E14773" s="202"/>
      <c r="U14773" s="204"/>
    </row>
    <row r="14774" spans="2:21" x14ac:dyDescent="0.2">
      <c r="B14774" s="203"/>
      <c r="C14774" s="237"/>
      <c r="D14774" s="202"/>
      <c r="E14774" s="202"/>
      <c r="U14774" s="204"/>
    </row>
    <row r="14775" spans="2:21" x14ac:dyDescent="0.2">
      <c r="B14775" s="203"/>
      <c r="C14775" s="237"/>
      <c r="D14775" s="202"/>
      <c r="E14775" s="202"/>
      <c r="U14775" s="204"/>
    </row>
    <row r="14776" spans="2:21" x14ac:dyDescent="0.2">
      <c r="B14776" s="203"/>
      <c r="C14776" s="237"/>
      <c r="D14776" s="202"/>
      <c r="E14776" s="202"/>
      <c r="U14776" s="204"/>
    </row>
    <row r="14777" spans="2:21" x14ac:dyDescent="0.2">
      <c r="B14777" s="203"/>
      <c r="C14777" s="237"/>
      <c r="D14777" s="202"/>
      <c r="E14777" s="202"/>
      <c r="U14777" s="204"/>
    </row>
    <row r="14778" spans="2:21" x14ac:dyDescent="0.2">
      <c r="B14778" s="203"/>
      <c r="C14778" s="237"/>
      <c r="D14778" s="202"/>
      <c r="E14778" s="202"/>
      <c r="U14778" s="204"/>
    </row>
    <row r="14779" spans="2:21" x14ac:dyDescent="0.2">
      <c r="B14779" s="203"/>
      <c r="C14779" s="237"/>
      <c r="D14779" s="202"/>
      <c r="E14779" s="202"/>
      <c r="U14779" s="204"/>
    </row>
    <row r="14780" spans="2:21" x14ac:dyDescent="0.2">
      <c r="B14780" s="203"/>
      <c r="C14780" s="237"/>
      <c r="D14780" s="202"/>
      <c r="E14780" s="202"/>
      <c r="U14780" s="204"/>
    </row>
    <row r="14781" spans="2:21" x14ac:dyDescent="0.2">
      <c r="B14781" s="203"/>
      <c r="C14781" s="237"/>
      <c r="D14781" s="202"/>
      <c r="E14781" s="202"/>
      <c r="U14781" s="204"/>
    </row>
    <row r="14782" spans="2:21" x14ac:dyDescent="0.2">
      <c r="B14782" s="203"/>
      <c r="C14782" s="237"/>
      <c r="D14782" s="202"/>
      <c r="E14782" s="202"/>
      <c r="U14782" s="204"/>
    </row>
    <row r="14783" spans="2:21" x14ac:dyDescent="0.2">
      <c r="B14783" s="203"/>
      <c r="C14783" s="237"/>
      <c r="D14783" s="202"/>
      <c r="E14783" s="202"/>
      <c r="U14783" s="204"/>
    </row>
    <row r="14784" spans="2:21" x14ac:dyDescent="0.2">
      <c r="B14784" s="203"/>
      <c r="C14784" s="237"/>
      <c r="D14784" s="202"/>
      <c r="E14784" s="202"/>
      <c r="U14784" s="204"/>
    </row>
    <row r="14785" spans="2:21" x14ac:dyDescent="0.2">
      <c r="B14785" s="203"/>
      <c r="C14785" s="237"/>
      <c r="D14785" s="202"/>
      <c r="E14785" s="202"/>
      <c r="U14785" s="204"/>
    </row>
    <row r="14786" spans="2:21" x14ac:dyDescent="0.2">
      <c r="B14786" s="203"/>
      <c r="C14786" s="237"/>
      <c r="D14786" s="202"/>
      <c r="E14786" s="202"/>
      <c r="U14786" s="204"/>
    </row>
    <row r="14787" spans="2:21" x14ac:dyDescent="0.2">
      <c r="B14787" s="203"/>
      <c r="C14787" s="237"/>
      <c r="D14787" s="202"/>
      <c r="E14787" s="202"/>
      <c r="U14787" s="204"/>
    </row>
    <row r="14788" spans="2:21" x14ac:dyDescent="0.2">
      <c r="B14788" s="203"/>
      <c r="C14788" s="237"/>
      <c r="D14788" s="202"/>
      <c r="E14788" s="202"/>
      <c r="U14788" s="204"/>
    </row>
    <row r="14789" spans="2:21" x14ac:dyDescent="0.2">
      <c r="B14789" s="203"/>
      <c r="C14789" s="237"/>
      <c r="D14789" s="202"/>
      <c r="E14789" s="202"/>
      <c r="U14789" s="204"/>
    </row>
    <row r="14790" spans="2:21" x14ac:dyDescent="0.2">
      <c r="B14790" s="203"/>
      <c r="C14790" s="237"/>
      <c r="D14790" s="202"/>
      <c r="E14790" s="202"/>
      <c r="U14790" s="204"/>
    </row>
    <row r="14791" spans="2:21" x14ac:dyDescent="0.2">
      <c r="B14791" s="203"/>
      <c r="C14791" s="237"/>
      <c r="D14791" s="202"/>
      <c r="E14791" s="202"/>
      <c r="U14791" s="204"/>
    </row>
    <row r="14792" spans="2:21" x14ac:dyDescent="0.2">
      <c r="B14792" s="203"/>
      <c r="C14792" s="237"/>
      <c r="D14792" s="202"/>
      <c r="E14792" s="202"/>
      <c r="U14792" s="204"/>
    </row>
    <row r="14793" spans="2:21" x14ac:dyDescent="0.2">
      <c r="B14793" s="203"/>
      <c r="C14793" s="237"/>
      <c r="D14793" s="202"/>
      <c r="E14793" s="202"/>
      <c r="U14793" s="204"/>
    </row>
    <row r="14794" spans="2:21" x14ac:dyDescent="0.2">
      <c r="B14794" s="203"/>
      <c r="C14794" s="237"/>
      <c r="D14794" s="202"/>
      <c r="E14794" s="202"/>
      <c r="U14794" s="204"/>
    </row>
    <row r="14795" spans="2:21" x14ac:dyDescent="0.2">
      <c r="B14795" s="203"/>
      <c r="C14795" s="237"/>
      <c r="D14795" s="202"/>
      <c r="E14795" s="202"/>
      <c r="U14795" s="204"/>
    </row>
    <row r="14796" spans="2:21" x14ac:dyDescent="0.2">
      <c r="B14796" s="203"/>
      <c r="C14796" s="237"/>
      <c r="D14796" s="202"/>
      <c r="E14796" s="202"/>
      <c r="U14796" s="204"/>
    </row>
    <row r="14797" spans="2:21" x14ac:dyDescent="0.2">
      <c r="B14797" s="203"/>
      <c r="C14797" s="237"/>
      <c r="D14797" s="202"/>
      <c r="E14797" s="202"/>
      <c r="U14797" s="204"/>
    </row>
    <row r="14798" spans="2:21" x14ac:dyDescent="0.2">
      <c r="B14798" s="203"/>
      <c r="C14798" s="237"/>
      <c r="D14798" s="202"/>
      <c r="E14798" s="202"/>
      <c r="U14798" s="204"/>
    </row>
    <row r="14799" spans="2:21" x14ac:dyDescent="0.2">
      <c r="B14799" s="203"/>
      <c r="C14799" s="237"/>
      <c r="D14799" s="202"/>
      <c r="E14799" s="202"/>
      <c r="U14799" s="204"/>
    </row>
    <row r="14800" spans="2:21" x14ac:dyDescent="0.2">
      <c r="B14800" s="203"/>
      <c r="C14800" s="237"/>
      <c r="D14800" s="202"/>
      <c r="E14800" s="202"/>
      <c r="U14800" s="204"/>
    </row>
    <row r="14801" spans="2:21" x14ac:dyDescent="0.2">
      <c r="B14801" s="203"/>
      <c r="C14801" s="237"/>
      <c r="D14801" s="202"/>
      <c r="E14801" s="202"/>
      <c r="U14801" s="204"/>
    </row>
    <row r="14802" spans="2:21" x14ac:dyDescent="0.2">
      <c r="B14802" s="203"/>
      <c r="C14802" s="237"/>
      <c r="D14802" s="202"/>
      <c r="E14802" s="202"/>
      <c r="U14802" s="204"/>
    </row>
    <row r="14803" spans="2:21" x14ac:dyDescent="0.2">
      <c r="B14803" s="203"/>
      <c r="C14803" s="237"/>
      <c r="D14803" s="202"/>
      <c r="E14803" s="202"/>
      <c r="U14803" s="204"/>
    </row>
    <row r="14804" spans="2:21" x14ac:dyDescent="0.2">
      <c r="B14804" s="203"/>
      <c r="C14804" s="237"/>
      <c r="D14804" s="202"/>
      <c r="E14804" s="202"/>
      <c r="U14804" s="204"/>
    </row>
    <row r="14805" spans="2:21" x14ac:dyDescent="0.2">
      <c r="B14805" s="203"/>
      <c r="C14805" s="237"/>
      <c r="D14805" s="202"/>
      <c r="E14805" s="202"/>
      <c r="U14805" s="204"/>
    </row>
    <row r="14806" spans="2:21" x14ac:dyDescent="0.2">
      <c r="B14806" s="203"/>
      <c r="C14806" s="237"/>
      <c r="D14806" s="202"/>
      <c r="E14806" s="202"/>
      <c r="U14806" s="204"/>
    </row>
    <row r="14807" spans="2:21" x14ac:dyDescent="0.2">
      <c r="B14807" s="203"/>
      <c r="C14807" s="237"/>
      <c r="D14807" s="202"/>
      <c r="E14807" s="202"/>
      <c r="U14807" s="204"/>
    </row>
    <row r="14808" spans="2:21" x14ac:dyDescent="0.2">
      <c r="B14808" s="203"/>
      <c r="C14808" s="237"/>
      <c r="D14808" s="202"/>
      <c r="E14808" s="202"/>
      <c r="U14808" s="204"/>
    </row>
    <row r="14809" spans="2:21" x14ac:dyDescent="0.2">
      <c r="B14809" s="203"/>
      <c r="C14809" s="237"/>
      <c r="D14809" s="202"/>
      <c r="E14809" s="202"/>
      <c r="U14809" s="204"/>
    </row>
    <row r="14810" spans="2:21" x14ac:dyDescent="0.2">
      <c r="B14810" s="203"/>
      <c r="C14810" s="237"/>
      <c r="D14810" s="202"/>
      <c r="E14810" s="202"/>
      <c r="U14810" s="204"/>
    </row>
    <row r="14811" spans="2:21" x14ac:dyDescent="0.2">
      <c r="B14811" s="203"/>
      <c r="C14811" s="237"/>
      <c r="D14811" s="202"/>
      <c r="E14811" s="202"/>
      <c r="U14811" s="204"/>
    </row>
    <row r="14812" spans="2:21" x14ac:dyDescent="0.2">
      <c r="B14812" s="203"/>
      <c r="C14812" s="237"/>
      <c r="D14812" s="202"/>
      <c r="E14812" s="202"/>
      <c r="U14812" s="204"/>
    </row>
    <row r="14813" spans="2:21" x14ac:dyDescent="0.2">
      <c r="B14813" s="203"/>
      <c r="C14813" s="237"/>
      <c r="D14813" s="202"/>
      <c r="E14813" s="202"/>
      <c r="U14813" s="204"/>
    </row>
    <row r="14814" spans="2:21" x14ac:dyDescent="0.2">
      <c r="B14814" s="203"/>
      <c r="C14814" s="237"/>
      <c r="D14814" s="202"/>
      <c r="E14814" s="202"/>
      <c r="U14814" s="204"/>
    </row>
    <row r="14815" spans="2:21" x14ac:dyDescent="0.2">
      <c r="B14815" s="203"/>
      <c r="C14815" s="237"/>
      <c r="D14815" s="202"/>
      <c r="E14815" s="202"/>
      <c r="U14815" s="204"/>
    </row>
    <row r="14816" spans="2:21" x14ac:dyDescent="0.2">
      <c r="B14816" s="203"/>
      <c r="C14816" s="237"/>
      <c r="D14816" s="202"/>
      <c r="E14816" s="202"/>
      <c r="U14816" s="204"/>
    </row>
    <row r="14817" spans="2:21" x14ac:dyDescent="0.2">
      <c r="B14817" s="203"/>
      <c r="C14817" s="237"/>
      <c r="D14817" s="202"/>
      <c r="E14817" s="202"/>
      <c r="U14817" s="204"/>
    </row>
    <row r="14818" spans="2:21" x14ac:dyDescent="0.2">
      <c r="B14818" s="203"/>
      <c r="C14818" s="237"/>
      <c r="D14818" s="202"/>
      <c r="E14818" s="202"/>
      <c r="U14818" s="204"/>
    </row>
    <row r="14819" spans="2:21" x14ac:dyDescent="0.2">
      <c r="B14819" s="203"/>
      <c r="C14819" s="237"/>
      <c r="D14819" s="202"/>
      <c r="E14819" s="202"/>
      <c r="U14819" s="204"/>
    </row>
    <row r="14820" spans="2:21" x14ac:dyDescent="0.2">
      <c r="B14820" s="203"/>
      <c r="C14820" s="237"/>
      <c r="D14820" s="202"/>
      <c r="E14820" s="202"/>
      <c r="U14820" s="204"/>
    </row>
    <row r="14821" spans="2:21" x14ac:dyDescent="0.2">
      <c r="B14821" s="203"/>
      <c r="C14821" s="237"/>
      <c r="D14821" s="202"/>
      <c r="E14821" s="202"/>
      <c r="U14821" s="204"/>
    </row>
    <row r="14822" spans="2:21" x14ac:dyDescent="0.2">
      <c r="B14822" s="203"/>
      <c r="C14822" s="237"/>
      <c r="D14822" s="202"/>
      <c r="E14822" s="202"/>
      <c r="U14822" s="204"/>
    </row>
    <row r="14823" spans="2:21" x14ac:dyDescent="0.2">
      <c r="B14823" s="203"/>
      <c r="C14823" s="237"/>
      <c r="D14823" s="202"/>
      <c r="E14823" s="202"/>
      <c r="U14823" s="204"/>
    </row>
    <row r="14824" spans="2:21" x14ac:dyDescent="0.2">
      <c r="B14824" s="203"/>
      <c r="C14824" s="237"/>
      <c r="D14824" s="202"/>
      <c r="E14824" s="202"/>
      <c r="U14824" s="204"/>
    </row>
    <row r="14825" spans="2:21" x14ac:dyDescent="0.2">
      <c r="B14825" s="203"/>
      <c r="C14825" s="237"/>
      <c r="D14825" s="202"/>
      <c r="E14825" s="202"/>
      <c r="U14825" s="204"/>
    </row>
    <row r="14826" spans="2:21" x14ac:dyDescent="0.2">
      <c r="B14826" s="203"/>
      <c r="C14826" s="237"/>
      <c r="D14826" s="202"/>
      <c r="E14826" s="202"/>
      <c r="U14826" s="204"/>
    </row>
    <row r="14827" spans="2:21" x14ac:dyDescent="0.2">
      <c r="B14827" s="203"/>
      <c r="C14827" s="237"/>
      <c r="D14827" s="202"/>
      <c r="E14827" s="202"/>
      <c r="U14827" s="204"/>
    </row>
    <row r="14828" spans="2:21" x14ac:dyDescent="0.2">
      <c r="B14828" s="203"/>
      <c r="C14828" s="237"/>
      <c r="D14828" s="202"/>
      <c r="E14828" s="202"/>
      <c r="U14828" s="204"/>
    </row>
    <row r="14829" spans="2:21" x14ac:dyDescent="0.2">
      <c r="B14829" s="203"/>
      <c r="C14829" s="237"/>
      <c r="D14829" s="202"/>
      <c r="E14829" s="202"/>
      <c r="U14829" s="204"/>
    </row>
    <row r="14830" spans="2:21" x14ac:dyDescent="0.2">
      <c r="B14830" s="203"/>
      <c r="C14830" s="237"/>
      <c r="D14830" s="202"/>
      <c r="E14830" s="202"/>
      <c r="U14830" s="204"/>
    </row>
    <row r="14831" spans="2:21" x14ac:dyDescent="0.2">
      <c r="B14831" s="203"/>
      <c r="C14831" s="237"/>
      <c r="D14831" s="202"/>
      <c r="E14831" s="202"/>
      <c r="U14831" s="204"/>
    </row>
    <row r="14832" spans="2:21" x14ac:dyDescent="0.2">
      <c r="B14832" s="203"/>
      <c r="C14832" s="237"/>
      <c r="D14832" s="202"/>
      <c r="E14832" s="202"/>
      <c r="U14832" s="204"/>
    </row>
    <row r="14833" spans="2:21" x14ac:dyDescent="0.2">
      <c r="B14833" s="203"/>
      <c r="C14833" s="237"/>
      <c r="D14833" s="202"/>
      <c r="E14833" s="202"/>
      <c r="U14833" s="204"/>
    </row>
    <row r="14834" spans="2:21" x14ac:dyDescent="0.2">
      <c r="B14834" s="203"/>
      <c r="C14834" s="237"/>
      <c r="D14834" s="202"/>
      <c r="E14834" s="202"/>
      <c r="U14834" s="204"/>
    </row>
    <row r="14835" spans="2:21" x14ac:dyDescent="0.2">
      <c r="B14835" s="203"/>
      <c r="C14835" s="237"/>
      <c r="D14835" s="202"/>
      <c r="E14835" s="202"/>
      <c r="U14835" s="204"/>
    </row>
    <row r="14836" spans="2:21" x14ac:dyDescent="0.2">
      <c r="B14836" s="203"/>
      <c r="C14836" s="237"/>
      <c r="D14836" s="202"/>
      <c r="E14836" s="202"/>
      <c r="U14836" s="204"/>
    </row>
    <row r="14837" spans="2:21" x14ac:dyDescent="0.2">
      <c r="B14837" s="203"/>
      <c r="C14837" s="237"/>
      <c r="D14837" s="202"/>
      <c r="E14837" s="202"/>
      <c r="U14837" s="204"/>
    </row>
    <row r="14838" spans="2:21" x14ac:dyDescent="0.2">
      <c r="B14838" s="203"/>
      <c r="C14838" s="237"/>
      <c r="D14838" s="202"/>
      <c r="E14838" s="202"/>
      <c r="U14838" s="204"/>
    </row>
    <row r="14839" spans="2:21" x14ac:dyDescent="0.2">
      <c r="B14839" s="203"/>
      <c r="C14839" s="237"/>
      <c r="D14839" s="202"/>
      <c r="E14839" s="202"/>
      <c r="U14839" s="204"/>
    </row>
    <row r="14840" spans="2:21" x14ac:dyDescent="0.2">
      <c r="B14840" s="203"/>
      <c r="C14840" s="237"/>
      <c r="D14840" s="202"/>
      <c r="E14840" s="202"/>
      <c r="U14840" s="204"/>
    </row>
    <row r="14841" spans="2:21" x14ac:dyDescent="0.2">
      <c r="B14841" s="203"/>
      <c r="C14841" s="237"/>
      <c r="D14841" s="202"/>
      <c r="E14841" s="202"/>
      <c r="U14841" s="204"/>
    </row>
    <row r="14842" spans="2:21" x14ac:dyDescent="0.2">
      <c r="B14842" s="203"/>
      <c r="C14842" s="237"/>
      <c r="D14842" s="202"/>
      <c r="E14842" s="202"/>
      <c r="U14842" s="204"/>
    </row>
    <row r="14843" spans="2:21" x14ac:dyDescent="0.2">
      <c r="B14843" s="203"/>
      <c r="C14843" s="237"/>
      <c r="D14843" s="202"/>
      <c r="E14843" s="202"/>
      <c r="U14843" s="204"/>
    </row>
    <row r="14844" spans="2:21" x14ac:dyDescent="0.2">
      <c r="B14844" s="203"/>
      <c r="C14844" s="237"/>
      <c r="D14844" s="202"/>
      <c r="E14844" s="202"/>
      <c r="U14844" s="204"/>
    </row>
    <row r="14845" spans="2:21" x14ac:dyDescent="0.2">
      <c r="B14845" s="203"/>
      <c r="C14845" s="237"/>
      <c r="D14845" s="202"/>
      <c r="E14845" s="202"/>
      <c r="U14845" s="204"/>
    </row>
    <row r="14846" spans="2:21" x14ac:dyDescent="0.2">
      <c r="B14846" s="203"/>
      <c r="C14846" s="237"/>
      <c r="D14846" s="202"/>
      <c r="E14846" s="202"/>
      <c r="U14846" s="204"/>
    </row>
    <row r="14847" spans="2:21" x14ac:dyDescent="0.2">
      <c r="B14847" s="203"/>
      <c r="C14847" s="237"/>
      <c r="D14847" s="202"/>
      <c r="E14847" s="202"/>
      <c r="U14847" s="204"/>
    </row>
    <row r="14848" spans="2:21" x14ac:dyDescent="0.2">
      <c r="B14848" s="203"/>
      <c r="C14848" s="237"/>
      <c r="D14848" s="202"/>
      <c r="E14848" s="202"/>
      <c r="U14848" s="204"/>
    </row>
    <row r="14849" spans="2:21" x14ac:dyDescent="0.2">
      <c r="B14849" s="203"/>
      <c r="C14849" s="237"/>
      <c r="D14849" s="202"/>
      <c r="E14849" s="202"/>
      <c r="U14849" s="204"/>
    </row>
    <row r="14850" spans="2:21" x14ac:dyDescent="0.2">
      <c r="B14850" s="203"/>
      <c r="C14850" s="237"/>
      <c r="D14850" s="202"/>
      <c r="E14850" s="202"/>
      <c r="U14850" s="204"/>
    </row>
    <row r="14851" spans="2:21" x14ac:dyDescent="0.2">
      <c r="B14851" s="203"/>
      <c r="C14851" s="237"/>
      <c r="D14851" s="202"/>
      <c r="E14851" s="202"/>
      <c r="U14851" s="204"/>
    </row>
    <row r="14852" spans="2:21" x14ac:dyDescent="0.2">
      <c r="B14852" s="203"/>
      <c r="C14852" s="237"/>
      <c r="D14852" s="202"/>
      <c r="E14852" s="202"/>
      <c r="U14852" s="204"/>
    </row>
    <row r="14853" spans="2:21" x14ac:dyDescent="0.2">
      <c r="B14853" s="203"/>
      <c r="C14853" s="237"/>
      <c r="D14853" s="202"/>
      <c r="E14853" s="202"/>
      <c r="U14853" s="204"/>
    </row>
    <row r="14854" spans="2:21" x14ac:dyDescent="0.2">
      <c r="B14854" s="203"/>
      <c r="C14854" s="237"/>
      <c r="D14854" s="202"/>
      <c r="E14854" s="202"/>
      <c r="U14854" s="204"/>
    </row>
    <row r="14855" spans="2:21" x14ac:dyDescent="0.2">
      <c r="B14855" s="203"/>
      <c r="C14855" s="237"/>
      <c r="D14855" s="202"/>
      <c r="E14855" s="202"/>
      <c r="U14855" s="204"/>
    </row>
    <row r="14856" spans="2:21" x14ac:dyDescent="0.2">
      <c r="B14856" s="203"/>
      <c r="C14856" s="237"/>
      <c r="D14856" s="202"/>
      <c r="E14856" s="202"/>
      <c r="U14856" s="204"/>
    </row>
    <row r="14857" spans="2:21" x14ac:dyDescent="0.2">
      <c r="B14857" s="203"/>
      <c r="C14857" s="237"/>
      <c r="D14857" s="202"/>
      <c r="E14857" s="202"/>
      <c r="U14857" s="204"/>
    </row>
    <row r="14858" spans="2:21" x14ac:dyDescent="0.2">
      <c r="B14858" s="203"/>
      <c r="C14858" s="237"/>
      <c r="D14858" s="202"/>
      <c r="E14858" s="202"/>
      <c r="U14858" s="204"/>
    </row>
    <row r="14859" spans="2:21" x14ac:dyDescent="0.2">
      <c r="B14859" s="203"/>
      <c r="C14859" s="237"/>
      <c r="D14859" s="202"/>
      <c r="E14859" s="202"/>
      <c r="U14859" s="204"/>
    </row>
    <row r="14860" spans="2:21" x14ac:dyDescent="0.2">
      <c r="B14860" s="203"/>
      <c r="C14860" s="237"/>
      <c r="D14860" s="202"/>
      <c r="E14860" s="202"/>
      <c r="U14860" s="204"/>
    </row>
    <row r="14861" spans="2:21" x14ac:dyDescent="0.2">
      <c r="B14861" s="203"/>
      <c r="C14861" s="237"/>
      <c r="D14861" s="202"/>
      <c r="E14861" s="202"/>
      <c r="U14861" s="204"/>
    </row>
    <row r="14862" spans="2:21" x14ac:dyDescent="0.2">
      <c r="B14862" s="203"/>
      <c r="C14862" s="237"/>
      <c r="D14862" s="202"/>
      <c r="E14862" s="202"/>
      <c r="U14862" s="204"/>
    </row>
    <row r="14863" spans="2:21" x14ac:dyDescent="0.2">
      <c r="B14863" s="203"/>
      <c r="C14863" s="237"/>
      <c r="D14863" s="202"/>
      <c r="E14863" s="202"/>
      <c r="U14863" s="204"/>
    </row>
    <row r="14864" spans="2:21" x14ac:dyDescent="0.2">
      <c r="B14864" s="203"/>
      <c r="C14864" s="237"/>
      <c r="D14864" s="202"/>
      <c r="E14864" s="202"/>
      <c r="U14864" s="204"/>
    </row>
    <row r="14865" spans="2:21" x14ac:dyDescent="0.2">
      <c r="B14865" s="203"/>
      <c r="C14865" s="237"/>
      <c r="D14865" s="202"/>
      <c r="E14865" s="202"/>
      <c r="U14865" s="204"/>
    </row>
    <row r="14866" spans="2:21" x14ac:dyDescent="0.2">
      <c r="B14866" s="203"/>
      <c r="C14866" s="237"/>
      <c r="D14866" s="202"/>
      <c r="E14866" s="202"/>
      <c r="U14866" s="204"/>
    </row>
    <row r="14867" spans="2:21" x14ac:dyDescent="0.2">
      <c r="B14867" s="203"/>
      <c r="C14867" s="237"/>
      <c r="D14867" s="202"/>
      <c r="E14867" s="202"/>
      <c r="U14867" s="204"/>
    </row>
    <row r="14868" spans="2:21" x14ac:dyDescent="0.2">
      <c r="B14868" s="203"/>
      <c r="C14868" s="237"/>
      <c r="D14868" s="202"/>
      <c r="E14868" s="202"/>
      <c r="U14868" s="204"/>
    </row>
    <row r="14869" spans="2:21" x14ac:dyDescent="0.2">
      <c r="B14869" s="203"/>
      <c r="C14869" s="237"/>
      <c r="D14869" s="202"/>
      <c r="E14869" s="202"/>
      <c r="U14869" s="204"/>
    </row>
    <row r="14870" spans="2:21" x14ac:dyDescent="0.2">
      <c r="B14870" s="203"/>
      <c r="C14870" s="237"/>
      <c r="D14870" s="202"/>
      <c r="E14870" s="202"/>
      <c r="U14870" s="204"/>
    </row>
    <row r="14871" spans="2:21" x14ac:dyDescent="0.2">
      <c r="B14871" s="203"/>
      <c r="C14871" s="237"/>
      <c r="D14871" s="202"/>
      <c r="E14871" s="202"/>
      <c r="U14871" s="204"/>
    </row>
    <row r="14872" spans="2:21" x14ac:dyDescent="0.2">
      <c r="B14872" s="203"/>
      <c r="C14872" s="237"/>
      <c r="D14872" s="202"/>
      <c r="E14872" s="202"/>
      <c r="U14872" s="204"/>
    </row>
    <row r="14873" spans="2:21" x14ac:dyDescent="0.2">
      <c r="B14873" s="203"/>
      <c r="C14873" s="237"/>
      <c r="D14873" s="202"/>
      <c r="E14873" s="202"/>
      <c r="U14873" s="204"/>
    </row>
    <row r="14874" spans="2:21" x14ac:dyDescent="0.2">
      <c r="B14874" s="203"/>
      <c r="C14874" s="237"/>
      <c r="D14874" s="202"/>
      <c r="E14874" s="202"/>
      <c r="U14874" s="204"/>
    </row>
    <row r="14875" spans="2:21" x14ac:dyDescent="0.2">
      <c r="B14875" s="203"/>
      <c r="C14875" s="237"/>
      <c r="D14875" s="202"/>
      <c r="E14875" s="202"/>
      <c r="U14875" s="204"/>
    </row>
    <row r="14876" spans="2:21" x14ac:dyDescent="0.2">
      <c r="B14876" s="203"/>
      <c r="C14876" s="237"/>
      <c r="D14876" s="202"/>
      <c r="E14876" s="202"/>
      <c r="U14876" s="204"/>
    </row>
    <row r="14877" spans="2:21" x14ac:dyDescent="0.2">
      <c r="B14877" s="203"/>
      <c r="C14877" s="237"/>
      <c r="D14877" s="202"/>
      <c r="E14877" s="202"/>
      <c r="U14877" s="204"/>
    </row>
    <row r="14878" spans="2:21" x14ac:dyDescent="0.2">
      <c r="B14878" s="203"/>
      <c r="C14878" s="237"/>
      <c r="D14878" s="202"/>
      <c r="E14878" s="202"/>
      <c r="U14878" s="204"/>
    </row>
    <row r="14879" spans="2:21" x14ac:dyDescent="0.2">
      <c r="B14879" s="203"/>
      <c r="C14879" s="237"/>
      <c r="D14879" s="202"/>
      <c r="E14879" s="202"/>
      <c r="U14879" s="204"/>
    </row>
    <row r="14880" spans="2:21" x14ac:dyDescent="0.2">
      <c r="B14880" s="203"/>
      <c r="C14880" s="237"/>
      <c r="D14880" s="202"/>
      <c r="E14880" s="202"/>
      <c r="U14880" s="204"/>
    </row>
    <row r="14881" spans="2:21" x14ac:dyDescent="0.2">
      <c r="B14881" s="203"/>
      <c r="C14881" s="237"/>
      <c r="D14881" s="202"/>
      <c r="E14881" s="202"/>
      <c r="U14881" s="204"/>
    </row>
    <row r="14882" spans="2:21" x14ac:dyDescent="0.2">
      <c r="B14882" s="203"/>
      <c r="C14882" s="237"/>
      <c r="D14882" s="202"/>
      <c r="E14882" s="202"/>
      <c r="U14882" s="204"/>
    </row>
    <row r="14883" spans="2:21" x14ac:dyDescent="0.2">
      <c r="B14883" s="203"/>
      <c r="C14883" s="237"/>
      <c r="D14883" s="202"/>
      <c r="E14883" s="202"/>
      <c r="U14883" s="204"/>
    </row>
    <row r="14884" spans="2:21" x14ac:dyDescent="0.2">
      <c r="B14884" s="203"/>
      <c r="C14884" s="237"/>
      <c r="D14884" s="202"/>
      <c r="E14884" s="202"/>
      <c r="U14884" s="204"/>
    </row>
    <row r="14885" spans="2:21" x14ac:dyDescent="0.2">
      <c r="B14885" s="203"/>
      <c r="C14885" s="237"/>
      <c r="D14885" s="202"/>
      <c r="E14885" s="202"/>
      <c r="U14885" s="204"/>
    </row>
    <row r="14886" spans="2:21" x14ac:dyDescent="0.2">
      <c r="B14886" s="203"/>
      <c r="C14886" s="237"/>
      <c r="D14886" s="202"/>
      <c r="E14886" s="202"/>
      <c r="U14886" s="204"/>
    </row>
    <row r="14887" spans="2:21" x14ac:dyDescent="0.2">
      <c r="B14887" s="203"/>
      <c r="C14887" s="237"/>
      <c r="D14887" s="202"/>
      <c r="E14887" s="202"/>
      <c r="U14887" s="204"/>
    </row>
    <row r="14888" spans="2:21" x14ac:dyDescent="0.2">
      <c r="B14888" s="203"/>
      <c r="C14888" s="237"/>
      <c r="D14888" s="202"/>
      <c r="E14888" s="202"/>
      <c r="U14888" s="204"/>
    </row>
    <row r="14889" spans="2:21" x14ac:dyDescent="0.2">
      <c r="B14889" s="203"/>
      <c r="C14889" s="237"/>
      <c r="D14889" s="202"/>
      <c r="E14889" s="202"/>
      <c r="U14889" s="204"/>
    </row>
    <row r="14890" spans="2:21" x14ac:dyDescent="0.2">
      <c r="B14890" s="203"/>
      <c r="C14890" s="237"/>
      <c r="D14890" s="202"/>
      <c r="E14890" s="202"/>
      <c r="U14890" s="204"/>
    </row>
    <row r="14891" spans="2:21" x14ac:dyDescent="0.2">
      <c r="B14891" s="203"/>
      <c r="C14891" s="237"/>
      <c r="D14891" s="202"/>
      <c r="E14891" s="202"/>
      <c r="U14891" s="204"/>
    </row>
    <row r="14892" spans="2:21" x14ac:dyDescent="0.2">
      <c r="B14892" s="203"/>
      <c r="C14892" s="237"/>
      <c r="D14892" s="202"/>
      <c r="E14892" s="202"/>
      <c r="U14892" s="204"/>
    </row>
    <row r="14893" spans="2:21" x14ac:dyDescent="0.2">
      <c r="B14893" s="203"/>
      <c r="C14893" s="237"/>
      <c r="D14893" s="202"/>
      <c r="E14893" s="202"/>
      <c r="U14893" s="204"/>
    </row>
    <row r="14894" spans="2:21" x14ac:dyDescent="0.2">
      <c r="B14894" s="203"/>
      <c r="C14894" s="237"/>
      <c r="D14894" s="202"/>
      <c r="E14894" s="202"/>
      <c r="U14894" s="204"/>
    </row>
    <row r="14895" spans="2:21" x14ac:dyDescent="0.2">
      <c r="B14895" s="203"/>
      <c r="C14895" s="237"/>
      <c r="D14895" s="202"/>
      <c r="E14895" s="202"/>
      <c r="U14895" s="204"/>
    </row>
    <row r="14896" spans="2:21" x14ac:dyDescent="0.2">
      <c r="B14896" s="203"/>
      <c r="C14896" s="237"/>
      <c r="D14896" s="202"/>
      <c r="E14896" s="202"/>
      <c r="U14896" s="204"/>
    </row>
    <row r="14897" spans="2:21" x14ac:dyDescent="0.2">
      <c r="B14897" s="203"/>
      <c r="C14897" s="237"/>
      <c r="D14897" s="202"/>
      <c r="E14897" s="202"/>
      <c r="U14897" s="204"/>
    </row>
    <row r="14898" spans="2:21" x14ac:dyDescent="0.2">
      <c r="B14898" s="203"/>
      <c r="C14898" s="237"/>
      <c r="D14898" s="202"/>
      <c r="E14898" s="202"/>
      <c r="U14898" s="204"/>
    </row>
    <row r="14899" spans="2:21" x14ac:dyDescent="0.2">
      <c r="B14899" s="203"/>
      <c r="C14899" s="237"/>
      <c r="D14899" s="202"/>
      <c r="E14899" s="202"/>
      <c r="U14899" s="204"/>
    </row>
    <row r="14900" spans="2:21" x14ac:dyDescent="0.2">
      <c r="B14900" s="203"/>
      <c r="C14900" s="237"/>
      <c r="D14900" s="202"/>
      <c r="E14900" s="202"/>
      <c r="U14900" s="204"/>
    </row>
    <row r="14901" spans="2:21" x14ac:dyDescent="0.2">
      <c r="B14901" s="203"/>
      <c r="C14901" s="237"/>
      <c r="D14901" s="202"/>
      <c r="E14901" s="202"/>
      <c r="U14901" s="204"/>
    </row>
    <row r="14902" spans="2:21" x14ac:dyDescent="0.2">
      <c r="B14902" s="203"/>
      <c r="C14902" s="237"/>
      <c r="D14902" s="202"/>
      <c r="E14902" s="202"/>
      <c r="U14902" s="204"/>
    </row>
    <row r="14903" spans="2:21" x14ac:dyDescent="0.2">
      <c r="B14903" s="203"/>
      <c r="C14903" s="237"/>
      <c r="D14903" s="202"/>
      <c r="E14903" s="202"/>
      <c r="U14903" s="204"/>
    </row>
    <row r="14904" spans="2:21" x14ac:dyDescent="0.2">
      <c r="B14904" s="203"/>
      <c r="C14904" s="237"/>
      <c r="D14904" s="202"/>
      <c r="E14904" s="202"/>
      <c r="U14904" s="204"/>
    </row>
    <row r="14905" spans="2:21" x14ac:dyDescent="0.2">
      <c r="B14905" s="203"/>
      <c r="C14905" s="237"/>
      <c r="D14905" s="202"/>
      <c r="E14905" s="202"/>
      <c r="U14905" s="204"/>
    </row>
    <row r="14906" spans="2:21" x14ac:dyDescent="0.2">
      <c r="B14906" s="203"/>
      <c r="C14906" s="237"/>
      <c r="D14906" s="202"/>
      <c r="E14906" s="202"/>
      <c r="U14906" s="204"/>
    </row>
    <row r="14907" spans="2:21" x14ac:dyDescent="0.2">
      <c r="B14907" s="203"/>
      <c r="C14907" s="237"/>
      <c r="D14907" s="202"/>
      <c r="E14907" s="202"/>
      <c r="U14907" s="204"/>
    </row>
    <row r="14908" spans="2:21" x14ac:dyDescent="0.2">
      <c r="B14908" s="203"/>
      <c r="C14908" s="237"/>
      <c r="D14908" s="202"/>
      <c r="E14908" s="202"/>
      <c r="U14908" s="204"/>
    </row>
    <row r="14909" spans="2:21" x14ac:dyDescent="0.2">
      <c r="B14909" s="203"/>
      <c r="C14909" s="237"/>
      <c r="D14909" s="202"/>
      <c r="E14909" s="202"/>
      <c r="U14909" s="204"/>
    </row>
    <row r="14910" spans="2:21" x14ac:dyDescent="0.2">
      <c r="B14910" s="203"/>
      <c r="C14910" s="237"/>
      <c r="D14910" s="202"/>
      <c r="E14910" s="202"/>
      <c r="U14910" s="204"/>
    </row>
    <row r="14911" spans="2:21" x14ac:dyDescent="0.2">
      <c r="B14911" s="203"/>
      <c r="C14911" s="237"/>
      <c r="D14911" s="202"/>
      <c r="E14911" s="202"/>
      <c r="U14911" s="204"/>
    </row>
    <row r="14912" spans="2:21" x14ac:dyDescent="0.2">
      <c r="B14912" s="203"/>
      <c r="C14912" s="237"/>
      <c r="D14912" s="202"/>
      <c r="E14912" s="202"/>
      <c r="U14912" s="204"/>
    </row>
    <row r="14913" spans="2:21" x14ac:dyDescent="0.2">
      <c r="B14913" s="203"/>
      <c r="C14913" s="237"/>
      <c r="D14913" s="202"/>
      <c r="E14913" s="202"/>
      <c r="U14913" s="204"/>
    </row>
    <row r="14914" spans="2:21" x14ac:dyDescent="0.2">
      <c r="B14914" s="203"/>
      <c r="C14914" s="237"/>
      <c r="D14914" s="202"/>
      <c r="E14914" s="202"/>
      <c r="U14914" s="204"/>
    </row>
    <row r="14915" spans="2:21" x14ac:dyDescent="0.2">
      <c r="B14915" s="203"/>
      <c r="C14915" s="237"/>
      <c r="D14915" s="202"/>
      <c r="E14915" s="202"/>
      <c r="U14915" s="204"/>
    </row>
    <row r="14916" spans="2:21" x14ac:dyDescent="0.2">
      <c r="B14916" s="203"/>
      <c r="C14916" s="237"/>
      <c r="D14916" s="202"/>
      <c r="E14916" s="202"/>
      <c r="U14916" s="204"/>
    </row>
    <row r="14917" spans="2:21" x14ac:dyDescent="0.2">
      <c r="B14917" s="203"/>
      <c r="C14917" s="237"/>
      <c r="D14917" s="202"/>
      <c r="E14917" s="202"/>
      <c r="U14917" s="204"/>
    </row>
    <row r="14918" spans="2:21" x14ac:dyDescent="0.2">
      <c r="B14918" s="203"/>
      <c r="C14918" s="237"/>
      <c r="D14918" s="202"/>
      <c r="E14918" s="202"/>
      <c r="U14918" s="204"/>
    </row>
    <row r="14919" spans="2:21" x14ac:dyDescent="0.2">
      <c r="B14919" s="203"/>
      <c r="C14919" s="237"/>
      <c r="D14919" s="202"/>
      <c r="E14919" s="202"/>
      <c r="U14919" s="204"/>
    </row>
    <row r="14920" spans="2:21" x14ac:dyDescent="0.2">
      <c r="B14920" s="203"/>
      <c r="C14920" s="237"/>
      <c r="D14920" s="202"/>
      <c r="E14920" s="202"/>
      <c r="U14920" s="204"/>
    </row>
    <row r="14921" spans="2:21" x14ac:dyDescent="0.2">
      <c r="B14921" s="203"/>
      <c r="C14921" s="237"/>
      <c r="D14921" s="202"/>
      <c r="E14921" s="202"/>
      <c r="U14921" s="204"/>
    </row>
    <row r="14922" spans="2:21" x14ac:dyDescent="0.2">
      <c r="B14922" s="203"/>
      <c r="C14922" s="237"/>
      <c r="D14922" s="202"/>
      <c r="E14922" s="202"/>
      <c r="U14922" s="204"/>
    </row>
    <row r="14923" spans="2:21" x14ac:dyDescent="0.2">
      <c r="B14923" s="203"/>
      <c r="C14923" s="237"/>
      <c r="D14923" s="202"/>
      <c r="E14923" s="202"/>
      <c r="U14923" s="204"/>
    </row>
    <row r="14924" spans="2:21" x14ac:dyDescent="0.2">
      <c r="B14924" s="203"/>
      <c r="C14924" s="237"/>
      <c r="D14924" s="202"/>
      <c r="E14924" s="202"/>
      <c r="U14924" s="204"/>
    </row>
    <row r="14925" spans="2:21" x14ac:dyDescent="0.2">
      <c r="B14925" s="203"/>
      <c r="C14925" s="237"/>
      <c r="D14925" s="202"/>
      <c r="E14925" s="202"/>
      <c r="U14925" s="204"/>
    </row>
    <row r="14926" spans="2:21" x14ac:dyDescent="0.2">
      <c r="B14926" s="203"/>
      <c r="C14926" s="237"/>
      <c r="D14926" s="202"/>
      <c r="E14926" s="202"/>
      <c r="U14926" s="204"/>
    </row>
    <row r="14927" spans="2:21" x14ac:dyDescent="0.2">
      <c r="B14927" s="203"/>
      <c r="C14927" s="237"/>
      <c r="D14927" s="202"/>
      <c r="E14927" s="202"/>
      <c r="U14927" s="204"/>
    </row>
    <row r="14928" spans="2:21" x14ac:dyDescent="0.2">
      <c r="B14928" s="203"/>
      <c r="C14928" s="237"/>
      <c r="D14928" s="202"/>
      <c r="E14928" s="202"/>
      <c r="U14928" s="204"/>
    </row>
    <row r="14929" spans="2:21" x14ac:dyDescent="0.2">
      <c r="B14929" s="203"/>
      <c r="C14929" s="237"/>
      <c r="D14929" s="202"/>
      <c r="E14929" s="202"/>
      <c r="U14929" s="204"/>
    </row>
    <row r="14930" spans="2:21" x14ac:dyDescent="0.2">
      <c r="B14930" s="203"/>
      <c r="C14930" s="237"/>
      <c r="D14930" s="202"/>
      <c r="E14930" s="202"/>
      <c r="U14930" s="204"/>
    </row>
    <row r="14931" spans="2:21" x14ac:dyDescent="0.2">
      <c r="B14931" s="203"/>
      <c r="C14931" s="237"/>
      <c r="D14931" s="202"/>
      <c r="E14931" s="202"/>
      <c r="U14931" s="204"/>
    </row>
    <row r="14932" spans="2:21" x14ac:dyDescent="0.2">
      <c r="B14932" s="203"/>
      <c r="C14932" s="237"/>
      <c r="D14932" s="202"/>
      <c r="E14932" s="202"/>
      <c r="U14932" s="204"/>
    </row>
    <row r="14933" spans="2:21" x14ac:dyDescent="0.2">
      <c r="B14933" s="203"/>
      <c r="C14933" s="237"/>
      <c r="D14933" s="202"/>
      <c r="E14933" s="202"/>
      <c r="U14933" s="204"/>
    </row>
    <row r="14934" spans="2:21" x14ac:dyDescent="0.2">
      <c r="B14934" s="203"/>
      <c r="C14934" s="237"/>
      <c r="D14934" s="202"/>
      <c r="E14934" s="202"/>
      <c r="U14934" s="204"/>
    </row>
    <row r="14935" spans="2:21" x14ac:dyDescent="0.2">
      <c r="B14935" s="203"/>
      <c r="C14935" s="237"/>
      <c r="D14935" s="202"/>
      <c r="E14935" s="202"/>
      <c r="U14935" s="204"/>
    </row>
    <row r="14936" spans="2:21" x14ac:dyDescent="0.2">
      <c r="B14936" s="203"/>
      <c r="C14936" s="237"/>
      <c r="D14936" s="202"/>
      <c r="E14936" s="202"/>
      <c r="U14936" s="204"/>
    </row>
    <row r="14937" spans="2:21" x14ac:dyDescent="0.2">
      <c r="B14937" s="203"/>
      <c r="C14937" s="237"/>
      <c r="D14937" s="202"/>
      <c r="E14937" s="202"/>
      <c r="U14937" s="204"/>
    </row>
    <row r="14938" spans="2:21" x14ac:dyDescent="0.2">
      <c r="B14938" s="203"/>
      <c r="C14938" s="237"/>
      <c r="D14938" s="202"/>
      <c r="E14938" s="202"/>
      <c r="U14938" s="204"/>
    </row>
    <row r="14939" spans="2:21" x14ac:dyDescent="0.2">
      <c r="B14939" s="203"/>
      <c r="C14939" s="237"/>
      <c r="D14939" s="202"/>
      <c r="E14939" s="202"/>
      <c r="U14939" s="204"/>
    </row>
    <row r="14940" spans="2:21" x14ac:dyDescent="0.2">
      <c r="B14940" s="203"/>
      <c r="C14940" s="237"/>
      <c r="D14940" s="202"/>
      <c r="E14940" s="202"/>
      <c r="U14940" s="204"/>
    </row>
    <row r="14941" spans="2:21" x14ac:dyDescent="0.2">
      <c r="B14941" s="203"/>
      <c r="C14941" s="237"/>
      <c r="D14941" s="202"/>
      <c r="E14941" s="202"/>
      <c r="U14941" s="204"/>
    </row>
    <row r="14942" spans="2:21" x14ac:dyDescent="0.2">
      <c r="B14942" s="203"/>
      <c r="C14942" s="237"/>
      <c r="D14942" s="202"/>
      <c r="E14942" s="202"/>
      <c r="U14942" s="204"/>
    </row>
    <row r="14943" spans="2:21" x14ac:dyDescent="0.2">
      <c r="B14943" s="203"/>
      <c r="C14943" s="237"/>
      <c r="D14943" s="202"/>
      <c r="E14943" s="202"/>
      <c r="U14943" s="204"/>
    </row>
    <row r="14944" spans="2:21" x14ac:dyDescent="0.2">
      <c r="B14944" s="203"/>
      <c r="C14944" s="237"/>
      <c r="D14944" s="202"/>
      <c r="E14944" s="202"/>
      <c r="U14944" s="204"/>
    </row>
    <row r="14945" spans="2:21" x14ac:dyDescent="0.2">
      <c r="B14945" s="203"/>
      <c r="C14945" s="237"/>
      <c r="D14945" s="202"/>
      <c r="E14945" s="202"/>
      <c r="U14945" s="204"/>
    </row>
    <row r="14946" spans="2:21" x14ac:dyDescent="0.2">
      <c r="B14946" s="203"/>
      <c r="C14946" s="237"/>
      <c r="D14946" s="202"/>
      <c r="E14946" s="202"/>
      <c r="U14946" s="204"/>
    </row>
    <row r="14947" spans="2:21" x14ac:dyDescent="0.2">
      <c r="B14947" s="203"/>
      <c r="C14947" s="237"/>
      <c r="D14947" s="202"/>
      <c r="E14947" s="202"/>
      <c r="U14947" s="204"/>
    </row>
    <row r="14948" spans="2:21" x14ac:dyDescent="0.2">
      <c r="B14948" s="203"/>
      <c r="C14948" s="237"/>
      <c r="D14948" s="202"/>
      <c r="E14948" s="202"/>
      <c r="U14948" s="204"/>
    </row>
    <row r="14949" spans="2:21" x14ac:dyDescent="0.2">
      <c r="B14949" s="203"/>
      <c r="C14949" s="237"/>
      <c r="D14949" s="202"/>
      <c r="E14949" s="202"/>
      <c r="U14949" s="204"/>
    </row>
    <row r="14950" spans="2:21" x14ac:dyDescent="0.2">
      <c r="B14950" s="203"/>
      <c r="C14950" s="237"/>
      <c r="D14950" s="202"/>
      <c r="E14950" s="202"/>
      <c r="U14950" s="204"/>
    </row>
    <row r="14951" spans="2:21" x14ac:dyDescent="0.2">
      <c r="B14951" s="203"/>
      <c r="C14951" s="237"/>
      <c r="D14951" s="202"/>
      <c r="E14951" s="202"/>
      <c r="U14951" s="204"/>
    </row>
    <row r="14952" spans="2:21" x14ac:dyDescent="0.2">
      <c r="B14952" s="203"/>
      <c r="C14952" s="237"/>
      <c r="D14952" s="202"/>
      <c r="E14952" s="202"/>
      <c r="U14952" s="204"/>
    </row>
    <row r="14953" spans="2:21" x14ac:dyDescent="0.2">
      <c r="B14953" s="203"/>
      <c r="C14953" s="237"/>
      <c r="D14953" s="202"/>
      <c r="E14953" s="202"/>
      <c r="U14953" s="204"/>
    </row>
    <row r="14954" spans="2:21" x14ac:dyDescent="0.2">
      <c r="B14954" s="203"/>
      <c r="C14954" s="237"/>
      <c r="D14954" s="202"/>
      <c r="E14954" s="202"/>
      <c r="U14954" s="204"/>
    </row>
    <row r="14955" spans="2:21" x14ac:dyDescent="0.2">
      <c r="B14955" s="203"/>
      <c r="C14955" s="237"/>
      <c r="D14955" s="202"/>
      <c r="E14955" s="202"/>
      <c r="U14955" s="204"/>
    </row>
    <row r="14956" spans="2:21" x14ac:dyDescent="0.2">
      <c r="B14956" s="203"/>
      <c r="C14956" s="237"/>
      <c r="D14956" s="202"/>
      <c r="E14956" s="202"/>
      <c r="U14956" s="204"/>
    </row>
    <row r="14957" spans="2:21" x14ac:dyDescent="0.2">
      <c r="B14957" s="203"/>
      <c r="C14957" s="237"/>
      <c r="D14957" s="202"/>
      <c r="E14957" s="202"/>
      <c r="U14957" s="204"/>
    </row>
    <row r="14958" spans="2:21" x14ac:dyDescent="0.2">
      <c r="B14958" s="203"/>
      <c r="C14958" s="237"/>
      <c r="D14958" s="202"/>
      <c r="E14958" s="202"/>
      <c r="U14958" s="204"/>
    </row>
    <row r="14959" spans="2:21" x14ac:dyDescent="0.2">
      <c r="B14959" s="203"/>
      <c r="C14959" s="237"/>
      <c r="D14959" s="202"/>
      <c r="E14959" s="202"/>
      <c r="U14959" s="204"/>
    </row>
    <row r="14960" spans="2:21" x14ac:dyDescent="0.2">
      <c r="B14960" s="203"/>
      <c r="C14960" s="237"/>
      <c r="D14960" s="202"/>
      <c r="E14960" s="202"/>
      <c r="U14960" s="204"/>
    </row>
    <row r="14961" spans="2:21" x14ac:dyDescent="0.2">
      <c r="B14961" s="203"/>
      <c r="C14961" s="237"/>
      <c r="D14961" s="202"/>
      <c r="E14961" s="202"/>
      <c r="U14961" s="204"/>
    </row>
    <row r="14962" spans="2:21" x14ac:dyDescent="0.2">
      <c r="B14962" s="203"/>
      <c r="C14962" s="237"/>
      <c r="D14962" s="202"/>
      <c r="E14962" s="202"/>
      <c r="U14962" s="204"/>
    </row>
    <row r="14963" spans="2:21" x14ac:dyDescent="0.2">
      <c r="B14963" s="203"/>
      <c r="C14963" s="237"/>
      <c r="D14963" s="202"/>
      <c r="E14963" s="202"/>
      <c r="U14963" s="204"/>
    </row>
    <row r="14964" spans="2:21" x14ac:dyDescent="0.2">
      <c r="B14964" s="203"/>
      <c r="C14964" s="237"/>
      <c r="D14964" s="202"/>
      <c r="E14964" s="202"/>
      <c r="U14964" s="204"/>
    </row>
    <row r="14965" spans="2:21" x14ac:dyDescent="0.2">
      <c r="B14965" s="203"/>
      <c r="C14965" s="237"/>
      <c r="D14965" s="202"/>
      <c r="E14965" s="202"/>
      <c r="U14965" s="204"/>
    </row>
    <row r="14966" spans="2:21" x14ac:dyDescent="0.2">
      <c r="B14966" s="203"/>
      <c r="C14966" s="237"/>
      <c r="D14966" s="202"/>
      <c r="E14966" s="202"/>
      <c r="U14966" s="204"/>
    </row>
    <row r="14967" spans="2:21" x14ac:dyDescent="0.2">
      <c r="B14967" s="203"/>
      <c r="C14967" s="237"/>
      <c r="D14967" s="202"/>
      <c r="E14967" s="202"/>
      <c r="U14967" s="204"/>
    </row>
    <row r="14968" spans="2:21" x14ac:dyDescent="0.2">
      <c r="B14968" s="203"/>
      <c r="C14968" s="237"/>
      <c r="D14968" s="202"/>
      <c r="E14968" s="202"/>
      <c r="U14968" s="204"/>
    </row>
    <row r="14969" spans="2:21" x14ac:dyDescent="0.2">
      <c r="B14969" s="203"/>
      <c r="C14969" s="237"/>
      <c r="D14969" s="202"/>
      <c r="E14969" s="202"/>
      <c r="U14969" s="204"/>
    </row>
    <row r="14970" spans="2:21" x14ac:dyDescent="0.2">
      <c r="B14970" s="203"/>
      <c r="C14970" s="237"/>
      <c r="D14970" s="202"/>
      <c r="E14970" s="202"/>
      <c r="U14970" s="204"/>
    </row>
    <row r="14971" spans="2:21" x14ac:dyDescent="0.2">
      <c r="B14971" s="203"/>
      <c r="C14971" s="237"/>
      <c r="D14971" s="202"/>
      <c r="E14971" s="202"/>
      <c r="U14971" s="204"/>
    </row>
    <row r="14972" spans="2:21" x14ac:dyDescent="0.2">
      <c r="B14972" s="203"/>
      <c r="C14972" s="237"/>
      <c r="D14972" s="202"/>
      <c r="E14972" s="202"/>
      <c r="U14972" s="204"/>
    </row>
    <row r="14973" spans="2:21" x14ac:dyDescent="0.2">
      <c r="B14973" s="203"/>
      <c r="C14973" s="237"/>
      <c r="D14973" s="202"/>
      <c r="E14973" s="202"/>
      <c r="U14973" s="204"/>
    </row>
    <row r="14974" spans="2:21" x14ac:dyDescent="0.2">
      <c r="B14974" s="203"/>
      <c r="C14974" s="237"/>
      <c r="D14974" s="202"/>
      <c r="E14974" s="202"/>
      <c r="U14974" s="204"/>
    </row>
    <row r="14975" spans="2:21" x14ac:dyDescent="0.2">
      <c r="B14975" s="203"/>
      <c r="C14975" s="237"/>
      <c r="D14975" s="202"/>
      <c r="E14975" s="202"/>
      <c r="U14975" s="204"/>
    </row>
    <row r="14976" spans="2:21" x14ac:dyDescent="0.2">
      <c r="B14976" s="203"/>
      <c r="C14976" s="237"/>
      <c r="D14976" s="202"/>
      <c r="E14976" s="202"/>
      <c r="U14976" s="204"/>
    </row>
    <row r="14977" spans="2:21" x14ac:dyDescent="0.2">
      <c r="B14977" s="203"/>
      <c r="C14977" s="237"/>
      <c r="D14977" s="202"/>
      <c r="E14977" s="202"/>
      <c r="U14977" s="204"/>
    </row>
    <row r="14978" spans="2:21" x14ac:dyDescent="0.2">
      <c r="B14978" s="203"/>
      <c r="C14978" s="237"/>
      <c r="D14978" s="202"/>
      <c r="E14978" s="202"/>
      <c r="U14978" s="204"/>
    </row>
    <row r="14979" spans="2:21" x14ac:dyDescent="0.2">
      <c r="B14979" s="203"/>
      <c r="C14979" s="237"/>
      <c r="D14979" s="202"/>
      <c r="E14979" s="202"/>
      <c r="U14979" s="204"/>
    </row>
    <row r="14980" spans="2:21" x14ac:dyDescent="0.2">
      <c r="B14980" s="203"/>
      <c r="C14980" s="237"/>
      <c r="D14980" s="202"/>
      <c r="E14980" s="202"/>
      <c r="U14980" s="204"/>
    </row>
    <row r="14981" spans="2:21" x14ac:dyDescent="0.2">
      <c r="B14981" s="203"/>
      <c r="C14981" s="237"/>
      <c r="D14981" s="202"/>
      <c r="E14981" s="202"/>
      <c r="U14981" s="204"/>
    </row>
    <row r="14982" spans="2:21" x14ac:dyDescent="0.2">
      <c r="B14982" s="203"/>
      <c r="C14982" s="237"/>
      <c r="D14982" s="202"/>
      <c r="E14982" s="202"/>
      <c r="U14982" s="204"/>
    </row>
    <row r="14983" spans="2:21" x14ac:dyDescent="0.2">
      <c r="B14983" s="203"/>
      <c r="C14983" s="237"/>
      <c r="D14983" s="202"/>
      <c r="E14983" s="202"/>
      <c r="U14983" s="204"/>
    </row>
    <row r="14984" spans="2:21" x14ac:dyDescent="0.2">
      <c r="B14984" s="203"/>
      <c r="C14984" s="237"/>
      <c r="D14984" s="202"/>
      <c r="E14984" s="202"/>
      <c r="U14984" s="204"/>
    </row>
    <row r="14985" spans="2:21" x14ac:dyDescent="0.2">
      <c r="B14985" s="203"/>
      <c r="C14985" s="237"/>
      <c r="D14985" s="202"/>
      <c r="E14985" s="202"/>
      <c r="U14985" s="204"/>
    </row>
    <row r="14986" spans="2:21" x14ac:dyDescent="0.2">
      <c r="B14986" s="203"/>
      <c r="C14986" s="237"/>
      <c r="D14986" s="202"/>
      <c r="E14986" s="202"/>
      <c r="U14986" s="204"/>
    </row>
    <row r="14987" spans="2:21" x14ac:dyDescent="0.2">
      <c r="B14987" s="203"/>
      <c r="C14987" s="237"/>
      <c r="D14987" s="202"/>
      <c r="E14987" s="202"/>
      <c r="U14987" s="204"/>
    </row>
    <row r="14988" spans="2:21" x14ac:dyDescent="0.2">
      <c r="B14988" s="203"/>
      <c r="C14988" s="237"/>
      <c r="D14988" s="202"/>
      <c r="E14988" s="202"/>
      <c r="U14988" s="204"/>
    </row>
    <row r="14989" spans="2:21" x14ac:dyDescent="0.2">
      <c r="B14989" s="203"/>
      <c r="C14989" s="237"/>
      <c r="D14989" s="202"/>
      <c r="E14989" s="202"/>
      <c r="U14989" s="204"/>
    </row>
    <row r="14990" spans="2:21" x14ac:dyDescent="0.2">
      <c r="B14990" s="203"/>
      <c r="C14990" s="237"/>
      <c r="D14990" s="202"/>
      <c r="E14990" s="202"/>
      <c r="U14990" s="204"/>
    </row>
    <row r="14991" spans="2:21" x14ac:dyDescent="0.2">
      <c r="B14991" s="203"/>
      <c r="C14991" s="237"/>
      <c r="D14991" s="202"/>
      <c r="E14991" s="202"/>
      <c r="U14991" s="204"/>
    </row>
    <row r="14992" spans="2:21" x14ac:dyDescent="0.2">
      <c r="B14992" s="203"/>
      <c r="C14992" s="237"/>
      <c r="D14992" s="202"/>
      <c r="E14992" s="202"/>
      <c r="U14992" s="204"/>
    </row>
    <row r="14993" spans="2:21" x14ac:dyDescent="0.2">
      <c r="B14993" s="203"/>
      <c r="C14993" s="237"/>
      <c r="D14993" s="202"/>
      <c r="E14993" s="202"/>
      <c r="U14993" s="204"/>
    </row>
    <row r="14994" spans="2:21" x14ac:dyDescent="0.2">
      <c r="B14994" s="203"/>
      <c r="C14994" s="237"/>
      <c r="D14994" s="202"/>
      <c r="E14994" s="202"/>
      <c r="U14994" s="204"/>
    </row>
    <row r="14995" spans="2:21" x14ac:dyDescent="0.2">
      <c r="B14995" s="203"/>
      <c r="C14995" s="237"/>
      <c r="D14995" s="202"/>
      <c r="E14995" s="202"/>
      <c r="U14995" s="204"/>
    </row>
    <row r="14996" spans="2:21" x14ac:dyDescent="0.2">
      <c r="B14996" s="203"/>
      <c r="C14996" s="237"/>
      <c r="D14996" s="202"/>
      <c r="E14996" s="202"/>
      <c r="U14996" s="204"/>
    </row>
    <row r="14997" spans="2:21" x14ac:dyDescent="0.2">
      <c r="B14997" s="203"/>
      <c r="C14997" s="237"/>
      <c r="D14997" s="202"/>
      <c r="E14997" s="202"/>
      <c r="U14997" s="204"/>
    </row>
    <row r="14998" spans="2:21" x14ac:dyDescent="0.2">
      <c r="B14998" s="203"/>
      <c r="C14998" s="237"/>
      <c r="D14998" s="202"/>
      <c r="E14998" s="202"/>
      <c r="U14998" s="204"/>
    </row>
    <row r="14999" spans="2:21" x14ac:dyDescent="0.2">
      <c r="B14999" s="203"/>
      <c r="C14999" s="237"/>
      <c r="D14999" s="202"/>
      <c r="E14999" s="202"/>
      <c r="U14999" s="204"/>
    </row>
    <row r="15000" spans="2:21" x14ac:dyDescent="0.2">
      <c r="B15000" s="203"/>
      <c r="C15000" s="237"/>
      <c r="D15000" s="202"/>
      <c r="E15000" s="202"/>
      <c r="U15000" s="204"/>
    </row>
    <row r="15001" spans="2:21" x14ac:dyDescent="0.2">
      <c r="B15001" s="203"/>
      <c r="C15001" s="237"/>
      <c r="D15001" s="202"/>
      <c r="E15001" s="202"/>
      <c r="U15001" s="204"/>
    </row>
    <row r="15002" spans="2:21" x14ac:dyDescent="0.2">
      <c r="B15002" s="203"/>
      <c r="C15002" s="237"/>
      <c r="D15002" s="202"/>
      <c r="E15002" s="202"/>
      <c r="U15002" s="204"/>
    </row>
    <row r="15003" spans="2:21" x14ac:dyDescent="0.2">
      <c r="B15003" s="203"/>
      <c r="C15003" s="237"/>
      <c r="D15003" s="202"/>
      <c r="E15003" s="202"/>
      <c r="U15003" s="204"/>
    </row>
    <row r="15004" spans="2:21" x14ac:dyDescent="0.2">
      <c r="B15004" s="203"/>
      <c r="C15004" s="237"/>
      <c r="D15004" s="202"/>
      <c r="E15004" s="202"/>
      <c r="U15004" s="204"/>
    </row>
    <row r="15005" spans="2:21" x14ac:dyDescent="0.2">
      <c r="B15005" s="203"/>
      <c r="C15005" s="237"/>
      <c r="D15005" s="202"/>
      <c r="E15005" s="202"/>
      <c r="U15005" s="204"/>
    </row>
    <row r="15006" spans="2:21" x14ac:dyDescent="0.2">
      <c r="B15006" s="203"/>
      <c r="C15006" s="237"/>
      <c r="D15006" s="202"/>
      <c r="E15006" s="202"/>
      <c r="U15006" s="204"/>
    </row>
    <row r="15007" spans="2:21" x14ac:dyDescent="0.2">
      <c r="B15007" s="203"/>
      <c r="C15007" s="237"/>
      <c r="D15007" s="202"/>
      <c r="E15007" s="202"/>
      <c r="U15007" s="204"/>
    </row>
    <row r="15008" spans="2:21" x14ac:dyDescent="0.2">
      <c r="B15008" s="203"/>
      <c r="C15008" s="237"/>
      <c r="D15008" s="202"/>
      <c r="E15008" s="202"/>
      <c r="U15008" s="204"/>
    </row>
    <row r="15009" spans="2:21" x14ac:dyDescent="0.2">
      <c r="B15009" s="203"/>
      <c r="C15009" s="237"/>
      <c r="D15009" s="202"/>
      <c r="E15009" s="202"/>
      <c r="U15009" s="204"/>
    </row>
    <row r="15010" spans="2:21" x14ac:dyDescent="0.2">
      <c r="B15010" s="203"/>
      <c r="C15010" s="237"/>
      <c r="D15010" s="202"/>
      <c r="E15010" s="202"/>
      <c r="U15010" s="204"/>
    </row>
    <row r="15011" spans="2:21" x14ac:dyDescent="0.2">
      <c r="B15011" s="203"/>
      <c r="C15011" s="237"/>
      <c r="D15011" s="202"/>
      <c r="E15011" s="202"/>
      <c r="U15011" s="204"/>
    </row>
    <row r="15012" spans="2:21" x14ac:dyDescent="0.2">
      <c r="B15012" s="203"/>
      <c r="C15012" s="237"/>
      <c r="D15012" s="202"/>
      <c r="E15012" s="202"/>
      <c r="U15012" s="204"/>
    </row>
    <row r="15013" spans="2:21" x14ac:dyDescent="0.2">
      <c r="B15013" s="203"/>
      <c r="C15013" s="237"/>
      <c r="D15013" s="202"/>
      <c r="E15013" s="202"/>
      <c r="U15013" s="204"/>
    </row>
    <row r="15014" spans="2:21" x14ac:dyDescent="0.2">
      <c r="B15014" s="203"/>
      <c r="C15014" s="237"/>
      <c r="D15014" s="202"/>
      <c r="E15014" s="202"/>
      <c r="U15014" s="204"/>
    </row>
    <row r="15015" spans="2:21" x14ac:dyDescent="0.2">
      <c r="B15015" s="203"/>
      <c r="C15015" s="237"/>
      <c r="D15015" s="202"/>
      <c r="E15015" s="202"/>
      <c r="U15015" s="204"/>
    </row>
    <row r="15016" spans="2:21" x14ac:dyDescent="0.2">
      <c r="B15016" s="203"/>
      <c r="C15016" s="237"/>
      <c r="D15016" s="202"/>
      <c r="E15016" s="202"/>
      <c r="U15016" s="204"/>
    </row>
    <row r="15017" spans="2:21" x14ac:dyDescent="0.2">
      <c r="B15017" s="203"/>
      <c r="C15017" s="237"/>
      <c r="D15017" s="202"/>
      <c r="E15017" s="202"/>
      <c r="U15017" s="204"/>
    </row>
    <row r="15018" spans="2:21" x14ac:dyDescent="0.2">
      <c r="B15018" s="203"/>
      <c r="C15018" s="237"/>
      <c r="D15018" s="202"/>
      <c r="E15018" s="202"/>
      <c r="U15018" s="204"/>
    </row>
    <row r="15019" spans="2:21" x14ac:dyDescent="0.2">
      <c r="B15019" s="203"/>
      <c r="C15019" s="237"/>
      <c r="D15019" s="202"/>
      <c r="E15019" s="202"/>
      <c r="U15019" s="204"/>
    </row>
    <row r="15020" spans="2:21" x14ac:dyDescent="0.2">
      <c r="B15020" s="203"/>
      <c r="C15020" s="237"/>
      <c r="D15020" s="202"/>
      <c r="E15020" s="202"/>
      <c r="U15020" s="204"/>
    </row>
    <row r="15021" spans="2:21" x14ac:dyDescent="0.2">
      <c r="B15021" s="203"/>
      <c r="C15021" s="237"/>
      <c r="D15021" s="202"/>
      <c r="E15021" s="202"/>
      <c r="U15021" s="204"/>
    </row>
    <row r="15022" spans="2:21" x14ac:dyDescent="0.2">
      <c r="B15022" s="203"/>
      <c r="C15022" s="237"/>
      <c r="D15022" s="202"/>
      <c r="E15022" s="202"/>
      <c r="U15022" s="204"/>
    </row>
    <row r="15023" spans="2:21" x14ac:dyDescent="0.2">
      <c r="B15023" s="203"/>
      <c r="C15023" s="237"/>
      <c r="D15023" s="202"/>
      <c r="E15023" s="202"/>
      <c r="U15023" s="204"/>
    </row>
    <row r="15024" spans="2:21" x14ac:dyDescent="0.2">
      <c r="B15024" s="203"/>
      <c r="C15024" s="237"/>
      <c r="D15024" s="202"/>
      <c r="E15024" s="202"/>
      <c r="U15024" s="204"/>
    </row>
    <row r="15025" spans="2:21" x14ac:dyDescent="0.2">
      <c r="B15025" s="203"/>
      <c r="C15025" s="237"/>
      <c r="D15025" s="202"/>
      <c r="E15025" s="202"/>
      <c r="U15025" s="204"/>
    </row>
    <row r="15026" spans="2:21" x14ac:dyDescent="0.2">
      <c r="B15026" s="203"/>
      <c r="C15026" s="237"/>
      <c r="D15026" s="202"/>
      <c r="E15026" s="202"/>
      <c r="U15026" s="204"/>
    </row>
    <row r="15027" spans="2:21" x14ac:dyDescent="0.2">
      <c r="B15027" s="203"/>
      <c r="C15027" s="237"/>
      <c r="D15027" s="202"/>
      <c r="E15027" s="202"/>
      <c r="U15027" s="204"/>
    </row>
    <row r="15028" spans="2:21" x14ac:dyDescent="0.2">
      <c r="B15028" s="203"/>
      <c r="C15028" s="237"/>
      <c r="D15028" s="202"/>
      <c r="E15028" s="202"/>
      <c r="U15028" s="204"/>
    </row>
    <row r="15029" spans="2:21" x14ac:dyDescent="0.2">
      <c r="B15029" s="203"/>
      <c r="C15029" s="237"/>
      <c r="D15029" s="202"/>
      <c r="E15029" s="202"/>
      <c r="U15029" s="204"/>
    </row>
    <row r="15030" spans="2:21" x14ac:dyDescent="0.2">
      <c r="B15030" s="203"/>
      <c r="C15030" s="237"/>
      <c r="D15030" s="202"/>
      <c r="E15030" s="202"/>
      <c r="U15030" s="204"/>
    </row>
    <row r="15031" spans="2:21" x14ac:dyDescent="0.2">
      <c r="B15031" s="203"/>
      <c r="C15031" s="237"/>
      <c r="D15031" s="202"/>
      <c r="E15031" s="202"/>
      <c r="U15031" s="204"/>
    </row>
    <row r="15032" spans="2:21" x14ac:dyDescent="0.2">
      <c r="B15032" s="203"/>
      <c r="C15032" s="237"/>
      <c r="D15032" s="202"/>
      <c r="E15032" s="202"/>
      <c r="U15032" s="204"/>
    </row>
    <row r="15033" spans="2:21" x14ac:dyDescent="0.2">
      <c r="B15033" s="203"/>
      <c r="C15033" s="237"/>
      <c r="D15033" s="202"/>
      <c r="E15033" s="202"/>
      <c r="U15033" s="204"/>
    </row>
    <row r="15034" spans="2:21" x14ac:dyDescent="0.2">
      <c r="B15034" s="203"/>
      <c r="C15034" s="237"/>
      <c r="D15034" s="202"/>
      <c r="E15034" s="202"/>
      <c r="U15034" s="204"/>
    </row>
    <row r="15035" spans="2:21" x14ac:dyDescent="0.2">
      <c r="B15035" s="203"/>
      <c r="C15035" s="237"/>
      <c r="D15035" s="202"/>
      <c r="E15035" s="202"/>
      <c r="U15035" s="204"/>
    </row>
    <row r="15036" spans="2:21" x14ac:dyDescent="0.2">
      <c r="B15036" s="203"/>
      <c r="C15036" s="237"/>
      <c r="D15036" s="202"/>
      <c r="E15036" s="202"/>
      <c r="U15036" s="204"/>
    </row>
    <row r="15037" spans="2:21" x14ac:dyDescent="0.2">
      <c r="B15037" s="203"/>
      <c r="C15037" s="237"/>
      <c r="D15037" s="202"/>
      <c r="E15037" s="202"/>
      <c r="U15037" s="204"/>
    </row>
    <row r="15038" spans="2:21" x14ac:dyDescent="0.2">
      <c r="B15038" s="203"/>
      <c r="C15038" s="237"/>
      <c r="D15038" s="202"/>
      <c r="E15038" s="202"/>
      <c r="U15038" s="204"/>
    </row>
    <row r="15039" spans="2:21" x14ac:dyDescent="0.2">
      <c r="B15039" s="203"/>
      <c r="C15039" s="237"/>
      <c r="D15039" s="202"/>
      <c r="E15039" s="202"/>
      <c r="U15039" s="204"/>
    </row>
    <row r="15040" spans="2:21" x14ac:dyDescent="0.2">
      <c r="B15040" s="203"/>
      <c r="C15040" s="237"/>
      <c r="D15040" s="202"/>
      <c r="E15040" s="202"/>
      <c r="U15040" s="204"/>
    </row>
    <row r="15041" spans="2:21" x14ac:dyDescent="0.2">
      <c r="B15041" s="203"/>
      <c r="C15041" s="237"/>
      <c r="D15041" s="202"/>
      <c r="E15041" s="202"/>
      <c r="U15041" s="204"/>
    </row>
    <row r="15042" spans="2:21" x14ac:dyDescent="0.2">
      <c r="B15042" s="203"/>
      <c r="C15042" s="237"/>
      <c r="D15042" s="202"/>
      <c r="E15042" s="202"/>
      <c r="U15042" s="204"/>
    </row>
    <row r="15043" spans="2:21" x14ac:dyDescent="0.2">
      <c r="B15043" s="203"/>
      <c r="C15043" s="237"/>
      <c r="D15043" s="202"/>
      <c r="E15043" s="202"/>
      <c r="U15043" s="204"/>
    </row>
    <row r="15044" spans="2:21" x14ac:dyDescent="0.2">
      <c r="B15044" s="203"/>
      <c r="C15044" s="237"/>
      <c r="D15044" s="202"/>
      <c r="E15044" s="202"/>
      <c r="U15044" s="204"/>
    </row>
    <row r="15045" spans="2:21" x14ac:dyDescent="0.2">
      <c r="B15045" s="203"/>
      <c r="C15045" s="237"/>
      <c r="D15045" s="202"/>
      <c r="E15045" s="202"/>
      <c r="U15045" s="204"/>
    </row>
    <row r="15046" spans="2:21" x14ac:dyDescent="0.2">
      <c r="B15046" s="203"/>
      <c r="C15046" s="237"/>
      <c r="D15046" s="202"/>
      <c r="E15046" s="202"/>
      <c r="U15046" s="204"/>
    </row>
    <row r="15047" spans="2:21" x14ac:dyDescent="0.2">
      <c r="B15047" s="203"/>
      <c r="C15047" s="237"/>
      <c r="D15047" s="202"/>
      <c r="E15047" s="202"/>
      <c r="U15047" s="204"/>
    </row>
    <row r="15048" spans="2:21" x14ac:dyDescent="0.2">
      <c r="B15048" s="203"/>
      <c r="C15048" s="237"/>
      <c r="D15048" s="202"/>
      <c r="E15048" s="202"/>
      <c r="U15048" s="204"/>
    </row>
    <row r="15049" spans="2:21" x14ac:dyDescent="0.2">
      <c r="B15049" s="203"/>
      <c r="C15049" s="237"/>
      <c r="D15049" s="202"/>
      <c r="E15049" s="202"/>
      <c r="U15049" s="204"/>
    </row>
    <row r="15050" spans="2:21" x14ac:dyDescent="0.2">
      <c r="B15050" s="203"/>
      <c r="C15050" s="237"/>
      <c r="D15050" s="202"/>
      <c r="E15050" s="202"/>
      <c r="U15050" s="204"/>
    </row>
    <row r="15051" spans="2:21" x14ac:dyDescent="0.2">
      <c r="B15051" s="203"/>
      <c r="C15051" s="237"/>
      <c r="D15051" s="202"/>
      <c r="E15051" s="202"/>
      <c r="U15051" s="204"/>
    </row>
    <row r="15052" spans="2:21" x14ac:dyDescent="0.2">
      <c r="B15052" s="203"/>
      <c r="C15052" s="237"/>
      <c r="D15052" s="202"/>
      <c r="E15052" s="202"/>
      <c r="U15052" s="204"/>
    </row>
    <row r="15053" spans="2:21" x14ac:dyDescent="0.2">
      <c r="B15053" s="203"/>
      <c r="C15053" s="237"/>
      <c r="D15053" s="202"/>
      <c r="E15053" s="202"/>
      <c r="U15053" s="204"/>
    </row>
    <row r="15054" spans="2:21" x14ac:dyDescent="0.2">
      <c r="B15054" s="203"/>
      <c r="C15054" s="237"/>
      <c r="D15054" s="202"/>
      <c r="E15054" s="202"/>
      <c r="U15054" s="204"/>
    </row>
    <row r="15055" spans="2:21" x14ac:dyDescent="0.2">
      <c r="B15055" s="203"/>
      <c r="C15055" s="237"/>
      <c r="D15055" s="202"/>
      <c r="E15055" s="202"/>
      <c r="U15055" s="204"/>
    </row>
    <row r="15056" spans="2:21" x14ac:dyDescent="0.2">
      <c r="B15056" s="203"/>
      <c r="C15056" s="237"/>
      <c r="D15056" s="202"/>
      <c r="E15056" s="202"/>
      <c r="U15056" s="204"/>
    </row>
    <row r="15057" spans="2:21" x14ac:dyDescent="0.2">
      <c r="B15057" s="203"/>
      <c r="C15057" s="237"/>
      <c r="D15057" s="202"/>
      <c r="E15057" s="202"/>
      <c r="U15057" s="204"/>
    </row>
    <row r="15058" spans="2:21" x14ac:dyDescent="0.2">
      <c r="B15058" s="203"/>
      <c r="C15058" s="237"/>
      <c r="D15058" s="202"/>
      <c r="E15058" s="202"/>
      <c r="U15058" s="204"/>
    </row>
    <row r="15059" spans="2:21" x14ac:dyDescent="0.2">
      <c r="B15059" s="203"/>
      <c r="C15059" s="237"/>
      <c r="D15059" s="202"/>
      <c r="E15059" s="202"/>
      <c r="U15059" s="204"/>
    </row>
    <row r="15060" spans="2:21" x14ac:dyDescent="0.2">
      <c r="B15060" s="203"/>
      <c r="C15060" s="237"/>
      <c r="D15060" s="202"/>
      <c r="E15060" s="202"/>
      <c r="U15060" s="204"/>
    </row>
    <row r="15061" spans="2:21" x14ac:dyDescent="0.2">
      <c r="B15061" s="203"/>
      <c r="C15061" s="237"/>
      <c r="D15061" s="202"/>
      <c r="E15061" s="202"/>
      <c r="U15061" s="204"/>
    </row>
    <row r="15062" spans="2:21" x14ac:dyDescent="0.2">
      <c r="B15062" s="203"/>
      <c r="C15062" s="237"/>
      <c r="D15062" s="202"/>
      <c r="E15062" s="202"/>
      <c r="U15062" s="204"/>
    </row>
    <row r="15063" spans="2:21" x14ac:dyDescent="0.2">
      <c r="B15063" s="203"/>
      <c r="C15063" s="237"/>
      <c r="D15063" s="202"/>
      <c r="E15063" s="202"/>
      <c r="U15063" s="204"/>
    </row>
    <row r="15064" spans="2:21" x14ac:dyDescent="0.2">
      <c r="B15064" s="203"/>
      <c r="C15064" s="237"/>
      <c r="D15064" s="202"/>
      <c r="E15064" s="202"/>
      <c r="U15064" s="204"/>
    </row>
    <row r="15065" spans="2:21" x14ac:dyDescent="0.2">
      <c r="B15065" s="203"/>
      <c r="C15065" s="237"/>
      <c r="D15065" s="202"/>
      <c r="E15065" s="202"/>
      <c r="U15065" s="204"/>
    </row>
    <row r="15066" spans="2:21" x14ac:dyDescent="0.2">
      <c r="B15066" s="203"/>
      <c r="C15066" s="237"/>
      <c r="D15066" s="202"/>
      <c r="E15066" s="202"/>
      <c r="U15066" s="204"/>
    </row>
    <row r="15067" spans="2:21" x14ac:dyDescent="0.2">
      <c r="B15067" s="203"/>
      <c r="C15067" s="237"/>
      <c r="D15067" s="202"/>
      <c r="E15067" s="202"/>
      <c r="U15067" s="204"/>
    </row>
    <row r="15068" spans="2:21" x14ac:dyDescent="0.2">
      <c r="B15068" s="203"/>
      <c r="C15068" s="237"/>
      <c r="D15068" s="202"/>
      <c r="E15068" s="202"/>
      <c r="U15068" s="204"/>
    </row>
    <row r="15069" spans="2:21" x14ac:dyDescent="0.2">
      <c r="B15069" s="203"/>
      <c r="C15069" s="237"/>
      <c r="D15069" s="202"/>
      <c r="E15069" s="202"/>
      <c r="U15069" s="204"/>
    </row>
    <row r="15070" spans="2:21" x14ac:dyDescent="0.2">
      <c r="B15070" s="203"/>
      <c r="C15070" s="237"/>
      <c r="D15070" s="202"/>
      <c r="E15070" s="202"/>
      <c r="U15070" s="204"/>
    </row>
    <row r="15071" spans="2:21" x14ac:dyDescent="0.2">
      <c r="B15071" s="203"/>
      <c r="C15071" s="237"/>
      <c r="D15071" s="202"/>
      <c r="E15071" s="202"/>
      <c r="U15071" s="204"/>
    </row>
    <row r="15072" spans="2:21" x14ac:dyDescent="0.2">
      <c r="B15072" s="203"/>
      <c r="C15072" s="237"/>
      <c r="D15072" s="202"/>
      <c r="E15072" s="202"/>
      <c r="U15072" s="204"/>
    </row>
    <row r="15073" spans="2:21" x14ac:dyDescent="0.2">
      <c r="B15073" s="203"/>
      <c r="C15073" s="237"/>
      <c r="D15073" s="202"/>
      <c r="E15073" s="202"/>
      <c r="U15073" s="204"/>
    </row>
    <row r="15074" spans="2:21" x14ac:dyDescent="0.2">
      <c r="B15074" s="203"/>
      <c r="C15074" s="237"/>
      <c r="D15074" s="202"/>
      <c r="E15074" s="202"/>
      <c r="U15074" s="204"/>
    </row>
    <row r="15075" spans="2:21" x14ac:dyDescent="0.2">
      <c r="B15075" s="203"/>
      <c r="C15075" s="237"/>
      <c r="D15075" s="202"/>
      <c r="E15075" s="202"/>
      <c r="U15075" s="204"/>
    </row>
    <row r="15076" spans="2:21" x14ac:dyDescent="0.2">
      <c r="B15076" s="203"/>
      <c r="C15076" s="237"/>
      <c r="D15076" s="202"/>
      <c r="E15076" s="202"/>
      <c r="U15076" s="204"/>
    </row>
    <row r="15077" spans="2:21" x14ac:dyDescent="0.2">
      <c r="B15077" s="203"/>
      <c r="C15077" s="237"/>
      <c r="D15077" s="202"/>
      <c r="E15077" s="202"/>
      <c r="U15077" s="204"/>
    </row>
    <row r="15078" spans="2:21" x14ac:dyDescent="0.2">
      <c r="B15078" s="203"/>
      <c r="C15078" s="237"/>
      <c r="D15078" s="202"/>
      <c r="E15078" s="202"/>
      <c r="U15078" s="204"/>
    </row>
    <row r="15079" spans="2:21" x14ac:dyDescent="0.2">
      <c r="B15079" s="203"/>
      <c r="C15079" s="237"/>
      <c r="D15079" s="202"/>
      <c r="E15079" s="202"/>
      <c r="U15079" s="204"/>
    </row>
    <row r="15080" spans="2:21" x14ac:dyDescent="0.2">
      <c r="B15080" s="203"/>
      <c r="C15080" s="237"/>
      <c r="D15080" s="202"/>
      <c r="E15080" s="202"/>
      <c r="U15080" s="204"/>
    </row>
    <row r="15081" spans="2:21" x14ac:dyDescent="0.2">
      <c r="B15081" s="203"/>
      <c r="C15081" s="237"/>
      <c r="D15081" s="202"/>
      <c r="E15081" s="202"/>
      <c r="U15081" s="204"/>
    </row>
    <row r="15082" spans="2:21" x14ac:dyDescent="0.2">
      <c r="B15082" s="203"/>
      <c r="C15082" s="237"/>
      <c r="D15082" s="202"/>
      <c r="E15082" s="202"/>
      <c r="U15082" s="204"/>
    </row>
    <row r="15083" spans="2:21" x14ac:dyDescent="0.2">
      <c r="B15083" s="203"/>
      <c r="C15083" s="237"/>
      <c r="D15083" s="202"/>
      <c r="E15083" s="202"/>
      <c r="U15083" s="204"/>
    </row>
    <row r="15084" spans="2:21" x14ac:dyDescent="0.2">
      <c r="B15084" s="203"/>
      <c r="C15084" s="237"/>
      <c r="D15084" s="202"/>
      <c r="E15084" s="202"/>
      <c r="U15084" s="204"/>
    </row>
    <row r="15085" spans="2:21" x14ac:dyDescent="0.2">
      <c r="B15085" s="203"/>
      <c r="C15085" s="237"/>
      <c r="D15085" s="202"/>
      <c r="E15085" s="202"/>
      <c r="U15085" s="204"/>
    </row>
    <row r="15086" spans="2:21" x14ac:dyDescent="0.2">
      <c r="B15086" s="203"/>
      <c r="C15086" s="237"/>
      <c r="D15086" s="202"/>
      <c r="E15086" s="202"/>
      <c r="U15086" s="204"/>
    </row>
    <row r="15087" spans="2:21" x14ac:dyDescent="0.2">
      <c r="B15087" s="203"/>
      <c r="C15087" s="237"/>
      <c r="D15087" s="202"/>
      <c r="E15087" s="202"/>
      <c r="U15087" s="204"/>
    </row>
    <row r="15088" spans="2:21" x14ac:dyDescent="0.2">
      <c r="B15088" s="203"/>
      <c r="C15088" s="237"/>
      <c r="D15088" s="202"/>
      <c r="E15088" s="202"/>
      <c r="U15088" s="204"/>
    </row>
    <row r="15089" spans="2:21" x14ac:dyDescent="0.2">
      <c r="B15089" s="203"/>
      <c r="C15089" s="237"/>
      <c r="D15089" s="202"/>
      <c r="E15089" s="202"/>
      <c r="U15089" s="204"/>
    </row>
    <row r="15090" spans="2:21" x14ac:dyDescent="0.2">
      <c r="B15090" s="203"/>
      <c r="C15090" s="237"/>
      <c r="D15090" s="202"/>
      <c r="E15090" s="202"/>
      <c r="U15090" s="204"/>
    </row>
    <row r="15091" spans="2:21" x14ac:dyDescent="0.2">
      <c r="B15091" s="203"/>
      <c r="C15091" s="237"/>
      <c r="D15091" s="202"/>
      <c r="E15091" s="202"/>
      <c r="U15091" s="204"/>
    </row>
    <row r="15092" spans="2:21" x14ac:dyDescent="0.2">
      <c r="B15092" s="203"/>
      <c r="C15092" s="237"/>
      <c r="D15092" s="202"/>
      <c r="E15092" s="202"/>
      <c r="U15092" s="204"/>
    </row>
    <row r="15093" spans="2:21" x14ac:dyDescent="0.2">
      <c r="B15093" s="203"/>
      <c r="C15093" s="237"/>
      <c r="D15093" s="202"/>
      <c r="E15093" s="202"/>
      <c r="U15093" s="204"/>
    </row>
    <row r="15094" spans="2:21" x14ac:dyDescent="0.2">
      <c r="B15094" s="203"/>
      <c r="C15094" s="237"/>
      <c r="D15094" s="202"/>
      <c r="E15094" s="202"/>
      <c r="U15094" s="204"/>
    </row>
    <row r="15095" spans="2:21" x14ac:dyDescent="0.2">
      <c r="B15095" s="203"/>
      <c r="C15095" s="237"/>
      <c r="D15095" s="202"/>
      <c r="E15095" s="202"/>
      <c r="U15095" s="204"/>
    </row>
    <row r="15096" spans="2:21" x14ac:dyDescent="0.2">
      <c r="B15096" s="203"/>
      <c r="C15096" s="237"/>
      <c r="D15096" s="202"/>
      <c r="E15096" s="202"/>
      <c r="U15096" s="204"/>
    </row>
    <row r="15097" spans="2:21" x14ac:dyDescent="0.2">
      <c r="B15097" s="203"/>
      <c r="C15097" s="237"/>
      <c r="D15097" s="202"/>
      <c r="E15097" s="202"/>
      <c r="U15097" s="204"/>
    </row>
    <row r="15098" spans="2:21" x14ac:dyDescent="0.2">
      <c r="B15098" s="203"/>
      <c r="C15098" s="237"/>
      <c r="D15098" s="202"/>
      <c r="E15098" s="202"/>
      <c r="U15098" s="204"/>
    </row>
    <row r="15099" spans="2:21" x14ac:dyDescent="0.2">
      <c r="B15099" s="203"/>
      <c r="C15099" s="237"/>
      <c r="D15099" s="202"/>
      <c r="E15099" s="202"/>
      <c r="U15099" s="204"/>
    </row>
    <row r="15100" spans="2:21" x14ac:dyDescent="0.2">
      <c r="B15100" s="203"/>
      <c r="C15100" s="237"/>
      <c r="D15100" s="202"/>
      <c r="E15100" s="202"/>
      <c r="U15100" s="204"/>
    </row>
    <row r="15101" spans="2:21" x14ac:dyDescent="0.2">
      <c r="B15101" s="203"/>
      <c r="C15101" s="237"/>
      <c r="D15101" s="202"/>
      <c r="E15101" s="202"/>
      <c r="U15101" s="204"/>
    </row>
    <row r="15102" spans="2:21" x14ac:dyDescent="0.2">
      <c r="B15102" s="203"/>
      <c r="C15102" s="237"/>
      <c r="D15102" s="202"/>
      <c r="E15102" s="202"/>
      <c r="U15102" s="204"/>
    </row>
    <row r="15103" spans="2:21" x14ac:dyDescent="0.2">
      <c r="B15103" s="203"/>
      <c r="C15103" s="237"/>
      <c r="D15103" s="202"/>
      <c r="E15103" s="202"/>
      <c r="U15103" s="204"/>
    </row>
    <row r="15104" spans="2:21" x14ac:dyDescent="0.2">
      <c r="B15104" s="203"/>
      <c r="C15104" s="237"/>
      <c r="D15104" s="202"/>
      <c r="E15104" s="202"/>
      <c r="U15104" s="204"/>
    </row>
    <row r="15105" spans="2:21" x14ac:dyDescent="0.2">
      <c r="B15105" s="203"/>
      <c r="C15105" s="237"/>
      <c r="D15105" s="202"/>
      <c r="E15105" s="202"/>
      <c r="U15105" s="204"/>
    </row>
    <row r="15106" spans="2:21" x14ac:dyDescent="0.2">
      <c r="B15106" s="203"/>
      <c r="C15106" s="237"/>
      <c r="D15106" s="202"/>
      <c r="E15106" s="202"/>
      <c r="U15106" s="204"/>
    </row>
    <row r="15107" spans="2:21" x14ac:dyDescent="0.2">
      <c r="B15107" s="203"/>
      <c r="C15107" s="237"/>
      <c r="D15107" s="202"/>
      <c r="E15107" s="202"/>
      <c r="U15107" s="204"/>
    </row>
    <row r="15108" spans="2:21" x14ac:dyDescent="0.2">
      <c r="B15108" s="203"/>
      <c r="C15108" s="237"/>
      <c r="D15108" s="202"/>
      <c r="E15108" s="202"/>
      <c r="U15108" s="204"/>
    </row>
    <row r="15109" spans="2:21" x14ac:dyDescent="0.2">
      <c r="B15109" s="203"/>
      <c r="C15109" s="237"/>
      <c r="D15109" s="202"/>
      <c r="E15109" s="202"/>
      <c r="U15109" s="204"/>
    </row>
    <row r="15110" spans="2:21" x14ac:dyDescent="0.2">
      <c r="B15110" s="203"/>
      <c r="C15110" s="237"/>
      <c r="D15110" s="202"/>
      <c r="E15110" s="202"/>
      <c r="U15110" s="204"/>
    </row>
    <row r="15111" spans="2:21" x14ac:dyDescent="0.2">
      <c r="B15111" s="203"/>
      <c r="C15111" s="237"/>
      <c r="D15111" s="202"/>
      <c r="E15111" s="202"/>
      <c r="U15111" s="204"/>
    </row>
    <row r="15112" spans="2:21" x14ac:dyDescent="0.2">
      <c r="B15112" s="203"/>
      <c r="C15112" s="237"/>
      <c r="D15112" s="202"/>
      <c r="E15112" s="202"/>
      <c r="U15112" s="204"/>
    </row>
    <row r="15113" spans="2:21" x14ac:dyDescent="0.2">
      <c r="B15113" s="203"/>
      <c r="C15113" s="237"/>
      <c r="D15113" s="202"/>
      <c r="E15113" s="202"/>
      <c r="U15113" s="204"/>
    </row>
    <row r="15114" spans="2:21" x14ac:dyDescent="0.2">
      <c r="B15114" s="203"/>
      <c r="C15114" s="237"/>
      <c r="D15114" s="202"/>
      <c r="E15114" s="202"/>
      <c r="U15114" s="204"/>
    </row>
    <row r="15115" spans="2:21" x14ac:dyDescent="0.2">
      <c r="B15115" s="203"/>
      <c r="C15115" s="237"/>
      <c r="D15115" s="202"/>
      <c r="E15115" s="202"/>
      <c r="U15115" s="204"/>
    </row>
    <row r="15116" spans="2:21" x14ac:dyDescent="0.2">
      <c r="B15116" s="203"/>
      <c r="C15116" s="237"/>
      <c r="D15116" s="202"/>
      <c r="E15116" s="202"/>
      <c r="U15116" s="204"/>
    </row>
    <row r="15117" spans="2:21" x14ac:dyDescent="0.2">
      <c r="B15117" s="203"/>
      <c r="C15117" s="237"/>
      <c r="D15117" s="202"/>
      <c r="E15117" s="202"/>
      <c r="U15117" s="204"/>
    </row>
    <row r="15118" spans="2:21" x14ac:dyDescent="0.2">
      <c r="B15118" s="203"/>
      <c r="C15118" s="237"/>
      <c r="D15118" s="202"/>
      <c r="E15118" s="202"/>
      <c r="U15118" s="204"/>
    </row>
    <row r="15119" spans="2:21" x14ac:dyDescent="0.2">
      <c r="B15119" s="203"/>
      <c r="C15119" s="237"/>
      <c r="D15119" s="202"/>
      <c r="E15119" s="202"/>
      <c r="U15119" s="204"/>
    </row>
    <row r="15120" spans="2:21" x14ac:dyDescent="0.2">
      <c r="B15120" s="203"/>
      <c r="C15120" s="237"/>
      <c r="D15120" s="202"/>
      <c r="E15120" s="202"/>
      <c r="U15120" s="204"/>
    </row>
    <row r="15121" spans="2:21" x14ac:dyDescent="0.2">
      <c r="B15121" s="203"/>
      <c r="C15121" s="237"/>
      <c r="D15121" s="202"/>
      <c r="E15121" s="202"/>
      <c r="U15121" s="204"/>
    </row>
    <row r="15122" spans="2:21" x14ac:dyDescent="0.2">
      <c r="B15122" s="203"/>
      <c r="C15122" s="237"/>
      <c r="D15122" s="202"/>
      <c r="E15122" s="202"/>
      <c r="U15122" s="204"/>
    </row>
    <row r="15123" spans="2:21" x14ac:dyDescent="0.2">
      <c r="B15123" s="203"/>
      <c r="C15123" s="237"/>
      <c r="D15123" s="202"/>
      <c r="E15123" s="202"/>
      <c r="U15123" s="204"/>
    </row>
    <row r="15124" spans="2:21" x14ac:dyDescent="0.2">
      <c r="B15124" s="203"/>
      <c r="C15124" s="237"/>
      <c r="D15124" s="202"/>
      <c r="E15124" s="202"/>
      <c r="U15124" s="204"/>
    </row>
    <row r="15125" spans="2:21" x14ac:dyDescent="0.2">
      <c r="B15125" s="203"/>
      <c r="C15125" s="237"/>
      <c r="D15125" s="202"/>
      <c r="E15125" s="202"/>
      <c r="U15125" s="204"/>
    </row>
    <row r="15126" spans="2:21" x14ac:dyDescent="0.2">
      <c r="B15126" s="203"/>
      <c r="C15126" s="237"/>
      <c r="D15126" s="202"/>
      <c r="E15126" s="202"/>
      <c r="U15126" s="204"/>
    </row>
    <row r="15127" spans="2:21" x14ac:dyDescent="0.2">
      <c r="B15127" s="203"/>
      <c r="C15127" s="237"/>
      <c r="D15127" s="202"/>
      <c r="E15127" s="202"/>
      <c r="U15127" s="204"/>
    </row>
    <row r="15128" spans="2:21" x14ac:dyDescent="0.2">
      <c r="B15128" s="203"/>
      <c r="C15128" s="237"/>
      <c r="D15128" s="202"/>
      <c r="E15128" s="202"/>
      <c r="U15128" s="204"/>
    </row>
    <row r="15129" spans="2:21" x14ac:dyDescent="0.2">
      <c r="B15129" s="203"/>
      <c r="C15129" s="237"/>
      <c r="D15129" s="202"/>
      <c r="E15129" s="202"/>
      <c r="U15129" s="204"/>
    </row>
    <row r="15130" spans="2:21" x14ac:dyDescent="0.2">
      <c r="B15130" s="203"/>
      <c r="C15130" s="237"/>
      <c r="D15130" s="202"/>
      <c r="E15130" s="202"/>
      <c r="U15130" s="204"/>
    </row>
    <row r="15131" spans="2:21" x14ac:dyDescent="0.2">
      <c r="B15131" s="203"/>
      <c r="C15131" s="237"/>
      <c r="D15131" s="202"/>
      <c r="E15131" s="202"/>
      <c r="U15131" s="204"/>
    </row>
    <row r="15132" spans="2:21" x14ac:dyDescent="0.2">
      <c r="B15132" s="203"/>
      <c r="C15132" s="237"/>
      <c r="D15132" s="202"/>
      <c r="E15132" s="202"/>
      <c r="U15132" s="204"/>
    </row>
    <row r="15133" spans="2:21" x14ac:dyDescent="0.2">
      <c r="B15133" s="203"/>
      <c r="C15133" s="237"/>
      <c r="D15133" s="202"/>
      <c r="E15133" s="202"/>
      <c r="U15133" s="204"/>
    </row>
    <row r="15134" spans="2:21" x14ac:dyDescent="0.2">
      <c r="B15134" s="203"/>
      <c r="C15134" s="237"/>
      <c r="D15134" s="202"/>
      <c r="E15134" s="202"/>
      <c r="U15134" s="204"/>
    </row>
    <row r="15135" spans="2:21" x14ac:dyDescent="0.2">
      <c r="B15135" s="203"/>
      <c r="C15135" s="237"/>
      <c r="D15135" s="202"/>
      <c r="E15135" s="202"/>
      <c r="U15135" s="204"/>
    </row>
    <row r="15136" spans="2:21" x14ac:dyDescent="0.2">
      <c r="B15136" s="203"/>
      <c r="C15136" s="237"/>
      <c r="D15136" s="202"/>
      <c r="E15136" s="202"/>
      <c r="U15136" s="204"/>
    </row>
    <row r="15137" spans="2:21" x14ac:dyDescent="0.2">
      <c r="B15137" s="203"/>
      <c r="C15137" s="237"/>
      <c r="D15137" s="202"/>
      <c r="E15137" s="202"/>
      <c r="U15137" s="204"/>
    </row>
    <row r="15138" spans="2:21" x14ac:dyDescent="0.2">
      <c r="B15138" s="203"/>
      <c r="C15138" s="237"/>
      <c r="D15138" s="202"/>
      <c r="E15138" s="202"/>
      <c r="U15138" s="204"/>
    </row>
    <row r="15139" spans="2:21" x14ac:dyDescent="0.2">
      <c r="B15139" s="203"/>
      <c r="C15139" s="237"/>
      <c r="D15139" s="202"/>
      <c r="E15139" s="202"/>
      <c r="U15139" s="204"/>
    </row>
    <row r="15140" spans="2:21" x14ac:dyDescent="0.2">
      <c r="B15140" s="203"/>
      <c r="C15140" s="237"/>
      <c r="D15140" s="202"/>
      <c r="E15140" s="202"/>
      <c r="U15140" s="204"/>
    </row>
    <row r="15141" spans="2:21" x14ac:dyDescent="0.2">
      <c r="B15141" s="203"/>
      <c r="C15141" s="237"/>
      <c r="D15141" s="202"/>
      <c r="E15141" s="202"/>
      <c r="U15141" s="204"/>
    </row>
    <row r="15142" spans="2:21" x14ac:dyDescent="0.2">
      <c r="B15142" s="203"/>
      <c r="C15142" s="237"/>
      <c r="D15142" s="202"/>
      <c r="E15142" s="202"/>
      <c r="U15142" s="204"/>
    </row>
    <row r="15143" spans="2:21" x14ac:dyDescent="0.2">
      <c r="B15143" s="203"/>
      <c r="C15143" s="237"/>
      <c r="D15143" s="202"/>
      <c r="E15143" s="202"/>
      <c r="U15143" s="204"/>
    </row>
    <row r="15144" spans="2:21" x14ac:dyDescent="0.2">
      <c r="B15144" s="203"/>
      <c r="C15144" s="237"/>
      <c r="D15144" s="202"/>
      <c r="E15144" s="202"/>
      <c r="U15144" s="204"/>
    </row>
    <row r="15145" spans="2:21" x14ac:dyDescent="0.2">
      <c r="B15145" s="203"/>
      <c r="C15145" s="237"/>
      <c r="D15145" s="202"/>
      <c r="E15145" s="202"/>
      <c r="U15145" s="204"/>
    </row>
    <row r="15146" spans="2:21" x14ac:dyDescent="0.2">
      <c r="B15146" s="203"/>
      <c r="C15146" s="237"/>
      <c r="D15146" s="202"/>
      <c r="E15146" s="202"/>
      <c r="U15146" s="204"/>
    </row>
    <row r="15147" spans="2:21" x14ac:dyDescent="0.2">
      <c r="B15147" s="203"/>
      <c r="C15147" s="237"/>
      <c r="D15147" s="202"/>
      <c r="E15147" s="202"/>
      <c r="U15147" s="204"/>
    </row>
    <row r="15148" spans="2:21" x14ac:dyDescent="0.2">
      <c r="B15148" s="203"/>
      <c r="C15148" s="237"/>
      <c r="D15148" s="202"/>
      <c r="E15148" s="202"/>
      <c r="U15148" s="204"/>
    </row>
    <row r="15149" spans="2:21" x14ac:dyDescent="0.2">
      <c r="B15149" s="203"/>
      <c r="C15149" s="237"/>
      <c r="D15149" s="202"/>
      <c r="E15149" s="202"/>
      <c r="U15149" s="204"/>
    </row>
    <row r="15150" spans="2:21" x14ac:dyDescent="0.2">
      <c r="B15150" s="203"/>
      <c r="C15150" s="237"/>
      <c r="D15150" s="202"/>
      <c r="E15150" s="202"/>
      <c r="U15150" s="204"/>
    </row>
    <row r="15151" spans="2:21" x14ac:dyDescent="0.2">
      <c r="B15151" s="203"/>
      <c r="C15151" s="237"/>
      <c r="D15151" s="202"/>
      <c r="E15151" s="202"/>
      <c r="U15151" s="204"/>
    </row>
    <row r="15152" spans="2:21" x14ac:dyDescent="0.2">
      <c r="B15152" s="203"/>
      <c r="C15152" s="237"/>
      <c r="D15152" s="202"/>
      <c r="E15152" s="202"/>
      <c r="U15152" s="204"/>
    </row>
    <row r="15153" spans="2:21" x14ac:dyDescent="0.2">
      <c r="B15153" s="203"/>
      <c r="C15153" s="237"/>
      <c r="D15153" s="202"/>
      <c r="E15153" s="202"/>
      <c r="U15153" s="204"/>
    </row>
    <row r="15154" spans="2:21" x14ac:dyDescent="0.2">
      <c r="B15154" s="203"/>
      <c r="C15154" s="237"/>
      <c r="D15154" s="202"/>
      <c r="E15154" s="202"/>
      <c r="U15154" s="204"/>
    </row>
    <row r="15155" spans="2:21" x14ac:dyDescent="0.2">
      <c r="B15155" s="203"/>
      <c r="C15155" s="237"/>
      <c r="D15155" s="202"/>
      <c r="E15155" s="202"/>
      <c r="U15155" s="204"/>
    </row>
    <row r="15156" spans="2:21" x14ac:dyDescent="0.2">
      <c r="B15156" s="203"/>
      <c r="C15156" s="237"/>
      <c r="D15156" s="202"/>
      <c r="E15156" s="202"/>
      <c r="U15156" s="204"/>
    </row>
    <row r="15157" spans="2:21" x14ac:dyDescent="0.2">
      <c r="B15157" s="203"/>
      <c r="C15157" s="237"/>
      <c r="D15157" s="202"/>
      <c r="E15157" s="202"/>
      <c r="U15157" s="204"/>
    </row>
    <row r="15158" spans="2:21" x14ac:dyDescent="0.2">
      <c r="B15158" s="203"/>
      <c r="C15158" s="237"/>
      <c r="D15158" s="202"/>
      <c r="E15158" s="202"/>
      <c r="U15158" s="204"/>
    </row>
    <row r="15159" spans="2:21" x14ac:dyDescent="0.2">
      <c r="B15159" s="203"/>
      <c r="C15159" s="237"/>
      <c r="D15159" s="202"/>
      <c r="E15159" s="202"/>
      <c r="U15159" s="204"/>
    </row>
    <row r="15160" spans="2:21" x14ac:dyDescent="0.2">
      <c r="B15160" s="203"/>
      <c r="C15160" s="237"/>
      <c r="D15160" s="202"/>
      <c r="E15160" s="202"/>
      <c r="U15160" s="204"/>
    </row>
    <row r="15161" spans="2:21" x14ac:dyDescent="0.2">
      <c r="B15161" s="203"/>
      <c r="C15161" s="237"/>
      <c r="D15161" s="202"/>
      <c r="E15161" s="202"/>
      <c r="U15161" s="204"/>
    </row>
    <row r="15162" spans="2:21" x14ac:dyDescent="0.2">
      <c r="B15162" s="203"/>
      <c r="C15162" s="237"/>
      <c r="D15162" s="202"/>
      <c r="E15162" s="202"/>
      <c r="U15162" s="204"/>
    </row>
    <row r="15163" spans="2:21" x14ac:dyDescent="0.2">
      <c r="B15163" s="203"/>
      <c r="C15163" s="237"/>
      <c r="D15163" s="202"/>
      <c r="E15163" s="202"/>
      <c r="U15163" s="204"/>
    </row>
    <row r="15164" spans="2:21" x14ac:dyDescent="0.2">
      <c r="B15164" s="203"/>
      <c r="C15164" s="237"/>
      <c r="D15164" s="202"/>
      <c r="E15164" s="202"/>
      <c r="U15164" s="204"/>
    </row>
    <row r="15165" spans="2:21" x14ac:dyDescent="0.2">
      <c r="B15165" s="203"/>
      <c r="C15165" s="237"/>
      <c r="D15165" s="202"/>
      <c r="E15165" s="202"/>
      <c r="U15165" s="204"/>
    </row>
    <row r="15166" spans="2:21" x14ac:dyDescent="0.2">
      <c r="B15166" s="203"/>
      <c r="C15166" s="237"/>
      <c r="D15166" s="202"/>
      <c r="E15166" s="202"/>
      <c r="U15166" s="204"/>
    </row>
    <row r="15167" spans="2:21" x14ac:dyDescent="0.2">
      <c r="B15167" s="203"/>
      <c r="C15167" s="237"/>
      <c r="D15167" s="202"/>
      <c r="E15167" s="202"/>
      <c r="U15167" s="204"/>
    </row>
    <row r="15168" spans="2:21" x14ac:dyDescent="0.2">
      <c r="B15168" s="203"/>
      <c r="C15168" s="237"/>
      <c r="D15168" s="202"/>
      <c r="E15168" s="202"/>
      <c r="U15168" s="204"/>
    </row>
    <row r="15169" spans="2:21" x14ac:dyDescent="0.2">
      <c r="B15169" s="203"/>
      <c r="C15169" s="237"/>
      <c r="D15169" s="202"/>
      <c r="E15169" s="202"/>
      <c r="U15169" s="204"/>
    </row>
    <row r="15170" spans="2:21" x14ac:dyDescent="0.2">
      <c r="B15170" s="203"/>
      <c r="C15170" s="237"/>
      <c r="D15170" s="202"/>
      <c r="E15170" s="202"/>
      <c r="U15170" s="204"/>
    </row>
    <row r="15171" spans="2:21" x14ac:dyDescent="0.2">
      <c r="B15171" s="203"/>
      <c r="C15171" s="237"/>
      <c r="D15171" s="202"/>
      <c r="E15171" s="202"/>
      <c r="U15171" s="204"/>
    </row>
    <row r="15172" spans="2:21" x14ac:dyDescent="0.2">
      <c r="B15172" s="203"/>
      <c r="C15172" s="237"/>
      <c r="D15172" s="202"/>
      <c r="E15172" s="202"/>
      <c r="U15172" s="204"/>
    </row>
    <row r="15173" spans="2:21" x14ac:dyDescent="0.2">
      <c r="B15173" s="203"/>
      <c r="C15173" s="237"/>
      <c r="D15173" s="202"/>
      <c r="E15173" s="202"/>
      <c r="U15173" s="204"/>
    </row>
    <row r="15174" spans="2:21" x14ac:dyDescent="0.2">
      <c r="B15174" s="203"/>
      <c r="C15174" s="237"/>
      <c r="D15174" s="202"/>
      <c r="E15174" s="202"/>
      <c r="U15174" s="204"/>
    </row>
    <row r="15175" spans="2:21" x14ac:dyDescent="0.2">
      <c r="B15175" s="203"/>
      <c r="C15175" s="237"/>
      <c r="D15175" s="202"/>
      <c r="E15175" s="202"/>
      <c r="U15175" s="204"/>
    </row>
    <row r="15176" spans="2:21" x14ac:dyDescent="0.2">
      <c r="B15176" s="203"/>
      <c r="C15176" s="237"/>
      <c r="D15176" s="202"/>
      <c r="E15176" s="202"/>
      <c r="U15176" s="204"/>
    </row>
    <row r="15177" spans="2:21" x14ac:dyDescent="0.2">
      <c r="B15177" s="203"/>
      <c r="C15177" s="237"/>
      <c r="D15177" s="202"/>
      <c r="E15177" s="202"/>
      <c r="U15177" s="204"/>
    </row>
    <row r="15178" spans="2:21" x14ac:dyDescent="0.2">
      <c r="B15178" s="203"/>
      <c r="C15178" s="237"/>
      <c r="D15178" s="202"/>
      <c r="E15178" s="202"/>
      <c r="U15178" s="204"/>
    </row>
    <row r="15179" spans="2:21" x14ac:dyDescent="0.2">
      <c r="B15179" s="203"/>
      <c r="C15179" s="237"/>
      <c r="D15179" s="202"/>
      <c r="E15179" s="202"/>
      <c r="U15179" s="204"/>
    </row>
    <row r="15180" spans="2:21" x14ac:dyDescent="0.2">
      <c r="B15180" s="203"/>
      <c r="C15180" s="237"/>
      <c r="D15180" s="202"/>
      <c r="E15180" s="202"/>
      <c r="U15180" s="204"/>
    </row>
    <row r="15181" spans="2:21" x14ac:dyDescent="0.2">
      <c r="B15181" s="203"/>
      <c r="C15181" s="237"/>
      <c r="D15181" s="202"/>
      <c r="E15181" s="202"/>
      <c r="U15181" s="204"/>
    </row>
    <row r="15182" spans="2:21" x14ac:dyDescent="0.2">
      <c r="B15182" s="203"/>
      <c r="C15182" s="237"/>
      <c r="D15182" s="202"/>
      <c r="E15182" s="202"/>
      <c r="U15182" s="204"/>
    </row>
    <row r="15183" spans="2:21" x14ac:dyDescent="0.2">
      <c r="B15183" s="203"/>
      <c r="C15183" s="237"/>
      <c r="D15183" s="202"/>
      <c r="E15183" s="202"/>
      <c r="U15183" s="204"/>
    </row>
    <row r="15184" spans="2:21" x14ac:dyDescent="0.2">
      <c r="B15184" s="203"/>
      <c r="C15184" s="237"/>
      <c r="D15184" s="202"/>
      <c r="E15184" s="202"/>
      <c r="U15184" s="204"/>
    </row>
    <row r="15185" spans="2:21" x14ac:dyDescent="0.2">
      <c r="B15185" s="203"/>
      <c r="C15185" s="237"/>
      <c r="D15185" s="202"/>
      <c r="E15185" s="202"/>
      <c r="U15185" s="204"/>
    </row>
    <row r="15186" spans="2:21" x14ac:dyDescent="0.2">
      <c r="B15186" s="203"/>
      <c r="C15186" s="237"/>
      <c r="D15186" s="202"/>
      <c r="E15186" s="202"/>
      <c r="U15186" s="204"/>
    </row>
    <row r="15187" spans="2:21" x14ac:dyDescent="0.2">
      <c r="B15187" s="203"/>
      <c r="C15187" s="237"/>
      <c r="D15187" s="202"/>
      <c r="E15187" s="202"/>
      <c r="U15187" s="204"/>
    </row>
    <row r="15188" spans="2:21" x14ac:dyDescent="0.2">
      <c r="B15188" s="203"/>
      <c r="C15188" s="237"/>
      <c r="D15188" s="202"/>
      <c r="E15188" s="202"/>
      <c r="U15188" s="204"/>
    </row>
    <row r="15189" spans="2:21" x14ac:dyDescent="0.2">
      <c r="B15189" s="203"/>
      <c r="C15189" s="237"/>
      <c r="D15189" s="202"/>
      <c r="E15189" s="202"/>
      <c r="U15189" s="204"/>
    </row>
    <row r="15190" spans="2:21" x14ac:dyDescent="0.2">
      <c r="B15190" s="203"/>
      <c r="C15190" s="237"/>
      <c r="D15190" s="202"/>
      <c r="E15190" s="202"/>
      <c r="U15190" s="204"/>
    </row>
    <row r="15191" spans="2:21" x14ac:dyDescent="0.2">
      <c r="B15191" s="203"/>
      <c r="C15191" s="237"/>
      <c r="D15191" s="202"/>
      <c r="E15191" s="202"/>
      <c r="U15191" s="204"/>
    </row>
    <row r="15192" spans="2:21" x14ac:dyDescent="0.2">
      <c r="B15192" s="203"/>
      <c r="C15192" s="237"/>
      <c r="D15192" s="202"/>
      <c r="E15192" s="202"/>
      <c r="U15192" s="204"/>
    </row>
    <row r="15193" spans="2:21" x14ac:dyDescent="0.2">
      <c r="B15193" s="203"/>
      <c r="C15193" s="237"/>
      <c r="D15193" s="202"/>
      <c r="E15193" s="202"/>
      <c r="U15193" s="204"/>
    </row>
    <row r="15194" spans="2:21" x14ac:dyDescent="0.2">
      <c r="B15194" s="203"/>
      <c r="C15194" s="237"/>
      <c r="D15194" s="202"/>
      <c r="E15194" s="202"/>
      <c r="U15194" s="204"/>
    </row>
    <row r="15195" spans="2:21" x14ac:dyDescent="0.2">
      <c r="B15195" s="203"/>
      <c r="C15195" s="237"/>
      <c r="D15195" s="202"/>
      <c r="E15195" s="202"/>
      <c r="U15195" s="204"/>
    </row>
    <row r="15196" spans="2:21" x14ac:dyDescent="0.2">
      <c r="B15196" s="203"/>
      <c r="C15196" s="237"/>
      <c r="D15196" s="202"/>
      <c r="E15196" s="202"/>
      <c r="U15196" s="204"/>
    </row>
    <row r="15197" spans="2:21" x14ac:dyDescent="0.2">
      <c r="B15197" s="203"/>
      <c r="C15197" s="237"/>
      <c r="D15197" s="202"/>
      <c r="E15197" s="202"/>
      <c r="U15197" s="204"/>
    </row>
    <row r="15198" spans="2:21" x14ac:dyDescent="0.2">
      <c r="B15198" s="203"/>
      <c r="C15198" s="237"/>
      <c r="D15198" s="202"/>
      <c r="E15198" s="202"/>
      <c r="U15198" s="204"/>
    </row>
    <row r="15199" spans="2:21" x14ac:dyDescent="0.2">
      <c r="B15199" s="203"/>
      <c r="C15199" s="237"/>
      <c r="D15199" s="202"/>
      <c r="E15199" s="202"/>
      <c r="U15199" s="204"/>
    </row>
    <row r="15200" spans="2:21" x14ac:dyDescent="0.2">
      <c r="B15200" s="203"/>
      <c r="C15200" s="237"/>
      <c r="D15200" s="202"/>
      <c r="E15200" s="202"/>
      <c r="U15200" s="204"/>
    </row>
    <row r="15201" spans="2:21" x14ac:dyDescent="0.2">
      <c r="B15201" s="203"/>
      <c r="C15201" s="237"/>
      <c r="D15201" s="202"/>
      <c r="E15201" s="202"/>
      <c r="U15201" s="204"/>
    </row>
    <row r="15202" spans="2:21" x14ac:dyDescent="0.2">
      <c r="B15202" s="203"/>
      <c r="C15202" s="237"/>
      <c r="D15202" s="202"/>
      <c r="E15202" s="202"/>
      <c r="U15202" s="204"/>
    </row>
    <row r="15203" spans="2:21" x14ac:dyDescent="0.2">
      <c r="B15203" s="203"/>
      <c r="C15203" s="237"/>
      <c r="D15203" s="202"/>
      <c r="E15203" s="202"/>
      <c r="U15203" s="204"/>
    </row>
    <row r="15204" spans="2:21" x14ac:dyDescent="0.2">
      <c r="B15204" s="203"/>
      <c r="C15204" s="237"/>
      <c r="D15204" s="202"/>
      <c r="E15204" s="202"/>
      <c r="U15204" s="204"/>
    </row>
    <row r="15205" spans="2:21" x14ac:dyDescent="0.2">
      <c r="B15205" s="203"/>
      <c r="C15205" s="237"/>
      <c r="D15205" s="202"/>
      <c r="E15205" s="202"/>
      <c r="U15205" s="204"/>
    </row>
    <row r="15206" spans="2:21" x14ac:dyDescent="0.2">
      <c r="B15206" s="203"/>
      <c r="C15206" s="237"/>
      <c r="D15206" s="202"/>
      <c r="E15206" s="202"/>
      <c r="U15206" s="204"/>
    </row>
    <row r="15207" spans="2:21" x14ac:dyDescent="0.2">
      <c r="B15207" s="203"/>
      <c r="C15207" s="237"/>
      <c r="D15207" s="202"/>
      <c r="E15207" s="202"/>
      <c r="U15207" s="204"/>
    </row>
    <row r="15208" spans="2:21" x14ac:dyDescent="0.2">
      <c r="B15208" s="203"/>
      <c r="C15208" s="237"/>
      <c r="D15208" s="202"/>
      <c r="E15208" s="202"/>
      <c r="U15208" s="204"/>
    </row>
    <row r="15209" spans="2:21" x14ac:dyDescent="0.2">
      <c r="B15209" s="203"/>
      <c r="C15209" s="237"/>
      <c r="D15209" s="202"/>
      <c r="E15209" s="202"/>
      <c r="U15209" s="204"/>
    </row>
    <row r="15210" spans="2:21" x14ac:dyDescent="0.2">
      <c r="B15210" s="203"/>
      <c r="C15210" s="237"/>
      <c r="D15210" s="202"/>
      <c r="E15210" s="202"/>
      <c r="U15210" s="204"/>
    </row>
    <row r="15211" spans="2:21" x14ac:dyDescent="0.2">
      <c r="B15211" s="203"/>
      <c r="C15211" s="237"/>
      <c r="D15211" s="202"/>
      <c r="E15211" s="202"/>
      <c r="U15211" s="204"/>
    </row>
    <row r="15212" spans="2:21" x14ac:dyDescent="0.2">
      <c r="B15212" s="203"/>
      <c r="C15212" s="237"/>
      <c r="D15212" s="202"/>
      <c r="E15212" s="202"/>
      <c r="U15212" s="204"/>
    </row>
    <row r="15213" spans="2:21" x14ac:dyDescent="0.2">
      <c r="B15213" s="203"/>
      <c r="C15213" s="237"/>
      <c r="D15213" s="202"/>
      <c r="E15213" s="202"/>
      <c r="U15213" s="204"/>
    </row>
    <row r="15214" spans="2:21" x14ac:dyDescent="0.2">
      <c r="B15214" s="203"/>
      <c r="C15214" s="237"/>
      <c r="D15214" s="202"/>
      <c r="E15214" s="202"/>
      <c r="U15214" s="204"/>
    </row>
    <row r="15215" spans="2:21" x14ac:dyDescent="0.2">
      <c r="B15215" s="203"/>
      <c r="C15215" s="237"/>
      <c r="D15215" s="202"/>
      <c r="E15215" s="202"/>
      <c r="U15215" s="204"/>
    </row>
    <row r="15216" spans="2:21" x14ac:dyDescent="0.2">
      <c r="B15216" s="203"/>
      <c r="C15216" s="237"/>
      <c r="D15216" s="202"/>
      <c r="E15216" s="202"/>
      <c r="U15216" s="204"/>
    </row>
    <row r="15217" spans="2:21" x14ac:dyDescent="0.2">
      <c r="B15217" s="203"/>
      <c r="C15217" s="237"/>
      <c r="D15217" s="202"/>
      <c r="E15217" s="202"/>
      <c r="U15217" s="204"/>
    </row>
    <row r="15218" spans="2:21" x14ac:dyDescent="0.2">
      <c r="B15218" s="203"/>
      <c r="C15218" s="237"/>
      <c r="D15218" s="202"/>
      <c r="E15218" s="202"/>
      <c r="U15218" s="204"/>
    </row>
    <row r="15219" spans="2:21" x14ac:dyDescent="0.2">
      <c r="B15219" s="203"/>
      <c r="C15219" s="237"/>
      <c r="D15219" s="202"/>
      <c r="E15219" s="202"/>
      <c r="U15219" s="204"/>
    </row>
    <row r="15220" spans="2:21" x14ac:dyDescent="0.2">
      <c r="B15220" s="203"/>
      <c r="C15220" s="237"/>
      <c r="D15220" s="202"/>
      <c r="E15220" s="202"/>
      <c r="U15220" s="204"/>
    </row>
    <row r="15221" spans="2:21" x14ac:dyDescent="0.2">
      <c r="B15221" s="203"/>
      <c r="C15221" s="237"/>
      <c r="D15221" s="202"/>
      <c r="E15221" s="202"/>
      <c r="U15221" s="204"/>
    </row>
    <row r="15222" spans="2:21" x14ac:dyDescent="0.2">
      <c r="B15222" s="203"/>
      <c r="C15222" s="237"/>
      <c r="D15222" s="202"/>
      <c r="E15222" s="202"/>
      <c r="U15222" s="204"/>
    </row>
    <row r="15223" spans="2:21" x14ac:dyDescent="0.2">
      <c r="B15223" s="203"/>
      <c r="C15223" s="237"/>
      <c r="D15223" s="202"/>
      <c r="E15223" s="202"/>
      <c r="U15223" s="204"/>
    </row>
    <row r="15224" spans="2:21" x14ac:dyDescent="0.2">
      <c r="B15224" s="203"/>
      <c r="C15224" s="237"/>
      <c r="D15224" s="202"/>
      <c r="E15224" s="202"/>
      <c r="U15224" s="204"/>
    </row>
    <row r="15225" spans="2:21" x14ac:dyDescent="0.2">
      <c r="B15225" s="203"/>
      <c r="C15225" s="237"/>
      <c r="D15225" s="202"/>
      <c r="E15225" s="202"/>
      <c r="U15225" s="204"/>
    </row>
    <row r="15226" spans="2:21" x14ac:dyDescent="0.2">
      <c r="B15226" s="203"/>
      <c r="C15226" s="237"/>
      <c r="D15226" s="202"/>
      <c r="E15226" s="202"/>
      <c r="U15226" s="204"/>
    </row>
    <row r="15227" spans="2:21" x14ac:dyDescent="0.2">
      <c r="B15227" s="203"/>
      <c r="C15227" s="237"/>
      <c r="D15227" s="202"/>
      <c r="E15227" s="202"/>
      <c r="U15227" s="204"/>
    </row>
    <row r="15228" spans="2:21" x14ac:dyDescent="0.2">
      <c r="B15228" s="203"/>
      <c r="C15228" s="237"/>
      <c r="D15228" s="202"/>
      <c r="E15228" s="202"/>
      <c r="U15228" s="204"/>
    </row>
    <row r="15229" spans="2:21" x14ac:dyDescent="0.2">
      <c r="B15229" s="203"/>
      <c r="C15229" s="237"/>
      <c r="D15229" s="202"/>
      <c r="E15229" s="202"/>
      <c r="U15229" s="204"/>
    </row>
    <row r="15230" spans="2:21" x14ac:dyDescent="0.2">
      <c r="B15230" s="203"/>
      <c r="C15230" s="237"/>
      <c r="D15230" s="202"/>
      <c r="E15230" s="202"/>
      <c r="U15230" s="204"/>
    </row>
    <row r="15231" spans="2:21" x14ac:dyDescent="0.2">
      <c r="B15231" s="203"/>
      <c r="C15231" s="237"/>
      <c r="D15231" s="202"/>
      <c r="E15231" s="202"/>
      <c r="U15231" s="204"/>
    </row>
    <row r="15232" spans="2:21" x14ac:dyDescent="0.2">
      <c r="B15232" s="203"/>
      <c r="C15232" s="237"/>
      <c r="D15232" s="202"/>
      <c r="E15232" s="202"/>
      <c r="U15232" s="204"/>
    </row>
    <row r="15233" spans="2:21" x14ac:dyDescent="0.2">
      <c r="B15233" s="203"/>
      <c r="C15233" s="237"/>
      <c r="D15233" s="202"/>
      <c r="E15233" s="202"/>
      <c r="U15233" s="204"/>
    </row>
    <row r="15234" spans="2:21" x14ac:dyDescent="0.2">
      <c r="B15234" s="203"/>
      <c r="C15234" s="237"/>
      <c r="D15234" s="202"/>
      <c r="E15234" s="202"/>
      <c r="U15234" s="204"/>
    </row>
    <row r="15235" spans="2:21" x14ac:dyDescent="0.2">
      <c r="B15235" s="203"/>
      <c r="C15235" s="237"/>
      <c r="D15235" s="202"/>
      <c r="E15235" s="202"/>
      <c r="U15235" s="204"/>
    </row>
    <row r="15236" spans="2:21" x14ac:dyDescent="0.2">
      <c r="B15236" s="203"/>
      <c r="C15236" s="237"/>
      <c r="D15236" s="202"/>
      <c r="E15236" s="202"/>
      <c r="U15236" s="204"/>
    </row>
    <row r="15237" spans="2:21" x14ac:dyDescent="0.2">
      <c r="B15237" s="203"/>
      <c r="C15237" s="237"/>
      <c r="D15237" s="202"/>
      <c r="E15237" s="202"/>
      <c r="U15237" s="204"/>
    </row>
    <row r="15238" spans="2:21" x14ac:dyDescent="0.2">
      <c r="B15238" s="203"/>
      <c r="C15238" s="237"/>
      <c r="D15238" s="202"/>
      <c r="E15238" s="202"/>
      <c r="U15238" s="204"/>
    </row>
    <row r="15239" spans="2:21" x14ac:dyDescent="0.2">
      <c r="B15239" s="203"/>
      <c r="C15239" s="237"/>
      <c r="D15239" s="202"/>
      <c r="E15239" s="202"/>
      <c r="U15239" s="204"/>
    </row>
    <row r="15240" spans="2:21" x14ac:dyDescent="0.2">
      <c r="B15240" s="203"/>
      <c r="C15240" s="237"/>
      <c r="D15240" s="202"/>
      <c r="E15240" s="202"/>
      <c r="U15240" s="204"/>
    </row>
    <row r="15241" spans="2:21" x14ac:dyDescent="0.2">
      <c r="B15241" s="203"/>
      <c r="C15241" s="237"/>
      <c r="D15241" s="202"/>
      <c r="E15241" s="202"/>
      <c r="U15241" s="204"/>
    </row>
    <row r="15242" spans="2:21" x14ac:dyDescent="0.2">
      <c r="B15242" s="203"/>
      <c r="C15242" s="237"/>
      <c r="D15242" s="202"/>
      <c r="E15242" s="202"/>
      <c r="U15242" s="204"/>
    </row>
    <row r="15243" spans="2:21" x14ac:dyDescent="0.2">
      <c r="B15243" s="203"/>
      <c r="C15243" s="237"/>
      <c r="D15243" s="202"/>
      <c r="E15243" s="202"/>
      <c r="U15243" s="204"/>
    </row>
    <row r="15244" spans="2:21" x14ac:dyDescent="0.2">
      <c r="B15244" s="203"/>
      <c r="C15244" s="237"/>
      <c r="D15244" s="202"/>
      <c r="E15244" s="202"/>
      <c r="U15244" s="204"/>
    </row>
    <row r="15245" spans="2:21" x14ac:dyDescent="0.2">
      <c r="B15245" s="203"/>
      <c r="C15245" s="237"/>
      <c r="D15245" s="202"/>
      <c r="E15245" s="202"/>
      <c r="U15245" s="204"/>
    </row>
    <row r="15246" spans="2:21" x14ac:dyDescent="0.2">
      <c r="B15246" s="203"/>
      <c r="C15246" s="237"/>
      <c r="D15246" s="202"/>
      <c r="E15246" s="202"/>
      <c r="U15246" s="204"/>
    </row>
    <row r="15247" spans="2:21" x14ac:dyDescent="0.2">
      <c r="B15247" s="203"/>
      <c r="C15247" s="237"/>
      <c r="D15247" s="202"/>
      <c r="E15247" s="202"/>
      <c r="U15247" s="204"/>
    </row>
    <row r="15248" spans="2:21" x14ac:dyDescent="0.2">
      <c r="B15248" s="203"/>
      <c r="C15248" s="237"/>
      <c r="D15248" s="202"/>
      <c r="E15248" s="202"/>
      <c r="U15248" s="204"/>
    </row>
    <row r="15249" spans="2:21" x14ac:dyDescent="0.2">
      <c r="B15249" s="203"/>
      <c r="C15249" s="237"/>
      <c r="D15249" s="202"/>
      <c r="E15249" s="202"/>
      <c r="U15249" s="204"/>
    </row>
    <row r="15250" spans="2:21" x14ac:dyDescent="0.2">
      <c r="B15250" s="203"/>
      <c r="C15250" s="237"/>
      <c r="D15250" s="202"/>
      <c r="E15250" s="202"/>
      <c r="U15250" s="204"/>
    </row>
    <row r="15251" spans="2:21" x14ac:dyDescent="0.2">
      <c r="B15251" s="203"/>
      <c r="C15251" s="237"/>
      <c r="D15251" s="202"/>
      <c r="E15251" s="202"/>
      <c r="U15251" s="204"/>
    </row>
    <row r="15252" spans="2:21" x14ac:dyDescent="0.2">
      <c r="B15252" s="203"/>
      <c r="C15252" s="237"/>
      <c r="D15252" s="202"/>
      <c r="E15252" s="202"/>
      <c r="U15252" s="204"/>
    </row>
    <row r="15253" spans="2:21" x14ac:dyDescent="0.2">
      <c r="B15253" s="203"/>
      <c r="C15253" s="237"/>
      <c r="D15253" s="202"/>
      <c r="E15253" s="202"/>
      <c r="U15253" s="204"/>
    </row>
    <row r="15254" spans="2:21" x14ac:dyDescent="0.2">
      <c r="B15254" s="203"/>
      <c r="C15254" s="237"/>
      <c r="D15254" s="202"/>
      <c r="E15254" s="202"/>
      <c r="U15254" s="204"/>
    </row>
    <row r="15255" spans="2:21" x14ac:dyDescent="0.2">
      <c r="B15255" s="203"/>
      <c r="C15255" s="237"/>
      <c r="D15255" s="202"/>
      <c r="E15255" s="202"/>
      <c r="U15255" s="204"/>
    </row>
    <row r="15256" spans="2:21" x14ac:dyDescent="0.2">
      <c r="B15256" s="203"/>
      <c r="C15256" s="237"/>
      <c r="D15256" s="202"/>
      <c r="E15256" s="202"/>
      <c r="U15256" s="204"/>
    </row>
    <row r="15257" spans="2:21" x14ac:dyDescent="0.2">
      <c r="B15257" s="203"/>
      <c r="C15257" s="237"/>
      <c r="D15257" s="202"/>
      <c r="E15257" s="202"/>
      <c r="U15257" s="204"/>
    </row>
    <row r="15258" spans="2:21" x14ac:dyDescent="0.2">
      <c r="B15258" s="203"/>
      <c r="C15258" s="237"/>
      <c r="D15258" s="202"/>
      <c r="E15258" s="202"/>
      <c r="U15258" s="204"/>
    </row>
    <row r="15259" spans="2:21" x14ac:dyDescent="0.2">
      <c r="B15259" s="203"/>
      <c r="C15259" s="237"/>
      <c r="D15259" s="202"/>
      <c r="E15259" s="202"/>
      <c r="U15259" s="204"/>
    </row>
    <row r="15260" spans="2:21" x14ac:dyDescent="0.2">
      <c r="B15260" s="203"/>
      <c r="C15260" s="237"/>
      <c r="D15260" s="202"/>
      <c r="E15260" s="202"/>
      <c r="U15260" s="204"/>
    </row>
    <row r="15261" spans="2:21" x14ac:dyDescent="0.2">
      <c r="B15261" s="203"/>
      <c r="C15261" s="237"/>
      <c r="D15261" s="202"/>
      <c r="E15261" s="202"/>
      <c r="U15261" s="204"/>
    </row>
    <row r="15262" spans="2:21" x14ac:dyDescent="0.2">
      <c r="B15262" s="203"/>
      <c r="C15262" s="237"/>
      <c r="D15262" s="202"/>
      <c r="E15262" s="202"/>
      <c r="U15262" s="204"/>
    </row>
    <row r="15263" spans="2:21" x14ac:dyDescent="0.2">
      <c r="B15263" s="203"/>
      <c r="C15263" s="237"/>
      <c r="D15263" s="202"/>
      <c r="E15263" s="202"/>
      <c r="U15263" s="204"/>
    </row>
    <row r="15264" spans="2:21" x14ac:dyDescent="0.2">
      <c r="B15264" s="203"/>
      <c r="C15264" s="237"/>
      <c r="D15264" s="202"/>
      <c r="E15264" s="202"/>
      <c r="U15264" s="204"/>
    </row>
    <row r="15265" spans="2:21" x14ac:dyDescent="0.2">
      <c r="B15265" s="203"/>
      <c r="C15265" s="237"/>
      <c r="D15265" s="202"/>
      <c r="E15265" s="202"/>
      <c r="U15265" s="204"/>
    </row>
    <row r="15266" spans="2:21" x14ac:dyDescent="0.2">
      <c r="B15266" s="203"/>
      <c r="C15266" s="237"/>
      <c r="D15266" s="202"/>
      <c r="E15266" s="202"/>
      <c r="U15266" s="204"/>
    </row>
    <row r="15267" spans="2:21" x14ac:dyDescent="0.2">
      <c r="B15267" s="203"/>
      <c r="C15267" s="237"/>
      <c r="D15267" s="202"/>
      <c r="E15267" s="202"/>
      <c r="U15267" s="204"/>
    </row>
    <row r="15268" spans="2:21" x14ac:dyDescent="0.2">
      <c r="B15268" s="203"/>
      <c r="C15268" s="237"/>
      <c r="D15268" s="202"/>
      <c r="E15268" s="202"/>
      <c r="U15268" s="204"/>
    </row>
    <row r="15269" spans="2:21" x14ac:dyDescent="0.2">
      <c r="B15269" s="203"/>
      <c r="C15269" s="237"/>
      <c r="D15269" s="202"/>
      <c r="E15269" s="202"/>
      <c r="U15269" s="204"/>
    </row>
    <row r="15270" spans="2:21" x14ac:dyDescent="0.2">
      <c r="B15270" s="203"/>
      <c r="C15270" s="237"/>
      <c r="D15270" s="202"/>
      <c r="E15270" s="202"/>
      <c r="U15270" s="204"/>
    </row>
    <row r="15271" spans="2:21" x14ac:dyDescent="0.2">
      <c r="B15271" s="203"/>
      <c r="C15271" s="237"/>
      <c r="D15271" s="202"/>
      <c r="E15271" s="202"/>
      <c r="U15271" s="204"/>
    </row>
    <row r="15272" spans="2:21" x14ac:dyDescent="0.2">
      <c r="B15272" s="203"/>
      <c r="C15272" s="237"/>
      <c r="D15272" s="202"/>
      <c r="E15272" s="202"/>
      <c r="U15272" s="204"/>
    </row>
    <row r="15273" spans="2:21" x14ac:dyDescent="0.2">
      <c r="B15273" s="203"/>
      <c r="C15273" s="237"/>
      <c r="D15273" s="202"/>
      <c r="E15273" s="202"/>
      <c r="U15273" s="204"/>
    </row>
    <row r="15274" spans="2:21" x14ac:dyDescent="0.2">
      <c r="B15274" s="203"/>
      <c r="C15274" s="237"/>
      <c r="D15274" s="202"/>
      <c r="E15274" s="202"/>
      <c r="U15274" s="204"/>
    </row>
    <row r="15275" spans="2:21" x14ac:dyDescent="0.2">
      <c r="B15275" s="203"/>
      <c r="C15275" s="237"/>
      <c r="D15275" s="202"/>
      <c r="E15275" s="202"/>
      <c r="U15275" s="204"/>
    </row>
    <row r="15276" spans="2:21" x14ac:dyDescent="0.2">
      <c r="B15276" s="203"/>
      <c r="C15276" s="237"/>
      <c r="D15276" s="202"/>
      <c r="E15276" s="202"/>
      <c r="U15276" s="204"/>
    </row>
    <row r="15277" spans="2:21" x14ac:dyDescent="0.2">
      <c r="B15277" s="203"/>
      <c r="C15277" s="237"/>
      <c r="D15277" s="202"/>
      <c r="E15277" s="202"/>
      <c r="U15277" s="204"/>
    </row>
    <row r="15278" spans="2:21" x14ac:dyDescent="0.2">
      <c r="B15278" s="203"/>
      <c r="C15278" s="237"/>
      <c r="D15278" s="202"/>
      <c r="E15278" s="202"/>
      <c r="U15278" s="204"/>
    </row>
    <row r="15279" spans="2:21" x14ac:dyDescent="0.2">
      <c r="B15279" s="203"/>
      <c r="C15279" s="237"/>
      <c r="D15279" s="202"/>
      <c r="E15279" s="202"/>
      <c r="U15279" s="204"/>
    </row>
    <row r="15280" spans="2:21" x14ac:dyDescent="0.2">
      <c r="B15280" s="203"/>
      <c r="C15280" s="237"/>
      <c r="D15280" s="202"/>
      <c r="E15280" s="202"/>
      <c r="U15280" s="204"/>
    </row>
    <row r="15281" spans="2:21" x14ac:dyDescent="0.2">
      <c r="B15281" s="203"/>
      <c r="C15281" s="237"/>
      <c r="D15281" s="202"/>
      <c r="E15281" s="202"/>
      <c r="U15281" s="204"/>
    </row>
    <row r="15282" spans="2:21" x14ac:dyDescent="0.2">
      <c r="B15282" s="203"/>
      <c r="C15282" s="237"/>
      <c r="D15282" s="202"/>
      <c r="E15282" s="202"/>
      <c r="U15282" s="204"/>
    </row>
    <row r="15283" spans="2:21" x14ac:dyDescent="0.2">
      <c r="B15283" s="203"/>
      <c r="C15283" s="237"/>
      <c r="D15283" s="202"/>
      <c r="E15283" s="202"/>
      <c r="U15283" s="204"/>
    </row>
    <row r="15284" spans="2:21" x14ac:dyDescent="0.2">
      <c r="B15284" s="203"/>
      <c r="C15284" s="237"/>
      <c r="D15284" s="202"/>
      <c r="E15284" s="202"/>
      <c r="U15284" s="204"/>
    </row>
    <row r="15285" spans="2:21" x14ac:dyDescent="0.2">
      <c r="B15285" s="203"/>
      <c r="C15285" s="237"/>
      <c r="D15285" s="202"/>
      <c r="E15285" s="202"/>
      <c r="U15285" s="204"/>
    </row>
    <row r="15286" spans="2:21" x14ac:dyDescent="0.2">
      <c r="B15286" s="203"/>
      <c r="C15286" s="237"/>
      <c r="D15286" s="202"/>
      <c r="E15286" s="202"/>
      <c r="U15286" s="204"/>
    </row>
    <row r="15287" spans="2:21" x14ac:dyDescent="0.2">
      <c r="B15287" s="203"/>
      <c r="C15287" s="237"/>
      <c r="D15287" s="202"/>
      <c r="E15287" s="202"/>
      <c r="U15287" s="204"/>
    </row>
    <row r="15288" spans="2:21" x14ac:dyDescent="0.2">
      <c r="B15288" s="203"/>
      <c r="C15288" s="237"/>
      <c r="D15288" s="202"/>
      <c r="E15288" s="202"/>
      <c r="U15288" s="204"/>
    </row>
    <row r="15289" spans="2:21" x14ac:dyDescent="0.2">
      <c r="B15289" s="203"/>
      <c r="C15289" s="237"/>
      <c r="D15289" s="202"/>
      <c r="E15289" s="202"/>
      <c r="U15289" s="204"/>
    </row>
    <row r="15290" spans="2:21" x14ac:dyDescent="0.2">
      <c r="B15290" s="203"/>
      <c r="C15290" s="237"/>
      <c r="D15290" s="202"/>
      <c r="E15290" s="202"/>
      <c r="U15290" s="204"/>
    </row>
    <row r="15291" spans="2:21" x14ac:dyDescent="0.2">
      <c r="B15291" s="203"/>
      <c r="C15291" s="237"/>
      <c r="D15291" s="202"/>
      <c r="E15291" s="202"/>
      <c r="U15291" s="204"/>
    </row>
    <row r="15292" spans="2:21" x14ac:dyDescent="0.2">
      <c r="B15292" s="203"/>
      <c r="C15292" s="237"/>
      <c r="D15292" s="202"/>
      <c r="E15292" s="202"/>
      <c r="U15292" s="204"/>
    </row>
    <row r="15293" spans="2:21" x14ac:dyDescent="0.2">
      <c r="B15293" s="203"/>
      <c r="C15293" s="237"/>
      <c r="D15293" s="202"/>
      <c r="E15293" s="202"/>
      <c r="U15293" s="204"/>
    </row>
    <row r="15294" spans="2:21" x14ac:dyDescent="0.2">
      <c r="B15294" s="203"/>
      <c r="C15294" s="237"/>
      <c r="D15294" s="202"/>
      <c r="E15294" s="202"/>
      <c r="U15294" s="204"/>
    </row>
    <row r="15295" spans="2:21" x14ac:dyDescent="0.2">
      <c r="B15295" s="203"/>
      <c r="C15295" s="237"/>
      <c r="D15295" s="202"/>
      <c r="E15295" s="202"/>
      <c r="U15295" s="204"/>
    </row>
    <row r="15296" spans="2:21" x14ac:dyDescent="0.2">
      <c r="B15296" s="203"/>
      <c r="C15296" s="237"/>
      <c r="D15296" s="202"/>
      <c r="E15296" s="202"/>
      <c r="U15296" s="204"/>
    </row>
    <row r="15297" spans="2:21" x14ac:dyDescent="0.2">
      <c r="B15297" s="203"/>
      <c r="C15297" s="237"/>
      <c r="D15297" s="202"/>
      <c r="E15297" s="202"/>
      <c r="U15297" s="204"/>
    </row>
    <row r="15298" spans="2:21" x14ac:dyDescent="0.2">
      <c r="B15298" s="203"/>
      <c r="C15298" s="237"/>
      <c r="D15298" s="202"/>
      <c r="E15298" s="202"/>
      <c r="U15298" s="204"/>
    </row>
    <row r="15299" spans="2:21" x14ac:dyDescent="0.2">
      <c r="B15299" s="203"/>
      <c r="C15299" s="237"/>
      <c r="D15299" s="202"/>
      <c r="E15299" s="202"/>
      <c r="U15299" s="204"/>
    </row>
    <row r="15300" spans="2:21" x14ac:dyDescent="0.2">
      <c r="B15300" s="203"/>
      <c r="C15300" s="237"/>
      <c r="D15300" s="202"/>
      <c r="E15300" s="202"/>
      <c r="U15300" s="204"/>
    </row>
    <row r="15301" spans="2:21" x14ac:dyDescent="0.2">
      <c r="B15301" s="203"/>
      <c r="C15301" s="237"/>
      <c r="D15301" s="202"/>
      <c r="E15301" s="202"/>
      <c r="U15301" s="204"/>
    </row>
    <row r="15302" spans="2:21" x14ac:dyDescent="0.2">
      <c r="B15302" s="203"/>
      <c r="C15302" s="237"/>
      <c r="D15302" s="202"/>
      <c r="E15302" s="202"/>
      <c r="U15302" s="204"/>
    </row>
    <row r="15303" spans="2:21" x14ac:dyDescent="0.2">
      <c r="B15303" s="203"/>
      <c r="C15303" s="237"/>
      <c r="D15303" s="202"/>
      <c r="E15303" s="202"/>
      <c r="U15303" s="204"/>
    </row>
    <row r="15304" spans="2:21" x14ac:dyDescent="0.2">
      <c r="B15304" s="203"/>
      <c r="C15304" s="237"/>
      <c r="D15304" s="202"/>
      <c r="E15304" s="202"/>
      <c r="U15304" s="204"/>
    </row>
    <row r="15305" spans="2:21" x14ac:dyDescent="0.2">
      <c r="B15305" s="203"/>
      <c r="C15305" s="237"/>
      <c r="D15305" s="202"/>
      <c r="E15305" s="202"/>
      <c r="U15305" s="204"/>
    </row>
    <row r="15306" spans="2:21" x14ac:dyDescent="0.2">
      <c r="B15306" s="203"/>
      <c r="C15306" s="237"/>
      <c r="D15306" s="202"/>
      <c r="E15306" s="202"/>
      <c r="U15306" s="204"/>
    </row>
    <row r="15307" spans="2:21" x14ac:dyDescent="0.2">
      <c r="B15307" s="203"/>
      <c r="C15307" s="237"/>
      <c r="D15307" s="202"/>
      <c r="E15307" s="202"/>
      <c r="U15307" s="204"/>
    </row>
    <row r="15308" spans="2:21" x14ac:dyDescent="0.2">
      <c r="B15308" s="203"/>
      <c r="C15308" s="237"/>
      <c r="D15308" s="202"/>
      <c r="E15308" s="202"/>
      <c r="U15308" s="204"/>
    </row>
    <row r="15309" spans="2:21" x14ac:dyDescent="0.2">
      <c r="B15309" s="203"/>
      <c r="C15309" s="237"/>
      <c r="D15309" s="202"/>
      <c r="E15309" s="202"/>
      <c r="U15309" s="204"/>
    </row>
    <row r="15310" spans="2:21" x14ac:dyDescent="0.2">
      <c r="B15310" s="203"/>
      <c r="C15310" s="237"/>
      <c r="D15310" s="202"/>
      <c r="E15310" s="202"/>
      <c r="U15310" s="204"/>
    </row>
    <row r="15311" spans="2:21" x14ac:dyDescent="0.2">
      <c r="B15311" s="203"/>
      <c r="C15311" s="237"/>
      <c r="D15311" s="202"/>
      <c r="E15311" s="202"/>
      <c r="U15311" s="204"/>
    </row>
    <row r="15312" spans="2:21" x14ac:dyDescent="0.2">
      <c r="B15312" s="203"/>
      <c r="C15312" s="237"/>
      <c r="D15312" s="202"/>
      <c r="E15312" s="202"/>
      <c r="U15312" s="204"/>
    </row>
    <row r="15313" spans="2:21" x14ac:dyDescent="0.2">
      <c r="B15313" s="203"/>
      <c r="C15313" s="237"/>
      <c r="D15313" s="202"/>
      <c r="E15313" s="202"/>
      <c r="U15313" s="204"/>
    </row>
    <row r="15314" spans="2:21" x14ac:dyDescent="0.2">
      <c r="B15314" s="203"/>
      <c r="C15314" s="237"/>
      <c r="D15314" s="202"/>
      <c r="E15314" s="202"/>
      <c r="U15314" s="204"/>
    </row>
    <row r="15315" spans="2:21" x14ac:dyDescent="0.2">
      <c r="B15315" s="203"/>
      <c r="C15315" s="237"/>
      <c r="D15315" s="202"/>
      <c r="E15315" s="202"/>
      <c r="U15315" s="204"/>
    </row>
    <row r="15316" spans="2:21" x14ac:dyDescent="0.2">
      <c r="B15316" s="203"/>
      <c r="C15316" s="237"/>
      <c r="D15316" s="202"/>
      <c r="E15316" s="202"/>
      <c r="U15316" s="204"/>
    </row>
    <row r="15317" spans="2:21" x14ac:dyDescent="0.2">
      <c r="B15317" s="203"/>
      <c r="C15317" s="237"/>
      <c r="D15317" s="202"/>
      <c r="E15317" s="202"/>
      <c r="U15317" s="204"/>
    </row>
    <row r="15318" spans="2:21" x14ac:dyDescent="0.2">
      <c r="B15318" s="203"/>
      <c r="C15318" s="237"/>
      <c r="D15318" s="202"/>
      <c r="E15318" s="202"/>
      <c r="U15318" s="204"/>
    </row>
    <row r="15319" spans="2:21" x14ac:dyDescent="0.2">
      <c r="B15319" s="203"/>
      <c r="C15319" s="237"/>
      <c r="D15319" s="202"/>
      <c r="E15319" s="202"/>
      <c r="U15319" s="204"/>
    </row>
    <row r="15320" spans="2:21" x14ac:dyDescent="0.2">
      <c r="B15320" s="203"/>
      <c r="C15320" s="237"/>
      <c r="D15320" s="202"/>
      <c r="E15320" s="202"/>
      <c r="U15320" s="204"/>
    </row>
    <row r="15321" spans="2:21" x14ac:dyDescent="0.2">
      <c r="B15321" s="203"/>
      <c r="C15321" s="237"/>
      <c r="D15321" s="202"/>
      <c r="E15321" s="202"/>
      <c r="U15321" s="204"/>
    </row>
    <row r="15322" spans="2:21" x14ac:dyDescent="0.2">
      <c r="B15322" s="203"/>
      <c r="C15322" s="237"/>
      <c r="D15322" s="202"/>
      <c r="E15322" s="202"/>
      <c r="U15322" s="204"/>
    </row>
    <row r="15323" spans="2:21" x14ac:dyDescent="0.2">
      <c r="B15323" s="203"/>
      <c r="C15323" s="237"/>
      <c r="D15323" s="202"/>
      <c r="E15323" s="202"/>
      <c r="U15323" s="204"/>
    </row>
    <row r="15324" spans="2:21" x14ac:dyDescent="0.2">
      <c r="B15324" s="203"/>
      <c r="C15324" s="237"/>
      <c r="D15324" s="202"/>
      <c r="E15324" s="202"/>
      <c r="U15324" s="204"/>
    </row>
    <row r="15325" spans="2:21" x14ac:dyDescent="0.2">
      <c r="B15325" s="203"/>
      <c r="C15325" s="237"/>
      <c r="D15325" s="202"/>
      <c r="E15325" s="202"/>
      <c r="U15325" s="204"/>
    </row>
    <row r="15326" spans="2:21" x14ac:dyDescent="0.2">
      <c r="B15326" s="203"/>
      <c r="C15326" s="237"/>
      <c r="D15326" s="202"/>
      <c r="E15326" s="202"/>
      <c r="U15326" s="204"/>
    </row>
    <row r="15327" spans="2:21" x14ac:dyDescent="0.2">
      <c r="B15327" s="203"/>
      <c r="C15327" s="237"/>
      <c r="D15327" s="202"/>
      <c r="E15327" s="202"/>
      <c r="U15327" s="204"/>
    </row>
    <row r="15328" spans="2:21" x14ac:dyDescent="0.2">
      <c r="B15328" s="203"/>
      <c r="C15328" s="237"/>
      <c r="D15328" s="202"/>
      <c r="E15328" s="202"/>
      <c r="U15328" s="204"/>
    </row>
    <row r="15329" spans="2:21" x14ac:dyDescent="0.2">
      <c r="B15329" s="203"/>
      <c r="C15329" s="237"/>
      <c r="D15329" s="202"/>
      <c r="E15329" s="202"/>
      <c r="U15329" s="204"/>
    </row>
    <row r="15330" spans="2:21" x14ac:dyDescent="0.2">
      <c r="B15330" s="203"/>
      <c r="C15330" s="237"/>
      <c r="D15330" s="202"/>
      <c r="E15330" s="202"/>
      <c r="U15330" s="204"/>
    </row>
    <row r="15331" spans="2:21" x14ac:dyDescent="0.2">
      <c r="B15331" s="203"/>
      <c r="C15331" s="237"/>
      <c r="D15331" s="202"/>
      <c r="E15331" s="202"/>
      <c r="U15331" s="204"/>
    </row>
    <row r="15332" spans="2:21" x14ac:dyDescent="0.2">
      <c r="B15332" s="203"/>
      <c r="C15332" s="237"/>
      <c r="D15332" s="202"/>
      <c r="E15332" s="202"/>
      <c r="U15332" s="204"/>
    </row>
    <row r="15333" spans="2:21" x14ac:dyDescent="0.2">
      <c r="B15333" s="203"/>
      <c r="C15333" s="237"/>
      <c r="D15333" s="202"/>
      <c r="E15333" s="202"/>
      <c r="U15333" s="204"/>
    </row>
    <row r="15334" spans="2:21" x14ac:dyDescent="0.2">
      <c r="B15334" s="203"/>
      <c r="C15334" s="237"/>
      <c r="D15334" s="202"/>
      <c r="E15334" s="202"/>
      <c r="U15334" s="204"/>
    </row>
    <row r="15335" spans="2:21" x14ac:dyDescent="0.2">
      <c r="B15335" s="203"/>
      <c r="C15335" s="237"/>
      <c r="D15335" s="202"/>
      <c r="E15335" s="202"/>
      <c r="U15335" s="204"/>
    </row>
    <row r="15336" spans="2:21" x14ac:dyDescent="0.2">
      <c r="B15336" s="203"/>
      <c r="C15336" s="237"/>
      <c r="D15336" s="202"/>
      <c r="E15336" s="202"/>
      <c r="U15336" s="204"/>
    </row>
    <row r="15337" spans="2:21" x14ac:dyDescent="0.2">
      <c r="B15337" s="203"/>
      <c r="C15337" s="237"/>
      <c r="D15337" s="202"/>
      <c r="E15337" s="202"/>
      <c r="U15337" s="204"/>
    </row>
    <row r="15338" spans="2:21" x14ac:dyDescent="0.2">
      <c r="B15338" s="203"/>
      <c r="C15338" s="237"/>
      <c r="D15338" s="202"/>
      <c r="E15338" s="202"/>
      <c r="U15338" s="204"/>
    </row>
    <row r="15339" spans="2:21" x14ac:dyDescent="0.2">
      <c r="B15339" s="203"/>
      <c r="C15339" s="237"/>
      <c r="D15339" s="202"/>
      <c r="E15339" s="202"/>
      <c r="U15339" s="204"/>
    </row>
    <row r="15340" spans="2:21" x14ac:dyDescent="0.2">
      <c r="B15340" s="203"/>
      <c r="C15340" s="237"/>
      <c r="D15340" s="202"/>
      <c r="E15340" s="202"/>
      <c r="U15340" s="204"/>
    </row>
    <row r="15341" spans="2:21" x14ac:dyDescent="0.2">
      <c r="B15341" s="203"/>
      <c r="C15341" s="237"/>
      <c r="D15341" s="202"/>
      <c r="E15341" s="202"/>
      <c r="U15341" s="204"/>
    </row>
    <row r="15342" spans="2:21" x14ac:dyDescent="0.2">
      <c r="B15342" s="203"/>
      <c r="C15342" s="237"/>
      <c r="D15342" s="202"/>
      <c r="E15342" s="202"/>
      <c r="U15342" s="204"/>
    </row>
    <row r="15343" spans="2:21" x14ac:dyDescent="0.2">
      <c r="B15343" s="203"/>
      <c r="C15343" s="237"/>
      <c r="D15343" s="202"/>
      <c r="E15343" s="202"/>
      <c r="U15343" s="204"/>
    </row>
    <row r="15344" spans="2:21" x14ac:dyDescent="0.2">
      <c r="B15344" s="203"/>
      <c r="C15344" s="237"/>
      <c r="D15344" s="202"/>
      <c r="E15344" s="202"/>
      <c r="U15344" s="204"/>
    </row>
    <row r="15345" spans="2:21" x14ac:dyDescent="0.2">
      <c r="B15345" s="203"/>
      <c r="C15345" s="237"/>
      <c r="D15345" s="202"/>
      <c r="E15345" s="202"/>
      <c r="U15345" s="204"/>
    </row>
    <row r="15346" spans="2:21" x14ac:dyDescent="0.2">
      <c r="B15346" s="203"/>
      <c r="C15346" s="237"/>
      <c r="D15346" s="202"/>
      <c r="E15346" s="202"/>
      <c r="U15346" s="204"/>
    </row>
    <row r="15347" spans="2:21" x14ac:dyDescent="0.2">
      <c r="B15347" s="203"/>
      <c r="C15347" s="237"/>
      <c r="D15347" s="202"/>
      <c r="E15347" s="202"/>
      <c r="U15347" s="204"/>
    </row>
    <row r="15348" spans="2:21" x14ac:dyDescent="0.2">
      <c r="B15348" s="203"/>
      <c r="C15348" s="237"/>
      <c r="D15348" s="202"/>
      <c r="E15348" s="202"/>
      <c r="U15348" s="204"/>
    </row>
    <row r="15349" spans="2:21" x14ac:dyDescent="0.2">
      <c r="B15349" s="203"/>
      <c r="C15349" s="237"/>
      <c r="D15349" s="202"/>
      <c r="E15349" s="202"/>
      <c r="U15349" s="204"/>
    </row>
    <row r="15350" spans="2:21" x14ac:dyDescent="0.2">
      <c r="B15350" s="203"/>
      <c r="C15350" s="237"/>
      <c r="D15350" s="202"/>
      <c r="E15350" s="202"/>
      <c r="U15350" s="204"/>
    </row>
    <row r="15351" spans="2:21" x14ac:dyDescent="0.2">
      <c r="B15351" s="203"/>
      <c r="C15351" s="237"/>
      <c r="D15351" s="202"/>
      <c r="E15351" s="202"/>
      <c r="U15351" s="204"/>
    </row>
    <row r="15352" spans="2:21" x14ac:dyDescent="0.2">
      <c r="B15352" s="203"/>
      <c r="C15352" s="237"/>
      <c r="D15352" s="202"/>
      <c r="E15352" s="202"/>
      <c r="U15352" s="204"/>
    </row>
    <row r="15353" spans="2:21" x14ac:dyDescent="0.2">
      <c r="B15353" s="203"/>
      <c r="C15353" s="237"/>
      <c r="D15353" s="202"/>
      <c r="E15353" s="202"/>
      <c r="U15353" s="204"/>
    </row>
    <row r="15354" spans="2:21" x14ac:dyDescent="0.2">
      <c r="B15354" s="203"/>
      <c r="C15354" s="237"/>
      <c r="D15354" s="202"/>
      <c r="E15354" s="202"/>
      <c r="U15354" s="204"/>
    </row>
    <row r="15355" spans="2:21" x14ac:dyDescent="0.2">
      <c r="B15355" s="203"/>
      <c r="C15355" s="237"/>
      <c r="D15355" s="202"/>
      <c r="E15355" s="202"/>
      <c r="U15355" s="204"/>
    </row>
    <row r="15356" spans="2:21" x14ac:dyDescent="0.2">
      <c r="B15356" s="203"/>
      <c r="C15356" s="237"/>
      <c r="D15356" s="202"/>
      <c r="E15356" s="202"/>
      <c r="U15356" s="204"/>
    </row>
    <row r="15357" spans="2:21" x14ac:dyDescent="0.2">
      <c r="B15357" s="203"/>
      <c r="C15357" s="237"/>
      <c r="D15357" s="202"/>
      <c r="E15357" s="202"/>
      <c r="U15357" s="204"/>
    </row>
    <row r="15358" spans="2:21" x14ac:dyDescent="0.2">
      <c r="B15358" s="203"/>
      <c r="C15358" s="237"/>
      <c r="D15358" s="202"/>
      <c r="E15358" s="202"/>
      <c r="U15358" s="204"/>
    </row>
    <row r="15359" spans="2:21" x14ac:dyDescent="0.2">
      <c r="B15359" s="203"/>
      <c r="C15359" s="237"/>
      <c r="D15359" s="202"/>
      <c r="E15359" s="202"/>
      <c r="U15359" s="204"/>
    </row>
    <row r="15360" spans="2:21" x14ac:dyDescent="0.2">
      <c r="B15360" s="203"/>
      <c r="C15360" s="237"/>
      <c r="D15360" s="202"/>
      <c r="E15360" s="202"/>
      <c r="U15360" s="204"/>
    </row>
    <row r="15361" spans="2:21" x14ac:dyDescent="0.2">
      <c r="B15361" s="203"/>
      <c r="C15361" s="237"/>
      <c r="D15361" s="202"/>
      <c r="E15361" s="202"/>
      <c r="U15361" s="204"/>
    </row>
    <row r="15362" spans="2:21" x14ac:dyDescent="0.2">
      <c r="B15362" s="203"/>
      <c r="C15362" s="237"/>
      <c r="D15362" s="202"/>
      <c r="E15362" s="202"/>
      <c r="U15362" s="204"/>
    </row>
    <row r="15363" spans="2:21" x14ac:dyDescent="0.2">
      <c r="B15363" s="203"/>
      <c r="C15363" s="237"/>
      <c r="D15363" s="202"/>
      <c r="E15363" s="202"/>
      <c r="U15363" s="204"/>
    </row>
    <row r="15364" spans="2:21" x14ac:dyDescent="0.2">
      <c r="B15364" s="203"/>
      <c r="C15364" s="237"/>
      <c r="D15364" s="202"/>
      <c r="E15364" s="202"/>
      <c r="U15364" s="204"/>
    </row>
    <row r="15365" spans="2:21" x14ac:dyDescent="0.2">
      <c r="B15365" s="203"/>
      <c r="C15365" s="237"/>
      <c r="D15365" s="202"/>
      <c r="E15365" s="202"/>
      <c r="U15365" s="204"/>
    </row>
    <row r="15366" spans="2:21" x14ac:dyDescent="0.2">
      <c r="B15366" s="203"/>
      <c r="C15366" s="237"/>
      <c r="D15366" s="202"/>
      <c r="E15366" s="202"/>
      <c r="U15366" s="204"/>
    </row>
    <row r="15367" spans="2:21" x14ac:dyDescent="0.2">
      <c r="B15367" s="203"/>
      <c r="C15367" s="237"/>
      <c r="D15367" s="202"/>
      <c r="E15367" s="202"/>
      <c r="U15367" s="204"/>
    </row>
    <row r="15368" spans="2:21" x14ac:dyDescent="0.2">
      <c r="B15368" s="203"/>
      <c r="C15368" s="237"/>
      <c r="D15368" s="202"/>
      <c r="E15368" s="202"/>
      <c r="U15368" s="204"/>
    </row>
    <row r="15369" spans="2:21" x14ac:dyDescent="0.2">
      <c r="B15369" s="203"/>
      <c r="C15369" s="237"/>
      <c r="D15369" s="202"/>
      <c r="E15369" s="202"/>
      <c r="U15369" s="204"/>
    </row>
    <row r="15370" spans="2:21" x14ac:dyDescent="0.2">
      <c r="B15370" s="203"/>
      <c r="C15370" s="237"/>
      <c r="D15370" s="202"/>
      <c r="E15370" s="202"/>
      <c r="U15370" s="204"/>
    </row>
    <row r="15371" spans="2:21" x14ac:dyDescent="0.2">
      <c r="B15371" s="203"/>
      <c r="C15371" s="237"/>
      <c r="D15371" s="202"/>
      <c r="E15371" s="202"/>
      <c r="U15371" s="204"/>
    </row>
    <row r="15372" spans="2:21" x14ac:dyDescent="0.2">
      <c r="B15372" s="203"/>
      <c r="C15372" s="237"/>
      <c r="D15372" s="202"/>
      <c r="E15372" s="202"/>
      <c r="U15372" s="204"/>
    </row>
    <row r="15373" spans="2:21" x14ac:dyDescent="0.2">
      <c r="B15373" s="203"/>
      <c r="C15373" s="237"/>
      <c r="D15373" s="202"/>
      <c r="E15373" s="202"/>
      <c r="U15373" s="204"/>
    </row>
    <row r="15374" spans="2:21" x14ac:dyDescent="0.2">
      <c r="B15374" s="203"/>
      <c r="C15374" s="237"/>
      <c r="D15374" s="202"/>
      <c r="E15374" s="202"/>
      <c r="U15374" s="204"/>
    </row>
    <row r="15375" spans="2:21" x14ac:dyDescent="0.2">
      <c r="B15375" s="203"/>
      <c r="C15375" s="237"/>
      <c r="D15375" s="202"/>
      <c r="E15375" s="202"/>
    </row>
    <row r="15376" spans="2:21" x14ac:dyDescent="0.2">
      <c r="B15376" s="203"/>
      <c r="C15376" s="237"/>
      <c r="D15376" s="202"/>
      <c r="E15376" s="202"/>
    </row>
    <row r="15377" spans="2:5" x14ac:dyDescent="0.2">
      <c r="B15377" s="203"/>
      <c r="C15377" s="237"/>
      <c r="D15377" s="202"/>
      <c r="E15377" s="202"/>
    </row>
  </sheetData>
  <dataConsolidate/>
  <dataValidations disablePrompts="1" count="3">
    <dataValidation errorStyle="warning" allowBlank="1" showInputMessage="1" showErrorMessage="1" sqref="B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Format10Y">
                <anchor>
                  <from>
                    <xdr:col>9</xdr:col>
                    <xdr:colOff>495300</xdr:colOff>
                    <xdr:row>27</xdr:row>
                    <xdr:rowOff>85725</xdr:rowOff>
                  </from>
                  <to>
                    <xdr:col>10</xdr:col>
                    <xdr:colOff>447675</xdr:colOff>
                    <xdr:row>31</xdr:row>
                    <xdr:rowOff>66675</xdr:rowOff>
                  </to>
                </anchor>
              </controlPr>
            </control>
          </mc:Choice>
        </mc:AlternateContent>
        <mc:AlternateContent xmlns:mc="http://schemas.openxmlformats.org/markup-compatibility/2006">
          <mc:Choice Requires="x14">
            <control shapeId="6149" r:id="rId5" name="Button 5">
              <controlPr defaultSize="0" print="0" autoFill="0" autoPict="0" macro="[0]!Format1Y">
                <anchor>
                  <from>
                    <xdr:col>8</xdr:col>
                    <xdr:colOff>19050</xdr:colOff>
                    <xdr:row>27</xdr:row>
                    <xdr:rowOff>85725</xdr:rowOff>
                  </from>
                  <to>
                    <xdr:col>9</xdr:col>
                    <xdr:colOff>238125</xdr:colOff>
                    <xdr:row>31</xdr:row>
                    <xdr:rowOff>66675</xdr:rowOff>
                  </to>
                </anchor>
              </controlPr>
            </control>
          </mc:Choice>
        </mc:AlternateContent>
        <mc:AlternateContent xmlns:mc="http://schemas.openxmlformats.org/markup-compatibility/2006">
          <mc:Choice Requires="x14">
            <control shapeId="6150" r:id="rId6" name="Button 6">
              <controlPr defaultSize="0" print="0" autoFill="0" autoPict="0" macro="[0]!Format60Y">
                <anchor>
                  <from>
                    <xdr:col>11</xdr:col>
                    <xdr:colOff>266700</xdr:colOff>
                    <xdr:row>27</xdr:row>
                    <xdr:rowOff>95250</xdr:rowOff>
                  </from>
                  <to>
                    <xdr:col>11</xdr:col>
                    <xdr:colOff>819150</xdr:colOff>
                    <xdr:row>31</xdr:row>
                    <xdr:rowOff>76200</xdr:rowOff>
                  </to>
                </anchor>
              </controlPr>
            </control>
          </mc:Choice>
        </mc:AlternateContent>
        <mc:AlternateContent xmlns:mc="http://schemas.openxmlformats.org/markup-compatibility/2006">
          <mc:Choice Requires="x14">
            <control shapeId="6151" r:id="rId7" name="Button 7">
              <controlPr defaultSize="0" print="0" autoFill="0" autoPict="0" macro="[0]!InsertMktData">
                <anchor>
                  <from>
                    <xdr:col>8</xdr:col>
                    <xdr:colOff>0</xdr:colOff>
                    <xdr:row>32</xdr:row>
                    <xdr:rowOff>133350</xdr:rowOff>
                  </from>
                  <to>
                    <xdr:col>10</xdr:col>
                    <xdr:colOff>95250</xdr:colOff>
                    <xdr:row>36</xdr:row>
                    <xdr:rowOff>114300</xdr:rowOff>
                  </to>
                </anchor>
              </controlPr>
            </control>
          </mc:Choice>
        </mc:AlternateContent>
        <mc:AlternateContent xmlns:mc="http://schemas.openxmlformats.org/markup-compatibility/2006">
          <mc:Choice Requires="x14">
            <control shapeId="6152" r:id="rId8" name="Button 8">
              <controlPr defaultSize="0" print="0" autoFill="0" autoPict="0" macro="[0]!DeleteMktData">
                <anchor>
                  <from>
                    <xdr:col>10</xdr:col>
                    <xdr:colOff>295275</xdr:colOff>
                    <xdr:row>32</xdr:row>
                    <xdr:rowOff>123825</xdr:rowOff>
                  </from>
                  <to>
                    <xdr:col>11</xdr:col>
                    <xdr:colOff>809625</xdr:colOff>
                    <xdr:row>36</xdr:row>
                    <xdr:rowOff>104775</xdr:rowOff>
                  </to>
                </anchor>
              </controlPr>
            </control>
          </mc:Choice>
        </mc:AlternateContent>
        <mc:AlternateContent xmlns:mc="http://schemas.openxmlformats.org/markup-compatibility/2006">
          <mc:Choice Requires="x14">
            <control shapeId="6154" r:id="rId9" name="Button 10">
              <controlPr defaultSize="0" print="0" autoFill="0" autoPict="0" macro="[0]!FormatON">
                <anchor moveWithCells="1" sizeWithCells="1">
                  <from>
                    <xdr:col>9</xdr:col>
                    <xdr:colOff>561975</xdr:colOff>
                    <xdr:row>57</xdr:row>
                    <xdr:rowOff>95250</xdr:rowOff>
                  </from>
                  <to>
                    <xdr:col>11</xdr:col>
                    <xdr:colOff>47625</xdr:colOff>
                    <xdr:row>61</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opLeftCell="A37" workbookViewId="0">
      <selection activeCell="L44" sqref="L44"/>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General Settings</vt:lpstr>
      <vt:lpstr>RateHelpers</vt:lpstr>
      <vt:lpstr>Selected</vt:lpstr>
      <vt:lpstr>6M_Deposits</vt:lpstr>
      <vt:lpstr>6M_FRAs</vt:lpstr>
      <vt:lpstr>6M_Swaps</vt:lpstr>
      <vt:lpstr>Monitor</vt:lpstr>
      <vt:lpstr>Sheet1</vt:lpstr>
      <vt:lpstr>Accuracy</vt:lpstr>
      <vt:lpstr>BondBasisDayCounter</vt:lpstr>
      <vt:lpstr>Calendar</vt:lpstr>
      <vt:lpstr>'6M_Swaps'!Conventions</vt:lpstr>
      <vt:lpstr>Currency</vt:lpstr>
      <vt:lpstr>CurveTenor</vt:lpstr>
      <vt:lpstr>DataTable</vt:lpstr>
      <vt:lpstr>DayCounter</vt:lpstr>
      <vt:lpstr>DepoInclusionCriteria</vt:lpstr>
      <vt:lpstr>Discounting</vt:lpstr>
      <vt:lpstr>'6M_Swaps'!DiscountingCurve</vt:lpstr>
      <vt:lpstr>FamilyName</vt:lpstr>
      <vt:lpstr>FileOverwrite</vt:lpstr>
      <vt:lpstr>FixingDays</vt:lpstr>
      <vt:lpstr>FRADates</vt:lpstr>
      <vt:lpstr>FRAQuotes</vt:lpstr>
      <vt:lpstr>FrontFuturesRollingDays</vt:lpstr>
      <vt:lpstr>IborIndex</vt:lpstr>
      <vt:lpstr>IborType</vt:lpstr>
      <vt:lpstr>Monitor!IndexCalendar</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SwapIndex</vt:lpstr>
      <vt:lpstr>TraitsID</vt:lpstr>
      <vt:lpstr>Trigger</vt:lpstr>
      <vt:lpstr>XAxisMaximum10Y</vt:lpstr>
      <vt:lpstr>XAxisMaximum1Y</vt:lpstr>
      <vt:lpstr>XAxisMaximum60Y</vt:lpstr>
      <vt:lpstr>XAxisMaximumON</vt:lpstr>
      <vt:lpstr>XAxisMinimum</vt:lpstr>
      <vt:lpstr>XMajorUnit10Y</vt:lpstr>
      <vt:lpstr>XMajorUnit1Y</vt:lpstr>
      <vt:lpstr>XMajorUnit60Y</vt:lpstr>
      <vt:lpstr>XMajorUnitON</vt:lpstr>
      <vt:lpstr>YAxisMaximum10Y</vt:lpstr>
      <vt:lpstr>YAxisMaximum1Y</vt:lpstr>
      <vt:lpstr>YAxisMaximum60Y</vt:lpstr>
      <vt:lpstr>YAxisMaximumON</vt:lpstr>
      <vt:lpstr>YAxisMinimum10Y</vt:lpstr>
      <vt:lpstr>YAxisMinimum1Y</vt:lpstr>
      <vt:lpstr>YAxisMinimum60Y</vt:lpstr>
      <vt:lpstr>YAxisMinimumON</vt:lpstr>
      <vt:lpstr>YCInstance</vt:lpstr>
      <vt:lpstr>YieldCurve</vt:lpstr>
      <vt:lpstr>YMajorUnit10Y</vt:lpstr>
      <vt:lpstr>YMajorUnit1Y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2014-05-27T07:03:17Z</dcterms:modified>
</cp:coreProperties>
</file>